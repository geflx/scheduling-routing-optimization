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flx\Downloads\"/>
    </mc:Choice>
  </mc:AlternateContent>
  <bookViews>
    <workbookView xWindow="0" yWindow="0" windowWidth="28800" windowHeight="12435" activeTab="3"/>
  </bookViews>
  <sheets>
    <sheet name="Parameter &lt;x, y&gt;" sheetId="1" r:id="rId1"/>
    <sheet name="RPD Parameter" sheetId="2" r:id="rId2"/>
    <sheet name="GA Arroyo" sheetId="5" r:id="rId3"/>
    <sheet name="GA Arroyo Analysis" sheetId="4" r:id="rId4"/>
  </sheets>
  <definedNames>
    <definedName name="_100" localSheetId="2">'GA Arroyo'!$B$783:$M$962</definedName>
    <definedName name="_100jobs0_1" localSheetId="2">'GA Arroyo'!$O$783:$Z$962</definedName>
    <definedName name="_100jobs1_0" localSheetId="2">'GA Arroyo'!$AO$783:$AZ$962</definedName>
    <definedName name="_100jobs1_1" localSheetId="2">'GA Arroyo'!$AB$783:$AM$962</definedName>
    <definedName name="_20" localSheetId="2">'GA Arroyo'!$B$303:$M$602</definedName>
    <definedName name="_20jobs0_1" localSheetId="2">'GA Arroyo'!$O$303:$Z$602</definedName>
    <definedName name="_20jobs1_0" localSheetId="2">'GA Arroyo'!$AO$303:$AZ$602</definedName>
    <definedName name="_20jobs1_1" localSheetId="2">'GA Arroyo'!$AB$303:$AM$602</definedName>
    <definedName name="_50" localSheetId="2">'GA Arroyo'!$B$603:$M$782</definedName>
    <definedName name="_50jobs0_1" localSheetId="2">'GA Arroyo'!$O$603:$Z$782</definedName>
    <definedName name="_50jobs1_0" localSheetId="2">'GA Arroyo'!$AO$603:$AZ$782</definedName>
    <definedName name="_50jobs1_1" localSheetId="2">'GA Arroyo'!$AB$603:$AM$782</definedName>
    <definedName name="_8" localSheetId="2">'GA Arroyo'!$B$3:$M$302</definedName>
    <definedName name="_8jobs0_1" localSheetId="2">'GA Arroyo'!$O$3:$Z$302</definedName>
    <definedName name="_8jobs1_0" localSheetId="2">'GA Arroyo'!$AO$3:$AZ$302</definedName>
    <definedName name="_8jobs1_1" localSheetId="2">'GA Arroyo'!$AB$3:$AM$302</definedName>
  </definedNames>
  <calcPr calcId="152511"/>
</workbook>
</file>

<file path=xl/calcChain.xml><?xml version="1.0" encoding="utf-8"?>
<calcChain xmlns="http://schemas.openxmlformats.org/spreadsheetml/2006/main">
  <c r="AC9" i="4" l="1"/>
  <c r="AB9" i="4"/>
  <c r="AA9" i="4"/>
  <c r="Z9" i="4"/>
  <c r="T4" i="4"/>
  <c r="U4" i="4"/>
  <c r="V4" i="4"/>
  <c r="W4" i="4"/>
  <c r="AC5" i="4" s="1"/>
  <c r="T5" i="4"/>
  <c r="U5" i="4"/>
  <c r="V5" i="4"/>
  <c r="W5" i="4"/>
  <c r="T6" i="4"/>
  <c r="U6" i="4"/>
  <c r="V6" i="4"/>
  <c r="W6" i="4"/>
  <c r="T7" i="4"/>
  <c r="U7" i="4"/>
  <c r="V7" i="4"/>
  <c r="W7" i="4"/>
  <c r="T8" i="4"/>
  <c r="U8" i="4"/>
  <c r="V8" i="4"/>
  <c r="W8" i="4"/>
  <c r="T9" i="4"/>
  <c r="U9" i="4"/>
  <c r="V9" i="4"/>
  <c r="W9" i="4"/>
  <c r="T10" i="4"/>
  <c r="U10" i="4"/>
  <c r="V10" i="4"/>
  <c r="W10" i="4"/>
  <c r="T11" i="4"/>
  <c r="U11" i="4"/>
  <c r="V11" i="4"/>
  <c r="W11" i="4"/>
  <c r="T12" i="4"/>
  <c r="U12" i="4"/>
  <c r="V12" i="4"/>
  <c r="W12" i="4"/>
  <c r="T13" i="4"/>
  <c r="U13" i="4"/>
  <c r="V13" i="4"/>
  <c r="W13" i="4"/>
  <c r="T14" i="4"/>
  <c r="U14" i="4"/>
  <c r="V14" i="4"/>
  <c r="W14" i="4"/>
  <c r="T15" i="4"/>
  <c r="U15" i="4"/>
  <c r="V15" i="4"/>
  <c r="W15" i="4"/>
  <c r="T16" i="4"/>
  <c r="U16" i="4"/>
  <c r="V16" i="4"/>
  <c r="W16" i="4"/>
  <c r="T17" i="4"/>
  <c r="U17" i="4"/>
  <c r="V17" i="4"/>
  <c r="W17" i="4"/>
  <c r="T18" i="4"/>
  <c r="U18" i="4"/>
  <c r="V18" i="4"/>
  <c r="W18" i="4"/>
  <c r="T19" i="4"/>
  <c r="U19" i="4"/>
  <c r="V19" i="4"/>
  <c r="W19" i="4"/>
  <c r="T20" i="4"/>
  <c r="U20" i="4"/>
  <c r="V20" i="4"/>
  <c r="W20" i="4"/>
  <c r="T21" i="4"/>
  <c r="U21" i="4"/>
  <c r="V21" i="4"/>
  <c r="W21" i="4"/>
  <c r="T22" i="4"/>
  <c r="U22" i="4"/>
  <c r="V22" i="4"/>
  <c r="W22" i="4"/>
  <c r="T23" i="4"/>
  <c r="U23" i="4"/>
  <c r="V23" i="4"/>
  <c r="W23" i="4"/>
  <c r="T24" i="4"/>
  <c r="U24" i="4"/>
  <c r="V24" i="4"/>
  <c r="W24" i="4"/>
  <c r="T25" i="4"/>
  <c r="U25" i="4"/>
  <c r="V25" i="4"/>
  <c r="W25" i="4"/>
  <c r="T26" i="4"/>
  <c r="U26" i="4"/>
  <c r="V26" i="4"/>
  <c r="W26" i="4"/>
  <c r="T27" i="4"/>
  <c r="U27" i="4"/>
  <c r="V27" i="4"/>
  <c r="W27" i="4"/>
  <c r="T28" i="4"/>
  <c r="U28" i="4"/>
  <c r="V28" i="4"/>
  <c r="W28" i="4"/>
  <c r="T29" i="4"/>
  <c r="U29" i="4"/>
  <c r="V29" i="4"/>
  <c r="W29" i="4"/>
  <c r="T30" i="4"/>
  <c r="U30" i="4"/>
  <c r="V30" i="4"/>
  <c r="W30" i="4"/>
  <c r="T31" i="4"/>
  <c r="U31" i="4"/>
  <c r="V31" i="4"/>
  <c r="W31" i="4"/>
  <c r="T32" i="4"/>
  <c r="U32" i="4"/>
  <c r="V32" i="4"/>
  <c r="W32" i="4"/>
  <c r="T33" i="4"/>
  <c r="U33" i="4"/>
  <c r="V33" i="4"/>
  <c r="W33" i="4"/>
  <c r="T34" i="4"/>
  <c r="U34" i="4"/>
  <c r="V34" i="4"/>
  <c r="W34" i="4"/>
  <c r="T35" i="4"/>
  <c r="U35" i="4"/>
  <c r="V35" i="4"/>
  <c r="W35" i="4"/>
  <c r="T36" i="4"/>
  <c r="U36" i="4"/>
  <c r="V36" i="4"/>
  <c r="W36" i="4"/>
  <c r="T37" i="4"/>
  <c r="U37" i="4"/>
  <c r="V37" i="4"/>
  <c r="W37" i="4"/>
  <c r="T38" i="4"/>
  <c r="U38" i="4"/>
  <c r="V38" i="4"/>
  <c r="W38" i="4"/>
  <c r="T39" i="4"/>
  <c r="U39" i="4"/>
  <c r="V39" i="4"/>
  <c r="W39" i="4"/>
  <c r="T40" i="4"/>
  <c r="U40" i="4"/>
  <c r="V40" i="4"/>
  <c r="W40" i="4"/>
  <c r="T41" i="4"/>
  <c r="U41" i="4"/>
  <c r="V41" i="4"/>
  <c r="W41" i="4"/>
  <c r="T42" i="4"/>
  <c r="U42" i="4"/>
  <c r="V42" i="4"/>
  <c r="W42" i="4"/>
  <c r="T43" i="4"/>
  <c r="U43" i="4"/>
  <c r="V43" i="4"/>
  <c r="W43" i="4"/>
  <c r="T44" i="4"/>
  <c r="U44" i="4"/>
  <c r="V44" i="4"/>
  <c r="W44" i="4"/>
  <c r="T45" i="4"/>
  <c r="U45" i="4"/>
  <c r="V45" i="4"/>
  <c r="W45" i="4"/>
  <c r="T46" i="4"/>
  <c r="U46" i="4"/>
  <c r="V46" i="4"/>
  <c r="W46" i="4"/>
  <c r="T47" i="4"/>
  <c r="U47" i="4"/>
  <c r="V47" i="4"/>
  <c r="W47" i="4"/>
  <c r="T48" i="4"/>
  <c r="U48" i="4"/>
  <c r="V48" i="4"/>
  <c r="W48" i="4"/>
  <c r="T49" i="4"/>
  <c r="U49" i="4"/>
  <c r="V49" i="4"/>
  <c r="W49" i="4"/>
  <c r="T50" i="4"/>
  <c r="U50" i="4"/>
  <c r="V50" i="4"/>
  <c r="W50" i="4"/>
  <c r="T51" i="4"/>
  <c r="U51" i="4"/>
  <c r="V51" i="4"/>
  <c r="W51" i="4"/>
  <c r="T52" i="4"/>
  <c r="U52" i="4"/>
  <c r="V52" i="4"/>
  <c r="W52" i="4"/>
  <c r="T53" i="4"/>
  <c r="U53" i="4"/>
  <c r="V53" i="4"/>
  <c r="W53" i="4"/>
  <c r="T54" i="4"/>
  <c r="U54" i="4"/>
  <c r="V54" i="4"/>
  <c r="W54" i="4"/>
  <c r="T55" i="4"/>
  <c r="U55" i="4"/>
  <c r="V55" i="4"/>
  <c r="W55" i="4"/>
  <c r="T56" i="4"/>
  <c r="U56" i="4"/>
  <c r="V56" i="4"/>
  <c r="W56" i="4"/>
  <c r="T57" i="4"/>
  <c r="U57" i="4"/>
  <c r="V57" i="4"/>
  <c r="W57" i="4"/>
  <c r="T58" i="4"/>
  <c r="U58" i="4"/>
  <c r="V58" i="4"/>
  <c r="W58" i="4"/>
  <c r="T59" i="4"/>
  <c r="U59" i="4"/>
  <c r="V59" i="4"/>
  <c r="W59" i="4"/>
  <c r="T60" i="4"/>
  <c r="U60" i="4"/>
  <c r="V60" i="4"/>
  <c r="W60" i="4"/>
  <c r="T61" i="4"/>
  <c r="U61" i="4"/>
  <c r="V61" i="4"/>
  <c r="W61" i="4"/>
  <c r="T62" i="4"/>
  <c r="U62" i="4"/>
  <c r="V62" i="4"/>
  <c r="W62" i="4"/>
  <c r="T63" i="4"/>
  <c r="U63" i="4"/>
  <c r="V63" i="4"/>
  <c r="W63" i="4"/>
  <c r="T64" i="4"/>
  <c r="U64" i="4"/>
  <c r="V64" i="4"/>
  <c r="W64" i="4"/>
  <c r="T65" i="4"/>
  <c r="U65" i="4"/>
  <c r="V65" i="4"/>
  <c r="W65" i="4"/>
  <c r="T66" i="4"/>
  <c r="U66" i="4"/>
  <c r="V66" i="4"/>
  <c r="W66" i="4"/>
  <c r="T67" i="4"/>
  <c r="U67" i="4"/>
  <c r="V67" i="4"/>
  <c r="W67" i="4"/>
  <c r="T68" i="4"/>
  <c r="U68" i="4"/>
  <c r="V68" i="4"/>
  <c r="W68" i="4"/>
  <c r="T69" i="4"/>
  <c r="U69" i="4"/>
  <c r="V69" i="4"/>
  <c r="W69" i="4"/>
  <c r="T70" i="4"/>
  <c r="U70" i="4"/>
  <c r="V70" i="4"/>
  <c r="W70" i="4"/>
  <c r="T71" i="4"/>
  <c r="U71" i="4"/>
  <c r="V71" i="4"/>
  <c r="W71" i="4"/>
  <c r="T72" i="4"/>
  <c r="U72" i="4"/>
  <c r="V72" i="4"/>
  <c r="W72" i="4"/>
  <c r="T73" i="4"/>
  <c r="U73" i="4"/>
  <c r="V73" i="4"/>
  <c r="W73" i="4"/>
  <c r="T74" i="4"/>
  <c r="U74" i="4"/>
  <c r="V74" i="4"/>
  <c r="W74" i="4"/>
  <c r="T75" i="4"/>
  <c r="U75" i="4"/>
  <c r="V75" i="4"/>
  <c r="W75" i="4"/>
  <c r="T76" i="4"/>
  <c r="U76" i="4"/>
  <c r="V76" i="4"/>
  <c r="W76" i="4"/>
  <c r="T77" i="4"/>
  <c r="U77" i="4"/>
  <c r="V77" i="4"/>
  <c r="W77" i="4"/>
  <c r="T78" i="4"/>
  <c r="U78" i="4"/>
  <c r="V78" i="4"/>
  <c r="W78" i="4"/>
  <c r="T79" i="4"/>
  <c r="U79" i="4"/>
  <c r="V79" i="4"/>
  <c r="W79" i="4"/>
  <c r="T80" i="4"/>
  <c r="U80" i="4"/>
  <c r="V80" i="4"/>
  <c r="W80" i="4"/>
  <c r="T81" i="4"/>
  <c r="U81" i="4"/>
  <c r="V81" i="4"/>
  <c r="W81" i="4"/>
  <c r="T82" i="4"/>
  <c r="U82" i="4"/>
  <c r="V82" i="4"/>
  <c r="W82" i="4"/>
  <c r="T83" i="4"/>
  <c r="U83" i="4"/>
  <c r="V83" i="4"/>
  <c r="W83" i="4"/>
  <c r="T84" i="4"/>
  <c r="U84" i="4"/>
  <c r="V84" i="4"/>
  <c r="W84" i="4"/>
  <c r="T85" i="4"/>
  <c r="U85" i="4"/>
  <c r="V85" i="4"/>
  <c r="W85" i="4"/>
  <c r="T86" i="4"/>
  <c r="U86" i="4"/>
  <c r="V86" i="4"/>
  <c r="W86" i="4"/>
  <c r="T87" i="4"/>
  <c r="U87" i="4"/>
  <c r="V87" i="4"/>
  <c r="W87" i="4"/>
  <c r="T88" i="4"/>
  <c r="U88" i="4"/>
  <c r="V88" i="4"/>
  <c r="W88" i="4"/>
  <c r="T89" i="4"/>
  <c r="U89" i="4"/>
  <c r="V89" i="4"/>
  <c r="W89" i="4"/>
  <c r="T90" i="4"/>
  <c r="U90" i="4"/>
  <c r="V90" i="4"/>
  <c r="W90" i="4"/>
  <c r="T91" i="4"/>
  <c r="U91" i="4"/>
  <c r="V91" i="4"/>
  <c r="W91" i="4"/>
  <c r="T92" i="4"/>
  <c r="U92" i="4"/>
  <c r="V92" i="4"/>
  <c r="W92" i="4"/>
  <c r="T93" i="4"/>
  <c r="U93" i="4"/>
  <c r="V93" i="4"/>
  <c r="W93" i="4"/>
  <c r="T94" i="4"/>
  <c r="U94" i="4"/>
  <c r="V94" i="4"/>
  <c r="W94" i="4"/>
  <c r="T95" i="4"/>
  <c r="U95" i="4"/>
  <c r="V95" i="4"/>
  <c r="W95" i="4"/>
  <c r="T96" i="4"/>
  <c r="U96" i="4"/>
  <c r="V96" i="4"/>
  <c r="W96" i="4"/>
  <c r="T97" i="4"/>
  <c r="U97" i="4"/>
  <c r="V97" i="4"/>
  <c r="W97" i="4"/>
  <c r="T98" i="4"/>
  <c r="U98" i="4"/>
  <c r="V98" i="4"/>
  <c r="W98" i="4"/>
  <c r="T99" i="4"/>
  <c r="U99" i="4"/>
  <c r="V99" i="4"/>
  <c r="W99" i="4"/>
  <c r="T100" i="4"/>
  <c r="U100" i="4"/>
  <c r="V100" i="4"/>
  <c r="W100" i="4"/>
  <c r="T101" i="4"/>
  <c r="U101" i="4"/>
  <c r="V101" i="4"/>
  <c r="W101" i="4"/>
  <c r="T102" i="4"/>
  <c r="U102" i="4"/>
  <c r="V102" i="4"/>
  <c r="W102" i="4"/>
  <c r="T103" i="4"/>
  <c r="U103" i="4"/>
  <c r="V103" i="4"/>
  <c r="W103" i="4"/>
  <c r="T104" i="4"/>
  <c r="U104" i="4"/>
  <c r="V104" i="4"/>
  <c r="W104" i="4"/>
  <c r="T105" i="4"/>
  <c r="U105" i="4"/>
  <c r="V105" i="4"/>
  <c r="W105" i="4"/>
  <c r="T106" i="4"/>
  <c r="U106" i="4"/>
  <c r="V106" i="4"/>
  <c r="W106" i="4"/>
  <c r="T107" i="4"/>
  <c r="U107" i="4"/>
  <c r="V107" i="4"/>
  <c r="W107" i="4"/>
  <c r="T108" i="4"/>
  <c r="U108" i="4"/>
  <c r="V108" i="4"/>
  <c r="W108" i="4"/>
  <c r="T109" i="4"/>
  <c r="U109" i="4"/>
  <c r="V109" i="4"/>
  <c r="W109" i="4"/>
  <c r="T110" i="4"/>
  <c r="U110" i="4"/>
  <c r="V110" i="4"/>
  <c r="W110" i="4"/>
  <c r="T111" i="4"/>
  <c r="U111" i="4"/>
  <c r="V111" i="4"/>
  <c r="W111" i="4"/>
  <c r="T112" i="4"/>
  <c r="U112" i="4"/>
  <c r="V112" i="4"/>
  <c r="W112" i="4"/>
  <c r="T113" i="4"/>
  <c r="U113" i="4"/>
  <c r="V113" i="4"/>
  <c r="W113" i="4"/>
  <c r="T114" i="4"/>
  <c r="U114" i="4"/>
  <c r="V114" i="4"/>
  <c r="W114" i="4"/>
  <c r="T115" i="4"/>
  <c r="U115" i="4"/>
  <c r="V115" i="4"/>
  <c r="W115" i="4"/>
  <c r="T116" i="4"/>
  <c r="U116" i="4"/>
  <c r="V116" i="4"/>
  <c r="W116" i="4"/>
  <c r="T117" i="4"/>
  <c r="U117" i="4"/>
  <c r="V117" i="4"/>
  <c r="W117" i="4"/>
  <c r="T118" i="4"/>
  <c r="U118" i="4"/>
  <c r="V118" i="4"/>
  <c r="W118" i="4"/>
  <c r="T119" i="4"/>
  <c r="U119" i="4"/>
  <c r="V119" i="4"/>
  <c r="W119" i="4"/>
  <c r="T120" i="4"/>
  <c r="U120" i="4"/>
  <c r="V120" i="4"/>
  <c r="W120" i="4"/>
  <c r="T121" i="4"/>
  <c r="U121" i="4"/>
  <c r="V121" i="4"/>
  <c r="W121" i="4"/>
  <c r="T122" i="4"/>
  <c r="U122" i="4"/>
  <c r="V122" i="4"/>
  <c r="W122" i="4"/>
  <c r="T123" i="4"/>
  <c r="U123" i="4"/>
  <c r="V123" i="4"/>
  <c r="W123" i="4"/>
  <c r="T124" i="4"/>
  <c r="U124" i="4"/>
  <c r="V124" i="4"/>
  <c r="W124" i="4"/>
  <c r="T125" i="4"/>
  <c r="U125" i="4"/>
  <c r="V125" i="4"/>
  <c r="W125" i="4"/>
  <c r="T126" i="4"/>
  <c r="U126" i="4"/>
  <c r="V126" i="4"/>
  <c r="W126" i="4"/>
  <c r="T127" i="4"/>
  <c r="U127" i="4"/>
  <c r="V127" i="4"/>
  <c r="W127" i="4"/>
  <c r="T128" i="4"/>
  <c r="U128" i="4"/>
  <c r="V128" i="4"/>
  <c r="W128" i="4"/>
  <c r="T129" i="4"/>
  <c r="U129" i="4"/>
  <c r="V129" i="4"/>
  <c r="W129" i="4"/>
  <c r="T130" i="4"/>
  <c r="U130" i="4"/>
  <c r="V130" i="4"/>
  <c r="W130" i="4"/>
  <c r="T131" i="4"/>
  <c r="U131" i="4"/>
  <c r="V131" i="4"/>
  <c r="W131" i="4"/>
  <c r="T132" i="4"/>
  <c r="U132" i="4"/>
  <c r="V132" i="4"/>
  <c r="W132" i="4"/>
  <c r="T133" i="4"/>
  <c r="U133" i="4"/>
  <c r="V133" i="4"/>
  <c r="W133" i="4"/>
  <c r="T134" i="4"/>
  <c r="U134" i="4"/>
  <c r="V134" i="4"/>
  <c r="W134" i="4"/>
  <c r="T135" i="4"/>
  <c r="U135" i="4"/>
  <c r="V135" i="4"/>
  <c r="W135" i="4"/>
  <c r="T136" i="4"/>
  <c r="U136" i="4"/>
  <c r="V136" i="4"/>
  <c r="W136" i="4"/>
  <c r="T137" i="4"/>
  <c r="U137" i="4"/>
  <c r="V137" i="4"/>
  <c r="W137" i="4"/>
  <c r="T138" i="4"/>
  <c r="U138" i="4"/>
  <c r="V138" i="4"/>
  <c r="W138" i="4"/>
  <c r="T139" i="4"/>
  <c r="U139" i="4"/>
  <c r="V139" i="4"/>
  <c r="W139" i="4"/>
  <c r="T140" i="4"/>
  <c r="U140" i="4"/>
  <c r="V140" i="4"/>
  <c r="W140" i="4"/>
  <c r="T141" i="4"/>
  <c r="U141" i="4"/>
  <c r="V141" i="4"/>
  <c r="W141" i="4"/>
  <c r="T142" i="4"/>
  <c r="U142" i="4"/>
  <c r="V142" i="4"/>
  <c r="W142" i="4"/>
  <c r="T143" i="4"/>
  <c r="U143" i="4"/>
  <c r="V143" i="4"/>
  <c r="W143" i="4"/>
  <c r="T144" i="4"/>
  <c r="U144" i="4"/>
  <c r="V144" i="4"/>
  <c r="W144" i="4"/>
  <c r="T145" i="4"/>
  <c r="U145" i="4"/>
  <c r="V145" i="4"/>
  <c r="W145" i="4"/>
  <c r="T146" i="4"/>
  <c r="U146" i="4"/>
  <c r="V146" i="4"/>
  <c r="W146" i="4"/>
  <c r="T147" i="4"/>
  <c r="U147" i="4"/>
  <c r="V147" i="4"/>
  <c r="W147" i="4"/>
  <c r="T148" i="4"/>
  <c r="U148" i="4"/>
  <c r="V148" i="4"/>
  <c r="W148" i="4"/>
  <c r="T149" i="4"/>
  <c r="U149" i="4"/>
  <c r="V149" i="4"/>
  <c r="W149" i="4"/>
  <c r="T150" i="4"/>
  <c r="U150" i="4"/>
  <c r="V150" i="4"/>
  <c r="W150" i="4"/>
  <c r="T151" i="4"/>
  <c r="U151" i="4"/>
  <c r="V151" i="4"/>
  <c r="W151" i="4"/>
  <c r="T152" i="4"/>
  <c r="U152" i="4"/>
  <c r="V152" i="4"/>
  <c r="W152" i="4"/>
  <c r="T153" i="4"/>
  <c r="U153" i="4"/>
  <c r="V153" i="4"/>
  <c r="W153" i="4"/>
  <c r="T154" i="4"/>
  <c r="U154" i="4"/>
  <c r="V154" i="4"/>
  <c r="W154" i="4"/>
  <c r="T155" i="4"/>
  <c r="U155" i="4"/>
  <c r="V155" i="4"/>
  <c r="W155" i="4"/>
  <c r="T156" i="4"/>
  <c r="U156" i="4"/>
  <c r="V156" i="4"/>
  <c r="W156" i="4"/>
  <c r="T157" i="4"/>
  <c r="U157" i="4"/>
  <c r="V157" i="4"/>
  <c r="W157" i="4"/>
  <c r="T158" i="4"/>
  <c r="U158" i="4"/>
  <c r="V158" i="4"/>
  <c r="W158" i="4"/>
  <c r="T159" i="4"/>
  <c r="U159" i="4"/>
  <c r="V159" i="4"/>
  <c r="W159" i="4"/>
  <c r="T160" i="4"/>
  <c r="U160" i="4"/>
  <c r="V160" i="4"/>
  <c r="W160" i="4"/>
  <c r="T161" i="4"/>
  <c r="U161" i="4"/>
  <c r="V161" i="4"/>
  <c r="W161" i="4"/>
  <c r="T162" i="4"/>
  <c r="U162" i="4"/>
  <c r="V162" i="4"/>
  <c r="W162" i="4"/>
  <c r="T163" i="4"/>
  <c r="U163" i="4"/>
  <c r="V163" i="4"/>
  <c r="W163" i="4"/>
  <c r="T164" i="4"/>
  <c r="U164" i="4"/>
  <c r="V164" i="4"/>
  <c r="W164" i="4"/>
  <c r="T165" i="4"/>
  <c r="U165" i="4"/>
  <c r="V165" i="4"/>
  <c r="W165" i="4"/>
  <c r="T166" i="4"/>
  <c r="U166" i="4"/>
  <c r="V166" i="4"/>
  <c r="W166" i="4"/>
  <c r="T167" i="4"/>
  <c r="U167" i="4"/>
  <c r="V167" i="4"/>
  <c r="W167" i="4"/>
  <c r="T168" i="4"/>
  <c r="U168" i="4"/>
  <c r="V168" i="4"/>
  <c r="W168" i="4"/>
  <c r="T169" i="4"/>
  <c r="U169" i="4"/>
  <c r="V169" i="4"/>
  <c r="W169" i="4"/>
  <c r="T170" i="4"/>
  <c r="U170" i="4"/>
  <c r="V170" i="4"/>
  <c r="W170" i="4"/>
  <c r="T171" i="4"/>
  <c r="U171" i="4"/>
  <c r="V171" i="4"/>
  <c r="W171" i="4"/>
  <c r="T172" i="4"/>
  <c r="U172" i="4"/>
  <c r="V172" i="4"/>
  <c r="W172" i="4"/>
  <c r="T173" i="4"/>
  <c r="U173" i="4"/>
  <c r="V173" i="4"/>
  <c r="W173" i="4"/>
  <c r="T174" i="4"/>
  <c r="U174" i="4"/>
  <c r="V174" i="4"/>
  <c r="W174" i="4"/>
  <c r="T175" i="4"/>
  <c r="U175" i="4"/>
  <c r="V175" i="4"/>
  <c r="W175" i="4"/>
  <c r="T176" i="4"/>
  <c r="U176" i="4"/>
  <c r="V176" i="4"/>
  <c r="W176" i="4"/>
  <c r="T177" i="4"/>
  <c r="U177" i="4"/>
  <c r="V177" i="4"/>
  <c r="W177" i="4"/>
  <c r="T178" i="4"/>
  <c r="U178" i="4"/>
  <c r="V178" i="4"/>
  <c r="W178" i="4"/>
  <c r="T179" i="4"/>
  <c r="U179" i="4"/>
  <c r="V179" i="4"/>
  <c r="W179" i="4"/>
  <c r="T180" i="4"/>
  <c r="U180" i="4"/>
  <c r="V180" i="4"/>
  <c r="W180" i="4"/>
  <c r="T181" i="4"/>
  <c r="U181" i="4"/>
  <c r="V181" i="4"/>
  <c r="W181" i="4"/>
  <c r="T182" i="4"/>
  <c r="U182" i="4"/>
  <c r="V182" i="4"/>
  <c r="W182" i="4"/>
  <c r="T183" i="4"/>
  <c r="U183" i="4"/>
  <c r="V183" i="4"/>
  <c r="W183" i="4"/>
  <c r="T184" i="4"/>
  <c r="U184" i="4"/>
  <c r="V184" i="4"/>
  <c r="W184" i="4"/>
  <c r="T185" i="4"/>
  <c r="U185" i="4"/>
  <c r="V185" i="4"/>
  <c r="W185" i="4"/>
  <c r="T186" i="4"/>
  <c r="U186" i="4"/>
  <c r="V186" i="4"/>
  <c r="W186" i="4"/>
  <c r="T187" i="4"/>
  <c r="U187" i="4"/>
  <c r="V187" i="4"/>
  <c r="W187" i="4"/>
  <c r="T188" i="4"/>
  <c r="U188" i="4"/>
  <c r="V188" i="4"/>
  <c r="W188" i="4"/>
  <c r="T189" i="4"/>
  <c r="U189" i="4"/>
  <c r="V189" i="4"/>
  <c r="W189" i="4"/>
  <c r="T190" i="4"/>
  <c r="U190" i="4"/>
  <c r="V190" i="4"/>
  <c r="W190" i="4"/>
  <c r="T191" i="4"/>
  <c r="U191" i="4"/>
  <c r="V191" i="4"/>
  <c r="W191" i="4"/>
  <c r="T192" i="4"/>
  <c r="U192" i="4"/>
  <c r="V192" i="4"/>
  <c r="W192" i="4"/>
  <c r="T193" i="4"/>
  <c r="U193" i="4"/>
  <c r="V193" i="4"/>
  <c r="W193" i="4"/>
  <c r="T194" i="4"/>
  <c r="U194" i="4"/>
  <c r="V194" i="4"/>
  <c r="W194" i="4"/>
  <c r="T195" i="4"/>
  <c r="U195" i="4"/>
  <c r="V195" i="4"/>
  <c r="W195" i="4"/>
  <c r="T196" i="4"/>
  <c r="U196" i="4"/>
  <c r="V196" i="4"/>
  <c r="W196" i="4"/>
  <c r="T197" i="4"/>
  <c r="U197" i="4"/>
  <c r="V197" i="4"/>
  <c r="W197" i="4"/>
  <c r="T198" i="4"/>
  <c r="U198" i="4"/>
  <c r="V198" i="4"/>
  <c r="W198" i="4"/>
  <c r="T199" i="4"/>
  <c r="U199" i="4"/>
  <c r="V199" i="4"/>
  <c r="W199" i="4"/>
  <c r="T200" i="4"/>
  <c r="U200" i="4"/>
  <c r="V200" i="4"/>
  <c r="W200" i="4"/>
  <c r="T201" i="4"/>
  <c r="U201" i="4"/>
  <c r="V201" i="4"/>
  <c r="W201" i="4"/>
  <c r="T202" i="4"/>
  <c r="U202" i="4"/>
  <c r="V202" i="4"/>
  <c r="W202" i="4"/>
  <c r="T203" i="4"/>
  <c r="U203" i="4"/>
  <c r="V203" i="4"/>
  <c r="W203" i="4"/>
  <c r="T204" i="4"/>
  <c r="U204" i="4"/>
  <c r="V204" i="4"/>
  <c r="W204" i="4"/>
  <c r="T205" i="4"/>
  <c r="U205" i="4"/>
  <c r="V205" i="4"/>
  <c r="W205" i="4"/>
  <c r="T206" i="4"/>
  <c r="U206" i="4"/>
  <c r="V206" i="4"/>
  <c r="W206" i="4"/>
  <c r="T207" i="4"/>
  <c r="U207" i="4"/>
  <c r="V207" i="4"/>
  <c r="W207" i="4"/>
  <c r="T208" i="4"/>
  <c r="U208" i="4"/>
  <c r="V208" i="4"/>
  <c r="W208" i="4"/>
  <c r="T209" i="4"/>
  <c r="U209" i="4"/>
  <c r="V209" i="4"/>
  <c r="W209" i="4"/>
  <c r="T210" i="4"/>
  <c r="U210" i="4"/>
  <c r="V210" i="4"/>
  <c r="W210" i="4"/>
  <c r="T211" i="4"/>
  <c r="U211" i="4"/>
  <c r="V211" i="4"/>
  <c r="W211" i="4"/>
  <c r="T212" i="4"/>
  <c r="U212" i="4"/>
  <c r="V212" i="4"/>
  <c r="W212" i="4"/>
  <c r="T213" i="4"/>
  <c r="U213" i="4"/>
  <c r="V213" i="4"/>
  <c r="W213" i="4"/>
  <c r="T214" i="4"/>
  <c r="U214" i="4"/>
  <c r="V214" i="4"/>
  <c r="W214" i="4"/>
  <c r="T215" i="4"/>
  <c r="U215" i="4"/>
  <c r="V215" i="4"/>
  <c r="W215" i="4"/>
  <c r="T216" i="4"/>
  <c r="U216" i="4"/>
  <c r="V216" i="4"/>
  <c r="W216" i="4"/>
  <c r="T217" i="4"/>
  <c r="U217" i="4"/>
  <c r="V217" i="4"/>
  <c r="W217" i="4"/>
  <c r="T218" i="4"/>
  <c r="U218" i="4"/>
  <c r="V218" i="4"/>
  <c r="W218" i="4"/>
  <c r="T219" i="4"/>
  <c r="U219" i="4"/>
  <c r="V219" i="4"/>
  <c r="W219" i="4"/>
  <c r="T220" i="4"/>
  <c r="U220" i="4"/>
  <c r="V220" i="4"/>
  <c r="W220" i="4"/>
  <c r="T221" i="4"/>
  <c r="U221" i="4"/>
  <c r="V221" i="4"/>
  <c r="W221" i="4"/>
  <c r="T222" i="4"/>
  <c r="U222" i="4"/>
  <c r="V222" i="4"/>
  <c r="W222" i="4"/>
  <c r="T223" i="4"/>
  <c r="U223" i="4"/>
  <c r="V223" i="4"/>
  <c r="W223" i="4"/>
  <c r="T224" i="4"/>
  <c r="U224" i="4"/>
  <c r="V224" i="4"/>
  <c r="W224" i="4"/>
  <c r="T225" i="4"/>
  <c r="U225" i="4"/>
  <c r="V225" i="4"/>
  <c r="W225" i="4"/>
  <c r="T226" i="4"/>
  <c r="U226" i="4"/>
  <c r="V226" i="4"/>
  <c r="W226" i="4"/>
  <c r="T227" i="4"/>
  <c r="U227" i="4"/>
  <c r="V227" i="4"/>
  <c r="W227" i="4"/>
  <c r="T228" i="4"/>
  <c r="U228" i="4"/>
  <c r="V228" i="4"/>
  <c r="W228" i="4"/>
  <c r="T229" i="4"/>
  <c r="U229" i="4"/>
  <c r="V229" i="4"/>
  <c r="W229" i="4"/>
  <c r="T230" i="4"/>
  <c r="U230" i="4"/>
  <c r="V230" i="4"/>
  <c r="W230" i="4"/>
  <c r="T231" i="4"/>
  <c r="U231" i="4"/>
  <c r="V231" i="4"/>
  <c r="W231" i="4"/>
  <c r="T232" i="4"/>
  <c r="U232" i="4"/>
  <c r="V232" i="4"/>
  <c r="W232" i="4"/>
  <c r="T233" i="4"/>
  <c r="U233" i="4"/>
  <c r="V233" i="4"/>
  <c r="W233" i="4"/>
  <c r="T234" i="4"/>
  <c r="U234" i="4"/>
  <c r="V234" i="4"/>
  <c r="W234" i="4"/>
  <c r="T235" i="4"/>
  <c r="U235" i="4"/>
  <c r="V235" i="4"/>
  <c r="W235" i="4"/>
  <c r="T236" i="4"/>
  <c r="U236" i="4"/>
  <c r="V236" i="4"/>
  <c r="W236" i="4"/>
  <c r="T237" i="4"/>
  <c r="U237" i="4"/>
  <c r="V237" i="4"/>
  <c r="W237" i="4"/>
  <c r="T238" i="4"/>
  <c r="U238" i="4"/>
  <c r="V238" i="4"/>
  <c r="W238" i="4"/>
  <c r="T239" i="4"/>
  <c r="U239" i="4"/>
  <c r="V239" i="4"/>
  <c r="W239" i="4"/>
  <c r="T240" i="4"/>
  <c r="U240" i="4"/>
  <c r="V240" i="4"/>
  <c r="W240" i="4"/>
  <c r="T241" i="4"/>
  <c r="U241" i="4"/>
  <c r="V241" i="4"/>
  <c r="W241" i="4"/>
  <c r="T242" i="4"/>
  <c r="U242" i="4"/>
  <c r="V242" i="4"/>
  <c r="W242" i="4"/>
  <c r="T243" i="4"/>
  <c r="U243" i="4"/>
  <c r="V243" i="4"/>
  <c r="W243" i="4"/>
  <c r="T244" i="4"/>
  <c r="U244" i="4"/>
  <c r="V244" i="4"/>
  <c r="W244" i="4"/>
  <c r="T245" i="4"/>
  <c r="U245" i="4"/>
  <c r="V245" i="4"/>
  <c r="W245" i="4"/>
  <c r="T246" i="4"/>
  <c r="U246" i="4"/>
  <c r="V246" i="4"/>
  <c r="W246" i="4"/>
  <c r="T247" i="4"/>
  <c r="U247" i="4"/>
  <c r="V247" i="4"/>
  <c r="W247" i="4"/>
  <c r="T248" i="4"/>
  <c r="U248" i="4"/>
  <c r="V248" i="4"/>
  <c r="W248" i="4"/>
  <c r="T249" i="4"/>
  <c r="U249" i="4"/>
  <c r="V249" i="4"/>
  <c r="W249" i="4"/>
  <c r="T250" i="4"/>
  <c r="U250" i="4"/>
  <c r="V250" i="4"/>
  <c r="W250" i="4"/>
  <c r="T251" i="4"/>
  <c r="U251" i="4"/>
  <c r="V251" i="4"/>
  <c r="W251" i="4"/>
  <c r="T252" i="4"/>
  <c r="U252" i="4"/>
  <c r="V252" i="4"/>
  <c r="W252" i="4"/>
  <c r="T253" i="4"/>
  <c r="U253" i="4"/>
  <c r="V253" i="4"/>
  <c r="W253" i="4"/>
  <c r="T254" i="4"/>
  <c r="U254" i="4"/>
  <c r="V254" i="4"/>
  <c r="W254" i="4"/>
  <c r="T255" i="4"/>
  <c r="U255" i="4"/>
  <c r="V255" i="4"/>
  <c r="W255" i="4"/>
  <c r="T256" i="4"/>
  <c r="U256" i="4"/>
  <c r="V256" i="4"/>
  <c r="W256" i="4"/>
  <c r="T257" i="4"/>
  <c r="U257" i="4"/>
  <c r="V257" i="4"/>
  <c r="W257" i="4"/>
  <c r="T258" i="4"/>
  <c r="U258" i="4"/>
  <c r="V258" i="4"/>
  <c r="W258" i="4"/>
  <c r="T259" i="4"/>
  <c r="U259" i="4"/>
  <c r="V259" i="4"/>
  <c r="W259" i="4"/>
  <c r="T260" i="4"/>
  <c r="U260" i="4"/>
  <c r="V260" i="4"/>
  <c r="W260" i="4"/>
  <c r="T261" i="4"/>
  <c r="U261" i="4"/>
  <c r="V261" i="4"/>
  <c r="W261" i="4"/>
  <c r="T262" i="4"/>
  <c r="U262" i="4"/>
  <c r="V262" i="4"/>
  <c r="W262" i="4"/>
  <c r="T263" i="4"/>
  <c r="U263" i="4"/>
  <c r="V263" i="4"/>
  <c r="W263" i="4"/>
  <c r="T264" i="4"/>
  <c r="U264" i="4"/>
  <c r="V264" i="4"/>
  <c r="W264" i="4"/>
  <c r="T265" i="4"/>
  <c r="U265" i="4"/>
  <c r="V265" i="4"/>
  <c r="W265" i="4"/>
  <c r="T266" i="4"/>
  <c r="U266" i="4"/>
  <c r="V266" i="4"/>
  <c r="W266" i="4"/>
  <c r="T267" i="4"/>
  <c r="U267" i="4"/>
  <c r="V267" i="4"/>
  <c r="W267" i="4"/>
  <c r="T268" i="4"/>
  <c r="U268" i="4"/>
  <c r="V268" i="4"/>
  <c r="W268" i="4"/>
  <c r="T269" i="4"/>
  <c r="U269" i="4"/>
  <c r="V269" i="4"/>
  <c r="W269" i="4"/>
  <c r="T270" i="4"/>
  <c r="U270" i="4"/>
  <c r="V270" i="4"/>
  <c r="W270" i="4"/>
  <c r="T271" i="4"/>
  <c r="U271" i="4"/>
  <c r="V271" i="4"/>
  <c r="W271" i="4"/>
  <c r="T272" i="4"/>
  <c r="U272" i="4"/>
  <c r="V272" i="4"/>
  <c r="W272" i="4"/>
  <c r="T273" i="4"/>
  <c r="U273" i="4"/>
  <c r="V273" i="4"/>
  <c r="W273" i="4"/>
  <c r="T274" i="4"/>
  <c r="U274" i="4"/>
  <c r="V274" i="4"/>
  <c r="W274" i="4"/>
  <c r="T275" i="4"/>
  <c r="U275" i="4"/>
  <c r="V275" i="4"/>
  <c r="W275" i="4"/>
  <c r="T276" i="4"/>
  <c r="U276" i="4"/>
  <c r="V276" i="4"/>
  <c r="W276" i="4"/>
  <c r="T277" i="4"/>
  <c r="U277" i="4"/>
  <c r="V277" i="4"/>
  <c r="W277" i="4"/>
  <c r="T278" i="4"/>
  <c r="U278" i="4"/>
  <c r="V278" i="4"/>
  <c r="W278" i="4"/>
  <c r="T279" i="4"/>
  <c r="U279" i="4"/>
  <c r="V279" i="4"/>
  <c r="W279" i="4"/>
  <c r="T280" i="4"/>
  <c r="U280" i="4"/>
  <c r="V280" i="4"/>
  <c r="W280" i="4"/>
  <c r="T281" i="4"/>
  <c r="U281" i="4"/>
  <c r="V281" i="4"/>
  <c r="W281" i="4"/>
  <c r="T282" i="4"/>
  <c r="U282" i="4"/>
  <c r="V282" i="4"/>
  <c r="W282" i="4"/>
  <c r="T283" i="4"/>
  <c r="U283" i="4"/>
  <c r="V283" i="4"/>
  <c r="W283" i="4"/>
  <c r="T284" i="4"/>
  <c r="U284" i="4"/>
  <c r="V284" i="4"/>
  <c r="W284" i="4"/>
  <c r="T285" i="4"/>
  <c r="U285" i="4"/>
  <c r="V285" i="4"/>
  <c r="W285" i="4"/>
  <c r="T286" i="4"/>
  <c r="U286" i="4"/>
  <c r="V286" i="4"/>
  <c r="W286" i="4"/>
  <c r="T287" i="4"/>
  <c r="U287" i="4"/>
  <c r="V287" i="4"/>
  <c r="W287" i="4"/>
  <c r="T288" i="4"/>
  <c r="U288" i="4"/>
  <c r="V288" i="4"/>
  <c r="W288" i="4"/>
  <c r="T289" i="4"/>
  <c r="U289" i="4"/>
  <c r="V289" i="4"/>
  <c r="W289" i="4"/>
  <c r="T290" i="4"/>
  <c r="U290" i="4"/>
  <c r="V290" i="4"/>
  <c r="W290" i="4"/>
  <c r="T291" i="4"/>
  <c r="U291" i="4"/>
  <c r="V291" i="4"/>
  <c r="W291" i="4"/>
  <c r="T292" i="4"/>
  <c r="U292" i="4"/>
  <c r="V292" i="4"/>
  <c r="W292" i="4"/>
  <c r="T293" i="4"/>
  <c r="U293" i="4"/>
  <c r="V293" i="4"/>
  <c r="W293" i="4"/>
  <c r="T294" i="4"/>
  <c r="U294" i="4"/>
  <c r="V294" i="4"/>
  <c r="W294" i="4"/>
  <c r="T295" i="4"/>
  <c r="U295" i="4"/>
  <c r="V295" i="4"/>
  <c r="W295" i="4"/>
  <c r="T296" i="4"/>
  <c r="U296" i="4"/>
  <c r="V296" i="4"/>
  <c r="W296" i="4"/>
  <c r="T297" i="4"/>
  <c r="U297" i="4"/>
  <c r="V297" i="4"/>
  <c r="W297" i="4"/>
  <c r="T298" i="4"/>
  <c r="U298" i="4"/>
  <c r="V298" i="4"/>
  <c r="W298" i="4"/>
  <c r="T299" i="4"/>
  <c r="U299" i="4"/>
  <c r="V299" i="4"/>
  <c r="W299" i="4"/>
  <c r="T300" i="4"/>
  <c r="U300" i="4"/>
  <c r="V300" i="4"/>
  <c r="W300" i="4"/>
  <c r="T301" i="4"/>
  <c r="U301" i="4"/>
  <c r="V301" i="4"/>
  <c r="W301" i="4"/>
  <c r="T302" i="4"/>
  <c r="U302" i="4"/>
  <c r="V302" i="4"/>
  <c r="W302" i="4"/>
  <c r="T303" i="4"/>
  <c r="U303" i="4"/>
  <c r="V303" i="4"/>
  <c r="W303" i="4"/>
  <c r="AC6" i="4" s="1"/>
  <c r="T304" i="4"/>
  <c r="U304" i="4"/>
  <c r="V304" i="4"/>
  <c r="W304" i="4"/>
  <c r="T305" i="4"/>
  <c r="U305" i="4"/>
  <c r="V305" i="4"/>
  <c r="W305" i="4"/>
  <c r="T306" i="4"/>
  <c r="U306" i="4"/>
  <c r="V306" i="4"/>
  <c r="W306" i="4"/>
  <c r="T307" i="4"/>
  <c r="U307" i="4"/>
  <c r="V307" i="4"/>
  <c r="W307" i="4"/>
  <c r="T308" i="4"/>
  <c r="U308" i="4"/>
  <c r="V308" i="4"/>
  <c r="W308" i="4"/>
  <c r="T309" i="4"/>
  <c r="U309" i="4"/>
  <c r="V309" i="4"/>
  <c r="W309" i="4"/>
  <c r="T310" i="4"/>
  <c r="U310" i="4"/>
  <c r="V310" i="4"/>
  <c r="W310" i="4"/>
  <c r="T311" i="4"/>
  <c r="U311" i="4"/>
  <c r="V311" i="4"/>
  <c r="W311" i="4"/>
  <c r="T312" i="4"/>
  <c r="U312" i="4"/>
  <c r="V312" i="4"/>
  <c r="W312" i="4"/>
  <c r="T313" i="4"/>
  <c r="U313" i="4"/>
  <c r="V313" i="4"/>
  <c r="W313" i="4"/>
  <c r="T314" i="4"/>
  <c r="U314" i="4"/>
  <c r="V314" i="4"/>
  <c r="W314" i="4"/>
  <c r="T315" i="4"/>
  <c r="U315" i="4"/>
  <c r="V315" i="4"/>
  <c r="W315" i="4"/>
  <c r="T316" i="4"/>
  <c r="U316" i="4"/>
  <c r="V316" i="4"/>
  <c r="W316" i="4"/>
  <c r="T317" i="4"/>
  <c r="U317" i="4"/>
  <c r="V317" i="4"/>
  <c r="W317" i="4"/>
  <c r="T318" i="4"/>
  <c r="U318" i="4"/>
  <c r="V318" i="4"/>
  <c r="W318" i="4"/>
  <c r="T319" i="4"/>
  <c r="U319" i="4"/>
  <c r="V319" i="4"/>
  <c r="W319" i="4"/>
  <c r="T320" i="4"/>
  <c r="U320" i="4"/>
  <c r="V320" i="4"/>
  <c r="W320" i="4"/>
  <c r="T321" i="4"/>
  <c r="U321" i="4"/>
  <c r="V321" i="4"/>
  <c r="W321" i="4"/>
  <c r="T322" i="4"/>
  <c r="U322" i="4"/>
  <c r="V322" i="4"/>
  <c r="W322" i="4"/>
  <c r="T323" i="4"/>
  <c r="U323" i="4"/>
  <c r="V323" i="4"/>
  <c r="W323" i="4"/>
  <c r="T324" i="4"/>
  <c r="U324" i="4"/>
  <c r="V324" i="4"/>
  <c r="W324" i="4"/>
  <c r="T325" i="4"/>
  <c r="U325" i="4"/>
  <c r="V325" i="4"/>
  <c r="W325" i="4"/>
  <c r="T326" i="4"/>
  <c r="U326" i="4"/>
  <c r="V326" i="4"/>
  <c r="W326" i="4"/>
  <c r="T327" i="4"/>
  <c r="U327" i="4"/>
  <c r="V327" i="4"/>
  <c r="W327" i="4"/>
  <c r="T328" i="4"/>
  <c r="U328" i="4"/>
  <c r="V328" i="4"/>
  <c r="W328" i="4"/>
  <c r="T329" i="4"/>
  <c r="U329" i="4"/>
  <c r="V329" i="4"/>
  <c r="W329" i="4"/>
  <c r="T330" i="4"/>
  <c r="U330" i="4"/>
  <c r="V330" i="4"/>
  <c r="W330" i="4"/>
  <c r="T331" i="4"/>
  <c r="U331" i="4"/>
  <c r="V331" i="4"/>
  <c r="W331" i="4"/>
  <c r="T332" i="4"/>
  <c r="U332" i="4"/>
  <c r="V332" i="4"/>
  <c r="W332" i="4"/>
  <c r="T333" i="4"/>
  <c r="U333" i="4"/>
  <c r="V333" i="4"/>
  <c r="W333" i="4"/>
  <c r="T334" i="4"/>
  <c r="U334" i="4"/>
  <c r="V334" i="4"/>
  <c r="W334" i="4"/>
  <c r="T335" i="4"/>
  <c r="U335" i="4"/>
  <c r="V335" i="4"/>
  <c r="W335" i="4"/>
  <c r="T336" i="4"/>
  <c r="U336" i="4"/>
  <c r="V336" i="4"/>
  <c r="W336" i="4"/>
  <c r="T337" i="4"/>
  <c r="U337" i="4"/>
  <c r="V337" i="4"/>
  <c r="W337" i="4"/>
  <c r="T338" i="4"/>
  <c r="U338" i="4"/>
  <c r="V338" i="4"/>
  <c r="W338" i="4"/>
  <c r="T339" i="4"/>
  <c r="U339" i="4"/>
  <c r="V339" i="4"/>
  <c r="W339" i="4"/>
  <c r="T340" i="4"/>
  <c r="U340" i="4"/>
  <c r="V340" i="4"/>
  <c r="W340" i="4"/>
  <c r="T341" i="4"/>
  <c r="U341" i="4"/>
  <c r="V341" i="4"/>
  <c r="W341" i="4"/>
  <c r="T342" i="4"/>
  <c r="U342" i="4"/>
  <c r="V342" i="4"/>
  <c r="W342" i="4"/>
  <c r="T343" i="4"/>
  <c r="U343" i="4"/>
  <c r="V343" i="4"/>
  <c r="W343" i="4"/>
  <c r="T344" i="4"/>
  <c r="U344" i="4"/>
  <c r="V344" i="4"/>
  <c r="W344" i="4"/>
  <c r="T345" i="4"/>
  <c r="U345" i="4"/>
  <c r="V345" i="4"/>
  <c r="W345" i="4"/>
  <c r="T346" i="4"/>
  <c r="U346" i="4"/>
  <c r="V346" i="4"/>
  <c r="W346" i="4"/>
  <c r="T347" i="4"/>
  <c r="U347" i="4"/>
  <c r="V347" i="4"/>
  <c r="W347" i="4"/>
  <c r="T348" i="4"/>
  <c r="U348" i="4"/>
  <c r="V348" i="4"/>
  <c r="W348" i="4"/>
  <c r="T349" i="4"/>
  <c r="U349" i="4"/>
  <c r="V349" i="4"/>
  <c r="W349" i="4"/>
  <c r="T350" i="4"/>
  <c r="U350" i="4"/>
  <c r="V350" i="4"/>
  <c r="W350" i="4"/>
  <c r="T351" i="4"/>
  <c r="U351" i="4"/>
  <c r="V351" i="4"/>
  <c r="W351" i="4"/>
  <c r="T352" i="4"/>
  <c r="U352" i="4"/>
  <c r="V352" i="4"/>
  <c r="W352" i="4"/>
  <c r="T353" i="4"/>
  <c r="U353" i="4"/>
  <c r="V353" i="4"/>
  <c r="W353" i="4"/>
  <c r="T354" i="4"/>
  <c r="U354" i="4"/>
  <c r="V354" i="4"/>
  <c r="W354" i="4"/>
  <c r="T355" i="4"/>
  <c r="U355" i="4"/>
  <c r="V355" i="4"/>
  <c r="W355" i="4"/>
  <c r="T356" i="4"/>
  <c r="U356" i="4"/>
  <c r="V356" i="4"/>
  <c r="W356" i="4"/>
  <c r="T357" i="4"/>
  <c r="U357" i="4"/>
  <c r="V357" i="4"/>
  <c r="W357" i="4"/>
  <c r="T358" i="4"/>
  <c r="U358" i="4"/>
  <c r="V358" i="4"/>
  <c r="W358" i="4"/>
  <c r="T359" i="4"/>
  <c r="U359" i="4"/>
  <c r="V359" i="4"/>
  <c r="W359" i="4"/>
  <c r="T360" i="4"/>
  <c r="U360" i="4"/>
  <c r="V360" i="4"/>
  <c r="W360" i="4"/>
  <c r="T361" i="4"/>
  <c r="U361" i="4"/>
  <c r="V361" i="4"/>
  <c r="W361" i="4"/>
  <c r="T362" i="4"/>
  <c r="U362" i="4"/>
  <c r="V362" i="4"/>
  <c r="W362" i="4"/>
  <c r="T363" i="4"/>
  <c r="U363" i="4"/>
  <c r="V363" i="4"/>
  <c r="W363" i="4"/>
  <c r="T364" i="4"/>
  <c r="U364" i="4"/>
  <c r="V364" i="4"/>
  <c r="W364" i="4"/>
  <c r="T365" i="4"/>
  <c r="U365" i="4"/>
  <c r="V365" i="4"/>
  <c r="W365" i="4"/>
  <c r="T366" i="4"/>
  <c r="U366" i="4"/>
  <c r="V366" i="4"/>
  <c r="W366" i="4"/>
  <c r="T367" i="4"/>
  <c r="U367" i="4"/>
  <c r="V367" i="4"/>
  <c r="W367" i="4"/>
  <c r="T368" i="4"/>
  <c r="U368" i="4"/>
  <c r="V368" i="4"/>
  <c r="W368" i="4"/>
  <c r="T369" i="4"/>
  <c r="U369" i="4"/>
  <c r="V369" i="4"/>
  <c r="W369" i="4"/>
  <c r="T370" i="4"/>
  <c r="U370" i="4"/>
  <c r="V370" i="4"/>
  <c r="W370" i="4"/>
  <c r="T371" i="4"/>
  <c r="U371" i="4"/>
  <c r="V371" i="4"/>
  <c r="W371" i="4"/>
  <c r="T372" i="4"/>
  <c r="U372" i="4"/>
  <c r="V372" i="4"/>
  <c r="W372" i="4"/>
  <c r="T373" i="4"/>
  <c r="U373" i="4"/>
  <c r="V373" i="4"/>
  <c r="W373" i="4"/>
  <c r="T374" i="4"/>
  <c r="U374" i="4"/>
  <c r="V374" i="4"/>
  <c r="W374" i="4"/>
  <c r="T375" i="4"/>
  <c r="U375" i="4"/>
  <c r="V375" i="4"/>
  <c r="W375" i="4"/>
  <c r="T376" i="4"/>
  <c r="U376" i="4"/>
  <c r="V376" i="4"/>
  <c r="W376" i="4"/>
  <c r="T377" i="4"/>
  <c r="U377" i="4"/>
  <c r="V377" i="4"/>
  <c r="W377" i="4"/>
  <c r="T378" i="4"/>
  <c r="U378" i="4"/>
  <c r="V378" i="4"/>
  <c r="W378" i="4"/>
  <c r="T379" i="4"/>
  <c r="U379" i="4"/>
  <c r="V379" i="4"/>
  <c r="W379" i="4"/>
  <c r="T380" i="4"/>
  <c r="U380" i="4"/>
  <c r="V380" i="4"/>
  <c r="W380" i="4"/>
  <c r="T381" i="4"/>
  <c r="U381" i="4"/>
  <c r="V381" i="4"/>
  <c r="W381" i="4"/>
  <c r="T382" i="4"/>
  <c r="U382" i="4"/>
  <c r="V382" i="4"/>
  <c r="W382" i="4"/>
  <c r="T383" i="4"/>
  <c r="U383" i="4"/>
  <c r="V383" i="4"/>
  <c r="W383" i="4"/>
  <c r="T384" i="4"/>
  <c r="U384" i="4"/>
  <c r="V384" i="4"/>
  <c r="W384" i="4"/>
  <c r="T385" i="4"/>
  <c r="U385" i="4"/>
  <c r="V385" i="4"/>
  <c r="W385" i="4"/>
  <c r="T386" i="4"/>
  <c r="U386" i="4"/>
  <c r="V386" i="4"/>
  <c r="W386" i="4"/>
  <c r="T387" i="4"/>
  <c r="U387" i="4"/>
  <c r="V387" i="4"/>
  <c r="W387" i="4"/>
  <c r="T388" i="4"/>
  <c r="U388" i="4"/>
  <c r="V388" i="4"/>
  <c r="W388" i="4"/>
  <c r="T389" i="4"/>
  <c r="U389" i="4"/>
  <c r="V389" i="4"/>
  <c r="W389" i="4"/>
  <c r="T390" i="4"/>
  <c r="U390" i="4"/>
  <c r="V390" i="4"/>
  <c r="W390" i="4"/>
  <c r="T391" i="4"/>
  <c r="U391" i="4"/>
  <c r="V391" i="4"/>
  <c r="W391" i="4"/>
  <c r="T392" i="4"/>
  <c r="U392" i="4"/>
  <c r="V392" i="4"/>
  <c r="W392" i="4"/>
  <c r="T393" i="4"/>
  <c r="U393" i="4"/>
  <c r="V393" i="4"/>
  <c r="W393" i="4"/>
  <c r="T394" i="4"/>
  <c r="U394" i="4"/>
  <c r="V394" i="4"/>
  <c r="W394" i="4"/>
  <c r="T395" i="4"/>
  <c r="U395" i="4"/>
  <c r="V395" i="4"/>
  <c r="W395" i="4"/>
  <c r="T396" i="4"/>
  <c r="U396" i="4"/>
  <c r="V396" i="4"/>
  <c r="W396" i="4"/>
  <c r="T397" i="4"/>
  <c r="U397" i="4"/>
  <c r="V397" i="4"/>
  <c r="W397" i="4"/>
  <c r="T398" i="4"/>
  <c r="U398" i="4"/>
  <c r="V398" i="4"/>
  <c r="W398" i="4"/>
  <c r="T399" i="4"/>
  <c r="U399" i="4"/>
  <c r="V399" i="4"/>
  <c r="W399" i="4"/>
  <c r="T400" i="4"/>
  <c r="U400" i="4"/>
  <c r="V400" i="4"/>
  <c r="W400" i="4"/>
  <c r="T401" i="4"/>
  <c r="U401" i="4"/>
  <c r="V401" i="4"/>
  <c r="W401" i="4"/>
  <c r="T402" i="4"/>
  <c r="U402" i="4"/>
  <c r="V402" i="4"/>
  <c r="W402" i="4"/>
  <c r="T403" i="4"/>
  <c r="U403" i="4"/>
  <c r="V403" i="4"/>
  <c r="W403" i="4"/>
  <c r="T404" i="4"/>
  <c r="U404" i="4"/>
  <c r="V404" i="4"/>
  <c r="W404" i="4"/>
  <c r="T405" i="4"/>
  <c r="U405" i="4"/>
  <c r="V405" i="4"/>
  <c r="W405" i="4"/>
  <c r="T406" i="4"/>
  <c r="U406" i="4"/>
  <c r="V406" i="4"/>
  <c r="W406" i="4"/>
  <c r="T407" i="4"/>
  <c r="U407" i="4"/>
  <c r="V407" i="4"/>
  <c r="W407" i="4"/>
  <c r="T408" i="4"/>
  <c r="U408" i="4"/>
  <c r="V408" i="4"/>
  <c r="W408" i="4"/>
  <c r="T409" i="4"/>
  <c r="U409" i="4"/>
  <c r="V409" i="4"/>
  <c r="W409" i="4"/>
  <c r="T410" i="4"/>
  <c r="U410" i="4"/>
  <c r="V410" i="4"/>
  <c r="W410" i="4"/>
  <c r="T411" i="4"/>
  <c r="U411" i="4"/>
  <c r="V411" i="4"/>
  <c r="W411" i="4"/>
  <c r="T412" i="4"/>
  <c r="U412" i="4"/>
  <c r="V412" i="4"/>
  <c r="W412" i="4"/>
  <c r="T413" i="4"/>
  <c r="U413" i="4"/>
  <c r="V413" i="4"/>
  <c r="W413" i="4"/>
  <c r="T414" i="4"/>
  <c r="U414" i="4"/>
  <c r="V414" i="4"/>
  <c r="W414" i="4"/>
  <c r="T415" i="4"/>
  <c r="U415" i="4"/>
  <c r="V415" i="4"/>
  <c r="W415" i="4"/>
  <c r="T416" i="4"/>
  <c r="U416" i="4"/>
  <c r="V416" i="4"/>
  <c r="W416" i="4"/>
  <c r="T417" i="4"/>
  <c r="U417" i="4"/>
  <c r="V417" i="4"/>
  <c r="W417" i="4"/>
  <c r="T418" i="4"/>
  <c r="U418" i="4"/>
  <c r="V418" i="4"/>
  <c r="W418" i="4"/>
  <c r="T419" i="4"/>
  <c r="U419" i="4"/>
  <c r="V419" i="4"/>
  <c r="W419" i="4"/>
  <c r="T420" i="4"/>
  <c r="U420" i="4"/>
  <c r="V420" i="4"/>
  <c r="W420" i="4"/>
  <c r="T421" i="4"/>
  <c r="U421" i="4"/>
  <c r="V421" i="4"/>
  <c r="W421" i="4"/>
  <c r="T422" i="4"/>
  <c r="U422" i="4"/>
  <c r="V422" i="4"/>
  <c r="W422" i="4"/>
  <c r="T423" i="4"/>
  <c r="U423" i="4"/>
  <c r="V423" i="4"/>
  <c r="W423" i="4"/>
  <c r="T424" i="4"/>
  <c r="U424" i="4"/>
  <c r="V424" i="4"/>
  <c r="W424" i="4"/>
  <c r="T425" i="4"/>
  <c r="U425" i="4"/>
  <c r="V425" i="4"/>
  <c r="W425" i="4"/>
  <c r="T426" i="4"/>
  <c r="U426" i="4"/>
  <c r="V426" i="4"/>
  <c r="W426" i="4"/>
  <c r="T427" i="4"/>
  <c r="U427" i="4"/>
  <c r="V427" i="4"/>
  <c r="W427" i="4"/>
  <c r="T428" i="4"/>
  <c r="U428" i="4"/>
  <c r="V428" i="4"/>
  <c r="W428" i="4"/>
  <c r="T429" i="4"/>
  <c r="U429" i="4"/>
  <c r="V429" i="4"/>
  <c r="W429" i="4"/>
  <c r="T430" i="4"/>
  <c r="U430" i="4"/>
  <c r="V430" i="4"/>
  <c r="W430" i="4"/>
  <c r="T431" i="4"/>
  <c r="U431" i="4"/>
  <c r="V431" i="4"/>
  <c r="W431" i="4"/>
  <c r="T432" i="4"/>
  <c r="U432" i="4"/>
  <c r="V432" i="4"/>
  <c r="W432" i="4"/>
  <c r="T433" i="4"/>
  <c r="U433" i="4"/>
  <c r="V433" i="4"/>
  <c r="W433" i="4"/>
  <c r="T434" i="4"/>
  <c r="U434" i="4"/>
  <c r="V434" i="4"/>
  <c r="W434" i="4"/>
  <c r="T435" i="4"/>
  <c r="U435" i="4"/>
  <c r="V435" i="4"/>
  <c r="W435" i="4"/>
  <c r="T436" i="4"/>
  <c r="U436" i="4"/>
  <c r="V436" i="4"/>
  <c r="W436" i="4"/>
  <c r="T437" i="4"/>
  <c r="U437" i="4"/>
  <c r="V437" i="4"/>
  <c r="W437" i="4"/>
  <c r="T438" i="4"/>
  <c r="U438" i="4"/>
  <c r="V438" i="4"/>
  <c r="W438" i="4"/>
  <c r="T439" i="4"/>
  <c r="U439" i="4"/>
  <c r="V439" i="4"/>
  <c r="W439" i="4"/>
  <c r="T440" i="4"/>
  <c r="U440" i="4"/>
  <c r="V440" i="4"/>
  <c r="W440" i="4"/>
  <c r="T441" i="4"/>
  <c r="U441" i="4"/>
  <c r="V441" i="4"/>
  <c r="W441" i="4"/>
  <c r="T442" i="4"/>
  <c r="U442" i="4"/>
  <c r="V442" i="4"/>
  <c r="W442" i="4"/>
  <c r="T443" i="4"/>
  <c r="U443" i="4"/>
  <c r="V443" i="4"/>
  <c r="W443" i="4"/>
  <c r="T444" i="4"/>
  <c r="U444" i="4"/>
  <c r="V444" i="4"/>
  <c r="W444" i="4"/>
  <c r="T445" i="4"/>
  <c r="U445" i="4"/>
  <c r="V445" i="4"/>
  <c r="W445" i="4"/>
  <c r="T446" i="4"/>
  <c r="U446" i="4"/>
  <c r="V446" i="4"/>
  <c r="W446" i="4"/>
  <c r="T447" i="4"/>
  <c r="U447" i="4"/>
  <c r="V447" i="4"/>
  <c r="W447" i="4"/>
  <c r="T448" i="4"/>
  <c r="U448" i="4"/>
  <c r="V448" i="4"/>
  <c r="W448" i="4"/>
  <c r="T449" i="4"/>
  <c r="U449" i="4"/>
  <c r="V449" i="4"/>
  <c r="W449" i="4"/>
  <c r="T450" i="4"/>
  <c r="U450" i="4"/>
  <c r="V450" i="4"/>
  <c r="W450" i="4"/>
  <c r="T451" i="4"/>
  <c r="U451" i="4"/>
  <c r="V451" i="4"/>
  <c r="W451" i="4"/>
  <c r="T452" i="4"/>
  <c r="U452" i="4"/>
  <c r="V452" i="4"/>
  <c r="W452" i="4"/>
  <c r="T453" i="4"/>
  <c r="U453" i="4"/>
  <c r="V453" i="4"/>
  <c r="W453" i="4"/>
  <c r="T454" i="4"/>
  <c r="U454" i="4"/>
  <c r="V454" i="4"/>
  <c r="W454" i="4"/>
  <c r="T455" i="4"/>
  <c r="U455" i="4"/>
  <c r="V455" i="4"/>
  <c r="W455" i="4"/>
  <c r="T456" i="4"/>
  <c r="U456" i="4"/>
  <c r="V456" i="4"/>
  <c r="W456" i="4"/>
  <c r="T457" i="4"/>
  <c r="U457" i="4"/>
  <c r="V457" i="4"/>
  <c r="W457" i="4"/>
  <c r="T458" i="4"/>
  <c r="U458" i="4"/>
  <c r="V458" i="4"/>
  <c r="W458" i="4"/>
  <c r="T459" i="4"/>
  <c r="U459" i="4"/>
  <c r="V459" i="4"/>
  <c r="W459" i="4"/>
  <c r="T460" i="4"/>
  <c r="U460" i="4"/>
  <c r="V460" i="4"/>
  <c r="W460" i="4"/>
  <c r="T461" i="4"/>
  <c r="U461" i="4"/>
  <c r="V461" i="4"/>
  <c r="W461" i="4"/>
  <c r="T462" i="4"/>
  <c r="U462" i="4"/>
  <c r="V462" i="4"/>
  <c r="W462" i="4"/>
  <c r="T463" i="4"/>
  <c r="U463" i="4"/>
  <c r="V463" i="4"/>
  <c r="W463" i="4"/>
  <c r="T464" i="4"/>
  <c r="U464" i="4"/>
  <c r="V464" i="4"/>
  <c r="W464" i="4"/>
  <c r="T465" i="4"/>
  <c r="U465" i="4"/>
  <c r="V465" i="4"/>
  <c r="W465" i="4"/>
  <c r="T466" i="4"/>
  <c r="U466" i="4"/>
  <c r="V466" i="4"/>
  <c r="W466" i="4"/>
  <c r="T467" i="4"/>
  <c r="U467" i="4"/>
  <c r="V467" i="4"/>
  <c r="W467" i="4"/>
  <c r="T468" i="4"/>
  <c r="U468" i="4"/>
  <c r="V468" i="4"/>
  <c r="W468" i="4"/>
  <c r="T469" i="4"/>
  <c r="U469" i="4"/>
  <c r="V469" i="4"/>
  <c r="W469" i="4"/>
  <c r="T470" i="4"/>
  <c r="U470" i="4"/>
  <c r="V470" i="4"/>
  <c r="W470" i="4"/>
  <c r="T471" i="4"/>
  <c r="U471" i="4"/>
  <c r="V471" i="4"/>
  <c r="W471" i="4"/>
  <c r="T472" i="4"/>
  <c r="U472" i="4"/>
  <c r="V472" i="4"/>
  <c r="W472" i="4"/>
  <c r="T473" i="4"/>
  <c r="U473" i="4"/>
  <c r="V473" i="4"/>
  <c r="W473" i="4"/>
  <c r="T474" i="4"/>
  <c r="U474" i="4"/>
  <c r="V474" i="4"/>
  <c r="W474" i="4"/>
  <c r="T475" i="4"/>
  <c r="U475" i="4"/>
  <c r="V475" i="4"/>
  <c r="W475" i="4"/>
  <c r="T476" i="4"/>
  <c r="U476" i="4"/>
  <c r="V476" i="4"/>
  <c r="W476" i="4"/>
  <c r="T477" i="4"/>
  <c r="U477" i="4"/>
  <c r="V477" i="4"/>
  <c r="W477" i="4"/>
  <c r="T478" i="4"/>
  <c r="U478" i="4"/>
  <c r="V478" i="4"/>
  <c r="W478" i="4"/>
  <c r="T479" i="4"/>
  <c r="U479" i="4"/>
  <c r="V479" i="4"/>
  <c r="W479" i="4"/>
  <c r="T480" i="4"/>
  <c r="U480" i="4"/>
  <c r="V480" i="4"/>
  <c r="W480" i="4"/>
  <c r="T481" i="4"/>
  <c r="U481" i="4"/>
  <c r="V481" i="4"/>
  <c r="W481" i="4"/>
  <c r="T482" i="4"/>
  <c r="U482" i="4"/>
  <c r="V482" i="4"/>
  <c r="W482" i="4"/>
  <c r="T483" i="4"/>
  <c r="U483" i="4"/>
  <c r="V483" i="4"/>
  <c r="W483" i="4"/>
  <c r="T484" i="4"/>
  <c r="U484" i="4"/>
  <c r="V484" i="4"/>
  <c r="W484" i="4"/>
  <c r="T485" i="4"/>
  <c r="U485" i="4"/>
  <c r="V485" i="4"/>
  <c r="W485" i="4"/>
  <c r="T486" i="4"/>
  <c r="U486" i="4"/>
  <c r="V486" i="4"/>
  <c r="W486" i="4"/>
  <c r="T487" i="4"/>
  <c r="U487" i="4"/>
  <c r="V487" i="4"/>
  <c r="W487" i="4"/>
  <c r="T488" i="4"/>
  <c r="U488" i="4"/>
  <c r="V488" i="4"/>
  <c r="W488" i="4"/>
  <c r="T489" i="4"/>
  <c r="U489" i="4"/>
  <c r="V489" i="4"/>
  <c r="W489" i="4"/>
  <c r="T490" i="4"/>
  <c r="U490" i="4"/>
  <c r="V490" i="4"/>
  <c r="W490" i="4"/>
  <c r="T491" i="4"/>
  <c r="U491" i="4"/>
  <c r="V491" i="4"/>
  <c r="W491" i="4"/>
  <c r="T492" i="4"/>
  <c r="U492" i="4"/>
  <c r="V492" i="4"/>
  <c r="W492" i="4"/>
  <c r="T493" i="4"/>
  <c r="U493" i="4"/>
  <c r="V493" i="4"/>
  <c r="W493" i="4"/>
  <c r="T494" i="4"/>
  <c r="U494" i="4"/>
  <c r="V494" i="4"/>
  <c r="W494" i="4"/>
  <c r="T495" i="4"/>
  <c r="U495" i="4"/>
  <c r="V495" i="4"/>
  <c r="W495" i="4"/>
  <c r="T496" i="4"/>
  <c r="U496" i="4"/>
  <c r="V496" i="4"/>
  <c r="W496" i="4"/>
  <c r="T497" i="4"/>
  <c r="U497" i="4"/>
  <c r="V497" i="4"/>
  <c r="W497" i="4"/>
  <c r="T498" i="4"/>
  <c r="U498" i="4"/>
  <c r="V498" i="4"/>
  <c r="W498" i="4"/>
  <c r="T499" i="4"/>
  <c r="U499" i="4"/>
  <c r="V499" i="4"/>
  <c r="W499" i="4"/>
  <c r="T500" i="4"/>
  <c r="U500" i="4"/>
  <c r="V500" i="4"/>
  <c r="W500" i="4"/>
  <c r="T501" i="4"/>
  <c r="U501" i="4"/>
  <c r="V501" i="4"/>
  <c r="W501" i="4"/>
  <c r="T502" i="4"/>
  <c r="U502" i="4"/>
  <c r="V502" i="4"/>
  <c r="W502" i="4"/>
  <c r="T503" i="4"/>
  <c r="U503" i="4"/>
  <c r="V503" i="4"/>
  <c r="W503" i="4"/>
  <c r="T504" i="4"/>
  <c r="U504" i="4"/>
  <c r="V504" i="4"/>
  <c r="W504" i="4"/>
  <c r="T505" i="4"/>
  <c r="U505" i="4"/>
  <c r="V505" i="4"/>
  <c r="W505" i="4"/>
  <c r="T506" i="4"/>
  <c r="U506" i="4"/>
  <c r="V506" i="4"/>
  <c r="W506" i="4"/>
  <c r="T507" i="4"/>
  <c r="U507" i="4"/>
  <c r="V507" i="4"/>
  <c r="W507" i="4"/>
  <c r="T508" i="4"/>
  <c r="U508" i="4"/>
  <c r="V508" i="4"/>
  <c r="W508" i="4"/>
  <c r="T509" i="4"/>
  <c r="U509" i="4"/>
  <c r="V509" i="4"/>
  <c r="W509" i="4"/>
  <c r="T510" i="4"/>
  <c r="U510" i="4"/>
  <c r="V510" i="4"/>
  <c r="W510" i="4"/>
  <c r="T511" i="4"/>
  <c r="U511" i="4"/>
  <c r="V511" i="4"/>
  <c r="W511" i="4"/>
  <c r="T512" i="4"/>
  <c r="U512" i="4"/>
  <c r="V512" i="4"/>
  <c r="W512" i="4"/>
  <c r="T513" i="4"/>
  <c r="U513" i="4"/>
  <c r="V513" i="4"/>
  <c r="W513" i="4"/>
  <c r="T514" i="4"/>
  <c r="U514" i="4"/>
  <c r="V514" i="4"/>
  <c r="W514" i="4"/>
  <c r="T515" i="4"/>
  <c r="U515" i="4"/>
  <c r="V515" i="4"/>
  <c r="W515" i="4"/>
  <c r="T516" i="4"/>
  <c r="U516" i="4"/>
  <c r="V516" i="4"/>
  <c r="W516" i="4"/>
  <c r="T517" i="4"/>
  <c r="U517" i="4"/>
  <c r="V517" i="4"/>
  <c r="W517" i="4"/>
  <c r="T518" i="4"/>
  <c r="U518" i="4"/>
  <c r="V518" i="4"/>
  <c r="W518" i="4"/>
  <c r="T519" i="4"/>
  <c r="U519" i="4"/>
  <c r="V519" i="4"/>
  <c r="W519" i="4"/>
  <c r="T520" i="4"/>
  <c r="U520" i="4"/>
  <c r="V520" i="4"/>
  <c r="W520" i="4"/>
  <c r="T521" i="4"/>
  <c r="U521" i="4"/>
  <c r="V521" i="4"/>
  <c r="W521" i="4"/>
  <c r="T522" i="4"/>
  <c r="U522" i="4"/>
  <c r="V522" i="4"/>
  <c r="W522" i="4"/>
  <c r="T523" i="4"/>
  <c r="U523" i="4"/>
  <c r="V523" i="4"/>
  <c r="W523" i="4"/>
  <c r="T524" i="4"/>
  <c r="U524" i="4"/>
  <c r="V524" i="4"/>
  <c r="W524" i="4"/>
  <c r="T525" i="4"/>
  <c r="U525" i="4"/>
  <c r="V525" i="4"/>
  <c r="W525" i="4"/>
  <c r="T526" i="4"/>
  <c r="U526" i="4"/>
  <c r="V526" i="4"/>
  <c r="W526" i="4"/>
  <c r="T527" i="4"/>
  <c r="U527" i="4"/>
  <c r="V527" i="4"/>
  <c r="W527" i="4"/>
  <c r="T528" i="4"/>
  <c r="U528" i="4"/>
  <c r="V528" i="4"/>
  <c r="W528" i="4"/>
  <c r="T529" i="4"/>
  <c r="U529" i="4"/>
  <c r="V529" i="4"/>
  <c r="W529" i="4"/>
  <c r="T530" i="4"/>
  <c r="U530" i="4"/>
  <c r="V530" i="4"/>
  <c r="W530" i="4"/>
  <c r="T531" i="4"/>
  <c r="U531" i="4"/>
  <c r="V531" i="4"/>
  <c r="W531" i="4"/>
  <c r="T532" i="4"/>
  <c r="U532" i="4"/>
  <c r="V532" i="4"/>
  <c r="W532" i="4"/>
  <c r="T533" i="4"/>
  <c r="U533" i="4"/>
  <c r="V533" i="4"/>
  <c r="W533" i="4"/>
  <c r="T534" i="4"/>
  <c r="U534" i="4"/>
  <c r="V534" i="4"/>
  <c r="W534" i="4"/>
  <c r="T535" i="4"/>
  <c r="U535" i="4"/>
  <c r="V535" i="4"/>
  <c r="W535" i="4"/>
  <c r="T536" i="4"/>
  <c r="U536" i="4"/>
  <c r="V536" i="4"/>
  <c r="W536" i="4"/>
  <c r="T537" i="4"/>
  <c r="U537" i="4"/>
  <c r="V537" i="4"/>
  <c r="W537" i="4"/>
  <c r="T538" i="4"/>
  <c r="U538" i="4"/>
  <c r="V538" i="4"/>
  <c r="W538" i="4"/>
  <c r="T539" i="4"/>
  <c r="U539" i="4"/>
  <c r="V539" i="4"/>
  <c r="W539" i="4"/>
  <c r="T540" i="4"/>
  <c r="U540" i="4"/>
  <c r="V540" i="4"/>
  <c r="W540" i="4"/>
  <c r="T541" i="4"/>
  <c r="U541" i="4"/>
  <c r="V541" i="4"/>
  <c r="W541" i="4"/>
  <c r="T542" i="4"/>
  <c r="U542" i="4"/>
  <c r="V542" i="4"/>
  <c r="W542" i="4"/>
  <c r="T543" i="4"/>
  <c r="U543" i="4"/>
  <c r="V543" i="4"/>
  <c r="W543" i="4"/>
  <c r="T544" i="4"/>
  <c r="U544" i="4"/>
  <c r="V544" i="4"/>
  <c r="W544" i="4"/>
  <c r="T545" i="4"/>
  <c r="U545" i="4"/>
  <c r="V545" i="4"/>
  <c r="W545" i="4"/>
  <c r="T546" i="4"/>
  <c r="U546" i="4"/>
  <c r="V546" i="4"/>
  <c r="W546" i="4"/>
  <c r="T547" i="4"/>
  <c r="U547" i="4"/>
  <c r="V547" i="4"/>
  <c r="W547" i="4"/>
  <c r="T548" i="4"/>
  <c r="U548" i="4"/>
  <c r="V548" i="4"/>
  <c r="W548" i="4"/>
  <c r="T549" i="4"/>
  <c r="U549" i="4"/>
  <c r="V549" i="4"/>
  <c r="W549" i="4"/>
  <c r="T550" i="4"/>
  <c r="U550" i="4"/>
  <c r="V550" i="4"/>
  <c r="W550" i="4"/>
  <c r="T551" i="4"/>
  <c r="U551" i="4"/>
  <c r="V551" i="4"/>
  <c r="W551" i="4"/>
  <c r="T552" i="4"/>
  <c r="U552" i="4"/>
  <c r="V552" i="4"/>
  <c r="W552" i="4"/>
  <c r="T553" i="4"/>
  <c r="U553" i="4"/>
  <c r="V553" i="4"/>
  <c r="W553" i="4"/>
  <c r="T554" i="4"/>
  <c r="U554" i="4"/>
  <c r="V554" i="4"/>
  <c r="W554" i="4"/>
  <c r="T555" i="4"/>
  <c r="U555" i="4"/>
  <c r="V555" i="4"/>
  <c r="W555" i="4"/>
  <c r="T556" i="4"/>
  <c r="U556" i="4"/>
  <c r="V556" i="4"/>
  <c r="W556" i="4"/>
  <c r="T557" i="4"/>
  <c r="U557" i="4"/>
  <c r="V557" i="4"/>
  <c r="W557" i="4"/>
  <c r="T558" i="4"/>
  <c r="U558" i="4"/>
  <c r="V558" i="4"/>
  <c r="W558" i="4"/>
  <c r="T559" i="4"/>
  <c r="U559" i="4"/>
  <c r="V559" i="4"/>
  <c r="W559" i="4"/>
  <c r="T560" i="4"/>
  <c r="U560" i="4"/>
  <c r="V560" i="4"/>
  <c r="W560" i="4"/>
  <c r="T561" i="4"/>
  <c r="U561" i="4"/>
  <c r="V561" i="4"/>
  <c r="W561" i="4"/>
  <c r="T562" i="4"/>
  <c r="U562" i="4"/>
  <c r="V562" i="4"/>
  <c r="W562" i="4"/>
  <c r="T563" i="4"/>
  <c r="U563" i="4"/>
  <c r="V563" i="4"/>
  <c r="W563" i="4"/>
  <c r="T564" i="4"/>
  <c r="U564" i="4"/>
  <c r="V564" i="4"/>
  <c r="W564" i="4"/>
  <c r="T565" i="4"/>
  <c r="U565" i="4"/>
  <c r="V565" i="4"/>
  <c r="W565" i="4"/>
  <c r="T566" i="4"/>
  <c r="U566" i="4"/>
  <c r="V566" i="4"/>
  <c r="W566" i="4"/>
  <c r="T567" i="4"/>
  <c r="U567" i="4"/>
  <c r="V567" i="4"/>
  <c r="W567" i="4"/>
  <c r="T568" i="4"/>
  <c r="U568" i="4"/>
  <c r="V568" i="4"/>
  <c r="W568" i="4"/>
  <c r="T569" i="4"/>
  <c r="U569" i="4"/>
  <c r="V569" i="4"/>
  <c r="W569" i="4"/>
  <c r="T570" i="4"/>
  <c r="U570" i="4"/>
  <c r="V570" i="4"/>
  <c r="W570" i="4"/>
  <c r="T571" i="4"/>
  <c r="U571" i="4"/>
  <c r="V571" i="4"/>
  <c r="W571" i="4"/>
  <c r="T572" i="4"/>
  <c r="U572" i="4"/>
  <c r="V572" i="4"/>
  <c r="W572" i="4"/>
  <c r="T573" i="4"/>
  <c r="U573" i="4"/>
  <c r="V573" i="4"/>
  <c r="W573" i="4"/>
  <c r="T574" i="4"/>
  <c r="U574" i="4"/>
  <c r="V574" i="4"/>
  <c r="W574" i="4"/>
  <c r="T575" i="4"/>
  <c r="U575" i="4"/>
  <c r="V575" i="4"/>
  <c r="W575" i="4"/>
  <c r="T576" i="4"/>
  <c r="U576" i="4"/>
  <c r="V576" i="4"/>
  <c r="W576" i="4"/>
  <c r="T577" i="4"/>
  <c r="U577" i="4"/>
  <c r="V577" i="4"/>
  <c r="W577" i="4"/>
  <c r="T578" i="4"/>
  <c r="U578" i="4"/>
  <c r="V578" i="4"/>
  <c r="W578" i="4"/>
  <c r="T579" i="4"/>
  <c r="U579" i="4"/>
  <c r="V579" i="4"/>
  <c r="W579" i="4"/>
  <c r="T580" i="4"/>
  <c r="U580" i="4"/>
  <c r="V580" i="4"/>
  <c r="W580" i="4"/>
  <c r="T581" i="4"/>
  <c r="U581" i="4"/>
  <c r="V581" i="4"/>
  <c r="W581" i="4"/>
  <c r="T582" i="4"/>
  <c r="U582" i="4"/>
  <c r="V582" i="4"/>
  <c r="W582" i="4"/>
  <c r="T583" i="4"/>
  <c r="U583" i="4"/>
  <c r="V583" i="4"/>
  <c r="W583" i="4"/>
  <c r="T584" i="4"/>
  <c r="U584" i="4"/>
  <c r="V584" i="4"/>
  <c r="W584" i="4"/>
  <c r="T585" i="4"/>
  <c r="U585" i="4"/>
  <c r="V585" i="4"/>
  <c r="W585" i="4"/>
  <c r="T586" i="4"/>
  <c r="U586" i="4"/>
  <c r="V586" i="4"/>
  <c r="W586" i="4"/>
  <c r="T587" i="4"/>
  <c r="U587" i="4"/>
  <c r="V587" i="4"/>
  <c r="W587" i="4"/>
  <c r="T588" i="4"/>
  <c r="U588" i="4"/>
  <c r="V588" i="4"/>
  <c r="W588" i="4"/>
  <c r="T589" i="4"/>
  <c r="U589" i="4"/>
  <c r="V589" i="4"/>
  <c r="W589" i="4"/>
  <c r="T590" i="4"/>
  <c r="U590" i="4"/>
  <c r="V590" i="4"/>
  <c r="W590" i="4"/>
  <c r="T591" i="4"/>
  <c r="U591" i="4"/>
  <c r="V591" i="4"/>
  <c r="W591" i="4"/>
  <c r="T592" i="4"/>
  <c r="U592" i="4"/>
  <c r="V592" i="4"/>
  <c r="W592" i="4"/>
  <c r="T593" i="4"/>
  <c r="U593" i="4"/>
  <c r="V593" i="4"/>
  <c r="W593" i="4"/>
  <c r="T594" i="4"/>
  <c r="U594" i="4"/>
  <c r="V594" i="4"/>
  <c r="W594" i="4"/>
  <c r="T595" i="4"/>
  <c r="U595" i="4"/>
  <c r="V595" i="4"/>
  <c r="W595" i="4"/>
  <c r="T596" i="4"/>
  <c r="U596" i="4"/>
  <c r="V596" i="4"/>
  <c r="W596" i="4"/>
  <c r="T597" i="4"/>
  <c r="U597" i="4"/>
  <c r="V597" i="4"/>
  <c r="W597" i="4"/>
  <c r="T598" i="4"/>
  <c r="U598" i="4"/>
  <c r="V598" i="4"/>
  <c r="W598" i="4"/>
  <c r="T599" i="4"/>
  <c r="U599" i="4"/>
  <c r="V599" i="4"/>
  <c r="W599" i="4"/>
  <c r="T600" i="4"/>
  <c r="U600" i="4"/>
  <c r="V600" i="4"/>
  <c r="W600" i="4"/>
  <c r="T601" i="4"/>
  <c r="U601" i="4"/>
  <c r="V601" i="4"/>
  <c r="W601" i="4"/>
  <c r="T602" i="4"/>
  <c r="U602" i="4"/>
  <c r="V602" i="4"/>
  <c r="W602" i="4"/>
  <c r="T603" i="4"/>
  <c r="U603" i="4"/>
  <c r="V603" i="4"/>
  <c r="W603" i="4"/>
  <c r="AC7" i="4" s="1"/>
  <c r="T604" i="4"/>
  <c r="U604" i="4"/>
  <c r="V604" i="4"/>
  <c r="W604" i="4"/>
  <c r="T605" i="4"/>
  <c r="U605" i="4"/>
  <c r="V605" i="4"/>
  <c r="W605" i="4"/>
  <c r="T606" i="4"/>
  <c r="U606" i="4"/>
  <c r="V606" i="4"/>
  <c r="W606" i="4"/>
  <c r="T607" i="4"/>
  <c r="U607" i="4"/>
  <c r="V607" i="4"/>
  <c r="W607" i="4"/>
  <c r="T608" i="4"/>
  <c r="U608" i="4"/>
  <c r="V608" i="4"/>
  <c r="W608" i="4"/>
  <c r="T609" i="4"/>
  <c r="U609" i="4"/>
  <c r="V609" i="4"/>
  <c r="W609" i="4"/>
  <c r="T610" i="4"/>
  <c r="U610" i="4"/>
  <c r="V610" i="4"/>
  <c r="W610" i="4"/>
  <c r="T611" i="4"/>
  <c r="U611" i="4"/>
  <c r="V611" i="4"/>
  <c r="W611" i="4"/>
  <c r="T612" i="4"/>
  <c r="U612" i="4"/>
  <c r="V612" i="4"/>
  <c r="W612" i="4"/>
  <c r="T613" i="4"/>
  <c r="U613" i="4"/>
  <c r="V613" i="4"/>
  <c r="W613" i="4"/>
  <c r="T614" i="4"/>
  <c r="U614" i="4"/>
  <c r="V614" i="4"/>
  <c r="W614" i="4"/>
  <c r="T615" i="4"/>
  <c r="U615" i="4"/>
  <c r="V615" i="4"/>
  <c r="W615" i="4"/>
  <c r="T616" i="4"/>
  <c r="U616" i="4"/>
  <c r="V616" i="4"/>
  <c r="W616" i="4"/>
  <c r="T617" i="4"/>
  <c r="U617" i="4"/>
  <c r="V617" i="4"/>
  <c r="W617" i="4"/>
  <c r="T618" i="4"/>
  <c r="U618" i="4"/>
  <c r="V618" i="4"/>
  <c r="W618" i="4"/>
  <c r="T619" i="4"/>
  <c r="U619" i="4"/>
  <c r="V619" i="4"/>
  <c r="W619" i="4"/>
  <c r="T620" i="4"/>
  <c r="U620" i="4"/>
  <c r="V620" i="4"/>
  <c r="W620" i="4"/>
  <c r="T621" i="4"/>
  <c r="U621" i="4"/>
  <c r="V621" i="4"/>
  <c r="W621" i="4"/>
  <c r="T622" i="4"/>
  <c r="U622" i="4"/>
  <c r="V622" i="4"/>
  <c r="W622" i="4"/>
  <c r="T623" i="4"/>
  <c r="U623" i="4"/>
  <c r="V623" i="4"/>
  <c r="W623" i="4"/>
  <c r="T624" i="4"/>
  <c r="U624" i="4"/>
  <c r="V624" i="4"/>
  <c r="W624" i="4"/>
  <c r="T625" i="4"/>
  <c r="U625" i="4"/>
  <c r="V625" i="4"/>
  <c r="W625" i="4"/>
  <c r="T626" i="4"/>
  <c r="U626" i="4"/>
  <c r="V626" i="4"/>
  <c r="W626" i="4"/>
  <c r="T627" i="4"/>
  <c r="U627" i="4"/>
  <c r="V627" i="4"/>
  <c r="W627" i="4"/>
  <c r="T628" i="4"/>
  <c r="U628" i="4"/>
  <c r="V628" i="4"/>
  <c r="W628" i="4"/>
  <c r="T629" i="4"/>
  <c r="U629" i="4"/>
  <c r="V629" i="4"/>
  <c r="W629" i="4"/>
  <c r="T630" i="4"/>
  <c r="U630" i="4"/>
  <c r="V630" i="4"/>
  <c r="W630" i="4"/>
  <c r="T631" i="4"/>
  <c r="U631" i="4"/>
  <c r="V631" i="4"/>
  <c r="W631" i="4"/>
  <c r="T632" i="4"/>
  <c r="U632" i="4"/>
  <c r="V632" i="4"/>
  <c r="W632" i="4"/>
  <c r="T633" i="4"/>
  <c r="U633" i="4"/>
  <c r="V633" i="4"/>
  <c r="W633" i="4"/>
  <c r="T634" i="4"/>
  <c r="U634" i="4"/>
  <c r="V634" i="4"/>
  <c r="W634" i="4"/>
  <c r="T635" i="4"/>
  <c r="U635" i="4"/>
  <c r="V635" i="4"/>
  <c r="W635" i="4"/>
  <c r="T636" i="4"/>
  <c r="U636" i="4"/>
  <c r="V636" i="4"/>
  <c r="W636" i="4"/>
  <c r="T637" i="4"/>
  <c r="U637" i="4"/>
  <c r="V637" i="4"/>
  <c r="W637" i="4"/>
  <c r="T638" i="4"/>
  <c r="U638" i="4"/>
  <c r="V638" i="4"/>
  <c r="W638" i="4"/>
  <c r="T639" i="4"/>
  <c r="U639" i="4"/>
  <c r="V639" i="4"/>
  <c r="W639" i="4"/>
  <c r="T640" i="4"/>
  <c r="U640" i="4"/>
  <c r="V640" i="4"/>
  <c r="W640" i="4"/>
  <c r="T641" i="4"/>
  <c r="U641" i="4"/>
  <c r="V641" i="4"/>
  <c r="W641" i="4"/>
  <c r="T642" i="4"/>
  <c r="U642" i="4"/>
  <c r="V642" i="4"/>
  <c r="W642" i="4"/>
  <c r="T643" i="4"/>
  <c r="U643" i="4"/>
  <c r="V643" i="4"/>
  <c r="W643" i="4"/>
  <c r="T644" i="4"/>
  <c r="U644" i="4"/>
  <c r="V644" i="4"/>
  <c r="W644" i="4"/>
  <c r="T645" i="4"/>
  <c r="U645" i="4"/>
  <c r="V645" i="4"/>
  <c r="W645" i="4"/>
  <c r="T646" i="4"/>
  <c r="U646" i="4"/>
  <c r="V646" i="4"/>
  <c r="W646" i="4"/>
  <c r="T647" i="4"/>
  <c r="U647" i="4"/>
  <c r="V647" i="4"/>
  <c r="W647" i="4"/>
  <c r="T648" i="4"/>
  <c r="U648" i="4"/>
  <c r="V648" i="4"/>
  <c r="W648" i="4"/>
  <c r="T649" i="4"/>
  <c r="U649" i="4"/>
  <c r="V649" i="4"/>
  <c r="W649" i="4"/>
  <c r="T650" i="4"/>
  <c r="U650" i="4"/>
  <c r="V650" i="4"/>
  <c r="W650" i="4"/>
  <c r="T651" i="4"/>
  <c r="U651" i="4"/>
  <c r="V651" i="4"/>
  <c r="W651" i="4"/>
  <c r="T652" i="4"/>
  <c r="U652" i="4"/>
  <c r="V652" i="4"/>
  <c r="W652" i="4"/>
  <c r="T653" i="4"/>
  <c r="U653" i="4"/>
  <c r="V653" i="4"/>
  <c r="W653" i="4"/>
  <c r="T654" i="4"/>
  <c r="U654" i="4"/>
  <c r="V654" i="4"/>
  <c r="W654" i="4"/>
  <c r="T655" i="4"/>
  <c r="U655" i="4"/>
  <c r="V655" i="4"/>
  <c r="W655" i="4"/>
  <c r="T656" i="4"/>
  <c r="U656" i="4"/>
  <c r="V656" i="4"/>
  <c r="W656" i="4"/>
  <c r="T657" i="4"/>
  <c r="U657" i="4"/>
  <c r="V657" i="4"/>
  <c r="W657" i="4"/>
  <c r="T658" i="4"/>
  <c r="U658" i="4"/>
  <c r="V658" i="4"/>
  <c r="W658" i="4"/>
  <c r="T659" i="4"/>
  <c r="U659" i="4"/>
  <c r="V659" i="4"/>
  <c r="W659" i="4"/>
  <c r="T660" i="4"/>
  <c r="U660" i="4"/>
  <c r="V660" i="4"/>
  <c r="W660" i="4"/>
  <c r="T661" i="4"/>
  <c r="U661" i="4"/>
  <c r="V661" i="4"/>
  <c r="W661" i="4"/>
  <c r="T662" i="4"/>
  <c r="U662" i="4"/>
  <c r="V662" i="4"/>
  <c r="W662" i="4"/>
  <c r="T663" i="4"/>
  <c r="U663" i="4"/>
  <c r="V663" i="4"/>
  <c r="W663" i="4"/>
  <c r="T664" i="4"/>
  <c r="U664" i="4"/>
  <c r="V664" i="4"/>
  <c r="W664" i="4"/>
  <c r="T665" i="4"/>
  <c r="U665" i="4"/>
  <c r="V665" i="4"/>
  <c r="W665" i="4"/>
  <c r="T666" i="4"/>
  <c r="U666" i="4"/>
  <c r="V666" i="4"/>
  <c r="W666" i="4"/>
  <c r="T667" i="4"/>
  <c r="U667" i="4"/>
  <c r="V667" i="4"/>
  <c r="W667" i="4"/>
  <c r="T668" i="4"/>
  <c r="U668" i="4"/>
  <c r="V668" i="4"/>
  <c r="W668" i="4"/>
  <c r="T669" i="4"/>
  <c r="U669" i="4"/>
  <c r="V669" i="4"/>
  <c r="W669" i="4"/>
  <c r="T670" i="4"/>
  <c r="U670" i="4"/>
  <c r="V670" i="4"/>
  <c r="W670" i="4"/>
  <c r="T671" i="4"/>
  <c r="U671" i="4"/>
  <c r="V671" i="4"/>
  <c r="W671" i="4"/>
  <c r="T672" i="4"/>
  <c r="U672" i="4"/>
  <c r="V672" i="4"/>
  <c r="W672" i="4"/>
  <c r="T673" i="4"/>
  <c r="U673" i="4"/>
  <c r="V673" i="4"/>
  <c r="W673" i="4"/>
  <c r="T674" i="4"/>
  <c r="U674" i="4"/>
  <c r="V674" i="4"/>
  <c r="W674" i="4"/>
  <c r="T675" i="4"/>
  <c r="U675" i="4"/>
  <c r="V675" i="4"/>
  <c r="W675" i="4"/>
  <c r="T676" i="4"/>
  <c r="U676" i="4"/>
  <c r="V676" i="4"/>
  <c r="W676" i="4"/>
  <c r="T677" i="4"/>
  <c r="U677" i="4"/>
  <c r="V677" i="4"/>
  <c r="W677" i="4"/>
  <c r="T678" i="4"/>
  <c r="U678" i="4"/>
  <c r="V678" i="4"/>
  <c r="W678" i="4"/>
  <c r="T679" i="4"/>
  <c r="U679" i="4"/>
  <c r="V679" i="4"/>
  <c r="W679" i="4"/>
  <c r="T680" i="4"/>
  <c r="U680" i="4"/>
  <c r="V680" i="4"/>
  <c r="W680" i="4"/>
  <c r="T681" i="4"/>
  <c r="U681" i="4"/>
  <c r="V681" i="4"/>
  <c r="W681" i="4"/>
  <c r="T682" i="4"/>
  <c r="U682" i="4"/>
  <c r="V682" i="4"/>
  <c r="W682" i="4"/>
  <c r="T683" i="4"/>
  <c r="U683" i="4"/>
  <c r="V683" i="4"/>
  <c r="W683" i="4"/>
  <c r="T684" i="4"/>
  <c r="U684" i="4"/>
  <c r="V684" i="4"/>
  <c r="W684" i="4"/>
  <c r="T685" i="4"/>
  <c r="U685" i="4"/>
  <c r="V685" i="4"/>
  <c r="W685" i="4"/>
  <c r="T686" i="4"/>
  <c r="U686" i="4"/>
  <c r="V686" i="4"/>
  <c r="W686" i="4"/>
  <c r="T687" i="4"/>
  <c r="U687" i="4"/>
  <c r="V687" i="4"/>
  <c r="W687" i="4"/>
  <c r="T688" i="4"/>
  <c r="U688" i="4"/>
  <c r="V688" i="4"/>
  <c r="W688" i="4"/>
  <c r="T689" i="4"/>
  <c r="U689" i="4"/>
  <c r="V689" i="4"/>
  <c r="W689" i="4"/>
  <c r="T690" i="4"/>
  <c r="U690" i="4"/>
  <c r="V690" i="4"/>
  <c r="W690" i="4"/>
  <c r="T691" i="4"/>
  <c r="U691" i="4"/>
  <c r="V691" i="4"/>
  <c r="W691" i="4"/>
  <c r="T692" i="4"/>
  <c r="U692" i="4"/>
  <c r="V692" i="4"/>
  <c r="W692" i="4"/>
  <c r="T693" i="4"/>
  <c r="U693" i="4"/>
  <c r="V693" i="4"/>
  <c r="W693" i="4"/>
  <c r="T694" i="4"/>
  <c r="U694" i="4"/>
  <c r="V694" i="4"/>
  <c r="W694" i="4"/>
  <c r="T695" i="4"/>
  <c r="U695" i="4"/>
  <c r="V695" i="4"/>
  <c r="W695" i="4"/>
  <c r="T696" i="4"/>
  <c r="U696" i="4"/>
  <c r="V696" i="4"/>
  <c r="W696" i="4"/>
  <c r="T697" i="4"/>
  <c r="U697" i="4"/>
  <c r="V697" i="4"/>
  <c r="W697" i="4"/>
  <c r="T698" i="4"/>
  <c r="U698" i="4"/>
  <c r="V698" i="4"/>
  <c r="W698" i="4"/>
  <c r="T699" i="4"/>
  <c r="U699" i="4"/>
  <c r="V699" i="4"/>
  <c r="W699" i="4"/>
  <c r="T700" i="4"/>
  <c r="U700" i="4"/>
  <c r="V700" i="4"/>
  <c r="W700" i="4"/>
  <c r="T701" i="4"/>
  <c r="U701" i="4"/>
  <c r="V701" i="4"/>
  <c r="W701" i="4"/>
  <c r="T702" i="4"/>
  <c r="U702" i="4"/>
  <c r="V702" i="4"/>
  <c r="W702" i="4"/>
  <c r="T703" i="4"/>
  <c r="U703" i="4"/>
  <c r="V703" i="4"/>
  <c r="W703" i="4"/>
  <c r="T704" i="4"/>
  <c r="U704" i="4"/>
  <c r="V704" i="4"/>
  <c r="W704" i="4"/>
  <c r="T705" i="4"/>
  <c r="U705" i="4"/>
  <c r="V705" i="4"/>
  <c r="W705" i="4"/>
  <c r="T706" i="4"/>
  <c r="U706" i="4"/>
  <c r="V706" i="4"/>
  <c r="W706" i="4"/>
  <c r="T707" i="4"/>
  <c r="U707" i="4"/>
  <c r="V707" i="4"/>
  <c r="W707" i="4"/>
  <c r="T708" i="4"/>
  <c r="U708" i="4"/>
  <c r="V708" i="4"/>
  <c r="W708" i="4"/>
  <c r="T709" i="4"/>
  <c r="U709" i="4"/>
  <c r="V709" i="4"/>
  <c r="W709" i="4"/>
  <c r="T710" i="4"/>
  <c r="U710" i="4"/>
  <c r="V710" i="4"/>
  <c r="W710" i="4"/>
  <c r="T711" i="4"/>
  <c r="U711" i="4"/>
  <c r="V711" i="4"/>
  <c r="W711" i="4"/>
  <c r="T712" i="4"/>
  <c r="U712" i="4"/>
  <c r="V712" i="4"/>
  <c r="W712" i="4"/>
  <c r="T713" i="4"/>
  <c r="U713" i="4"/>
  <c r="V713" i="4"/>
  <c r="W713" i="4"/>
  <c r="T714" i="4"/>
  <c r="U714" i="4"/>
  <c r="V714" i="4"/>
  <c r="W714" i="4"/>
  <c r="T715" i="4"/>
  <c r="U715" i="4"/>
  <c r="V715" i="4"/>
  <c r="W715" i="4"/>
  <c r="T716" i="4"/>
  <c r="U716" i="4"/>
  <c r="V716" i="4"/>
  <c r="W716" i="4"/>
  <c r="T717" i="4"/>
  <c r="U717" i="4"/>
  <c r="V717" i="4"/>
  <c r="W717" i="4"/>
  <c r="T718" i="4"/>
  <c r="U718" i="4"/>
  <c r="V718" i="4"/>
  <c r="W718" i="4"/>
  <c r="T719" i="4"/>
  <c r="U719" i="4"/>
  <c r="V719" i="4"/>
  <c r="W719" i="4"/>
  <c r="T720" i="4"/>
  <c r="U720" i="4"/>
  <c r="V720" i="4"/>
  <c r="W720" i="4"/>
  <c r="T721" i="4"/>
  <c r="U721" i="4"/>
  <c r="V721" i="4"/>
  <c r="W721" i="4"/>
  <c r="T722" i="4"/>
  <c r="U722" i="4"/>
  <c r="V722" i="4"/>
  <c r="W722" i="4"/>
  <c r="T723" i="4"/>
  <c r="U723" i="4"/>
  <c r="V723" i="4"/>
  <c r="W723" i="4"/>
  <c r="T724" i="4"/>
  <c r="U724" i="4"/>
  <c r="V724" i="4"/>
  <c r="W724" i="4"/>
  <c r="T725" i="4"/>
  <c r="U725" i="4"/>
  <c r="V725" i="4"/>
  <c r="W725" i="4"/>
  <c r="T726" i="4"/>
  <c r="U726" i="4"/>
  <c r="V726" i="4"/>
  <c r="W726" i="4"/>
  <c r="T727" i="4"/>
  <c r="U727" i="4"/>
  <c r="V727" i="4"/>
  <c r="W727" i="4"/>
  <c r="T728" i="4"/>
  <c r="U728" i="4"/>
  <c r="V728" i="4"/>
  <c r="W728" i="4"/>
  <c r="T729" i="4"/>
  <c r="U729" i="4"/>
  <c r="V729" i="4"/>
  <c r="W729" i="4"/>
  <c r="T730" i="4"/>
  <c r="U730" i="4"/>
  <c r="V730" i="4"/>
  <c r="W730" i="4"/>
  <c r="T731" i="4"/>
  <c r="U731" i="4"/>
  <c r="V731" i="4"/>
  <c r="W731" i="4"/>
  <c r="T732" i="4"/>
  <c r="U732" i="4"/>
  <c r="V732" i="4"/>
  <c r="W732" i="4"/>
  <c r="T733" i="4"/>
  <c r="U733" i="4"/>
  <c r="V733" i="4"/>
  <c r="W733" i="4"/>
  <c r="T734" i="4"/>
  <c r="U734" i="4"/>
  <c r="V734" i="4"/>
  <c r="W734" i="4"/>
  <c r="T735" i="4"/>
  <c r="U735" i="4"/>
  <c r="V735" i="4"/>
  <c r="W735" i="4"/>
  <c r="T736" i="4"/>
  <c r="U736" i="4"/>
  <c r="V736" i="4"/>
  <c r="W736" i="4"/>
  <c r="T737" i="4"/>
  <c r="U737" i="4"/>
  <c r="V737" i="4"/>
  <c r="W737" i="4"/>
  <c r="T738" i="4"/>
  <c r="U738" i="4"/>
  <c r="V738" i="4"/>
  <c r="W738" i="4"/>
  <c r="T739" i="4"/>
  <c r="U739" i="4"/>
  <c r="V739" i="4"/>
  <c r="W739" i="4"/>
  <c r="T740" i="4"/>
  <c r="U740" i="4"/>
  <c r="V740" i="4"/>
  <c r="W740" i="4"/>
  <c r="T741" i="4"/>
  <c r="U741" i="4"/>
  <c r="V741" i="4"/>
  <c r="W741" i="4"/>
  <c r="T742" i="4"/>
  <c r="U742" i="4"/>
  <c r="V742" i="4"/>
  <c r="W742" i="4"/>
  <c r="T743" i="4"/>
  <c r="U743" i="4"/>
  <c r="V743" i="4"/>
  <c r="W743" i="4"/>
  <c r="T744" i="4"/>
  <c r="U744" i="4"/>
  <c r="V744" i="4"/>
  <c r="W744" i="4"/>
  <c r="T745" i="4"/>
  <c r="U745" i="4"/>
  <c r="V745" i="4"/>
  <c r="W745" i="4"/>
  <c r="T746" i="4"/>
  <c r="U746" i="4"/>
  <c r="V746" i="4"/>
  <c r="W746" i="4"/>
  <c r="T747" i="4"/>
  <c r="U747" i="4"/>
  <c r="V747" i="4"/>
  <c r="W747" i="4"/>
  <c r="T748" i="4"/>
  <c r="U748" i="4"/>
  <c r="V748" i="4"/>
  <c r="W748" i="4"/>
  <c r="T749" i="4"/>
  <c r="U749" i="4"/>
  <c r="V749" i="4"/>
  <c r="W749" i="4"/>
  <c r="T750" i="4"/>
  <c r="U750" i="4"/>
  <c r="V750" i="4"/>
  <c r="W750" i="4"/>
  <c r="T751" i="4"/>
  <c r="U751" i="4"/>
  <c r="V751" i="4"/>
  <c r="W751" i="4"/>
  <c r="T752" i="4"/>
  <c r="U752" i="4"/>
  <c r="V752" i="4"/>
  <c r="W752" i="4"/>
  <c r="T753" i="4"/>
  <c r="U753" i="4"/>
  <c r="V753" i="4"/>
  <c r="W753" i="4"/>
  <c r="T754" i="4"/>
  <c r="U754" i="4"/>
  <c r="V754" i="4"/>
  <c r="W754" i="4"/>
  <c r="T755" i="4"/>
  <c r="U755" i="4"/>
  <c r="V755" i="4"/>
  <c r="W755" i="4"/>
  <c r="T756" i="4"/>
  <c r="U756" i="4"/>
  <c r="V756" i="4"/>
  <c r="W756" i="4"/>
  <c r="T757" i="4"/>
  <c r="U757" i="4"/>
  <c r="V757" i="4"/>
  <c r="W757" i="4"/>
  <c r="T758" i="4"/>
  <c r="U758" i="4"/>
  <c r="V758" i="4"/>
  <c r="W758" i="4"/>
  <c r="T759" i="4"/>
  <c r="U759" i="4"/>
  <c r="V759" i="4"/>
  <c r="W759" i="4"/>
  <c r="T760" i="4"/>
  <c r="U760" i="4"/>
  <c r="V760" i="4"/>
  <c r="W760" i="4"/>
  <c r="T761" i="4"/>
  <c r="U761" i="4"/>
  <c r="V761" i="4"/>
  <c r="W761" i="4"/>
  <c r="T762" i="4"/>
  <c r="U762" i="4"/>
  <c r="V762" i="4"/>
  <c r="W762" i="4"/>
  <c r="T763" i="4"/>
  <c r="U763" i="4"/>
  <c r="V763" i="4"/>
  <c r="W763" i="4"/>
  <c r="T764" i="4"/>
  <c r="U764" i="4"/>
  <c r="V764" i="4"/>
  <c r="W764" i="4"/>
  <c r="T765" i="4"/>
  <c r="U765" i="4"/>
  <c r="V765" i="4"/>
  <c r="W765" i="4"/>
  <c r="T766" i="4"/>
  <c r="U766" i="4"/>
  <c r="V766" i="4"/>
  <c r="W766" i="4"/>
  <c r="T767" i="4"/>
  <c r="U767" i="4"/>
  <c r="V767" i="4"/>
  <c r="W767" i="4"/>
  <c r="T768" i="4"/>
  <c r="U768" i="4"/>
  <c r="V768" i="4"/>
  <c r="W768" i="4"/>
  <c r="T769" i="4"/>
  <c r="U769" i="4"/>
  <c r="V769" i="4"/>
  <c r="W769" i="4"/>
  <c r="T770" i="4"/>
  <c r="U770" i="4"/>
  <c r="V770" i="4"/>
  <c r="W770" i="4"/>
  <c r="T771" i="4"/>
  <c r="U771" i="4"/>
  <c r="V771" i="4"/>
  <c r="W771" i="4"/>
  <c r="T772" i="4"/>
  <c r="U772" i="4"/>
  <c r="V772" i="4"/>
  <c r="W772" i="4"/>
  <c r="T773" i="4"/>
  <c r="U773" i="4"/>
  <c r="V773" i="4"/>
  <c r="W773" i="4"/>
  <c r="T774" i="4"/>
  <c r="U774" i="4"/>
  <c r="V774" i="4"/>
  <c r="W774" i="4"/>
  <c r="T775" i="4"/>
  <c r="U775" i="4"/>
  <c r="V775" i="4"/>
  <c r="W775" i="4"/>
  <c r="T776" i="4"/>
  <c r="U776" i="4"/>
  <c r="V776" i="4"/>
  <c r="W776" i="4"/>
  <c r="T777" i="4"/>
  <c r="U777" i="4"/>
  <c r="V777" i="4"/>
  <c r="W777" i="4"/>
  <c r="T778" i="4"/>
  <c r="U778" i="4"/>
  <c r="V778" i="4"/>
  <c r="W778" i="4"/>
  <c r="T779" i="4"/>
  <c r="U779" i="4"/>
  <c r="V779" i="4"/>
  <c r="W779" i="4"/>
  <c r="T780" i="4"/>
  <c r="U780" i="4"/>
  <c r="V780" i="4"/>
  <c r="W780" i="4"/>
  <c r="T781" i="4"/>
  <c r="U781" i="4"/>
  <c r="V781" i="4"/>
  <c r="W781" i="4"/>
  <c r="T782" i="4"/>
  <c r="U782" i="4"/>
  <c r="V782" i="4"/>
  <c r="W782" i="4"/>
  <c r="T783" i="4"/>
  <c r="U783" i="4"/>
  <c r="V783" i="4"/>
  <c r="W783" i="4"/>
  <c r="AC8" i="4" s="1"/>
  <c r="T784" i="4"/>
  <c r="U784" i="4"/>
  <c r="V784" i="4"/>
  <c r="W784" i="4"/>
  <c r="T785" i="4"/>
  <c r="U785" i="4"/>
  <c r="V785" i="4"/>
  <c r="W785" i="4"/>
  <c r="T786" i="4"/>
  <c r="U786" i="4"/>
  <c r="V786" i="4"/>
  <c r="W786" i="4"/>
  <c r="T787" i="4"/>
  <c r="U787" i="4"/>
  <c r="V787" i="4"/>
  <c r="W787" i="4"/>
  <c r="T788" i="4"/>
  <c r="U788" i="4"/>
  <c r="V788" i="4"/>
  <c r="W788" i="4"/>
  <c r="T789" i="4"/>
  <c r="U789" i="4"/>
  <c r="V789" i="4"/>
  <c r="W789" i="4"/>
  <c r="T790" i="4"/>
  <c r="U790" i="4"/>
  <c r="V790" i="4"/>
  <c r="W790" i="4"/>
  <c r="T791" i="4"/>
  <c r="U791" i="4"/>
  <c r="V791" i="4"/>
  <c r="W791" i="4"/>
  <c r="T792" i="4"/>
  <c r="U792" i="4"/>
  <c r="V792" i="4"/>
  <c r="W792" i="4"/>
  <c r="T793" i="4"/>
  <c r="U793" i="4"/>
  <c r="V793" i="4"/>
  <c r="W793" i="4"/>
  <c r="T794" i="4"/>
  <c r="U794" i="4"/>
  <c r="V794" i="4"/>
  <c r="W794" i="4"/>
  <c r="T795" i="4"/>
  <c r="U795" i="4"/>
  <c r="V795" i="4"/>
  <c r="W795" i="4"/>
  <c r="T796" i="4"/>
  <c r="U796" i="4"/>
  <c r="V796" i="4"/>
  <c r="W796" i="4"/>
  <c r="T797" i="4"/>
  <c r="U797" i="4"/>
  <c r="V797" i="4"/>
  <c r="W797" i="4"/>
  <c r="T798" i="4"/>
  <c r="U798" i="4"/>
  <c r="V798" i="4"/>
  <c r="W798" i="4"/>
  <c r="T799" i="4"/>
  <c r="U799" i="4"/>
  <c r="V799" i="4"/>
  <c r="W799" i="4"/>
  <c r="T800" i="4"/>
  <c r="U800" i="4"/>
  <c r="V800" i="4"/>
  <c r="W800" i="4"/>
  <c r="T801" i="4"/>
  <c r="U801" i="4"/>
  <c r="V801" i="4"/>
  <c r="W801" i="4"/>
  <c r="T802" i="4"/>
  <c r="U802" i="4"/>
  <c r="V802" i="4"/>
  <c r="W802" i="4"/>
  <c r="T803" i="4"/>
  <c r="U803" i="4"/>
  <c r="V803" i="4"/>
  <c r="W803" i="4"/>
  <c r="T804" i="4"/>
  <c r="U804" i="4"/>
  <c r="V804" i="4"/>
  <c r="W804" i="4"/>
  <c r="T805" i="4"/>
  <c r="U805" i="4"/>
  <c r="V805" i="4"/>
  <c r="W805" i="4"/>
  <c r="T806" i="4"/>
  <c r="U806" i="4"/>
  <c r="V806" i="4"/>
  <c r="W806" i="4"/>
  <c r="T807" i="4"/>
  <c r="U807" i="4"/>
  <c r="V807" i="4"/>
  <c r="W807" i="4"/>
  <c r="T808" i="4"/>
  <c r="U808" i="4"/>
  <c r="V808" i="4"/>
  <c r="W808" i="4"/>
  <c r="T809" i="4"/>
  <c r="U809" i="4"/>
  <c r="V809" i="4"/>
  <c r="W809" i="4"/>
  <c r="T810" i="4"/>
  <c r="U810" i="4"/>
  <c r="V810" i="4"/>
  <c r="W810" i="4"/>
  <c r="T811" i="4"/>
  <c r="U811" i="4"/>
  <c r="V811" i="4"/>
  <c r="W811" i="4"/>
  <c r="T812" i="4"/>
  <c r="U812" i="4"/>
  <c r="V812" i="4"/>
  <c r="W812" i="4"/>
  <c r="T813" i="4"/>
  <c r="U813" i="4"/>
  <c r="V813" i="4"/>
  <c r="W813" i="4"/>
  <c r="T814" i="4"/>
  <c r="U814" i="4"/>
  <c r="V814" i="4"/>
  <c r="W814" i="4"/>
  <c r="T815" i="4"/>
  <c r="U815" i="4"/>
  <c r="V815" i="4"/>
  <c r="W815" i="4"/>
  <c r="T816" i="4"/>
  <c r="U816" i="4"/>
  <c r="V816" i="4"/>
  <c r="W816" i="4"/>
  <c r="T817" i="4"/>
  <c r="U817" i="4"/>
  <c r="V817" i="4"/>
  <c r="W817" i="4"/>
  <c r="T818" i="4"/>
  <c r="U818" i="4"/>
  <c r="V818" i="4"/>
  <c r="W818" i="4"/>
  <c r="T819" i="4"/>
  <c r="U819" i="4"/>
  <c r="V819" i="4"/>
  <c r="W819" i="4"/>
  <c r="T820" i="4"/>
  <c r="U820" i="4"/>
  <c r="V820" i="4"/>
  <c r="W820" i="4"/>
  <c r="T821" i="4"/>
  <c r="U821" i="4"/>
  <c r="V821" i="4"/>
  <c r="W821" i="4"/>
  <c r="T822" i="4"/>
  <c r="U822" i="4"/>
  <c r="V822" i="4"/>
  <c r="W822" i="4"/>
  <c r="T823" i="4"/>
  <c r="U823" i="4"/>
  <c r="V823" i="4"/>
  <c r="W823" i="4"/>
  <c r="T824" i="4"/>
  <c r="U824" i="4"/>
  <c r="V824" i="4"/>
  <c r="W824" i="4"/>
  <c r="T825" i="4"/>
  <c r="U825" i="4"/>
  <c r="V825" i="4"/>
  <c r="W825" i="4"/>
  <c r="T826" i="4"/>
  <c r="U826" i="4"/>
  <c r="V826" i="4"/>
  <c r="W826" i="4"/>
  <c r="T827" i="4"/>
  <c r="U827" i="4"/>
  <c r="V827" i="4"/>
  <c r="W827" i="4"/>
  <c r="T828" i="4"/>
  <c r="U828" i="4"/>
  <c r="V828" i="4"/>
  <c r="W828" i="4"/>
  <c r="T829" i="4"/>
  <c r="U829" i="4"/>
  <c r="V829" i="4"/>
  <c r="W829" i="4"/>
  <c r="T830" i="4"/>
  <c r="U830" i="4"/>
  <c r="V830" i="4"/>
  <c r="W830" i="4"/>
  <c r="T831" i="4"/>
  <c r="U831" i="4"/>
  <c r="V831" i="4"/>
  <c r="W831" i="4"/>
  <c r="T832" i="4"/>
  <c r="U832" i="4"/>
  <c r="V832" i="4"/>
  <c r="W832" i="4"/>
  <c r="T833" i="4"/>
  <c r="U833" i="4"/>
  <c r="V833" i="4"/>
  <c r="W833" i="4"/>
  <c r="T834" i="4"/>
  <c r="U834" i="4"/>
  <c r="V834" i="4"/>
  <c r="W834" i="4"/>
  <c r="T835" i="4"/>
  <c r="U835" i="4"/>
  <c r="V835" i="4"/>
  <c r="W835" i="4"/>
  <c r="T836" i="4"/>
  <c r="U836" i="4"/>
  <c r="V836" i="4"/>
  <c r="W836" i="4"/>
  <c r="T837" i="4"/>
  <c r="U837" i="4"/>
  <c r="V837" i="4"/>
  <c r="W837" i="4"/>
  <c r="T838" i="4"/>
  <c r="U838" i="4"/>
  <c r="V838" i="4"/>
  <c r="W838" i="4"/>
  <c r="T839" i="4"/>
  <c r="U839" i="4"/>
  <c r="V839" i="4"/>
  <c r="W839" i="4"/>
  <c r="T840" i="4"/>
  <c r="U840" i="4"/>
  <c r="V840" i="4"/>
  <c r="W840" i="4"/>
  <c r="T841" i="4"/>
  <c r="U841" i="4"/>
  <c r="V841" i="4"/>
  <c r="W841" i="4"/>
  <c r="T842" i="4"/>
  <c r="U842" i="4"/>
  <c r="V842" i="4"/>
  <c r="W842" i="4"/>
  <c r="T843" i="4"/>
  <c r="U843" i="4"/>
  <c r="V843" i="4"/>
  <c r="W843" i="4"/>
  <c r="T844" i="4"/>
  <c r="U844" i="4"/>
  <c r="V844" i="4"/>
  <c r="W844" i="4"/>
  <c r="T845" i="4"/>
  <c r="U845" i="4"/>
  <c r="V845" i="4"/>
  <c r="W845" i="4"/>
  <c r="T846" i="4"/>
  <c r="U846" i="4"/>
  <c r="V846" i="4"/>
  <c r="W846" i="4"/>
  <c r="T847" i="4"/>
  <c r="U847" i="4"/>
  <c r="V847" i="4"/>
  <c r="W847" i="4"/>
  <c r="T848" i="4"/>
  <c r="U848" i="4"/>
  <c r="V848" i="4"/>
  <c r="W848" i="4"/>
  <c r="T849" i="4"/>
  <c r="U849" i="4"/>
  <c r="V849" i="4"/>
  <c r="W849" i="4"/>
  <c r="T850" i="4"/>
  <c r="U850" i="4"/>
  <c r="V850" i="4"/>
  <c r="W850" i="4"/>
  <c r="T851" i="4"/>
  <c r="U851" i="4"/>
  <c r="V851" i="4"/>
  <c r="W851" i="4"/>
  <c r="T852" i="4"/>
  <c r="U852" i="4"/>
  <c r="V852" i="4"/>
  <c r="W852" i="4"/>
  <c r="T853" i="4"/>
  <c r="U853" i="4"/>
  <c r="V853" i="4"/>
  <c r="W853" i="4"/>
  <c r="T854" i="4"/>
  <c r="U854" i="4"/>
  <c r="V854" i="4"/>
  <c r="W854" i="4"/>
  <c r="T855" i="4"/>
  <c r="U855" i="4"/>
  <c r="V855" i="4"/>
  <c r="W855" i="4"/>
  <c r="T856" i="4"/>
  <c r="U856" i="4"/>
  <c r="V856" i="4"/>
  <c r="W856" i="4"/>
  <c r="T857" i="4"/>
  <c r="U857" i="4"/>
  <c r="V857" i="4"/>
  <c r="W857" i="4"/>
  <c r="T858" i="4"/>
  <c r="U858" i="4"/>
  <c r="V858" i="4"/>
  <c r="W858" i="4"/>
  <c r="T859" i="4"/>
  <c r="U859" i="4"/>
  <c r="V859" i="4"/>
  <c r="W859" i="4"/>
  <c r="T860" i="4"/>
  <c r="U860" i="4"/>
  <c r="V860" i="4"/>
  <c r="W860" i="4"/>
  <c r="T861" i="4"/>
  <c r="U861" i="4"/>
  <c r="V861" i="4"/>
  <c r="W861" i="4"/>
  <c r="T862" i="4"/>
  <c r="U862" i="4"/>
  <c r="V862" i="4"/>
  <c r="W862" i="4"/>
  <c r="T863" i="4"/>
  <c r="U863" i="4"/>
  <c r="V863" i="4"/>
  <c r="W863" i="4"/>
  <c r="T864" i="4"/>
  <c r="U864" i="4"/>
  <c r="V864" i="4"/>
  <c r="W864" i="4"/>
  <c r="T865" i="4"/>
  <c r="U865" i="4"/>
  <c r="V865" i="4"/>
  <c r="W865" i="4"/>
  <c r="T866" i="4"/>
  <c r="U866" i="4"/>
  <c r="V866" i="4"/>
  <c r="W866" i="4"/>
  <c r="T867" i="4"/>
  <c r="U867" i="4"/>
  <c r="V867" i="4"/>
  <c r="W867" i="4"/>
  <c r="T868" i="4"/>
  <c r="U868" i="4"/>
  <c r="V868" i="4"/>
  <c r="W868" i="4"/>
  <c r="T869" i="4"/>
  <c r="U869" i="4"/>
  <c r="V869" i="4"/>
  <c r="W869" i="4"/>
  <c r="T870" i="4"/>
  <c r="U870" i="4"/>
  <c r="V870" i="4"/>
  <c r="W870" i="4"/>
  <c r="T871" i="4"/>
  <c r="U871" i="4"/>
  <c r="V871" i="4"/>
  <c r="W871" i="4"/>
  <c r="T872" i="4"/>
  <c r="U872" i="4"/>
  <c r="V872" i="4"/>
  <c r="W872" i="4"/>
  <c r="T873" i="4"/>
  <c r="U873" i="4"/>
  <c r="V873" i="4"/>
  <c r="W873" i="4"/>
  <c r="T874" i="4"/>
  <c r="U874" i="4"/>
  <c r="V874" i="4"/>
  <c r="W874" i="4"/>
  <c r="T875" i="4"/>
  <c r="U875" i="4"/>
  <c r="V875" i="4"/>
  <c r="W875" i="4"/>
  <c r="T876" i="4"/>
  <c r="U876" i="4"/>
  <c r="V876" i="4"/>
  <c r="W876" i="4"/>
  <c r="T877" i="4"/>
  <c r="U877" i="4"/>
  <c r="V877" i="4"/>
  <c r="W877" i="4"/>
  <c r="T878" i="4"/>
  <c r="U878" i="4"/>
  <c r="V878" i="4"/>
  <c r="W878" i="4"/>
  <c r="T879" i="4"/>
  <c r="U879" i="4"/>
  <c r="V879" i="4"/>
  <c r="AB8" i="4" s="1"/>
  <c r="W879" i="4"/>
  <c r="T880" i="4"/>
  <c r="U880" i="4"/>
  <c r="V880" i="4"/>
  <c r="W880" i="4"/>
  <c r="T881" i="4"/>
  <c r="U881" i="4"/>
  <c r="V881" i="4"/>
  <c r="W881" i="4"/>
  <c r="T882" i="4"/>
  <c r="U882" i="4"/>
  <c r="V882" i="4"/>
  <c r="W882" i="4"/>
  <c r="T883" i="4"/>
  <c r="U883" i="4"/>
  <c r="V883" i="4"/>
  <c r="W883" i="4"/>
  <c r="T884" i="4"/>
  <c r="U884" i="4"/>
  <c r="V884" i="4"/>
  <c r="W884" i="4"/>
  <c r="T885" i="4"/>
  <c r="U885" i="4"/>
  <c r="V885" i="4"/>
  <c r="W885" i="4"/>
  <c r="T886" i="4"/>
  <c r="U886" i="4"/>
  <c r="V886" i="4"/>
  <c r="W886" i="4"/>
  <c r="T887" i="4"/>
  <c r="U887" i="4"/>
  <c r="V887" i="4"/>
  <c r="W887" i="4"/>
  <c r="T888" i="4"/>
  <c r="U888" i="4"/>
  <c r="V888" i="4"/>
  <c r="W888" i="4"/>
  <c r="T889" i="4"/>
  <c r="U889" i="4"/>
  <c r="V889" i="4"/>
  <c r="W889" i="4"/>
  <c r="T890" i="4"/>
  <c r="U890" i="4"/>
  <c r="V890" i="4"/>
  <c r="W890" i="4"/>
  <c r="T891" i="4"/>
  <c r="U891" i="4"/>
  <c r="V891" i="4"/>
  <c r="W891" i="4"/>
  <c r="T892" i="4"/>
  <c r="U892" i="4"/>
  <c r="V892" i="4"/>
  <c r="W892" i="4"/>
  <c r="T893" i="4"/>
  <c r="U893" i="4"/>
  <c r="V893" i="4"/>
  <c r="W893" i="4"/>
  <c r="T894" i="4"/>
  <c r="U894" i="4"/>
  <c r="V894" i="4"/>
  <c r="W894" i="4"/>
  <c r="T895" i="4"/>
  <c r="U895" i="4"/>
  <c r="V895" i="4"/>
  <c r="W895" i="4"/>
  <c r="T896" i="4"/>
  <c r="U896" i="4"/>
  <c r="V896" i="4"/>
  <c r="W896" i="4"/>
  <c r="T897" i="4"/>
  <c r="U897" i="4"/>
  <c r="V897" i="4"/>
  <c r="W897" i="4"/>
  <c r="T898" i="4"/>
  <c r="U898" i="4"/>
  <c r="V898" i="4"/>
  <c r="W898" i="4"/>
  <c r="T899" i="4"/>
  <c r="U899" i="4"/>
  <c r="V899" i="4"/>
  <c r="W899" i="4"/>
  <c r="T900" i="4"/>
  <c r="U900" i="4"/>
  <c r="V900" i="4"/>
  <c r="W900" i="4"/>
  <c r="T901" i="4"/>
  <c r="U901" i="4"/>
  <c r="V901" i="4"/>
  <c r="W901" i="4"/>
  <c r="T902" i="4"/>
  <c r="U902" i="4"/>
  <c r="V902" i="4"/>
  <c r="W902" i="4"/>
  <c r="T903" i="4"/>
  <c r="U903" i="4"/>
  <c r="V903" i="4"/>
  <c r="W903" i="4"/>
  <c r="T904" i="4"/>
  <c r="U904" i="4"/>
  <c r="V904" i="4"/>
  <c r="W904" i="4"/>
  <c r="T905" i="4"/>
  <c r="U905" i="4"/>
  <c r="V905" i="4"/>
  <c r="W905" i="4"/>
  <c r="T906" i="4"/>
  <c r="U906" i="4"/>
  <c r="V906" i="4"/>
  <c r="W906" i="4"/>
  <c r="T907" i="4"/>
  <c r="U907" i="4"/>
  <c r="V907" i="4"/>
  <c r="W907" i="4"/>
  <c r="T908" i="4"/>
  <c r="U908" i="4"/>
  <c r="V908" i="4"/>
  <c r="W908" i="4"/>
  <c r="T909" i="4"/>
  <c r="U909" i="4"/>
  <c r="V909" i="4"/>
  <c r="W909" i="4"/>
  <c r="T910" i="4"/>
  <c r="U910" i="4"/>
  <c r="V910" i="4"/>
  <c r="W910" i="4"/>
  <c r="T911" i="4"/>
  <c r="U911" i="4"/>
  <c r="V911" i="4"/>
  <c r="W911" i="4"/>
  <c r="T912" i="4"/>
  <c r="U912" i="4"/>
  <c r="V912" i="4"/>
  <c r="W912" i="4"/>
  <c r="T913" i="4"/>
  <c r="U913" i="4"/>
  <c r="V913" i="4"/>
  <c r="W913" i="4"/>
  <c r="T914" i="4"/>
  <c r="U914" i="4"/>
  <c r="V914" i="4"/>
  <c r="W914" i="4"/>
  <c r="T915" i="4"/>
  <c r="U915" i="4"/>
  <c r="V915" i="4"/>
  <c r="W915" i="4"/>
  <c r="T916" i="4"/>
  <c r="U916" i="4"/>
  <c r="V916" i="4"/>
  <c r="W916" i="4"/>
  <c r="T917" i="4"/>
  <c r="U917" i="4"/>
  <c r="V917" i="4"/>
  <c r="W917" i="4"/>
  <c r="T918" i="4"/>
  <c r="U918" i="4"/>
  <c r="V918" i="4"/>
  <c r="W918" i="4"/>
  <c r="T919" i="4"/>
  <c r="U919" i="4"/>
  <c r="V919" i="4"/>
  <c r="W919" i="4"/>
  <c r="T920" i="4"/>
  <c r="U920" i="4"/>
  <c r="V920" i="4"/>
  <c r="W920" i="4"/>
  <c r="T921" i="4"/>
  <c r="U921" i="4"/>
  <c r="V921" i="4"/>
  <c r="W921" i="4"/>
  <c r="T922" i="4"/>
  <c r="U922" i="4"/>
  <c r="V922" i="4"/>
  <c r="W922" i="4"/>
  <c r="T923" i="4"/>
  <c r="U923" i="4"/>
  <c r="V923" i="4"/>
  <c r="W923" i="4"/>
  <c r="T924" i="4"/>
  <c r="U924" i="4"/>
  <c r="V924" i="4"/>
  <c r="W924" i="4"/>
  <c r="T925" i="4"/>
  <c r="U925" i="4"/>
  <c r="V925" i="4"/>
  <c r="W925" i="4"/>
  <c r="T926" i="4"/>
  <c r="U926" i="4"/>
  <c r="V926" i="4"/>
  <c r="W926" i="4"/>
  <c r="T927" i="4"/>
  <c r="U927" i="4"/>
  <c r="V927" i="4"/>
  <c r="W927" i="4"/>
  <c r="T928" i="4"/>
  <c r="U928" i="4"/>
  <c r="V928" i="4"/>
  <c r="W928" i="4"/>
  <c r="T929" i="4"/>
  <c r="U929" i="4"/>
  <c r="V929" i="4"/>
  <c r="W929" i="4"/>
  <c r="T930" i="4"/>
  <c r="U930" i="4"/>
  <c r="V930" i="4"/>
  <c r="W930" i="4"/>
  <c r="T931" i="4"/>
  <c r="U931" i="4"/>
  <c r="V931" i="4"/>
  <c r="W931" i="4"/>
  <c r="T932" i="4"/>
  <c r="U932" i="4"/>
  <c r="V932" i="4"/>
  <c r="W932" i="4"/>
  <c r="T933" i="4"/>
  <c r="U933" i="4"/>
  <c r="V933" i="4"/>
  <c r="W933" i="4"/>
  <c r="T934" i="4"/>
  <c r="U934" i="4"/>
  <c r="V934" i="4"/>
  <c r="W934" i="4"/>
  <c r="T935" i="4"/>
  <c r="U935" i="4"/>
  <c r="V935" i="4"/>
  <c r="W935" i="4"/>
  <c r="T936" i="4"/>
  <c r="U936" i="4"/>
  <c r="V936" i="4"/>
  <c r="W936" i="4"/>
  <c r="T937" i="4"/>
  <c r="U937" i="4"/>
  <c r="V937" i="4"/>
  <c r="W937" i="4"/>
  <c r="T938" i="4"/>
  <c r="U938" i="4"/>
  <c r="V938" i="4"/>
  <c r="W938" i="4"/>
  <c r="T939" i="4"/>
  <c r="U939" i="4"/>
  <c r="V939" i="4"/>
  <c r="W939" i="4"/>
  <c r="T940" i="4"/>
  <c r="U940" i="4"/>
  <c r="V940" i="4"/>
  <c r="W940" i="4"/>
  <c r="T941" i="4"/>
  <c r="U941" i="4"/>
  <c r="V941" i="4"/>
  <c r="W941" i="4"/>
  <c r="T942" i="4"/>
  <c r="U942" i="4"/>
  <c r="V942" i="4"/>
  <c r="W942" i="4"/>
  <c r="T943" i="4"/>
  <c r="U943" i="4"/>
  <c r="V943" i="4"/>
  <c r="W943" i="4"/>
  <c r="T944" i="4"/>
  <c r="U944" i="4"/>
  <c r="V944" i="4"/>
  <c r="W944" i="4"/>
  <c r="T945" i="4"/>
  <c r="U945" i="4"/>
  <c r="V945" i="4"/>
  <c r="W945" i="4"/>
  <c r="T946" i="4"/>
  <c r="U946" i="4"/>
  <c r="V946" i="4"/>
  <c r="W946" i="4"/>
  <c r="T947" i="4"/>
  <c r="U947" i="4"/>
  <c r="V947" i="4"/>
  <c r="W947" i="4"/>
  <c r="T948" i="4"/>
  <c r="U948" i="4"/>
  <c r="V948" i="4"/>
  <c r="W948" i="4"/>
  <c r="T949" i="4"/>
  <c r="U949" i="4"/>
  <c r="V949" i="4"/>
  <c r="W949" i="4"/>
  <c r="T950" i="4"/>
  <c r="U950" i="4"/>
  <c r="V950" i="4"/>
  <c r="W950" i="4"/>
  <c r="T951" i="4"/>
  <c r="U951" i="4"/>
  <c r="V951" i="4"/>
  <c r="W951" i="4"/>
  <c r="T952" i="4"/>
  <c r="U952" i="4"/>
  <c r="V952" i="4"/>
  <c r="W952" i="4"/>
  <c r="T953" i="4"/>
  <c r="U953" i="4"/>
  <c r="V953" i="4"/>
  <c r="W953" i="4"/>
  <c r="T954" i="4"/>
  <c r="U954" i="4"/>
  <c r="V954" i="4"/>
  <c r="W954" i="4"/>
  <c r="T955" i="4"/>
  <c r="U955" i="4"/>
  <c r="V955" i="4"/>
  <c r="W955" i="4"/>
  <c r="T956" i="4"/>
  <c r="U956" i="4"/>
  <c r="V956" i="4"/>
  <c r="W956" i="4"/>
  <c r="T957" i="4"/>
  <c r="U957" i="4"/>
  <c r="V957" i="4"/>
  <c r="W957" i="4"/>
  <c r="T958" i="4"/>
  <c r="U958" i="4"/>
  <c r="V958" i="4"/>
  <c r="W958" i="4"/>
  <c r="T959" i="4"/>
  <c r="U959" i="4"/>
  <c r="V959" i="4"/>
  <c r="W959" i="4"/>
  <c r="T960" i="4"/>
  <c r="U960" i="4"/>
  <c r="V960" i="4"/>
  <c r="W960" i="4"/>
  <c r="T961" i="4"/>
  <c r="U961" i="4"/>
  <c r="V961" i="4"/>
  <c r="W961" i="4"/>
  <c r="T962" i="4"/>
  <c r="U962" i="4"/>
  <c r="V962" i="4"/>
  <c r="W962" i="4"/>
  <c r="W3" i="4"/>
  <c r="V3" i="4"/>
  <c r="U3" i="4"/>
  <c r="T3" i="4"/>
  <c r="P9" i="4"/>
  <c r="Q9" i="4"/>
  <c r="R9" i="4"/>
  <c r="O9" i="4"/>
  <c r="AA8" i="4"/>
  <c r="Z8" i="4"/>
  <c r="AB7" i="4"/>
  <c r="AA7" i="4"/>
  <c r="Z7" i="4"/>
  <c r="AB6" i="4"/>
  <c r="AA6" i="4"/>
  <c r="Z6" i="4"/>
  <c r="AB5" i="4"/>
  <c r="AA5" i="4"/>
  <c r="Z5" i="4"/>
  <c r="R8" i="4"/>
  <c r="R7" i="4"/>
  <c r="R6" i="4"/>
  <c r="R5" i="4"/>
  <c r="Q8" i="4"/>
  <c r="Q7" i="4"/>
  <c r="Q6" i="4"/>
  <c r="Q5" i="4"/>
  <c r="P8" i="4"/>
  <c r="P7" i="4"/>
  <c r="P6" i="4"/>
  <c r="P5" i="4"/>
  <c r="O8" i="4"/>
  <c r="O7" i="4"/>
  <c r="O6" i="4"/>
  <c r="O5" i="4"/>
  <c r="I4" i="4"/>
  <c r="J4" i="4"/>
  <c r="K4" i="4"/>
  <c r="L4" i="4"/>
  <c r="I5" i="4"/>
  <c r="J5" i="4"/>
  <c r="K5" i="4"/>
  <c r="L5" i="4"/>
  <c r="I6" i="4"/>
  <c r="J6" i="4"/>
  <c r="K6" i="4"/>
  <c r="L6" i="4"/>
  <c r="I7" i="4"/>
  <c r="J7" i="4"/>
  <c r="K7" i="4"/>
  <c r="L7" i="4"/>
  <c r="I8" i="4"/>
  <c r="J8" i="4"/>
  <c r="K8" i="4"/>
  <c r="L8" i="4"/>
  <c r="I9" i="4"/>
  <c r="J9" i="4"/>
  <c r="K9" i="4"/>
  <c r="L9" i="4"/>
  <c r="I10" i="4"/>
  <c r="J10" i="4"/>
  <c r="K10" i="4"/>
  <c r="L10" i="4"/>
  <c r="I11" i="4"/>
  <c r="J11" i="4"/>
  <c r="K11" i="4"/>
  <c r="L11" i="4"/>
  <c r="I12" i="4"/>
  <c r="J12" i="4"/>
  <c r="K12" i="4"/>
  <c r="L12" i="4"/>
  <c r="I13" i="4"/>
  <c r="J13" i="4"/>
  <c r="K13" i="4"/>
  <c r="L13" i="4"/>
  <c r="I14" i="4"/>
  <c r="J14" i="4"/>
  <c r="K14" i="4"/>
  <c r="L14" i="4"/>
  <c r="I15" i="4"/>
  <c r="J15" i="4"/>
  <c r="K15" i="4"/>
  <c r="L15" i="4"/>
  <c r="I16" i="4"/>
  <c r="J16" i="4"/>
  <c r="K16" i="4"/>
  <c r="L16" i="4"/>
  <c r="I17" i="4"/>
  <c r="J17" i="4"/>
  <c r="K17" i="4"/>
  <c r="L17" i="4"/>
  <c r="I18" i="4"/>
  <c r="J18" i="4"/>
  <c r="K18" i="4"/>
  <c r="L18" i="4"/>
  <c r="I19" i="4"/>
  <c r="J19" i="4"/>
  <c r="K19" i="4"/>
  <c r="L19" i="4"/>
  <c r="I20" i="4"/>
  <c r="J20" i="4"/>
  <c r="K20" i="4"/>
  <c r="L20" i="4"/>
  <c r="I21" i="4"/>
  <c r="J21" i="4"/>
  <c r="K21" i="4"/>
  <c r="L21" i="4"/>
  <c r="I22" i="4"/>
  <c r="J22" i="4"/>
  <c r="K22" i="4"/>
  <c r="L22" i="4"/>
  <c r="I23" i="4"/>
  <c r="J23" i="4"/>
  <c r="K23" i="4"/>
  <c r="L23" i="4"/>
  <c r="I24" i="4"/>
  <c r="J24" i="4"/>
  <c r="K24" i="4"/>
  <c r="L24" i="4"/>
  <c r="I25" i="4"/>
  <c r="J25" i="4"/>
  <c r="K25" i="4"/>
  <c r="L25" i="4"/>
  <c r="I26" i="4"/>
  <c r="J26" i="4"/>
  <c r="K26" i="4"/>
  <c r="L26" i="4"/>
  <c r="I27" i="4"/>
  <c r="J27" i="4"/>
  <c r="K27" i="4"/>
  <c r="L27" i="4"/>
  <c r="I28" i="4"/>
  <c r="J28" i="4"/>
  <c r="K28" i="4"/>
  <c r="L28" i="4"/>
  <c r="I29" i="4"/>
  <c r="J29" i="4"/>
  <c r="K29" i="4"/>
  <c r="L29" i="4"/>
  <c r="I30" i="4"/>
  <c r="J30" i="4"/>
  <c r="K30" i="4"/>
  <c r="L30" i="4"/>
  <c r="I31" i="4"/>
  <c r="J31" i="4"/>
  <c r="K31" i="4"/>
  <c r="L31" i="4"/>
  <c r="I32" i="4"/>
  <c r="J32" i="4"/>
  <c r="K32" i="4"/>
  <c r="L32" i="4"/>
  <c r="I33" i="4"/>
  <c r="J33" i="4"/>
  <c r="K33" i="4"/>
  <c r="L33" i="4"/>
  <c r="I34" i="4"/>
  <c r="J34" i="4"/>
  <c r="K34" i="4"/>
  <c r="L34" i="4"/>
  <c r="I35" i="4"/>
  <c r="J35" i="4"/>
  <c r="K35" i="4"/>
  <c r="L35" i="4"/>
  <c r="I36" i="4"/>
  <c r="J36" i="4"/>
  <c r="K36" i="4"/>
  <c r="L36" i="4"/>
  <c r="I37" i="4"/>
  <c r="J37" i="4"/>
  <c r="K37" i="4"/>
  <c r="L37" i="4"/>
  <c r="I38" i="4"/>
  <c r="J38" i="4"/>
  <c r="K38" i="4"/>
  <c r="L38" i="4"/>
  <c r="I39" i="4"/>
  <c r="J39" i="4"/>
  <c r="K39" i="4"/>
  <c r="L39" i="4"/>
  <c r="I40" i="4"/>
  <c r="J40" i="4"/>
  <c r="K40" i="4"/>
  <c r="L40" i="4"/>
  <c r="I41" i="4"/>
  <c r="J41" i="4"/>
  <c r="K41" i="4"/>
  <c r="L41" i="4"/>
  <c r="I42" i="4"/>
  <c r="J42" i="4"/>
  <c r="K42" i="4"/>
  <c r="L42" i="4"/>
  <c r="I43" i="4"/>
  <c r="J43" i="4"/>
  <c r="K43" i="4"/>
  <c r="L43" i="4"/>
  <c r="I44" i="4"/>
  <c r="J44" i="4"/>
  <c r="K44" i="4"/>
  <c r="L44" i="4"/>
  <c r="I45" i="4"/>
  <c r="J45" i="4"/>
  <c r="K45" i="4"/>
  <c r="L45" i="4"/>
  <c r="I46" i="4"/>
  <c r="J46" i="4"/>
  <c r="K46" i="4"/>
  <c r="L46" i="4"/>
  <c r="I47" i="4"/>
  <c r="J47" i="4"/>
  <c r="K47" i="4"/>
  <c r="L47" i="4"/>
  <c r="I48" i="4"/>
  <c r="J48" i="4"/>
  <c r="K48" i="4"/>
  <c r="L48" i="4"/>
  <c r="I49" i="4"/>
  <c r="J49" i="4"/>
  <c r="K49" i="4"/>
  <c r="L49" i="4"/>
  <c r="I50" i="4"/>
  <c r="J50" i="4"/>
  <c r="K50" i="4"/>
  <c r="L50" i="4"/>
  <c r="I51" i="4"/>
  <c r="J51" i="4"/>
  <c r="K51" i="4"/>
  <c r="L51" i="4"/>
  <c r="I52" i="4"/>
  <c r="J52" i="4"/>
  <c r="K52" i="4"/>
  <c r="L52" i="4"/>
  <c r="I53" i="4"/>
  <c r="J53" i="4"/>
  <c r="K53" i="4"/>
  <c r="L53" i="4"/>
  <c r="I54" i="4"/>
  <c r="J54" i="4"/>
  <c r="K54" i="4"/>
  <c r="L54" i="4"/>
  <c r="I55" i="4"/>
  <c r="J55" i="4"/>
  <c r="K55" i="4"/>
  <c r="L55" i="4"/>
  <c r="I56" i="4"/>
  <c r="J56" i="4"/>
  <c r="K56" i="4"/>
  <c r="L56" i="4"/>
  <c r="I57" i="4"/>
  <c r="J57" i="4"/>
  <c r="K57" i="4"/>
  <c r="L57" i="4"/>
  <c r="I58" i="4"/>
  <c r="J58" i="4"/>
  <c r="K58" i="4"/>
  <c r="L58" i="4"/>
  <c r="I59" i="4"/>
  <c r="J59" i="4"/>
  <c r="K59" i="4"/>
  <c r="L59" i="4"/>
  <c r="I60" i="4"/>
  <c r="J60" i="4"/>
  <c r="K60" i="4"/>
  <c r="L60" i="4"/>
  <c r="I61" i="4"/>
  <c r="J61" i="4"/>
  <c r="K61" i="4"/>
  <c r="L61" i="4"/>
  <c r="I62" i="4"/>
  <c r="J62" i="4"/>
  <c r="K62" i="4"/>
  <c r="L62" i="4"/>
  <c r="I63" i="4"/>
  <c r="J63" i="4"/>
  <c r="K63" i="4"/>
  <c r="L63" i="4"/>
  <c r="I64" i="4"/>
  <c r="J64" i="4"/>
  <c r="K64" i="4"/>
  <c r="L64" i="4"/>
  <c r="I65" i="4"/>
  <c r="J65" i="4"/>
  <c r="K65" i="4"/>
  <c r="L65" i="4"/>
  <c r="I66" i="4"/>
  <c r="J66" i="4"/>
  <c r="K66" i="4"/>
  <c r="L66" i="4"/>
  <c r="I67" i="4"/>
  <c r="J67" i="4"/>
  <c r="K67" i="4"/>
  <c r="L67" i="4"/>
  <c r="I68" i="4"/>
  <c r="J68" i="4"/>
  <c r="K68" i="4"/>
  <c r="L68" i="4"/>
  <c r="I69" i="4"/>
  <c r="J69" i="4"/>
  <c r="K69" i="4"/>
  <c r="L69" i="4"/>
  <c r="I70" i="4"/>
  <c r="J70" i="4"/>
  <c r="K70" i="4"/>
  <c r="L70" i="4"/>
  <c r="I71" i="4"/>
  <c r="J71" i="4"/>
  <c r="K71" i="4"/>
  <c r="L71" i="4"/>
  <c r="I72" i="4"/>
  <c r="J72" i="4"/>
  <c r="K72" i="4"/>
  <c r="L72" i="4"/>
  <c r="I73" i="4"/>
  <c r="J73" i="4"/>
  <c r="K73" i="4"/>
  <c r="L73" i="4"/>
  <c r="I74" i="4"/>
  <c r="J74" i="4"/>
  <c r="K74" i="4"/>
  <c r="L74" i="4"/>
  <c r="I75" i="4"/>
  <c r="J75" i="4"/>
  <c r="K75" i="4"/>
  <c r="L75" i="4"/>
  <c r="I76" i="4"/>
  <c r="J76" i="4"/>
  <c r="K76" i="4"/>
  <c r="L76" i="4"/>
  <c r="I77" i="4"/>
  <c r="J77" i="4"/>
  <c r="K77" i="4"/>
  <c r="L77" i="4"/>
  <c r="I78" i="4"/>
  <c r="J78" i="4"/>
  <c r="K78" i="4"/>
  <c r="L78" i="4"/>
  <c r="I79" i="4"/>
  <c r="J79" i="4"/>
  <c r="K79" i="4"/>
  <c r="L79" i="4"/>
  <c r="I80" i="4"/>
  <c r="J80" i="4"/>
  <c r="K80" i="4"/>
  <c r="L80" i="4"/>
  <c r="I81" i="4"/>
  <c r="J81" i="4"/>
  <c r="K81" i="4"/>
  <c r="L81" i="4"/>
  <c r="I82" i="4"/>
  <c r="J82" i="4"/>
  <c r="K82" i="4"/>
  <c r="L82" i="4"/>
  <c r="I83" i="4"/>
  <c r="J83" i="4"/>
  <c r="K83" i="4"/>
  <c r="L83" i="4"/>
  <c r="I84" i="4"/>
  <c r="J84" i="4"/>
  <c r="K84" i="4"/>
  <c r="L84" i="4"/>
  <c r="I85" i="4"/>
  <c r="J85" i="4"/>
  <c r="K85" i="4"/>
  <c r="L85" i="4"/>
  <c r="I86" i="4"/>
  <c r="J86" i="4"/>
  <c r="K86" i="4"/>
  <c r="L86" i="4"/>
  <c r="I87" i="4"/>
  <c r="J87" i="4"/>
  <c r="K87" i="4"/>
  <c r="L87" i="4"/>
  <c r="I88" i="4"/>
  <c r="J88" i="4"/>
  <c r="K88" i="4"/>
  <c r="L88" i="4"/>
  <c r="I89" i="4"/>
  <c r="J89" i="4"/>
  <c r="K89" i="4"/>
  <c r="L89" i="4"/>
  <c r="I90" i="4"/>
  <c r="J90" i="4"/>
  <c r="K90" i="4"/>
  <c r="L90" i="4"/>
  <c r="I91" i="4"/>
  <c r="J91" i="4"/>
  <c r="K91" i="4"/>
  <c r="L91" i="4"/>
  <c r="I92" i="4"/>
  <c r="J92" i="4"/>
  <c r="K92" i="4"/>
  <c r="L92" i="4"/>
  <c r="I93" i="4"/>
  <c r="J93" i="4"/>
  <c r="K93" i="4"/>
  <c r="L93" i="4"/>
  <c r="I94" i="4"/>
  <c r="J94" i="4"/>
  <c r="K94" i="4"/>
  <c r="L94" i="4"/>
  <c r="I95" i="4"/>
  <c r="J95" i="4"/>
  <c r="K95" i="4"/>
  <c r="L95" i="4"/>
  <c r="I96" i="4"/>
  <c r="J96" i="4"/>
  <c r="K96" i="4"/>
  <c r="L96" i="4"/>
  <c r="I97" i="4"/>
  <c r="J97" i="4"/>
  <c r="K97" i="4"/>
  <c r="L97" i="4"/>
  <c r="I98" i="4"/>
  <c r="J98" i="4"/>
  <c r="K98" i="4"/>
  <c r="L98" i="4"/>
  <c r="I99" i="4"/>
  <c r="J99" i="4"/>
  <c r="K99" i="4"/>
  <c r="L99" i="4"/>
  <c r="I100" i="4"/>
  <c r="J100" i="4"/>
  <c r="K100" i="4"/>
  <c r="L100" i="4"/>
  <c r="I101" i="4"/>
  <c r="J101" i="4"/>
  <c r="K101" i="4"/>
  <c r="L101" i="4"/>
  <c r="I102" i="4"/>
  <c r="J102" i="4"/>
  <c r="K102" i="4"/>
  <c r="L102" i="4"/>
  <c r="I103" i="4"/>
  <c r="J103" i="4"/>
  <c r="K103" i="4"/>
  <c r="L103" i="4"/>
  <c r="I104" i="4"/>
  <c r="J104" i="4"/>
  <c r="K104" i="4"/>
  <c r="L104" i="4"/>
  <c r="I105" i="4"/>
  <c r="J105" i="4"/>
  <c r="K105" i="4"/>
  <c r="L105" i="4"/>
  <c r="I106" i="4"/>
  <c r="J106" i="4"/>
  <c r="K106" i="4"/>
  <c r="L106" i="4"/>
  <c r="I107" i="4"/>
  <c r="J107" i="4"/>
  <c r="K107" i="4"/>
  <c r="L107" i="4"/>
  <c r="I108" i="4"/>
  <c r="J108" i="4"/>
  <c r="K108" i="4"/>
  <c r="L108" i="4"/>
  <c r="I109" i="4"/>
  <c r="J109" i="4"/>
  <c r="K109" i="4"/>
  <c r="L109" i="4"/>
  <c r="I110" i="4"/>
  <c r="J110" i="4"/>
  <c r="K110" i="4"/>
  <c r="L110" i="4"/>
  <c r="I111" i="4"/>
  <c r="J111" i="4"/>
  <c r="K111" i="4"/>
  <c r="L111" i="4"/>
  <c r="I112" i="4"/>
  <c r="J112" i="4"/>
  <c r="K112" i="4"/>
  <c r="L112" i="4"/>
  <c r="I113" i="4"/>
  <c r="J113" i="4"/>
  <c r="K113" i="4"/>
  <c r="L113" i="4"/>
  <c r="I114" i="4"/>
  <c r="J114" i="4"/>
  <c r="K114" i="4"/>
  <c r="L114" i="4"/>
  <c r="I115" i="4"/>
  <c r="J115" i="4"/>
  <c r="K115" i="4"/>
  <c r="L115" i="4"/>
  <c r="I116" i="4"/>
  <c r="J116" i="4"/>
  <c r="K116" i="4"/>
  <c r="L116" i="4"/>
  <c r="I117" i="4"/>
  <c r="J117" i="4"/>
  <c r="K117" i="4"/>
  <c r="L117" i="4"/>
  <c r="I118" i="4"/>
  <c r="J118" i="4"/>
  <c r="K118" i="4"/>
  <c r="L118" i="4"/>
  <c r="I119" i="4"/>
  <c r="J119" i="4"/>
  <c r="K119" i="4"/>
  <c r="L119" i="4"/>
  <c r="I120" i="4"/>
  <c r="J120" i="4"/>
  <c r="K120" i="4"/>
  <c r="L120" i="4"/>
  <c r="I121" i="4"/>
  <c r="J121" i="4"/>
  <c r="K121" i="4"/>
  <c r="L121" i="4"/>
  <c r="I122" i="4"/>
  <c r="J122" i="4"/>
  <c r="K122" i="4"/>
  <c r="L122" i="4"/>
  <c r="I123" i="4"/>
  <c r="J123" i="4"/>
  <c r="K123" i="4"/>
  <c r="L123" i="4"/>
  <c r="I124" i="4"/>
  <c r="J124" i="4"/>
  <c r="K124" i="4"/>
  <c r="L124" i="4"/>
  <c r="I125" i="4"/>
  <c r="J125" i="4"/>
  <c r="K125" i="4"/>
  <c r="L125" i="4"/>
  <c r="I126" i="4"/>
  <c r="J126" i="4"/>
  <c r="K126" i="4"/>
  <c r="L126" i="4"/>
  <c r="I127" i="4"/>
  <c r="J127" i="4"/>
  <c r="K127" i="4"/>
  <c r="L127" i="4"/>
  <c r="I128" i="4"/>
  <c r="J128" i="4"/>
  <c r="K128" i="4"/>
  <c r="L128" i="4"/>
  <c r="I129" i="4"/>
  <c r="J129" i="4"/>
  <c r="K129" i="4"/>
  <c r="L129" i="4"/>
  <c r="I130" i="4"/>
  <c r="J130" i="4"/>
  <c r="K130" i="4"/>
  <c r="L130" i="4"/>
  <c r="I131" i="4"/>
  <c r="J131" i="4"/>
  <c r="K131" i="4"/>
  <c r="L131" i="4"/>
  <c r="I132" i="4"/>
  <c r="J132" i="4"/>
  <c r="K132" i="4"/>
  <c r="L132" i="4"/>
  <c r="I133" i="4"/>
  <c r="J133" i="4"/>
  <c r="K133" i="4"/>
  <c r="L133" i="4"/>
  <c r="I134" i="4"/>
  <c r="J134" i="4"/>
  <c r="K134" i="4"/>
  <c r="L134" i="4"/>
  <c r="I135" i="4"/>
  <c r="J135" i="4"/>
  <c r="K135" i="4"/>
  <c r="L135" i="4"/>
  <c r="I136" i="4"/>
  <c r="J136" i="4"/>
  <c r="K136" i="4"/>
  <c r="L136" i="4"/>
  <c r="I137" i="4"/>
  <c r="J137" i="4"/>
  <c r="K137" i="4"/>
  <c r="L137" i="4"/>
  <c r="I138" i="4"/>
  <c r="J138" i="4"/>
  <c r="K138" i="4"/>
  <c r="L138" i="4"/>
  <c r="I139" i="4"/>
  <c r="J139" i="4"/>
  <c r="K139" i="4"/>
  <c r="L139" i="4"/>
  <c r="I140" i="4"/>
  <c r="J140" i="4"/>
  <c r="K140" i="4"/>
  <c r="L140" i="4"/>
  <c r="I141" i="4"/>
  <c r="J141" i="4"/>
  <c r="K141" i="4"/>
  <c r="L141" i="4"/>
  <c r="I142" i="4"/>
  <c r="J142" i="4"/>
  <c r="K142" i="4"/>
  <c r="L142" i="4"/>
  <c r="I143" i="4"/>
  <c r="J143" i="4"/>
  <c r="K143" i="4"/>
  <c r="L143" i="4"/>
  <c r="I144" i="4"/>
  <c r="J144" i="4"/>
  <c r="K144" i="4"/>
  <c r="L144" i="4"/>
  <c r="I145" i="4"/>
  <c r="J145" i="4"/>
  <c r="K145" i="4"/>
  <c r="L145" i="4"/>
  <c r="I146" i="4"/>
  <c r="J146" i="4"/>
  <c r="K146" i="4"/>
  <c r="L146" i="4"/>
  <c r="I147" i="4"/>
  <c r="J147" i="4"/>
  <c r="K147" i="4"/>
  <c r="L147" i="4"/>
  <c r="I148" i="4"/>
  <c r="J148" i="4"/>
  <c r="K148" i="4"/>
  <c r="L148" i="4"/>
  <c r="I149" i="4"/>
  <c r="J149" i="4"/>
  <c r="K149" i="4"/>
  <c r="L149" i="4"/>
  <c r="I150" i="4"/>
  <c r="J150" i="4"/>
  <c r="K150" i="4"/>
  <c r="L150" i="4"/>
  <c r="I151" i="4"/>
  <c r="J151" i="4"/>
  <c r="K151" i="4"/>
  <c r="L151" i="4"/>
  <c r="I152" i="4"/>
  <c r="J152" i="4"/>
  <c r="K152" i="4"/>
  <c r="L152" i="4"/>
  <c r="I153" i="4"/>
  <c r="J153" i="4"/>
  <c r="K153" i="4"/>
  <c r="L153" i="4"/>
  <c r="I154" i="4"/>
  <c r="J154" i="4"/>
  <c r="K154" i="4"/>
  <c r="L154" i="4"/>
  <c r="I155" i="4"/>
  <c r="J155" i="4"/>
  <c r="K155" i="4"/>
  <c r="L155" i="4"/>
  <c r="I156" i="4"/>
  <c r="J156" i="4"/>
  <c r="K156" i="4"/>
  <c r="L156" i="4"/>
  <c r="I157" i="4"/>
  <c r="J157" i="4"/>
  <c r="K157" i="4"/>
  <c r="L157" i="4"/>
  <c r="I158" i="4"/>
  <c r="J158" i="4"/>
  <c r="K158" i="4"/>
  <c r="L158" i="4"/>
  <c r="I159" i="4"/>
  <c r="J159" i="4"/>
  <c r="K159" i="4"/>
  <c r="L159" i="4"/>
  <c r="I160" i="4"/>
  <c r="J160" i="4"/>
  <c r="K160" i="4"/>
  <c r="L160" i="4"/>
  <c r="I161" i="4"/>
  <c r="J161" i="4"/>
  <c r="K161" i="4"/>
  <c r="L161" i="4"/>
  <c r="I162" i="4"/>
  <c r="J162" i="4"/>
  <c r="K162" i="4"/>
  <c r="L162" i="4"/>
  <c r="I163" i="4"/>
  <c r="J163" i="4"/>
  <c r="K163" i="4"/>
  <c r="L163" i="4"/>
  <c r="I164" i="4"/>
  <c r="J164" i="4"/>
  <c r="K164" i="4"/>
  <c r="L164" i="4"/>
  <c r="I165" i="4"/>
  <c r="J165" i="4"/>
  <c r="K165" i="4"/>
  <c r="L165" i="4"/>
  <c r="I166" i="4"/>
  <c r="J166" i="4"/>
  <c r="K166" i="4"/>
  <c r="L166" i="4"/>
  <c r="I167" i="4"/>
  <c r="J167" i="4"/>
  <c r="K167" i="4"/>
  <c r="L167" i="4"/>
  <c r="I168" i="4"/>
  <c r="J168" i="4"/>
  <c r="K168" i="4"/>
  <c r="L168" i="4"/>
  <c r="I169" i="4"/>
  <c r="J169" i="4"/>
  <c r="K169" i="4"/>
  <c r="L169" i="4"/>
  <c r="I170" i="4"/>
  <c r="J170" i="4"/>
  <c r="K170" i="4"/>
  <c r="L170" i="4"/>
  <c r="I171" i="4"/>
  <c r="J171" i="4"/>
  <c r="K171" i="4"/>
  <c r="L171" i="4"/>
  <c r="I172" i="4"/>
  <c r="J172" i="4"/>
  <c r="K172" i="4"/>
  <c r="L172" i="4"/>
  <c r="I173" i="4"/>
  <c r="J173" i="4"/>
  <c r="K173" i="4"/>
  <c r="L173" i="4"/>
  <c r="I174" i="4"/>
  <c r="J174" i="4"/>
  <c r="K174" i="4"/>
  <c r="L174" i="4"/>
  <c r="I175" i="4"/>
  <c r="J175" i="4"/>
  <c r="K175" i="4"/>
  <c r="L175" i="4"/>
  <c r="I176" i="4"/>
  <c r="J176" i="4"/>
  <c r="K176" i="4"/>
  <c r="L176" i="4"/>
  <c r="I177" i="4"/>
  <c r="J177" i="4"/>
  <c r="K177" i="4"/>
  <c r="L177" i="4"/>
  <c r="I178" i="4"/>
  <c r="J178" i="4"/>
  <c r="K178" i="4"/>
  <c r="L178" i="4"/>
  <c r="I179" i="4"/>
  <c r="J179" i="4"/>
  <c r="K179" i="4"/>
  <c r="L179" i="4"/>
  <c r="I180" i="4"/>
  <c r="J180" i="4"/>
  <c r="K180" i="4"/>
  <c r="L180" i="4"/>
  <c r="I181" i="4"/>
  <c r="J181" i="4"/>
  <c r="K181" i="4"/>
  <c r="L181" i="4"/>
  <c r="I182" i="4"/>
  <c r="J182" i="4"/>
  <c r="K182" i="4"/>
  <c r="L182" i="4"/>
  <c r="I183" i="4"/>
  <c r="J183" i="4"/>
  <c r="K183" i="4"/>
  <c r="L183" i="4"/>
  <c r="I184" i="4"/>
  <c r="J184" i="4"/>
  <c r="K184" i="4"/>
  <c r="L184" i="4"/>
  <c r="I185" i="4"/>
  <c r="J185" i="4"/>
  <c r="K185" i="4"/>
  <c r="L185" i="4"/>
  <c r="I186" i="4"/>
  <c r="J186" i="4"/>
  <c r="K186" i="4"/>
  <c r="L186" i="4"/>
  <c r="I187" i="4"/>
  <c r="J187" i="4"/>
  <c r="K187" i="4"/>
  <c r="L187" i="4"/>
  <c r="I188" i="4"/>
  <c r="J188" i="4"/>
  <c r="K188" i="4"/>
  <c r="L188" i="4"/>
  <c r="I189" i="4"/>
  <c r="J189" i="4"/>
  <c r="K189" i="4"/>
  <c r="L189" i="4"/>
  <c r="I190" i="4"/>
  <c r="J190" i="4"/>
  <c r="K190" i="4"/>
  <c r="L190" i="4"/>
  <c r="I191" i="4"/>
  <c r="J191" i="4"/>
  <c r="K191" i="4"/>
  <c r="L191" i="4"/>
  <c r="I192" i="4"/>
  <c r="J192" i="4"/>
  <c r="K192" i="4"/>
  <c r="L192" i="4"/>
  <c r="I193" i="4"/>
  <c r="J193" i="4"/>
  <c r="K193" i="4"/>
  <c r="L193" i="4"/>
  <c r="I194" i="4"/>
  <c r="J194" i="4"/>
  <c r="K194" i="4"/>
  <c r="L194" i="4"/>
  <c r="I195" i="4"/>
  <c r="J195" i="4"/>
  <c r="K195" i="4"/>
  <c r="L195" i="4"/>
  <c r="I196" i="4"/>
  <c r="J196" i="4"/>
  <c r="K196" i="4"/>
  <c r="L196" i="4"/>
  <c r="I197" i="4"/>
  <c r="J197" i="4"/>
  <c r="K197" i="4"/>
  <c r="L197" i="4"/>
  <c r="I198" i="4"/>
  <c r="J198" i="4"/>
  <c r="K198" i="4"/>
  <c r="L198" i="4"/>
  <c r="I199" i="4"/>
  <c r="J199" i="4"/>
  <c r="K199" i="4"/>
  <c r="L199" i="4"/>
  <c r="I200" i="4"/>
  <c r="J200" i="4"/>
  <c r="K200" i="4"/>
  <c r="L200" i="4"/>
  <c r="I201" i="4"/>
  <c r="J201" i="4"/>
  <c r="K201" i="4"/>
  <c r="L201" i="4"/>
  <c r="I202" i="4"/>
  <c r="J202" i="4"/>
  <c r="K202" i="4"/>
  <c r="L202" i="4"/>
  <c r="I203" i="4"/>
  <c r="J203" i="4"/>
  <c r="K203" i="4"/>
  <c r="L203" i="4"/>
  <c r="I204" i="4"/>
  <c r="J204" i="4"/>
  <c r="K204" i="4"/>
  <c r="L204" i="4"/>
  <c r="I205" i="4"/>
  <c r="J205" i="4"/>
  <c r="K205" i="4"/>
  <c r="L205" i="4"/>
  <c r="I206" i="4"/>
  <c r="J206" i="4"/>
  <c r="K206" i="4"/>
  <c r="L206" i="4"/>
  <c r="I207" i="4"/>
  <c r="J207" i="4"/>
  <c r="K207" i="4"/>
  <c r="L207" i="4"/>
  <c r="I208" i="4"/>
  <c r="J208" i="4"/>
  <c r="K208" i="4"/>
  <c r="L208" i="4"/>
  <c r="I209" i="4"/>
  <c r="J209" i="4"/>
  <c r="K209" i="4"/>
  <c r="L209" i="4"/>
  <c r="I210" i="4"/>
  <c r="J210" i="4"/>
  <c r="K210" i="4"/>
  <c r="L210" i="4"/>
  <c r="I211" i="4"/>
  <c r="J211" i="4"/>
  <c r="K211" i="4"/>
  <c r="L211" i="4"/>
  <c r="I212" i="4"/>
  <c r="J212" i="4"/>
  <c r="K212" i="4"/>
  <c r="L212" i="4"/>
  <c r="I213" i="4"/>
  <c r="J213" i="4"/>
  <c r="K213" i="4"/>
  <c r="L213" i="4"/>
  <c r="I214" i="4"/>
  <c r="J214" i="4"/>
  <c r="K214" i="4"/>
  <c r="L214" i="4"/>
  <c r="I215" i="4"/>
  <c r="J215" i="4"/>
  <c r="K215" i="4"/>
  <c r="L215" i="4"/>
  <c r="I216" i="4"/>
  <c r="J216" i="4"/>
  <c r="K216" i="4"/>
  <c r="L216" i="4"/>
  <c r="I217" i="4"/>
  <c r="J217" i="4"/>
  <c r="K217" i="4"/>
  <c r="L217" i="4"/>
  <c r="I218" i="4"/>
  <c r="J218" i="4"/>
  <c r="K218" i="4"/>
  <c r="L218" i="4"/>
  <c r="I219" i="4"/>
  <c r="J219" i="4"/>
  <c r="K219" i="4"/>
  <c r="L219" i="4"/>
  <c r="I220" i="4"/>
  <c r="J220" i="4"/>
  <c r="K220" i="4"/>
  <c r="L220" i="4"/>
  <c r="I221" i="4"/>
  <c r="J221" i="4"/>
  <c r="K221" i="4"/>
  <c r="L221" i="4"/>
  <c r="I222" i="4"/>
  <c r="J222" i="4"/>
  <c r="K222" i="4"/>
  <c r="L222" i="4"/>
  <c r="I223" i="4"/>
  <c r="J223" i="4"/>
  <c r="K223" i="4"/>
  <c r="L223" i="4"/>
  <c r="I224" i="4"/>
  <c r="J224" i="4"/>
  <c r="K224" i="4"/>
  <c r="L224" i="4"/>
  <c r="I225" i="4"/>
  <c r="J225" i="4"/>
  <c r="K225" i="4"/>
  <c r="L225" i="4"/>
  <c r="I226" i="4"/>
  <c r="J226" i="4"/>
  <c r="K226" i="4"/>
  <c r="L226" i="4"/>
  <c r="I227" i="4"/>
  <c r="J227" i="4"/>
  <c r="K227" i="4"/>
  <c r="L227" i="4"/>
  <c r="I228" i="4"/>
  <c r="J228" i="4"/>
  <c r="K228" i="4"/>
  <c r="L228" i="4"/>
  <c r="I229" i="4"/>
  <c r="J229" i="4"/>
  <c r="K229" i="4"/>
  <c r="L229" i="4"/>
  <c r="I230" i="4"/>
  <c r="J230" i="4"/>
  <c r="K230" i="4"/>
  <c r="L230" i="4"/>
  <c r="I231" i="4"/>
  <c r="J231" i="4"/>
  <c r="K231" i="4"/>
  <c r="L231" i="4"/>
  <c r="I232" i="4"/>
  <c r="J232" i="4"/>
  <c r="K232" i="4"/>
  <c r="L232" i="4"/>
  <c r="I233" i="4"/>
  <c r="J233" i="4"/>
  <c r="K233" i="4"/>
  <c r="L233" i="4"/>
  <c r="I234" i="4"/>
  <c r="J234" i="4"/>
  <c r="K234" i="4"/>
  <c r="L234" i="4"/>
  <c r="I235" i="4"/>
  <c r="J235" i="4"/>
  <c r="K235" i="4"/>
  <c r="L235" i="4"/>
  <c r="I236" i="4"/>
  <c r="J236" i="4"/>
  <c r="K236" i="4"/>
  <c r="L236" i="4"/>
  <c r="I237" i="4"/>
  <c r="J237" i="4"/>
  <c r="K237" i="4"/>
  <c r="L237" i="4"/>
  <c r="I238" i="4"/>
  <c r="J238" i="4"/>
  <c r="K238" i="4"/>
  <c r="L238" i="4"/>
  <c r="I239" i="4"/>
  <c r="J239" i="4"/>
  <c r="K239" i="4"/>
  <c r="L239" i="4"/>
  <c r="I240" i="4"/>
  <c r="J240" i="4"/>
  <c r="K240" i="4"/>
  <c r="L240" i="4"/>
  <c r="I241" i="4"/>
  <c r="J241" i="4"/>
  <c r="K241" i="4"/>
  <c r="L241" i="4"/>
  <c r="I242" i="4"/>
  <c r="J242" i="4"/>
  <c r="K242" i="4"/>
  <c r="L242" i="4"/>
  <c r="I243" i="4"/>
  <c r="J243" i="4"/>
  <c r="K243" i="4"/>
  <c r="L243" i="4"/>
  <c r="I244" i="4"/>
  <c r="J244" i="4"/>
  <c r="K244" i="4"/>
  <c r="L244" i="4"/>
  <c r="I245" i="4"/>
  <c r="J245" i="4"/>
  <c r="K245" i="4"/>
  <c r="L245" i="4"/>
  <c r="I246" i="4"/>
  <c r="J246" i="4"/>
  <c r="K246" i="4"/>
  <c r="L246" i="4"/>
  <c r="I247" i="4"/>
  <c r="J247" i="4"/>
  <c r="K247" i="4"/>
  <c r="L247" i="4"/>
  <c r="I248" i="4"/>
  <c r="J248" i="4"/>
  <c r="K248" i="4"/>
  <c r="L248" i="4"/>
  <c r="I249" i="4"/>
  <c r="J249" i="4"/>
  <c r="K249" i="4"/>
  <c r="L249" i="4"/>
  <c r="I250" i="4"/>
  <c r="J250" i="4"/>
  <c r="K250" i="4"/>
  <c r="L250" i="4"/>
  <c r="I251" i="4"/>
  <c r="J251" i="4"/>
  <c r="K251" i="4"/>
  <c r="L251" i="4"/>
  <c r="I252" i="4"/>
  <c r="J252" i="4"/>
  <c r="K252" i="4"/>
  <c r="L252" i="4"/>
  <c r="I253" i="4"/>
  <c r="J253" i="4"/>
  <c r="K253" i="4"/>
  <c r="L253" i="4"/>
  <c r="I254" i="4"/>
  <c r="J254" i="4"/>
  <c r="K254" i="4"/>
  <c r="L254" i="4"/>
  <c r="I255" i="4"/>
  <c r="J255" i="4"/>
  <c r="K255" i="4"/>
  <c r="L255" i="4"/>
  <c r="I256" i="4"/>
  <c r="J256" i="4"/>
  <c r="K256" i="4"/>
  <c r="L256" i="4"/>
  <c r="I257" i="4"/>
  <c r="J257" i="4"/>
  <c r="K257" i="4"/>
  <c r="L257" i="4"/>
  <c r="I258" i="4"/>
  <c r="J258" i="4"/>
  <c r="K258" i="4"/>
  <c r="L258" i="4"/>
  <c r="I259" i="4"/>
  <c r="J259" i="4"/>
  <c r="K259" i="4"/>
  <c r="L259" i="4"/>
  <c r="I260" i="4"/>
  <c r="J260" i="4"/>
  <c r="K260" i="4"/>
  <c r="L260" i="4"/>
  <c r="I261" i="4"/>
  <c r="J261" i="4"/>
  <c r="K261" i="4"/>
  <c r="L261" i="4"/>
  <c r="I262" i="4"/>
  <c r="J262" i="4"/>
  <c r="K262" i="4"/>
  <c r="L262" i="4"/>
  <c r="I263" i="4"/>
  <c r="J263" i="4"/>
  <c r="K263" i="4"/>
  <c r="L263" i="4"/>
  <c r="I264" i="4"/>
  <c r="J264" i="4"/>
  <c r="K264" i="4"/>
  <c r="L264" i="4"/>
  <c r="I265" i="4"/>
  <c r="J265" i="4"/>
  <c r="K265" i="4"/>
  <c r="L265" i="4"/>
  <c r="I266" i="4"/>
  <c r="J266" i="4"/>
  <c r="K266" i="4"/>
  <c r="L266" i="4"/>
  <c r="I267" i="4"/>
  <c r="J267" i="4"/>
  <c r="K267" i="4"/>
  <c r="L267" i="4"/>
  <c r="I268" i="4"/>
  <c r="J268" i="4"/>
  <c r="K268" i="4"/>
  <c r="L268" i="4"/>
  <c r="I269" i="4"/>
  <c r="J269" i="4"/>
  <c r="K269" i="4"/>
  <c r="L269" i="4"/>
  <c r="I270" i="4"/>
  <c r="J270" i="4"/>
  <c r="K270" i="4"/>
  <c r="L270" i="4"/>
  <c r="I271" i="4"/>
  <c r="J271" i="4"/>
  <c r="K271" i="4"/>
  <c r="L271" i="4"/>
  <c r="I272" i="4"/>
  <c r="J272" i="4"/>
  <c r="K272" i="4"/>
  <c r="L272" i="4"/>
  <c r="I273" i="4"/>
  <c r="J273" i="4"/>
  <c r="K273" i="4"/>
  <c r="L273" i="4"/>
  <c r="I274" i="4"/>
  <c r="J274" i="4"/>
  <c r="K274" i="4"/>
  <c r="L274" i="4"/>
  <c r="I275" i="4"/>
  <c r="J275" i="4"/>
  <c r="K275" i="4"/>
  <c r="L275" i="4"/>
  <c r="I276" i="4"/>
  <c r="J276" i="4"/>
  <c r="K276" i="4"/>
  <c r="L276" i="4"/>
  <c r="I277" i="4"/>
  <c r="J277" i="4"/>
  <c r="K277" i="4"/>
  <c r="L277" i="4"/>
  <c r="I278" i="4"/>
  <c r="J278" i="4"/>
  <c r="K278" i="4"/>
  <c r="L278" i="4"/>
  <c r="I279" i="4"/>
  <c r="J279" i="4"/>
  <c r="K279" i="4"/>
  <c r="L279" i="4"/>
  <c r="I280" i="4"/>
  <c r="J280" i="4"/>
  <c r="K280" i="4"/>
  <c r="L280" i="4"/>
  <c r="I281" i="4"/>
  <c r="J281" i="4"/>
  <c r="K281" i="4"/>
  <c r="L281" i="4"/>
  <c r="I282" i="4"/>
  <c r="J282" i="4"/>
  <c r="K282" i="4"/>
  <c r="L282" i="4"/>
  <c r="I283" i="4"/>
  <c r="J283" i="4"/>
  <c r="K283" i="4"/>
  <c r="L283" i="4"/>
  <c r="I284" i="4"/>
  <c r="J284" i="4"/>
  <c r="K284" i="4"/>
  <c r="L284" i="4"/>
  <c r="I285" i="4"/>
  <c r="J285" i="4"/>
  <c r="K285" i="4"/>
  <c r="L285" i="4"/>
  <c r="I286" i="4"/>
  <c r="J286" i="4"/>
  <c r="K286" i="4"/>
  <c r="L286" i="4"/>
  <c r="I287" i="4"/>
  <c r="J287" i="4"/>
  <c r="K287" i="4"/>
  <c r="L287" i="4"/>
  <c r="I288" i="4"/>
  <c r="J288" i="4"/>
  <c r="K288" i="4"/>
  <c r="L288" i="4"/>
  <c r="I289" i="4"/>
  <c r="J289" i="4"/>
  <c r="K289" i="4"/>
  <c r="L289" i="4"/>
  <c r="I290" i="4"/>
  <c r="J290" i="4"/>
  <c r="K290" i="4"/>
  <c r="L290" i="4"/>
  <c r="I291" i="4"/>
  <c r="J291" i="4"/>
  <c r="K291" i="4"/>
  <c r="L291" i="4"/>
  <c r="I292" i="4"/>
  <c r="J292" i="4"/>
  <c r="K292" i="4"/>
  <c r="L292" i="4"/>
  <c r="I293" i="4"/>
  <c r="J293" i="4"/>
  <c r="K293" i="4"/>
  <c r="L293" i="4"/>
  <c r="I294" i="4"/>
  <c r="J294" i="4"/>
  <c r="K294" i="4"/>
  <c r="L294" i="4"/>
  <c r="I295" i="4"/>
  <c r="J295" i="4"/>
  <c r="K295" i="4"/>
  <c r="L295" i="4"/>
  <c r="I296" i="4"/>
  <c r="J296" i="4"/>
  <c r="K296" i="4"/>
  <c r="L296" i="4"/>
  <c r="I297" i="4"/>
  <c r="J297" i="4"/>
  <c r="K297" i="4"/>
  <c r="L297" i="4"/>
  <c r="I298" i="4"/>
  <c r="J298" i="4"/>
  <c r="K298" i="4"/>
  <c r="L298" i="4"/>
  <c r="I299" i="4"/>
  <c r="J299" i="4"/>
  <c r="K299" i="4"/>
  <c r="L299" i="4"/>
  <c r="I300" i="4"/>
  <c r="J300" i="4"/>
  <c r="K300" i="4"/>
  <c r="L300" i="4"/>
  <c r="I301" i="4"/>
  <c r="J301" i="4"/>
  <c r="K301" i="4"/>
  <c r="L301" i="4"/>
  <c r="I302" i="4"/>
  <c r="J302" i="4"/>
  <c r="K302" i="4"/>
  <c r="L302" i="4"/>
  <c r="I303" i="4"/>
  <c r="J303" i="4"/>
  <c r="K303" i="4"/>
  <c r="L303" i="4"/>
  <c r="I304" i="4"/>
  <c r="J304" i="4"/>
  <c r="K304" i="4"/>
  <c r="L304" i="4"/>
  <c r="I305" i="4"/>
  <c r="J305" i="4"/>
  <c r="K305" i="4"/>
  <c r="L305" i="4"/>
  <c r="I306" i="4"/>
  <c r="J306" i="4"/>
  <c r="K306" i="4"/>
  <c r="L306" i="4"/>
  <c r="I307" i="4"/>
  <c r="J307" i="4"/>
  <c r="K307" i="4"/>
  <c r="L307" i="4"/>
  <c r="I308" i="4"/>
  <c r="J308" i="4"/>
  <c r="K308" i="4"/>
  <c r="L308" i="4"/>
  <c r="I309" i="4"/>
  <c r="J309" i="4"/>
  <c r="K309" i="4"/>
  <c r="L309" i="4"/>
  <c r="I310" i="4"/>
  <c r="J310" i="4"/>
  <c r="K310" i="4"/>
  <c r="L310" i="4"/>
  <c r="I311" i="4"/>
  <c r="J311" i="4"/>
  <c r="K311" i="4"/>
  <c r="L311" i="4"/>
  <c r="I312" i="4"/>
  <c r="J312" i="4"/>
  <c r="K312" i="4"/>
  <c r="L312" i="4"/>
  <c r="I313" i="4"/>
  <c r="J313" i="4"/>
  <c r="K313" i="4"/>
  <c r="L313" i="4"/>
  <c r="I314" i="4"/>
  <c r="J314" i="4"/>
  <c r="K314" i="4"/>
  <c r="L314" i="4"/>
  <c r="I315" i="4"/>
  <c r="J315" i="4"/>
  <c r="K315" i="4"/>
  <c r="L315" i="4"/>
  <c r="I316" i="4"/>
  <c r="J316" i="4"/>
  <c r="K316" i="4"/>
  <c r="L316" i="4"/>
  <c r="I317" i="4"/>
  <c r="J317" i="4"/>
  <c r="K317" i="4"/>
  <c r="L317" i="4"/>
  <c r="I318" i="4"/>
  <c r="J318" i="4"/>
  <c r="K318" i="4"/>
  <c r="L318" i="4"/>
  <c r="I319" i="4"/>
  <c r="J319" i="4"/>
  <c r="K319" i="4"/>
  <c r="L319" i="4"/>
  <c r="I320" i="4"/>
  <c r="J320" i="4"/>
  <c r="K320" i="4"/>
  <c r="L320" i="4"/>
  <c r="I321" i="4"/>
  <c r="J321" i="4"/>
  <c r="K321" i="4"/>
  <c r="L321" i="4"/>
  <c r="I322" i="4"/>
  <c r="J322" i="4"/>
  <c r="K322" i="4"/>
  <c r="L322" i="4"/>
  <c r="I323" i="4"/>
  <c r="J323" i="4"/>
  <c r="K323" i="4"/>
  <c r="L323" i="4"/>
  <c r="I324" i="4"/>
  <c r="J324" i="4"/>
  <c r="K324" i="4"/>
  <c r="L324" i="4"/>
  <c r="I325" i="4"/>
  <c r="J325" i="4"/>
  <c r="K325" i="4"/>
  <c r="L325" i="4"/>
  <c r="I326" i="4"/>
  <c r="J326" i="4"/>
  <c r="K326" i="4"/>
  <c r="L326" i="4"/>
  <c r="I327" i="4"/>
  <c r="J327" i="4"/>
  <c r="K327" i="4"/>
  <c r="L327" i="4"/>
  <c r="I328" i="4"/>
  <c r="J328" i="4"/>
  <c r="K328" i="4"/>
  <c r="L328" i="4"/>
  <c r="I329" i="4"/>
  <c r="J329" i="4"/>
  <c r="K329" i="4"/>
  <c r="L329" i="4"/>
  <c r="I330" i="4"/>
  <c r="J330" i="4"/>
  <c r="K330" i="4"/>
  <c r="L330" i="4"/>
  <c r="I331" i="4"/>
  <c r="J331" i="4"/>
  <c r="K331" i="4"/>
  <c r="L331" i="4"/>
  <c r="I332" i="4"/>
  <c r="J332" i="4"/>
  <c r="K332" i="4"/>
  <c r="L332" i="4"/>
  <c r="I333" i="4"/>
  <c r="J333" i="4"/>
  <c r="K333" i="4"/>
  <c r="L333" i="4"/>
  <c r="I334" i="4"/>
  <c r="J334" i="4"/>
  <c r="K334" i="4"/>
  <c r="L334" i="4"/>
  <c r="I335" i="4"/>
  <c r="J335" i="4"/>
  <c r="K335" i="4"/>
  <c r="L335" i="4"/>
  <c r="I336" i="4"/>
  <c r="J336" i="4"/>
  <c r="K336" i="4"/>
  <c r="L336" i="4"/>
  <c r="I337" i="4"/>
  <c r="J337" i="4"/>
  <c r="K337" i="4"/>
  <c r="L337" i="4"/>
  <c r="I338" i="4"/>
  <c r="J338" i="4"/>
  <c r="K338" i="4"/>
  <c r="L338" i="4"/>
  <c r="I339" i="4"/>
  <c r="J339" i="4"/>
  <c r="K339" i="4"/>
  <c r="L339" i="4"/>
  <c r="I340" i="4"/>
  <c r="J340" i="4"/>
  <c r="K340" i="4"/>
  <c r="L340" i="4"/>
  <c r="I341" i="4"/>
  <c r="J341" i="4"/>
  <c r="K341" i="4"/>
  <c r="L341" i="4"/>
  <c r="I342" i="4"/>
  <c r="J342" i="4"/>
  <c r="K342" i="4"/>
  <c r="L342" i="4"/>
  <c r="I343" i="4"/>
  <c r="J343" i="4"/>
  <c r="K343" i="4"/>
  <c r="L343" i="4"/>
  <c r="I344" i="4"/>
  <c r="J344" i="4"/>
  <c r="K344" i="4"/>
  <c r="L344" i="4"/>
  <c r="I345" i="4"/>
  <c r="J345" i="4"/>
  <c r="K345" i="4"/>
  <c r="L345" i="4"/>
  <c r="I346" i="4"/>
  <c r="J346" i="4"/>
  <c r="K346" i="4"/>
  <c r="L346" i="4"/>
  <c r="I347" i="4"/>
  <c r="J347" i="4"/>
  <c r="K347" i="4"/>
  <c r="L347" i="4"/>
  <c r="I348" i="4"/>
  <c r="J348" i="4"/>
  <c r="K348" i="4"/>
  <c r="L348" i="4"/>
  <c r="I349" i="4"/>
  <c r="J349" i="4"/>
  <c r="K349" i="4"/>
  <c r="L349" i="4"/>
  <c r="I350" i="4"/>
  <c r="J350" i="4"/>
  <c r="K350" i="4"/>
  <c r="L350" i="4"/>
  <c r="I351" i="4"/>
  <c r="J351" i="4"/>
  <c r="K351" i="4"/>
  <c r="L351" i="4"/>
  <c r="I352" i="4"/>
  <c r="J352" i="4"/>
  <c r="K352" i="4"/>
  <c r="L352" i="4"/>
  <c r="I353" i="4"/>
  <c r="J353" i="4"/>
  <c r="K353" i="4"/>
  <c r="L353" i="4"/>
  <c r="I354" i="4"/>
  <c r="J354" i="4"/>
  <c r="K354" i="4"/>
  <c r="L354" i="4"/>
  <c r="I355" i="4"/>
  <c r="J355" i="4"/>
  <c r="K355" i="4"/>
  <c r="L355" i="4"/>
  <c r="I356" i="4"/>
  <c r="J356" i="4"/>
  <c r="K356" i="4"/>
  <c r="L356" i="4"/>
  <c r="I357" i="4"/>
  <c r="J357" i="4"/>
  <c r="K357" i="4"/>
  <c r="L357" i="4"/>
  <c r="I358" i="4"/>
  <c r="J358" i="4"/>
  <c r="K358" i="4"/>
  <c r="L358" i="4"/>
  <c r="I359" i="4"/>
  <c r="J359" i="4"/>
  <c r="K359" i="4"/>
  <c r="L359" i="4"/>
  <c r="I360" i="4"/>
  <c r="J360" i="4"/>
  <c r="K360" i="4"/>
  <c r="L360" i="4"/>
  <c r="I361" i="4"/>
  <c r="J361" i="4"/>
  <c r="K361" i="4"/>
  <c r="L361" i="4"/>
  <c r="I362" i="4"/>
  <c r="J362" i="4"/>
  <c r="K362" i="4"/>
  <c r="L362" i="4"/>
  <c r="I363" i="4"/>
  <c r="J363" i="4"/>
  <c r="K363" i="4"/>
  <c r="L363" i="4"/>
  <c r="I364" i="4"/>
  <c r="J364" i="4"/>
  <c r="K364" i="4"/>
  <c r="L364" i="4"/>
  <c r="I365" i="4"/>
  <c r="J365" i="4"/>
  <c r="K365" i="4"/>
  <c r="L365" i="4"/>
  <c r="I366" i="4"/>
  <c r="J366" i="4"/>
  <c r="K366" i="4"/>
  <c r="L366" i="4"/>
  <c r="I367" i="4"/>
  <c r="J367" i="4"/>
  <c r="K367" i="4"/>
  <c r="L367" i="4"/>
  <c r="I368" i="4"/>
  <c r="J368" i="4"/>
  <c r="K368" i="4"/>
  <c r="L368" i="4"/>
  <c r="I369" i="4"/>
  <c r="J369" i="4"/>
  <c r="K369" i="4"/>
  <c r="L369" i="4"/>
  <c r="I370" i="4"/>
  <c r="J370" i="4"/>
  <c r="K370" i="4"/>
  <c r="L370" i="4"/>
  <c r="I371" i="4"/>
  <c r="J371" i="4"/>
  <c r="K371" i="4"/>
  <c r="L371" i="4"/>
  <c r="I372" i="4"/>
  <c r="J372" i="4"/>
  <c r="K372" i="4"/>
  <c r="L372" i="4"/>
  <c r="I373" i="4"/>
  <c r="J373" i="4"/>
  <c r="K373" i="4"/>
  <c r="L373" i="4"/>
  <c r="I374" i="4"/>
  <c r="J374" i="4"/>
  <c r="K374" i="4"/>
  <c r="L374" i="4"/>
  <c r="I375" i="4"/>
  <c r="J375" i="4"/>
  <c r="K375" i="4"/>
  <c r="L375" i="4"/>
  <c r="I376" i="4"/>
  <c r="J376" i="4"/>
  <c r="K376" i="4"/>
  <c r="L376" i="4"/>
  <c r="I377" i="4"/>
  <c r="J377" i="4"/>
  <c r="K377" i="4"/>
  <c r="L377" i="4"/>
  <c r="I378" i="4"/>
  <c r="J378" i="4"/>
  <c r="K378" i="4"/>
  <c r="L378" i="4"/>
  <c r="I379" i="4"/>
  <c r="J379" i="4"/>
  <c r="K379" i="4"/>
  <c r="L379" i="4"/>
  <c r="I380" i="4"/>
  <c r="J380" i="4"/>
  <c r="K380" i="4"/>
  <c r="L380" i="4"/>
  <c r="I381" i="4"/>
  <c r="J381" i="4"/>
  <c r="K381" i="4"/>
  <c r="L381" i="4"/>
  <c r="I382" i="4"/>
  <c r="J382" i="4"/>
  <c r="K382" i="4"/>
  <c r="L382" i="4"/>
  <c r="I383" i="4"/>
  <c r="J383" i="4"/>
  <c r="K383" i="4"/>
  <c r="L383" i="4"/>
  <c r="I384" i="4"/>
  <c r="J384" i="4"/>
  <c r="K384" i="4"/>
  <c r="L384" i="4"/>
  <c r="I385" i="4"/>
  <c r="J385" i="4"/>
  <c r="K385" i="4"/>
  <c r="L385" i="4"/>
  <c r="I386" i="4"/>
  <c r="J386" i="4"/>
  <c r="K386" i="4"/>
  <c r="L386" i="4"/>
  <c r="I387" i="4"/>
  <c r="J387" i="4"/>
  <c r="K387" i="4"/>
  <c r="L387" i="4"/>
  <c r="I388" i="4"/>
  <c r="J388" i="4"/>
  <c r="K388" i="4"/>
  <c r="L388" i="4"/>
  <c r="I389" i="4"/>
  <c r="J389" i="4"/>
  <c r="K389" i="4"/>
  <c r="L389" i="4"/>
  <c r="I390" i="4"/>
  <c r="J390" i="4"/>
  <c r="K390" i="4"/>
  <c r="L390" i="4"/>
  <c r="I391" i="4"/>
  <c r="J391" i="4"/>
  <c r="K391" i="4"/>
  <c r="L391" i="4"/>
  <c r="I392" i="4"/>
  <c r="J392" i="4"/>
  <c r="K392" i="4"/>
  <c r="L392" i="4"/>
  <c r="I393" i="4"/>
  <c r="J393" i="4"/>
  <c r="K393" i="4"/>
  <c r="L393" i="4"/>
  <c r="I394" i="4"/>
  <c r="J394" i="4"/>
  <c r="K394" i="4"/>
  <c r="L394" i="4"/>
  <c r="I395" i="4"/>
  <c r="J395" i="4"/>
  <c r="K395" i="4"/>
  <c r="L395" i="4"/>
  <c r="I396" i="4"/>
  <c r="J396" i="4"/>
  <c r="K396" i="4"/>
  <c r="L396" i="4"/>
  <c r="I397" i="4"/>
  <c r="J397" i="4"/>
  <c r="K397" i="4"/>
  <c r="L397" i="4"/>
  <c r="I398" i="4"/>
  <c r="J398" i="4"/>
  <c r="K398" i="4"/>
  <c r="L398" i="4"/>
  <c r="I399" i="4"/>
  <c r="J399" i="4"/>
  <c r="K399" i="4"/>
  <c r="L399" i="4"/>
  <c r="I400" i="4"/>
  <c r="J400" i="4"/>
  <c r="K400" i="4"/>
  <c r="L400" i="4"/>
  <c r="I401" i="4"/>
  <c r="J401" i="4"/>
  <c r="K401" i="4"/>
  <c r="L401" i="4"/>
  <c r="I402" i="4"/>
  <c r="J402" i="4"/>
  <c r="K402" i="4"/>
  <c r="L402" i="4"/>
  <c r="I403" i="4"/>
  <c r="J403" i="4"/>
  <c r="K403" i="4"/>
  <c r="L403" i="4"/>
  <c r="I404" i="4"/>
  <c r="J404" i="4"/>
  <c r="K404" i="4"/>
  <c r="L404" i="4"/>
  <c r="I405" i="4"/>
  <c r="J405" i="4"/>
  <c r="K405" i="4"/>
  <c r="L405" i="4"/>
  <c r="I406" i="4"/>
  <c r="J406" i="4"/>
  <c r="K406" i="4"/>
  <c r="L406" i="4"/>
  <c r="I407" i="4"/>
  <c r="J407" i="4"/>
  <c r="K407" i="4"/>
  <c r="L407" i="4"/>
  <c r="I408" i="4"/>
  <c r="J408" i="4"/>
  <c r="K408" i="4"/>
  <c r="L408" i="4"/>
  <c r="I409" i="4"/>
  <c r="J409" i="4"/>
  <c r="K409" i="4"/>
  <c r="L409" i="4"/>
  <c r="I410" i="4"/>
  <c r="J410" i="4"/>
  <c r="K410" i="4"/>
  <c r="L410" i="4"/>
  <c r="I411" i="4"/>
  <c r="J411" i="4"/>
  <c r="K411" i="4"/>
  <c r="L411" i="4"/>
  <c r="I412" i="4"/>
  <c r="J412" i="4"/>
  <c r="K412" i="4"/>
  <c r="L412" i="4"/>
  <c r="I413" i="4"/>
  <c r="J413" i="4"/>
  <c r="K413" i="4"/>
  <c r="L413" i="4"/>
  <c r="I414" i="4"/>
  <c r="J414" i="4"/>
  <c r="K414" i="4"/>
  <c r="L414" i="4"/>
  <c r="I415" i="4"/>
  <c r="J415" i="4"/>
  <c r="K415" i="4"/>
  <c r="L415" i="4"/>
  <c r="I416" i="4"/>
  <c r="J416" i="4"/>
  <c r="K416" i="4"/>
  <c r="L416" i="4"/>
  <c r="I417" i="4"/>
  <c r="J417" i="4"/>
  <c r="K417" i="4"/>
  <c r="L417" i="4"/>
  <c r="I418" i="4"/>
  <c r="J418" i="4"/>
  <c r="K418" i="4"/>
  <c r="L418" i="4"/>
  <c r="I419" i="4"/>
  <c r="J419" i="4"/>
  <c r="K419" i="4"/>
  <c r="L419" i="4"/>
  <c r="I420" i="4"/>
  <c r="J420" i="4"/>
  <c r="K420" i="4"/>
  <c r="L420" i="4"/>
  <c r="I421" i="4"/>
  <c r="J421" i="4"/>
  <c r="K421" i="4"/>
  <c r="L421" i="4"/>
  <c r="I422" i="4"/>
  <c r="J422" i="4"/>
  <c r="K422" i="4"/>
  <c r="L422" i="4"/>
  <c r="I423" i="4"/>
  <c r="J423" i="4"/>
  <c r="K423" i="4"/>
  <c r="L423" i="4"/>
  <c r="I424" i="4"/>
  <c r="J424" i="4"/>
  <c r="K424" i="4"/>
  <c r="L424" i="4"/>
  <c r="I425" i="4"/>
  <c r="J425" i="4"/>
  <c r="K425" i="4"/>
  <c r="L425" i="4"/>
  <c r="I426" i="4"/>
  <c r="J426" i="4"/>
  <c r="K426" i="4"/>
  <c r="L426" i="4"/>
  <c r="I427" i="4"/>
  <c r="J427" i="4"/>
  <c r="K427" i="4"/>
  <c r="L427" i="4"/>
  <c r="I428" i="4"/>
  <c r="J428" i="4"/>
  <c r="K428" i="4"/>
  <c r="L428" i="4"/>
  <c r="I429" i="4"/>
  <c r="J429" i="4"/>
  <c r="K429" i="4"/>
  <c r="L429" i="4"/>
  <c r="I430" i="4"/>
  <c r="J430" i="4"/>
  <c r="K430" i="4"/>
  <c r="L430" i="4"/>
  <c r="I431" i="4"/>
  <c r="J431" i="4"/>
  <c r="K431" i="4"/>
  <c r="L431" i="4"/>
  <c r="I432" i="4"/>
  <c r="J432" i="4"/>
  <c r="K432" i="4"/>
  <c r="L432" i="4"/>
  <c r="I433" i="4"/>
  <c r="J433" i="4"/>
  <c r="K433" i="4"/>
  <c r="L433" i="4"/>
  <c r="I434" i="4"/>
  <c r="J434" i="4"/>
  <c r="K434" i="4"/>
  <c r="L434" i="4"/>
  <c r="I435" i="4"/>
  <c r="J435" i="4"/>
  <c r="K435" i="4"/>
  <c r="L435" i="4"/>
  <c r="I436" i="4"/>
  <c r="J436" i="4"/>
  <c r="K436" i="4"/>
  <c r="L436" i="4"/>
  <c r="I437" i="4"/>
  <c r="J437" i="4"/>
  <c r="K437" i="4"/>
  <c r="L437" i="4"/>
  <c r="I438" i="4"/>
  <c r="J438" i="4"/>
  <c r="K438" i="4"/>
  <c r="L438" i="4"/>
  <c r="I439" i="4"/>
  <c r="J439" i="4"/>
  <c r="K439" i="4"/>
  <c r="L439" i="4"/>
  <c r="I440" i="4"/>
  <c r="J440" i="4"/>
  <c r="K440" i="4"/>
  <c r="L440" i="4"/>
  <c r="I441" i="4"/>
  <c r="J441" i="4"/>
  <c r="K441" i="4"/>
  <c r="L441" i="4"/>
  <c r="I442" i="4"/>
  <c r="J442" i="4"/>
  <c r="K442" i="4"/>
  <c r="L442" i="4"/>
  <c r="I443" i="4"/>
  <c r="J443" i="4"/>
  <c r="K443" i="4"/>
  <c r="L443" i="4"/>
  <c r="I444" i="4"/>
  <c r="J444" i="4"/>
  <c r="K444" i="4"/>
  <c r="L444" i="4"/>
  <c r="I445" i="4"/>
  <c r="J445" i="4"/>
  <c r="K445" i="4"/>
  <c r="L445" i="4"/>
  <c r="I446" i="4"/>
  <c r="J446" i="4"/>
  <c r="K446" i="4"/>
  <c r="L446" i="4"/>
  <c r="I447" i="4"/>
  <c r="J447" i="4"/>
  <c r="K447" i="4"/>
  <c r="L447" i="4"/>
  <c r="I448" i="4"/>
  <c r="J448" i="4"/>
  <c r="K448" i="4"/>
  <c r="L448" i="4"/>
  <c r="I449" i="4"/>
  <c r="J449" i="4"/>
  <c r="K449" i="4"/>
  <c r="L449" i="4"/>
  <c r="I450" i="4"/>
  <c r="J450" i="4"/>
  <c r="K450" i="4"/>
  <c r="L450" i="4"/>
  <c r="I451" i="4"/>
  <c r="J451" i="4"/>
  <c r="K451" i="4"/>
  <c r="L451" i="4"/>
  <c r="I452" i="4"/>
  <c r="J452" i="4"/>
  <c r="K452" i="4"/>
  <c r="L452" i="4"/>
  <c r="I453" i="4"/>
  <c r="J453" i="4"/>
  <c r="K453" i="4"/>
  <c r="L453" i="4"/>
  <c r="I454" i="4"/>
  <c r="J454" i="4"/>
  <c r="K454" i="4"/>
  <c r="L454" i="4"/>
  <c r="I455" i="4"/>
  <c r="J455" i="4"/>
  <c r="K455" i="4"/>
  <c r="L455" i="4"/>
  <c r="I456" i="4"/>
  <c r="J456" i="4"/>
  <c r="K456" i="4"/>
  <c r="L456" i="4"/>
  <c r="I457" i="4"/>
  <c r="J457" i="4"/>
  <c r="K457" i="4"/>
  <c r="L457" i="4"/>
  <c r="I458" i="4"/>
  <c r="J458" i="4"/>
  <c r="K458" i="4"/>
  <c r="L458" i="4"/>
  <c r="I459" i="4"/>
  <c r="J459" i="4"/>
  <c r="K459" i="4"/>
  <c r="L459" i="4"/>
  <c r="I460" i="4"/>
  <c r="J460" i="4"/>
  <c r="K460" i="4"/>
  <c r="L460" i="4"/>
  <c r="I461" i="4"/>
  <c r="J461" i="4"/>
  <c r="K461" i="4"/>
  <c r="L461" i="4"/>
  <c r="I462" i="4"/>
  <c r="J462" i="4"/>
  <c r="K462" i="4"/>
  <c r="L462" i="4"/>
  <c r="I463" i="4"/>
  <c r="J463" i="4"/>
  <c r="K463" i="4"/>
  <c r="L463" i="4"/>
  <c r="I464" i="4"/>
  <c r="J464" i="4"/>
  <c r="K464" i="4"/>
  <c r="L464" i="4"/>
  <c r="I465" i="4"/>
  <c r="J465" i="4"/>
  <c r="K465" i="4"/>
  <c r="L465" i="4"/>
  <c r="I466" i="4"/>
  <c r="J466" i="4"/>
  <c r="K466" i="4"/>
  <c r="L466" i="4"/>
  <c r="I467" i="4"/>
  <c r="J467" i="4"/>
  <c r="K467" i="4"/>
  <c r="L467" i="4"/>
  <c r="I468" i="4"/>
  <c r="J468" i="4"/>
  <c r="K468" i="4"/>
  <c r="L468" i="4"/>
  <c r="I469" i="4"/>
  <c r="J469" i="4"/>
  <c r="K469" i="4"/>
  <c r="L469" i="4"/>
  <c r="I470" i="4"/>
  <c r="J470" i="4"/>
  <c r="K470" i="4"/>
  <c r="L470" i="4"/>
  <c r="I471" i="4"/>
  <c r="J471" i="4"/>
  <c r="K471" i="4"/>
  <c r="L471" i="4"/>
  <c r="I472" i="4"/>
  <c r="J472" i="4"/>
  <c r="K472" i="4"/>
  <c r="L472" i="4"/>
  <c r="I473" i="4"/>
  <c r="J473" i="4"/>
  <c r="K473" i="4"/>
  <c r="L473" i="4"/>
  <c r="I474" i="4"/>
  <c r="J474" i="4"/>
  <c r="K474" i="4"/>
  <c r="L474" i="4"/>
  <c r="I475" i="4"/>
  <c r="J475" i="4"/>
  <c r="K475" i="4"/>
  <c r="L475" i="4"/>
  <c r="I476" i="4"/>
  <c r="J476" i="4"/>
  <c r="K476" i="4"/>
  <c r="L476" i="4"/>
  <c r="I477" i="4"/>
  <c r="J477" i="4"/>
  <c r="K477" i="4"/>
  <c r="L477" i="4"/>
  <c r="I478" i="4"/>
  <c r="J478" i="4"/>
  <c r="K478" i="4"/>
  <c r="L478" i="4"/>
  <c r="I479" i="4"/>
  <c r="J479" i="4"/>
  <c r="K479" i="4"/>
  <c r="L479" i="4"/>
  <c r="I480" i="4"/>
  <c r="J480" i="4"/>
  <c r="K480" i="4"/>
  <c r="L480" i="4"/>
  <c r="I481" i="4"/>
  <c r="J481" i="4"/>
  <c r="K481" i="4"/>
  <c r="L481" i="4"/>
  <c r="I482" i="4"/>
  <c r="J482" i="4"/>
  <c r="K482" i="4"/>
  <c r="L482" i="4"/>
  <c r="I483" i="4"/>
  <c r="J483" i="4"/>
  <c r="K483" i="4"/>
  <c r="L483" i="4"/>
  <c r="I484" i="4"/>
  <c r="J484" i="4"/>
  <c r="K484" i="4"/>
  <c r="L484" i="4"/>
  <c r="I485" i="4"/>
  <c r="J485" i="4"/>
  <c r="K485" i="4"/>
  <c r="L485" i="4"/>
  <c r="I486" i="4"/>
  <c r="J486" i="4"/>
  <c r="K486" i="4"/>
  <c r="L486" i="4"/>
  <c r="I487" i="4"/>
  <c r="J487" i="4"/>
  <c r="K487" i="4"/>
  <c r="L487" i="4"/>
  <c r="I488" i="4"/>
  <c r="J488" i="4"/>
  <c r="K488" i="4"/>
  <c r="L488" i="4"/>
  <c r="I489" i="4"/>
  <c r="J489" i="4"/>
  <c r="K489" i="4"/>
  <c r="L489" i="4"/>
  <c r="I490" i="4"/>
  <c r="J490" i="4"/>
  <c r="K490" i="4"/>
  <c r="L490" i="4"/>
  <c r="I491" i="4"/>
  <c r="J491" i="4"/>
  <c r="K491" i="4"/>
  <c r="L491" i="4"/>
  <c r="I492" i="4"/>
  <c r="J492" i="4"/>
  <c r="K492" i="4"/>
  <c r="L492" i="4"/>
  <c r="I493" i="4"/>
  <c r="J493" i="4"/>
  <c r="K493" i="4"/>
  <c r="L493" i="4"/>
  <c r="I494" i="4"/>
  <c r="J494" i="4"/>
  <c r="K494" i="4"/>
  <c r="L494" i="4"/>
  <c r="I495" i="4"/>
  <c r="J495" i="4"/>
  <c r="K495" i="4"/>
  <c r="L495" i="4"/>
  <c r="I496" i="4"/>
  <c r="J496" i="4"/>
  <c r="K496" i="4"/>
  <c r="L496" i="4"/>
  <c r="I497" i="4"/>
  <c r="J497" i="4"/>
  <c r="K497" i="4"/>
  <c r="L497" i="4"/>
  <c r="I498" i="4"/>
  <c r="J498" i="4"/>
  <c r="K498" i="4"/>
  <c r="L498" i="4"/>
  <c r="I499" i="4"/>
  <c r="J499" i="4"/>
  <c r="K499" i="4"/>
  <c r="L499" i="4"/>
  <c r="I500" i="4"/>
  <c r="J500" i="4"/>
  <c r="K500" i="4"/>
  <c r="L500" i="4"/>
  <c r="I501" i="4"/>
  <c r="J501" i="4"/>
  <c r="K501" i="4"/>
  <c r="L501" i="4"/>
  <c r="I502" i="4"/>
  <c r="J502" i="4"/>
  <c r="K502" i="4"/>
  <c r="L502" i="4"/>
  <c r="I503" i="4"/>
  <c r="J503" i="4"/>
  <c r="K503" i="4"/>
  <c r="L503" i="4"/>
  <c r="I504" i="4"/>
  <c r="J504" i="4"/>
  <c r="K504" i="4"/>
  <c r="L504" i="4"/>
  <c r="I505" i="4"/>
  <c r="J505" i="4"/>
  <c r="K505" i="4"/>
  <c r="L505" i="4"/>
  <c r="I506" i="4"/>
  <c r="J506" i="4"/>
  <c r="K506" i="4"/>
  <c r="L506" i="4"/>
  <c r="I507" i="4"/>
  <c r="J507" i="4"/>
  <c r="K507" i="4"/>
  <c r="L507" i="4"/>
  <c r="I508" i="4"/>
  <c r="J508" i="4"/>
  <c r="K508" i="4"/>
  <c r="L508" i="4"/>
  <c r="I509" i="4"/>
  <c r="J509" i="4"/>
  <c r="K509" i="4"/>
  <c r="L509" i="4"/>
  <c r="I510" i="4"/>
  <c r="J510" i="4"/>
  <c r="K510" i="4"/>
  <c r="L510" i="4"/>
  <c r="I511" i="4"/>
  <c r="J511" i="4"/>
  <c r="K511" i="4"/>
  <c r="L511" i="4"/>
  <c r="I512" i="4"/>
  <c r="J512" i="4"/>
  <c r="K512" i="4"/>
  <c r="L512" i="4"/>
  <c r="I513" i="4"/>
  <c r="J513" i="4"/>
  <c r="K513" i="4"/>
  <c r="L513" i="4"/>
  <c r="I514" i="4"/>
  <c r="J514" i="4"/>
  <c r="K514" i="4"/>
  <c r="L514" i="4"/>
  <c r="I515" i="4"/>
  <c r="J515" i="4"/>
  <c r="K515" i="4"/>
  <c r="L515" i="4"/>
  <c r="I516" i="4"/>
  <c r="J516" i="4"/>
  <c r="K516" i="4"/>
  <c r="L516" i="4"/>
  <c r="I517" i="4"/>
  <c r="J517" i="4"/>
  <c r="K517" i="4"/>
  <c r="L517" i="4"/>
  <c r="I518" i="4"/>
  <c r="J518" i="4"/>
  <c r="K518" i="4"/>
  <c r="L518" i="4"/>
  <c r="I519" i="4"/>
  <c r="J519" i="4"/>
  <c r="K519" i="4"/>
  <c r="L519" i="4"/>
  <c r="I520" i="4"/>
  <c r="J520" i="4"/>
  <c r="K520" i="4"/>
  <c r="L520" i="4"/>
  <c r="I521" i="4"/>
  <c r="J521" i="4"/>
  <c r="K521" i="4"/>
  <c r="L521" i="4"/>
  <c r="I522" i="4"/>
  <c r="J522" i="4"/>
  <c r="K522" i="4"/>
  <c r="L522" i="4"/>
  <c r="I523" i="4"/>
  <c r="J523" i="4"/>
  <c r="K523" i="4"/>
  <c r="L523" i="4"/>
  <c r="I524" i="4"/>
  <c r="J524" i="4"/>
  <c r="K524" i="4"/>
  <c r="L524" i="4"/>
  <c r="I525" i="4"/>
  <c r="J525" i="4"/>
  <c r="K525" i="4"/>
  <c r="L525" i="4"/>
  <c r="I526" i="4"/>
  <c r="J526" i="4"/>
  <c r="K526" i="4"/>
  <c r="L526" i="4"/>
  <c r="I527" i="4"/>
  <c r="J527" i="4"/>
  <c r="K527" i="4"/>
  <c r="L527" i="4"/>
  <c r="I528" i="4"/>
  <c r="J528" i="4"/>
  <c r="K528" i="4"/>
  <c r="L528" i="4"/>
  <c r="I529" i="4"/>
  <c r="J529" i="4"/>
  <c r="K529" i="4"/>
  <c r="L529" i="4"/>
  <c r="I530" i="4"/>
  <c r="J530" i="4"/>
  <c r="K530" i="4"/>
  <c r="L530" i="4"/>
  <c r="I531" i="4"/>
  <c r="J531" i="4"/>
  <c r="K531" i="4"/>
  <c r="L531" i="4"/>
  <c r="I532" i="4"/>
  <c r="J532" i="4"/>
  <c r="K532" i="4"/>
  <c r="L532" i="4"/>
  <c r="I533" i="4"/>
  <c r="J533" i="4"/>
  <c r="K533" i="4"/>
  <c r="L533" i="4"/>
  <c r="I534" i="4"/>
  <c r="J534" i="4"/>
  <c r="K534" i="4"/>
  <c r="L534" i="4"/>
  <c r="I535" i="4"/>
  <c r="J535" i="4"/>
  <c r="K535" i="4"/>
  <c r="L535" i="4"/>
  <c r="I536" i="4"/>
  <c r="J536" i="4"/>
  <c r="K536" i="4"/>
  <c r="L536" i="4"/>
  <c r="I537" i="4"/>
  <c r="J537" i="4"/>
  <c r="K537" i="4"/>
  <c r="L537" i="4"/>
  <c r="I538" i="4"/>
  <c r="J538" i="4"/>
  <c r="K538" i="4"/>
  <c r="L538" i="4"/>
  <c r="I539" i="4"/>
  <c r="J539" i="4"/>
  <c r="K539" i="4"/>
  <c r="L539" i="4"/>
  <c r="I540" i="4"/>
  <c r="J540" i="4"/>
  <c r="K540" i="4"/>
  <c r="L540" i="4"/>
  <c r="I541" i="4"/>
  <c r="J541" i="4"/>
  <c r="K541" i="4"/>
  <c r="L541" i="4"/>
  <c r="I542" i="4"/>
  <c r="J542" i="4"/>
  <c r="K542" i="4"/>
  <c r="L542" i="4"/>
  <c r="I543" i="4"/>
  <c r="J543" i="4"/>
  <c r="K543" i="4"/>
  <c r="L543" i="4"/>
  <c r="I544" i="4"/>
  <c r="J544" i="4"/>
  <c r="K544" i="4"/>
  <c r="L544" i="4"/>
  <c r="I545" i="4"/>
  <c r="J545" i="4"/>
  <c r="K545" i="4"/>
  <c r="L545" i="4"/>
  <c r="I546" i="4"/>
  <c r="J546" i="4"/>
  <c r="K546" i="4"/>
  <c r="L546" i="4"/>
  <c r="I547" i="4"/>
  <c r="J547" i="4"/>
  <c r="K547" i="4"/>
  <c r="L547" i="4"/>
  <c r="I548" i="4"/>
  <c r="J548" i="4"/>
  <c r="K548" i="4"/>
  <c r="L548" i="4"/>
  <c r="I549" i="4"/>
  <c r="J549" i="4"/>
  <c r="K549" i="4"/>
  <c r="L549" i="4"/>
  <c r="I550" i="4"/>
  <c r="J550" i="4"/>
  <c r="K550" i="4"/>
  <c r="L550" i="4"/>
  <c r="I551" i="4"/>
  <c r="J551" i="4"/>
  <c r="K551" i="4"/>
  <c r="L551" i="4"/>
  <c r="I552" i="4"/>
  <c r="J552" i="4"/>
  <c r="K552" i="4"/>
  <c r="L552" i="4"/>
  <c r="I553" i="4"/>
  <c r="J553" i="4"/>
  <c r="K553" i="4"/>
  <c r="L553" i="4"/>
  <c r="I554" i="4"/>
  <c r="J554" i="4"/>
  <c r="K554" i="4"/>
  <c r="L554" i="4"/>
  <c r="I555" i="4"/>
  <c r="J555" i="4"/>
  <c r="K555" i="4"/>
  <c r="L555" i="4"/>
  <c r="I556" i="4"/>
  <c r="J556" i="4"/>
  <c r="K556" i="4"/>
  <c r="L556" i="4"/>
  <c r="I557" i="4"/>
  <c r="J557" i="4"/>
  <c r="K557" i="4"/>
  <c r="L557" i="4"/>
  <c r="I558" i="4"/>
  <c r="J558" i="4"/>
  <c r="K558" i="4"/>
  <c r="L558" i="4"/>
  <c r="I559" i="4"/>
  <c r="J559" i="4"/>
  <c r="K559" i="4"/>
  <c r="L559" i="4"/>
  <c r="I560" i="4"/>
  <c r="J560" i="4"/>
  <c r="K560" i="4"/>
  <c r="L560" i="4"/>
  <c r="I561" i="4"/>
  <c r="J561" i="4"/>
  <c r="K561" i="4"/>
  <c r="L561" i="4"/>
  <c r="I562" i="4"/>
  <c r="J562" i="4"/>
  <c r="K562" i="4"/>
  <c r="L562" i="4"/>
  <c r="I563" i="4"/>
  <c r="J563" i="4"/>
  <c r="K563" i="4"/>
  <c r="L563" i="4"/>
  <c r="I564" i="4"/>
  <c r="J564" i="4"/>
  <c r="K564" i="4"/>
  <c r="L564" i="4"/>
  <c r="I565" i="4"/>
  <c r="J565" i="4"/>
  <c r="K565" i="4"/>
  <c r="L565" i="4"/>
  <c r="I566" i="4"/>
  <c r="J566" i="4"/>
  <c r="K566" i="4"/>
  <c r="L566" i="4"/>
  <c r="I567" i="4"/>
  <c r="J567" i="4"/>
  <c r="K567" i="4"/>
  <c r="L567" i="4"/>
  <c r="I568" i="4"/>
  <c r="J568" i="4"/>
  <c r="K568" i="4"/>
  <c r="L568" i="4"/>
  <c r="I569" i="4"/>
  <c r="J569" i="4"/>
  <c r="K569" i="4"/>
  <c r="L569" i="4"/>
  <c r="I570" i="4"/>
  <c r="J570" i="4"/>
  <c r="K570" i="4"/>
  <c r="L570" i="4"/>
  <c r="I571" i="4"/>
  <c r="J571" i="4"/>
  <c r="K571" i="4"/>
  <c r="L571" i="4"/>
  <c r="I572" i="4"/>
  <c r="J572" i="4"/>
  <c r="K572" i="4"/>
  <c r="L572" i="4"/>
  <c r="I573" i="4"/>
  <c r="J573" i="4"/>
  <c r="K573" i="4"/>
  <c r="L573" i="4"/>
  <c r="I574" i="4"/>
  <c r="J574" i="4"/>
  <c r="K574" i="4"/>
  <c r="L574" i="4"/>
  <c r="I575" i="4"/>
  <c r="J575" i="4"/>
  <c r="K575" i="4"/>
  <c r="L575" i="4"/>
  <c r="I576" i="4"/>
  <c r="J576" i="4"/>
  <c r="K576" i="4"/>
  <c r="L576" i="4"/>
  <c r="I577" i="4"/>
  <c r="J577" i="4"/>
  <c r="K577" i="4"/>
  <c r="L577" i="4"/>
  <c r="I578" i="4"/>
  <c r="J578" i="4"/>
  <c r="K578" i="4"/>
  <c r="L578" i="4"/>
  <c r="I579" i="4"/>
  <c r="J579" i="4"/>
  <c r="K579" i="4"/>
  <c r="L579" i="4"/>
  <c r="I580" i="4"/>
  <c r="J580" i="4"/>
  <c r="K580" i="4"/>
  <c r="L580" i="4"/>
  <c r="I581" i="4"/>
  <c r="J581" i="4"/>
  <c r="K581" i="4"/>
  <c r="L581" i="4"/>
  <c r="I582" i="4"/>
  <c r="J582" i="4"/>
  <c r="K582" i="4"/>
  <c r="L582" i="4"/>
  <c r="I583" i="4"/>
  <c r="J583" i="4"/>
  <c r="K583" i="4"/>
  <c r="L583" i="4"/>
  <c r="I584" i="4"/>
  <c r="J584" i="4"/>
  <c r="K584" i="4"/>
  <c r="L584" i="4"/>
  <c r="I585" i="4"/>
  <c r="J585" i="4"/>
  <c r="K585" i="4"/>
  <c r="L585" i="4"/>
  <c r="I586" i="4"/>
  <c r="J586" i="4"/>
  <c r="K586" i="4"/>
  <c r="L586" i="4"/>
  <c r="I587" i="4"/>
  <c r="J587" i="4"/>
  <c r="K587" i="4"/>
  <c r="L587" i="4"/>
  <c r="I588" i="4"/>
  <c r="J588" i="4"/>
  <c r="K588" i="4"/>
  <c r="L588" i="4"/>
  <c r="I589" i="4"/>
  <c r="J589" i="4"/>
  <c r="K589" i="4"/>
  <c r="L589" i="4"/>
  <c r="I590" i="4"/>
  <c r="J590" i="4"/>
  <c r="K590" i="4"/>
  <c r="L590" i="4"/>
  <c r="I591" i="4"/>
  <c r="J591" i="4"/>
  <c r="K591" i="4"/>
  <c r="L591" i="4"/>
  <c r="I592" i="4"/>
  <c r="J592" i="4"/>
  <c r="K592" i="4"/>
  <c r="L592" i="4"/>
  <c r="I593" i="4"/>
  <c r="J593" i="4"/>
  <c r="K593" i="4"/>
  <c r="L593" i="4"/>
  <c r="I594" i="4"/>
  <c r="J594" i="4"/>
  <c r="K594" i="4"/>
  <c r="L594" i="4"/>
  <c r="I595" i="4"/>
  <c r="J595" i="4"/>
  <c r="K595" i="4"/>
  <c r="L595" i="4"/>
  <c r="I596" i="4"/>
  <c r="J596" i="4"/>
  <c r="K596" i="4"/>
  <c r="L596" i="4"/>
  <c r="I597" i="4"/>
  <c r="J597" i="4"/>
  <c r="K597" i="4"/>
  <c r="L597" i="4"/>
  <c r="I598" i="4"/>
  <c r="J598" i="4"/>
  <c r="K598" i="4"/>
  <c r="L598" i="4"/>
  <c r="I599" i="4"/>
  <c r="J599" i="4"/>
  <c r="K599" i="4"/>
  <c r="L599" i="4"/>
  <c r="I600" i="4"/>
  <c r="J600" i="4"/>
  <c r="K600" i="4"/>
  <c r="L600" i="4"/>
  <c r="I601" i="4"/>
  <c r="J601" i="4"/>
  <c r="K601" i="4"/>
  <c r="L601" i="4"/>
  <c r="I602" i="4"/>
  <c r="J602" i="4"/>
  <c r="K602" i="4"/>
  <c r="L602" i="4"/>
  <c r="I603" i="4"/>
  <c r="J603" i="4"/>
  <c r="K603" i="4"/>
  <c r="L603" i="4"/>
  <c r="I604" i="4"/>
  <c r="J604" i="4"/>
  <c r="K604" i="4"/>
  <c r="L604" i="4"/>
  <c r="I605" i="4"/>
  <c r="J605" i="4"/>
  <c r="K605" i="4"/>
  <c r="L605" i="4"/>
  <c r="I606" i="4"/>
  <c r="J606" i="4"/>
  <c r="K606" i="4"/>
  <c r="L606" i="4"/>
  <c r="I607" i="4"/>
  <c r="J607" i="4"/>
  <c r="K607" i="4"/>
  <c r="L607" i="4"/>
  <c r="I608" i="4"/>
  <c r="J608" i="4"/>
  <c r="K608" i="4"/>
  <c r="L608" i="4"/>
  <c r="I609" i="4"/>
  <c r="J609" i="4"/>
  <c r="K609" i="4"/>
  <c r="L609" i="4"/>
  <c r="I610" i="4"/>
  <c r="J610" i="4"/>
  <c r="K610" i="4"/>
  <c r="L610" i="4"/>
  <c r="I611" i="4"/>
  <c r="J611" i="4"/>
  <c r="K611" i="4"/>
  <c r="L611" i="4"/>
  <c r="I612" i="4"/>
  <c r="J612" i="4"/>
  <c r="K612" i="4"/>
  <c r="L612" i="4"/>
  <c r="I613" i="4"/>
  <c r="J613" i="4"/>
  <c r="K613" i="4"/>
  <c r="L613" i="4"/>
  <c r="I614" i="4"/>
  <c r="J614" i="4"/>
  <c r="K614" i="4"/>
  <c r="L614" i="4"/>
  <c r="I615" i="4"/>
  <c r="J615" i="4"/>
  <c r="K615" i="4"/>
  <c r="L615" i="4"/>
  <c r="I616" i="4"/>
  <c r="J616" i="4"/>
  <c r="K616" i="4"/>
  <c r="L616" i="4"/>
  <c r="I617" i="4"/>
  <c r="J617" i="4"/>
  <c r="K617" i="4"/>
  <c r="L617" i="4"/>
  <c r="I618" i="4"/>
  <c r="J618" i="4"/>
  <c r="K618" i="4"/>
  <c r="L618" i="4"/>
  <c r="I619" i="4"/>
  <c r="J619" i="4"/>
  <c r="K619" i="4"/>
  <c r="L619" i="4"/>
  <c r="I620" i="4"/>
  <c r="J620" i="4"/>
  <c r="K620" i="4"/>
  <c r="L620" i="4"/>
  <c r="I621" i="4"/>
  <c r="J621" i="4"/>
  <c r="K621" i="4"/>
  <c r="L621" i="4"/>
  <c r="I622" i="4"/>
  <c r="J622" i="4"/>
  <c r="K622" i="4"/>
  <c r="L622" i="4"/>
  <c r="I623" i="4"/>
  <c r="J623" i="4"/>
  <c r="K623" i="4"/>
  <c r="L623" i="4"/>
  <c r="I624" i="4"/>
  <c r="J624" i="4"/>
  <c r="K624" i="4"/>
  <c r="L624" i="4"/>
  <c r="I625" i="4"/>
  <c r="J625" i="4"/>
  <c r="K625" i="4"/>
  <c r="L625" i="4"/>
  <c r="I626" i="4"/>
  <c r="J626" i="4"/>
  <c r="K626" i="4"/>
  <c r="L626" i="4"/>
  <c r="I627" i="4"/>
  <c r="J627" i="4"/>
  <c r="K627" i="4"/>
  <c r="L627" i="4"/>
  <c r="I628" i="4"/>
  <c r="J628" i="4"/>
  <c r="K628" i="4"/>
  <c r="L628" i="4"/>
  <c r="I629" i="4"/>
  <c r="J629" i="4"/>
  <c r="K629" i="4"/>
  <c r="L629" i="4"/>
  <c r="I630" i="4"/>
  <c r="J630" i="4"/>
  <c r="K630" i="4"/>
  <c r="L630" i="4"/>
  <c r="I631" i="4"/>
  <c r="J631" i="4"/>
  <c r="K631" i="4"/>
  <c r="L631" i="4"/>
  <c r="I632" i="4"/>
  <c r="J632" i="4"/>
  <c r="K632" i="4"/>
  <c r="L632" i="4"/>
  <c r="I633" i="4"/>
  <c r="J633" i="4"/>
  <c r="K633" i="4"/>
  <c r="L633" i="4"/>
  <c r="I634" i="4"/>
  <c r="J634" i="4"/>
  <c r="K634" i="4"/>
  <c r="L634" i="4"/>
  <c r="I635" i="4"/>
  <c r="J635" i="4"/>
  <c r="K635" i="4"/>
  <c r="L635" i="4"/>
  <c r="I636" i="4"/>
  <c r="J636" i="4"/>
  <c r="K636" i="4"/>
  <c r="L636" i="4"/>
  <c r="I637" i="4"/>
  <c r="J637" i="4"/>
  <c r="K637" i="4"/>
  <c r="L637" i="4"/>
  <c r="I638" i="4"/>
  <c r="J638" i="4"/>
  <c r="K638" i="4"/>
  <c r="L638" i="4"/>
  <c r="I639" i="4"/>
  <c r="J639" i="4"/>
  <c r="K639" i="4"/>
  <c r="L639" i="4"/>
  <c r="I640" i="4"/>
  <c r="J640" i="4"/>
  <c r="K640" i="4"/>
  <c r="L640" i="4"/>
  <c r="I641" i="4"/>
  <c r="J641" i="4"/>
  <c r="K641" i="4"/>
  <c r="L641" i="4"/>
  <c r="I642" i="4"/>
  <c r="J642" i="4"/>
  <c r="K642" i="4"/>
  <c r="L642" i="4"/>
  <c r="I643" i="4"/>
  <c r="J643" i="4"/>
  <c r="K643" i="4"/>
  <c r="L643" i="4"/>
  <c r="I644" i="4"/>
  <c r="J644" i="4"/>
  <c r="K644" i="4"/>
  <c r="L644" i="4"/>
  <c r="I645" i="4"/>
  <c r="J645" i="4"/>
  <c r="K645" i="4"/>
  <c r="L645" i="4"/>
  <c r="I646" i="4"/>
  <c r="J646" i="4"/>
  <c r="K646" i="4"/>
  <c r="L646" i="4"/>
  <c r="I647" i="4"/>
  <c r="J647" i="4"/>
  <c r="K647" i="4"/>
  <c r="L647" i="4"/>
  <c r="I648" i="4"/>
  <c r="J648" i="4"/>
  <c r="K648" i="4"/>
  <c r="L648" i="4"/>
  <c r="I649" i="4"/>
  <c r="J649" i="4"/>
  <c r="K649" i="4"/>
  <c r="L649" i="4"/>
  <c r="I650" i="4"/>
  <c r="J650" i="4"/>
  <c r="K650" i="4"/>
  <c r="L650" i="4"/>
  <c r="I651" i="4"/>
  <c r="J651" i="4"/>
  <c r="K651" i="4"/>
  <c r="L651" i="4"/>
  <c r="I652" i="4"/>
  <c r="J652" i="4"/>
  <c r="K652" i="4"/>
  <c r="L652" i="4"/>
  <c r="I653" i="4"/>
  <c r="J653" i="4"/>
  <c r="K653" i="4"/>
  <c r="L653" i="4"/>
  <c r="I654" i="4"/>
  <c r="J654" i="4"/>
  <c r="K654" i="4"/>
  <c r="L654" i="4"/>
  <c r="I655" i="4"/>
  <c r="J655" i="4"/>
  <c r="K655" i="4"/>
  <c r="L655" i="4"/>
  <c r="I656" i="4"/>
  <c r="J656" i="4"/>
  <c r="K656" i="4"/>
  <c r="L656" i="4"/>
  <c r="I657" i="4"/>
  <c r="J657" i="4"/>
  <c r="K657" i="4"/>
  <c r="L657" i="4"/>
  <c r="I658" i="4"/>
  <c r="J658" i="4"/>
  <c r="K658" i="4"/>
  <c r="L658" i="4"/>
  <c r="I659" i="4"/>
  <c r="J659" i="4"/>
  <c r="K659" i="4"/>
  <c r="L659" i="4"/>
  <c r="I660" i="4"/>
  <c r="J660" i="4"/>
  <c r="K660" i="4"/>
  <c r="L660" i="4"/>
  <c r="I661" i="4"/>
  <c r="J661" i="4"/>
  <c r="K661" i="4"/>
  <c r="L661" i="4"/>
  <c r="I662" i="4"/>
  <c r="J662" i="4"/>
  <c r="K662" i="4"/>
  <c r="L662" i="4"/>
  <c r="I663" i="4"/>
  <c r="J663" i="4"/>
  <c r="K663" i="4"/>
  <c r="L663" i="4"/>
  <c r="I664" i="4"/>
  <c r="J664" i="4"/>
  <c r="K664" i="4"/>
  <c r="L664" i="4"/>
  <c r="I665" i="4"/>
  <c r="J665" i="4"/>
  <c r="K665" i="4"/>
  <c r="L665" i="4"/>
  <c r="I666" i="4"/>
  <c r="J666" i="4"/>
  <c r="K666" i="4"/>
  <c r="L666" i="4"/>
  <c r="I667" i="4"/>
  <c r="J667" i="4"/>
  <c r="K667" i="4"/>
  <c r="L667" i="4"/>
  <c r="I668" i="4"/>
  <c r="J668" i="4"/>
  <c r="K668" i="4"/>
  <c r="L668" i="4"/>
  <c r="I669" i="4"/>
  <c r="J669" i="4"/>
  <c r="K669" i="4"/>
  <c r="L669" i="4"/>
  <c r="I670" i="4"/>
  <c r="J670" i="4"/>
  <c r="K670" i="4"/>
  <c r="L670" i="4"/>
  <c r="I671" i="4"/>
  <c r="J671" i="4"/>
  <c r="K671" i="4"/>
  <c r="L671" i="4"/>
  <c r="I672" i="4"/>
  <c r="J672" i="4"/>
  <c r="K672" i="4"/>
  <c r="L672" i="4"/>
  <c r="I673" i="4"/>
  <c r="J673" i="4"/>
  <c r="K673" i="4"/>
  <c r="L673" i="4"/>
  <c r="I674" i="4"/>
  <c r="J674" i="4"/>
  <c r="K674" i="4"/>
  <c r="L674" i="4"/>
  <c r="I675" i="4"/>
  <c r="J675" i="4"/>
  <c r="K675" i="4"/>
  <c r="L675" i="4"/>
  <c r="I676" i="4"/>
  <c r="J676" i="4"/>
  <c r="K676" i="4"/>
  <c r="L676" i="4"/>
  <c r="I677" i="4"/>
  <c r="J677" i="4"/>
  <c r="K677" i="4"/>
  <c r="L677" i="4"/>
  <c r="I678" i="4"/>
  <c r="J678" i="4"/>
  <c r="K678" i="4"/>
  <c r="L678" i="4"/>
  <c r="I679" i="4"/>
  <c r="J679" i="4"/>
  <c r="K679" i="4"/>
  <c r="L679" i="4"/>
  <c r="I680" i="4"/>
  <c r="J680" i="4"/>
  <c r="K680" i="4"/>
  <c r="L680" i="4"/>
  <c r="I681" i="4"/>
  <c r="J681" i="4"/>
  <c r="K681" i="4"/>
  <c r="L681" i="4"/>
  <c r="I682" i="4"/>
  <c r="J682" i="4"/>
  <c r="K682" i="4"/>
  <c r="L682" i="4"/>
  <c r="I683" i="4"/>
  <c r="J683" i="4"/>
  <c r="K683" i="4"/>
  <c r="L683" i="4"/>
  <c r="I684" i="4"/>
  <c r="J684" i="4"/>
  <c r="K684" i="4"/>
  <c r="L684" i="4"/>
  <c r="I685" i="4"/>
  <c r="J685" i="4"/>
  <c r="K685" i="4"/>
  <c r="L685" i="4"/>
  <c r="I686" i="4"/>
  <c r="J686" i="4"/>
  <c r="K686" i="4"/>
  <c r="L686" i="4"/>
  <c r="I687" i="4"/>
  <c r="J687" i="4"/>
  <c r="K687" i="4"/>
  <c r="L687" i="4"/>
  <c r="I688" i="4"/>
  <c r="J688" i="4"/>
  <c r="K688" i="4"/>
  <c r="L688" i="4"/>
  <c r="I689" i="4"/>
  <c r="J689" i="4"/>
  <c r="K689" i="4"/>
  <c r="L689" i="4"/>
  <c r="I690" i="4"/>
  <c r="J690" i="4"/>
  <c r="K690" i="4"/>
  <c r="L690" i="4"/>
  <c r="I691" i="4"/>
  <c r="J691" i="4"/>
  <c r="K691" i="4"/>
  <c r="L691" i="4"/>
  <c r="I692" i="4"/>
  <c r="J692" i="4"/>
  <c r="K692" i="4"/>
  <c r="L692" i="4"/>
  <c r="I693" i="4"/>
  <c r="J693" i="4"/>
  <c r="K693" i="4"/>
  <c r="L693" i="4"/>
  <c r="I694" i="4"/>
  <c r="J694" i="4"/>
  <c r="K694" i="4"/>
  <c r="L694" i="4"/>
  <c r="I695" i="4"/>
  <c r="J695" i="4"/>
  <c r="K695" i="4"/>
  <c r="L695" i="4"/>
  <c r="I696" i="4"/>
  <c r="J696" i="4"/>
  <c r="K696" i="4"/>
  <c r="L696" i="4"/>
  <c r="I697" i="4"/>
  <c r="J697" i="4"/>
  <c r="K697" i="4"/>
  <c r="L697" i="4"/>
  <c r="I698" i="4"/>
  <c r="J698" i="4"/>
  <c r="K698" i="4"/>
  <c r="L698" i="4"/>
  <c r="I699" i="4"/>
  <c r="J699" i="4"/>
  <c r="K699" i="4"/>
  <c r="L699" i="4"/>
  <c r="I700" i="4"/>
  <c r="J700" i="4"/>
  <c r="K700" i="4"/>
  <c r="L700" i="4"/>
  <c r="I701" i="4"/>
  <c r="J701" i="4"/>
  <c r="K701" i="4"/>
  <c r="L701" i="4"/>
  <c r="I702" i="4"/>
  <c r="J702" i="4"/>
  <c r="K702" i="4"/>
  <c r="L702" i="4"/>
  <c r="I703" i="4"/>
  <c r="J703" i="4"/>
  <c r="K703" i="4"/>
  <c r="L703" i="4"/>
  <c r="I704" i="4"/>
  <c r="J704" i="4"/>
  <c r="K704" i="4"/>
  <c r="L704" i="4"/>
  <c r="I705" i="4"/>
  <c r="J705" i="4"/>
  <c r="K705" i="4"/>
  <c r="L705" i="4"/>
  <c r="I706" i="4"/>
  <c r="J706" i="4"/>
  <c r="K706" i="4"/>
  <c r="L706" i="4"/>
  <c r="I707" i="4"/>
  <c r="J707" i="4"/>
  <c r="K707" i="4"/>
  <c r="L707" i="4"/>
  <c r="I708" i="4"/>
  <c r="J708" i="4"/>
  <c r="K708" i="4"/>
  <c r="L708" i="4"/>
  <c r="I709" i="4"/>
  <c r="J709" i="4"/>
  <c r="K709" i="4"/>
  <c r="L709" i="4"/>
  <c r="I710" i="4"/>
  <c r="J710" i="4"/>
  <c r="K710" i="4"/>
  <c r="L710" i="4"/>
  <c r="I711" i="4"/>
  <c r="J711" i="4"/>
  <c r="K711" i="4"/>
  <c r="L711" i="4"/>
  <c r="I712" i="4"/>
  <c r="J712" i="4"/>
  <c r="K712" i="4"/>
  <c r="L712" i="4"/>
  <c r="I713" i="4"/>
  <c r="J713" i="4"/>
  <c r="K713" i="4"/>
  <c r="L713" i="4"/>
  <c r="I714" i="4"/>
  <c r="J714" i="4"/>
  <c r="K714" i="4"/>
  <c r="L714" i="4"/>
  <c r="I715" i="4"/>
  <c r="J715" i="4"/>
  <c r="K715" i="4"/>
  <c r="L715" i="4"/>
  <c r="I716" i="4"/>
  <c r="J716" i="4"/>
  <c r="K716" i="4"/>
  <c r="L716" i="4"/>
  <c r="I717" i="4"/>
  <c r="J717" i="4"/>
  <c r="K717" i="4"/>
  <c r="L717" i="4"/>
  <c r="I718" i="4"/>
  <c r="J718" i="4"/>
  <c r="K718" i="4"/>
  <c r="L718" i="4"/>
  <c r="I719" i="4"/>
  <c r="J719" i="4"/>
  <c r="K719" i="4"/>
  <c r="L719" i="4"/>
  <c r="I720" i="4"/>
  <c r="J720" i="4"/>
  <c r="K720" i="4"/>
  <c r="L720" i="4"/>
  <c r="I721" i="4"/>
  <c r="J721" i="4"/>
  <c r="K721" i="4"/>
  <c r="L721" i="4"/>
  <c r="I722" i="4"/>
  <c r="J722" i="4"/>
  <c r="K722" i="4"/>
  <c r="L722" i="4"/>
  <c r="I723" i="4"/>
  <c r="J723" i="4"/>
  <c r="K723" i="4"/>
  <c r="L723" i="4"/>
  <c r="I724" i="4"/>
  <c r="J724" i="4"/>
  <c r="K724" i="4"/>
  <c r="L724" i="4"/>
  <c r="I725" i="4"/>
  <c r="J725" i="4"/>
  <c r="K725" i="4"/>
  <c r="L725" i="4"/>
  <c r="I726" i="4"/>
  <c r="J726" i="4"/>
  <c r="K726" i="4"/>
  <c r="L726" i="4"/>
  <c r="I727" i="4"/>
  <c r="J727" i="4"/>
  <c r="K727" i="4"/>
  <c r="L727" i="4"/>
  <c r="I728" i="4"/>
  <c r="J728" i="4"/>
  <c r="K728" i="4"/>
  <c r="L728" i="4"/>
  <c r="I729" i="4"/>
  <c r="J729" i="4"/>
  <c r="K729" i="4"/>
  <c r="L729" i="4"/>
  <c r="I730" i="4"/>
  <c r="J730" i="4"/>
  <c r="K730" i="4"/>
  <c r="L730" i="4"/>
  <c r="I731" i="4"/>
  <c r="J731" i="4"/>
  <c r="K731" i="4"/>
  <c r="L731" i="4"/>
  <c r="I732" i="4"/>
  <c r="J732" i="4"/>
  <c r="K732" i="4"/>
  <c r="L732" i="4"/>
  <c r="I733" i="4"/>
  <c r="J733" i="4"/>
  <c r="K733" i="4"/>
  <c r="L733" i="4"/>
  <c r="I734" i="4"/>
  <c r="J734" i="4"/>
  <c r="K734" i="4"/>
  <c r="L734" i="4"/>
  <c r="I735" i="4"/>
  <c r="J735" i="4"/>
  <c r="K735" i="4"/>
  <c r="L735" i="4"/>
  <c r="I736" i="4"/>
  <c r="J736" i="4"/>
  <c r="K736" i="4"/>
  <c r="L736" i="4"/>
  <c r="I737" i="4"/>
  <c r="J737" i="4"/>
  <c r="K737" i="4"/>
  <c r="L737" i="4"/>
  <c r="I738" i="4"/>
  <c r="J738" i="4"/>
  <c r="K738" i="4"/>
  <c r="L738" i="4"/>
  <c r="I739" i="4"/>
  <c r="J739" i="4"/>
  <c r="K739" i="4"/>
  <c r="L739" i="4"/>
  <c r="I740" i="4"/>
  <c r="J740" i="4"/>
  <c r="K740" i="4"/>
  <c r="L740" i="4"/>
  <c r="I741" i="4"/>
  <c r="J741" i="4"/>
  <c r="K741" i="4"/>
  <c r="L741" i="4"/>
  <c r="I742" i="4"/>
  <c r="J742" i="4"/>
  <c r="K742" i="4"/>
  <c r="L742" i="4"/>
  <c r="I743" i="4"/>
  <c r="J743" i="4"/>
  <c r="K743" i="4"/>
  <c r="L743" i="4"/>
  <c r="I744" i="4"/>
  <c r="J744" i="4"/>
  <c r="K744" i="4"/>
  <c r="L744" i="4"/>
  <c r="I745" i="4"/>
  <c r="J745" i="4"/>
  <c r="K745" i="4"/>
  <c r="L745" i="4"/>
  <c r="I746" i="4"/>
  <c r="J746" i="4"/>
  <c r="K746" i="4"/>
  <c r="L746" i="4"/>
  <c r="I747" i="4"/>
  <c r="J747" i="4"/>
  <c r="K747" i="4"/>
  <c r="L747" i="4"/>
  <c r="I748" i="4"/>
  <c r="J748" i="4"/>
  <c r="K748" i="4"/>
  <c r="L748" i="4"/>
  <c r="I749" i="4"/>
  <c r="J749" i="4"/>
  <c r="K749" i="4"/>
  <c r="L749" i="4"/>
  <c r="I750" i="4"/>
  <c r="J750" i="4"/>
  <c r="K750" i="4"/>
  <c r="L750" i="4"/>
  <c r="I751" i="4"/>
  <c r="J751" i="4"/>
  <c r="K751" i="4"/>
  <c r="L751" i="4"/>
  <c r="I752" i="4"/>
  <c r="J752" i="4"/>
  <c r="K752" i="4"/>
  <c r="L752" i="4"/>
  <c r="I753" i="4"/>
  <c r="J753" i="4"/>
  <c r="K753" i="4"/>
  <c r="L753" i="4"/>
  <c r="I754" i="4"/>
  <c r="J754" i="4"/>
  <c r="K754" i="4"/>
  <c r="L754" i="4"/>
  <c r="I755" i="4"/>
  <c r="J755" i="4"/>
  <c r="K755" i="4"/>
  <c r="L755" i="4"/>
  <c r="I756" i="4"/>
  <c r="J756" i="4"/>
  <c r="K756" i="4"/>
  <c r="L756" i="4"/>
  <c r="I757" i="4"/>
  <c r="J757" i="4"/>
  <c r="K757" i="4"/>
  <c r="L757" i="4"/>
  <c r="I758" i="4"/>
  <c r="J758" i="4"/>
  <c r="K758" i="4"/>
  <c r="L758" i="4"/>
  <c r="I759" i="4"/>
  <c r="J759" i="4"/>
  <c r="K759" i="4"/>
  <c r="L759" i="4"/>
  <c r="I760" i="4"/>
  <c r="J760" i="4"/>
  <c r="K760" i="4"/>
  <c r="L760" i="4"/>
  <c r="I761" i="4"/>
  <c r="J761" i="4"/>
  <c r="K761" i="4"/>
  <c r="L761" i="4"/>
  <c r="I762" i="4"/>
  <c r="J762" i="4"/>
  <c r="K762" i="4"/>
  <c r="L762" i="4"/>
  <c r="I763" i="4"/>
  <c r="J763" i="4"/>
  <c r="K763" i="4"/>
  <c r="L763" i="4"/>
  <c r="I764" i="4"/>
  <c r="J764" i="4"/>
  <c r="K764" i="4"/>
  <c r="L764" i="4"/>
  <c r="I765" i="4"/>
  <c r="J765" i="4"/>
  <c r="K765" i="4"/>
  <c r="L765" i="4"/>
  <c r="I766" i="4"/>
  <c r="J766" i="4"/>
  <c r="K766" i="4"/>
  <c r="L766" i="4"/>
  <c r="I767" i="4"/>
  <c r="J767" i="4"/>
  <c r="K767" i="4"/>
  <c r="L767" i="4"/>
  <c r="I768" i="4"/>
  <c r="J768" i="4"/>
  <c r="K768" i="4"/>
  <c r="L768" i="4"/>
  <c r="I769" i="4"/>
  <c r="J769" i="4"/>
  <c r="K769" i="4"/>
  <c r="L769" i="4"/>
  <c r="I770" i="4"/>
  <c r="J770" i="4"/>
  <c r="K770" i="4"/>
  <c r="L770" i="4"/>
  <c r="I771" i="4"/>
  <c r="J771" i="4"/>
  <c r="K771" i="4"/>
  <c r="L771" i="4"/>
  <c r="I772" i="4"/>
  <c r="J772" i="4"/>
  <c r="K772" i="4"/>
  <c r="L772" i="4"/>
  <c r="I773" i="4"/>
  <c r="J773" i="4"/>
  <c r="K773" i="4"/>
  <c r="L773" i="4"/>
  <c r="I774" i="4"/>
  <c r="J774" i="4"/>
  <c r="K774" i="4"/>
  <c r="L774" i="4"/>
  <c r="I775" i="4"/>
  <c r="J775" i="4"/>
  <c r="K775" i="4"/>
  <c r="L775" i="4"/>
  <c r="I776" i="4"/>
  <c r="J776" i="4"/>
  <c r="K776" i="4"/>
  <c r="L776" i="4"/>
  <c r="I777" i="4"/>
  <c r="J777" i="4"/>
  <c r="K777" i="4"/>
  <c r="L777" i="4"/>
  <c r="I778" i="4"/>
  <c r="J778" i="4"/>
  <c r="K778" i="4"/>
  <c r="L778" i="4"/>
  <c r="I779" i="4"/>
  <c r="J779" i="4"/>
  <c r="K779" i="4"/>
  <c r="L779" i="4"/>
  <c r="I780" i="4"/>
  <c r="J780" i="4"/>
  <c r="K780" i="4"/>
  <c r="L780" i="4"/>
  <c r="I781" i="4"/>
  <c r="J781" i="4"/>
  <c r="K781" i="4"/>
  <c r="L781" i="4"/>
  <c r="I782" i="4"/>
  <c r="J782" i="4"/>
  <c r="K782" i="4"/>
  <c r="L782" i="4"/>
  <c r="I783" i="4"/>
  <c r="J783" i="4"/>
  <c r="K783" i="4"/>
  <c r="L783" i="4"/>
  <c r="I784" i="4"/>
  <c r="J784" i="4"/>
  <c r="K784" i="4"/>
  <c r="L784" i="4"/>
  <c r="I785" i="4"/>
  <c r="J785" i="4"/>
  <c r="K785" i="4"/>
  <c r="L785" i="4"/>
  <c r="I786" i="4"/>
  <c r="J786" i="4"/>
  <c r="K786" i="4"/>
  <c r="L786" i="4"/>
  <c r="I787" i="4"/>
  <c r="J787" i="4"/>
  <c r="K787" i="4"/>
  <c r="L787" i="4"/>
  <c r="I788" i="4"/>
  <c r="J788" i="4"/>
  <c r="K788" i="4"/>
  <c r="L788" i="4"/>
  <c r="I789" i="4"/>
  <c r="J789" i="4"/>
  <c r="K789" i="4"/>
  <c r="L789" i="4"/>
  <c r="I790" i="4"/>
  <c r="J790" i="4"/>
  <c r="K790" i="4"/>
  <c r="L790" i="4"/>
  <c r="I791" i="4"/>
  <c r="J791" i="4"/>
  <c r="K791" i="4"/>
  <c r="L791" i="4"/>
  <c r="I792" i="4"/>
  <c r="J792" i="4"/>
  <c r="K792" i="4"/>
  <c r="L792" i="4"/>
  <c r="I793" i="4"/>
  <c r="J793" i="4"/>
  <c r="K793" i="4"/>
  <c r="L793" i="4"/>
  <c r="I794" i="4"/>
  <c r="J794" i="4"/>
  <c r="K794" i="4"/>
  <c r="L794" i="4"/>
  <c r="I795" i="4"/>
  <c r="J795" i="4"/>
  <c r="K795" i="4"/>
  <c r="L795" i="4"/>
  <c r="I796" i="4"/>
  <c r="J796" i="4"/>
  <c r="K796" i="4"/>
  <c r="L796" i="4"/>
  <c r="I797" i="4"/>
  <c r="J797" i="4"/>
  <c r="K797" i="4"/>
  <c r="L797" i="4"/>
  <c r="I798" i="4"/>
  <c r="J798" i="4"/>
  <c r="K798" i="4"/>
  <c r="L798" i="4"/>
  <c r="I799" i="4"/>
  <c r="J799" i="4"/>
  <c r="K799" i="4"/>
  <c r="L799" i="4"/>
  <c r="I800" i="4"/>
  <c r="J800" i="4"/>
  <c r="K800" i="4"/>
  <c r="L800" i="4"/>
  <c r="I801" i="4"/>
  <c r="J801" i="4"/>
  <c r="K801" i="4"/>
  <c r="L801" i="4"/>
  <c r="I802" i="4"/>
  <c r="J802" i="4"/>
  <c r="K802" i="4"/>
  <c r="L802" i="4"/>
  <c r="I803" i="4"/>
  <c r="J803" i="4"/>
  <c r="K803" i="4"/>
  <c r="L803" i="4"/>
  <c r="I804" i="4"/>
  <c r="J804" i="4"/>
  <c r="K804" i="4"/>
  <c r="L804" i="4"/>
  <c r="I805" i="4"/>
  <c r="J805" i="4"/>
  <c r="K805" i="4"/>
  <c r="L805" i="4"/>
  <c r="I806" i="4"/>
  <c r="J806" i="4"/>
  <c r="K806" i="4"/>
  <c r="L806" i="4"/>
  <c r="I807" i="4"/>
  <c r="J807" i="4"/>
  <c r="K807" i="4"/>
  <c r="L807" i="4"/>
  <c r="I808" i="4"/>
  <c r="J808" i="4"/>
  <c r="K808" i="4"/>
  <c r="L808" i="4"/>
  <c r="I809" i="4"/>
  <c r="J809" i="4"/>
  <c r="K809" i="4"/>
  <c r="L809" i="4"/>
  <c r="I810" i="4"/>
  <c r="J810" i="4"/>
  <c r="K810" i="4"/>
  <c r="L810" i="4"/>
  <c r="I811" i="4"/>
  <c r="J811" i="4"/>
  <c r="K811" i="4"/>
  <c r="L811" i="4"/>
  <c r="I812" i="4"/>
  <c r="J812" i="4"/>
  <c r="K812" i="4"/>
  <c r="L812" i="4"/>
  <c r="I813" i="4"/>
  <c r="J813" i="4"/>
  <c r="K813" i="4"/>
  <c r="L813" i="4"/>
  <c r="I814" i="4"/>
  <c r="J814" i="4"/>
  <c r="K814" i="4"/>
  <c r="L814" i="4"/>
  <c r="I815" i="4"/>
  <c r="J815" i="4"/>
  <c r="K815" i="4"/>
  <c r="L815" i="4"/>
  <c r="I816" i="4"/>
  <c r="J816" i="4"/>
  <c r="K816" i="4"/>
  <c r="L816" i="4"/>
  <c r="I817" i="4"/>
  <c r="J817" i="4"/>
  <c r="K817" i="4"/>
  <c r="L817" i="4"/>
  <c r="I818" i="4"/>
  <c r="J818" i="4"/>
  <c r="K818" i="4"/>
  <c r="L818" i="4"/>
  <c r="I819" i="4"/>
  <c r="J819" i="4"/>
  <c r="K819" i="4"/>
  <c r="L819" i="4"/>
  <c r="I820" i="4"/>
  <c r="J820" i="4"/>
  <c r="K820" i="4"/>
  <c r="L820" i="4"/>
  <c r="I821" i="4"/>
  <c r="J821" i="4"/>
  <c r="K821" i="4"/>
  <c r="L821" i="4"/>
  <c r="I822" i="4"/>
  <c r="J822" i="4"/>
  <c r="K822" i="4"/>
  <c r="L822" i="4"/>
  <c r="I823" i="4"/>
  <c r="J823" i="4"/>
  <c r="K823" i="4"/>
  <c r="L823" i="4"/>
  <c r="I824" i="4"/>
  <c r="J824" i="4"/>
  <c r="K824" i="4"/>
  <c r="L824" i="4"/>
  <c r="I825" i="4"/>
  <c r="J825" i="4"/>
  <c r="K825" i="4"/>
  <c r="L825" i="4"/>
  <c r="I826" i="4"/>
  <c r="J826" i="4"/>
  <c r="K826" i="4"/>
  <c r="L826" i="4"/>
  <c r="I827" i="4"/>
  <c r="J827" i="4"/>
  <c r="K827" i="4"/>
  <c r="L827" i="4"/>
  <c r="I828" i="4"/>
  <c r="J828" i="4"/>
  <c r="K828" i="4"/>
  <c r="L828" i="4"/>
  <c r="I829" i="4"/>
  <c r="J829" i="4"/>
  <c r="K829" i="4"/>
  <c r="L829" i="4"/>
  <c r="I830" i="4"/>
  <c r="J830" i="4"/>
  <c r="K830" i="4"/>
  <c r="L830" i="4"/>
  <c r="I831" i="4"/>
  <c r="J831" i="4"/>
  <c r="K831" i="4"/>
  <c r="L831" i="4"/>
  <c r="I832" i="4"/>
  <c r="J832" i="4"/>
  <c r="K832" i="4"/>
  <c r="L832" i="4"/>
  <c r="I833" i="4"/>
  <c r="J833" i="4"/>
  <c r="K833" i="4"/>
  <c r="L833" i="4"/>
  <c r="I834" i="4"/>
  <c r="J834" i="4"/>
  <c r="K834" i="4"/>
  <c r="L834" i="4"/>
  <c r="I835" i="4"/>
  <c r="J835" i="4"/>
  <c r="K835" i="4"/>
  <c r="L835" i="4"/>
  <c r="I836" i="4"/>
  <c r="J836" i="4"/>
  <c r="K836" i="4"/>
  <c r="L836" i="4"/>
  <c r="I837" i="4"/>
  <c r="J837" i="4"/>
  <c r="K837" i="4"/>
  <c r="L837" i="4"/>
  <c r="I838" i="4"/>
  <c r="J838" i="4"/>
  <c r="K838" i="4"/>
  <c r="L838" i="4"/>
  <c r="I839" i="4"/>
  <c r="J839" i="4"/>
  <c r="K839" i="4"/>
  <c r="L839" i="4"/>
  <c r="I840" i="4"/>
  <c r="J840" i="4"/>
  <c r="K840" i="4"/>
  <c r="L840" i="4"/>
  <c r="I841" i="4"/>
  <c r="J841" i="4"/>
  <c r="K841" i="4"/>
  <c r="L841" i="4"/>
  <c r="I842" i="4"/>
  <c r="J842" i="4"/>
  <c r="K842" i="4"/>
  <c r="L842" i="4"/>
  <c r="I843" i="4"/>
  <c r="J843" i="4"/>
  <c r="K843" i="4"/>
  <c r="L843" i="4"/>
  <c r="I844" i="4"/>
  <c r="J844" i="4"/>
  <c r="K844" i="4"/>
  <c r="L844" i="4"/>
  <c r="I845" i="4"/>
  <c r="J845" i="4"/>
  <c r="K845" i="4"/>
  <c r="L845" i="4"/>
  <c r="I846" i="4"/>
  <c r="J846" i="4"/>
  <c r="K846" i="4"/>
  <c r="L846" i="4"/>
  <c r="I847" i="4"/>
  <c r="J847" i="4"/>
  <c r="K847" i="4"/>
  <c r="L847" i="4"/>
  <c r="I848" i="4"/>
  <c r="J848" i="4"/>
  <c r="K848" i="4"/>
  <c r="L848" i="4"/>
  <c r="I849" i="4"/>
  <c r="J849" i="4"/>
  <c r="K849" i="4"/>
  <c r="L849" i="4"/>
  <c r="I850" i="4"/>
  <c r="J850" i="4"/>
  <c r="K850" i="4"/>
  <c r="L850" i="4"/>
  <c r="I851" i="4"/>
  <c r="J851" i="4"/>
  <c r="K851" i="4"/>
  <c r="L851" i="4"/>
  <c r="I852" i="4"/>
  <c r="J852" i="4"/>
  <c r="K852" i="4"/>
  <c r="L852" i="4"/>
  <c r="I853" i="4"/>
  <c r="J853" i="4"/>
  <c r="K853" i="4"/>
  <c r="L853" i="4"/>
  <c r="I854" i="4"/>
  <c r="J854" i="4"/>
  <c r="K854" i="4"/>
  <c r="L854" i="4"/>
  <c r="I855" i="4"/>
  <c r="J855" i="4"/>
  <c r="K855" i="4"/>
  <c r="L855" i="4"/>
  <c r="I856" i="4"/>
  <c r="J856" i="4"/>
  <c r="K856" i="4"/>
  <c r="L856" i="4"/>
  <c r="I857" i="4"/>
  <c r="J857" i="4"/>
  <c r="K857" i="4"/>
  <c r="L857" i="4"/>
  <c r="I858" i="4"/>
  <c r="J858" i="4"/>
  <c r="K858" i="4"/>
  <c r="L858" i="4"/>
  <c r="I859" i="4"/>
  <c r="J859" i="4"/>
  <c r="K859" i="4"/>
  <c r="L859" i="4"/>
  <c r="I860" i="4"/>
  <c r="J860" i="4"/>
  <c r="K860" i="4"/>
  <c r="L860" i="4"/>
  <c r="I861" i="4"/>
  <c r="J861" i="4"/>
  <c r="K861" i="4"/>
  <c r="L861" i="4"/>
  <c r="I862" i="4"/>
  <c r="J862" i="4"/>
  <c r="K862" i="4"/>
  <c r="L862" i="4"/>
  <c r="I863" i="4"/>
  <c r="J863" i="4"/>
  <c r="K863" i="4"/>
  <c r="L863" i="4"/>
  <c r="I864" i="4"/>
  <c r="J864" i="4"/>
  <c r="K864" i="4"/>
  <c r="L864" i="4"/>
  <c r="I865" i="4"/>
  <c r="J865" i="4"/>
  <c r="K865" i="4"/>
  <c r="L865" i="4"/>
  <c r="I866" i="4"/>
  <c r="J866" i="4"/>
  <c r="K866" i="4"/>
  <c r="L866" i="4"/>
  <c r="I867" i="4"/>
  <c r="J867" i="4"/>
  <c r="K867" i="4"/>
  <c r="L867" i="4"/>
  <c r="I868" i="4"/>
  <c r="J868" i="4"/>
  <c r="K868" i="4"/>
  <c r="L868" i="4"/>
  <c r="I869" i="4"/>
  <c r="J869" i="4"/>
  <c r="K869" i="4"/>
  <c r="L869" i="4"/>
  <c r="I870" i="4"/>
  <c r="J870" i="4"/>
  <c r="K870" i="4"/>
  <c r="L870" i="4"/>
  <c r="I871" i="4"/>
  <c r="J871" i="4"/>
  <c r="K871" i="4"/>
  <c r="L871" i="4"/>
  <c r="I872" i="4"/>
  <c r="J872" i="4"/>
  <c r="K872" i="4"/>
  <c r="L872" i="4"/>
  <c r="I873" i="4"/>
  <c r="J873" i="4"/>
  <c r="K873" i="4"/>
  <c r="L873" i="4"/>
  <c r="I874" i="4"/>
  <c r="J874" i="4"/>
  <c r="K874" i="4"/>
  <c r="L874" i="4"/>
  <c r="I875" i="4"/>
  <c r="J875" i="4"/>
  <c r="K875" i="4"/>
  <c r="L875" i="4"/>
  <c r="I876" i="4"/>
  <c r="J876" i="4"/>
  <c r="K876" i="4"/>
  <c r="L876" i="4"/>
  <c r="I877" i="4"/>
  <c r="J877" i="4"/>
  <c r="K877" i="4"/>
  <c r="L877" i="4"/>
  <c r="I878" i="4"/>
  <c r="J878" i="4"/>
  <c r="K878" i="4"/>
  <c r="L878" i="4"/>
  <c r="I879" i="4"/>
  <c r="J879" i="4"/>
  <c r="K879" i="4"/>
  <c r="L879" i="4"/>
  <c r="I880" i="4"/>
  <c r="J880" i="4"/>
  <c r="K880" i="4"/>
  <c r="L880" i="4"/>
  <c r="I881" i="4"/>
  <c r="J881" i="4"/>
  <c r="K881" i="4"/>
  <c r="L881" i="4"/>
  <c r="I882" i="4"/>
  <c r="J882" i="4"/>
  <c r="K882" i="4"/>
  <c r="L882" i="4"/>
  <c r="I883" i="4"/>
  <c r="J883" i="4"/>
  <c r="K883" i="4"/>
  <c r="L883" i="4"/>
  <c r="I884" i="4"/>
  <c r="J884" i="4"/>
  <c r="K884" i="4"/>
  <c r="L884" i="4"/>
  <c r="I885" i="4"/>
  <c r="J885" i="4"/>
  <c r="K885" i="4"/>
  <c r="L885" i="4"/>
  <c r="I886" i="4"/>
  <c r="J886" i="4"/>
  <c r="K886" i="4"/>
  <c r="L886" i="4"/>
  <c r="I887" i="4"/>
  <c r="J887" i="4"/>
  <c r="K887" i="4"/>
  <c r="L887" i="4"/>
  <c r="I888" i="4"/>
  <c r="J888" i="4"/>
  <c r="K888" i="4"/>
  <c r="L888" i="4"/>
  <c r="I889" i="4"/>
  <c r="J889" i="4"/>
  <c r="K889" i="4"/>
  <c r="L889" i="4"/>
  <c r="I890" i="4"/>
  <c r="J890" i="4"/>
  <c r="K890" i="4"/>
  <c r="L890" i="4"/>
  <c r="I891" i="4"/>
  <c r="J891" i="4"/>
  <c r="K891" i="4"/>
  <c r="L891" i="4"/>
  <c r="I892" i="4"/>
  <c r="J892" i="4"/>
  <c r="K892" i="4"/>
  <c r="L892" i="4"/>
  <c r="I893" i="4"/>
  <c r="J893" i="4"/>
  <c r="K893" i="4"/>
  <c r="L893" i="4"/>
  <c r="I894" i="4"/>
  <c r="J894" i="4"/>
  <c r="K894" i="4"/>
  <c r="L894" i="4"/>
  <c r="I895" i="4"/>
  <c r="J895" i="4"/>
  <c r="K895" i="4"/>
  <c r="L895" i="4"/>
  <c r="I896" i="4"/>
  <c r="J896" i="4"/>
  <c r="K896" i="4"/>
  <c r="L896" i="4"/>
  <c r="I897" i="4"/>
  <c r="J897" i="4"/>
  <c r="K897" i="4"/>
  <c r="L897" i="4"/>
  <c r="I898" i="4"/>
  <c r="J898" i="4"/>
  <c r="K898" i="4"/>
  <c r="L898" i="4"/>
  <c r="I899" i="4"/>
  <c r="J899" i="4"/>
  <c r="K899" i="4"/>
  <c r="L899" i="4"/>
  <c r="I900" i="4"/>
  <c r="J900" i="4"/>
  <c r="K900" i="4"/>
  <c r="L900" i="4"/>
  <c r="I901" i="4"/>
  <c r="J901" i="4"/>
  <c r="K901" i="4"/>
  <c r="L901" i="4"/>
  <c r="I902" i="4"/>
  <c r="J902" i="4"/>
  <c r="K902" i="4"/>
  <c r="L902" i="4"/>
  <c r="I903" i="4"/>
  <c r="J903" i="4"/>
  <c r="K903" i="4"/>
  <c r="L903" i="4"/>
  <c r="I904" i="4"/>
  <c r="J904" i="4"/>
  <c r="K904" i="4"/>
  <c r="L904" i="4"/>
  <c r="I905" i="4"/>
  <c r="J905" i="4"/>
  <c r="K905" i="4"/>
  <c r="L905" i="4"/>
  <c r="I906" i="4"/>
  <c r="J906" i="4"/>
  <c r="K906" i="4"/>
  <c r="L906" i="4"/>
  <c r="I907" i="4"/>
  <c r="J907" i="4"/>
  <c r="K907" i="4"/>
  <c r="L907" i="4"/>
  <c r="I908" i="4"/>
  <c r="J908" i="4"/>
  <c r="K908" i="4"/>
  <c r="L908" i="4"/>
  <c r="I909" i="4"/>
  <c r="J909" i="4"/>
  <c r="K909" i="4"/>
  <c r="L909" i="4"/>
  <c r="I910" i="4"/>
  <c r="J910" i="4"/>
  <c r="K910" i="4"/>
  <c r="L910" i="4"/>
  <c r="I911" i="4"/>
  <c r="J911" i="4"/>
  <c r="K911" i="4"/>
  <c r="L911" i="4"/>
  <c r="I912" i="4"/>
  <c r="J912" i="4"/>
  <c r="K912" i="4"/>
  <c r="L912" i="4"/>
  <c r="I913" i="4"/>
  <c r="J913" i="4"/>
  <c r="K913" i="4"/>
  <c r="L913" i="4"/>
  <c r="I914" i="4"/>
  <c r="J914" i="4"/>
  <c r="K914" i="4"/>
  <c r="L914" i="4"/>
  <c r="I915" i="4"/>
  <c r="J915" i="4"/>
  <c r="K915" i="4"/>
  <c r="L915" i="4"/>
  <c r="I916" i="4"/>
  <c r="J916" i="4"/>
  <c r="K916" i="4"/>
  <c r="L916" i="4"/>
  <c r="I917" i="4"/>
  <c r="J917" i="4"/>
  <c r="K917" i="4"/>
  <c r="L917" i="4"/>
  <c r="I918" i="4"/>
  <c r="J918" i="4"/>
  <c r="K918" i="4"/>
  <c r="L918" i="4"/>
  <c r="I919" i="4"/>
  <c r="J919" i="4"/>
  <c r="K919" i="4"/>
  <c r="L919" i="4"/>
  <c r="I920" i="4"/>
  <c r="J920" i="4"/>
  <c r="K920" i="4"/>
  <c r="L920" i="4"/>
  <c r="I921" i="4"/>
  <c r="J921" i="4"/>
  <c r="K921" i="4"/>
  <c r="L921" i="4"/>
  <c r="I922" i="4"/>
  <c r="J922" i="4"/>
  <c r="K922" i="4"/>
  <c r="L922" i="4"/>
  <c r="I923" i="4"/>
  <c r="J923" i="4"/>
  <c r="K923" i="4"/>
  <c r="L923" i="4"/>
  <c r="I924" i="4"/>
  <c r="J924" i="4"/>
  <c r="K924" i="4"/>
  <c r="L924" i="4"/>
  <c r="I925" i="4"/>
  <c r="J925" i="4"/>
  <c r="K925" i="4"/>
  <c r="L925" i="4"/>
  <c r="I926" i="4"/>
  <c r="J926" i="4"/>
  <c r="K926" i="4"/>
  <c r="L926" i="4"/>
  <c r="I927" i="4"/>
  <c r="J927" i="4"/>
  <c r="K927" i="4"/>
  <c r="L927" i="4"/>
  <c r="I928" i="4"/>
  <c r="J928" i="4"/>
  <c r="K928" i="4"/>
  <c r="L928" i="4"/>
  <c r="I929" i="4"/>
  <c r="J929" i="4"/>
  <c r="K929" i="4"/>
  <c r="L929" i="4"/>
  <c r="I930" i="4"/>
  <c r="J930" i="4"/>
  <c r="K930" i="4"/>
  <c r="L930" i="4"/>
  <c r="I931" i="4"/>
  <c r="J931" i="4"/>
  <c r="K931" i="4"/>
  <c r="L931" i="4"/>
  <c r="I932" i="4"/>
  <c r="J932" i="4"/>
  <c r="K932" i="4"/>
  <c r="L932" i="4"/>
  <c r="I933" i="4"/>
  <c r="J933" i="4"/>
  <c r="K933" i="4"/>
  <c r="L933" i="4"/>
  <c r="I934" i="4"/>
  <c r="J934" i="4"/>
  <c r="K934" i="4"/>
  <c r="L934" i="4"/>
  <c r="I935" i="4"/>
  <c r="J935" i="4"/>
  <c r="K935" i="4"/>
  <c r="L935" i="4"/>
  <c r="I936" i="4"/>
  <c r="J936" i="4"/>
  <c r="K936" i="4"/>
  <c r="L936" i="4"/>
  <c r="I937" i="4"/>
  <c r="J937" i="4"/>
  <c r="K937" i="4"/>
  <c r="L937" i="4"/>
  <c r="I938" i="4"/>
  <c r="J938" i="4"/>
  <c r="K938" i="4"/>
  <c r="L938" i="4"/>
  <c r="I939" i="4"/>
  <c r="J939" i="4"/>
  <c r="K939" i="4"/>
  <c r="L939" i="4"/>
  <c r="I940" i="4"/>
  <c r="J940" i="4"/>
  <c r="K940" i="4"/>
  <c r="L940" i="4"/>
  <c r="I941" i="4"/>
  <c r="J941" i="4"/>
  <c r="K941" i="4"/>
  <c r="L941" i="4"/>
  <c r="I942" i="4"/>
  <c r="J942" i="4"/>
  <c r="K942" i="4"/>
  <c r="L942" i="4"/>
  <c r="I943" i="4"/>
  <c r="J943" i="4"/>
  <c r="K943" i="4"/>
  <c r="L943" i="4"/>
  <c r="I944" i="4"/>
  <c r="J944" i="4"/>
  <c r="K944" i="4"/>
  <c r="L944" i="4"/>
  <c r="I945" i="4"/>
  <c r="J945" i="4"/>
  <c r="K945" i="4"/>
  <c r="L945" i="4"/>
  <c r="I946" i="4"/>
  <c r="J946" i="4"/>
  <c r="K946" i="4"/>
  <c r="L946" i="4"/>
  <c r="I947" i="4"/>
  <c r="J947" i="4"/>
  <c r="K947" i="4"/>
  <c r="L947" i="4"/>
  <c r="I948" i="4"/>
  <c r="J948" i="4"/>
  <c r="K948" i="4"/>
  <c r="L948" i="4"/>
  <c r="I949" i="4"/>
  <c r="J949" i="4"/>
  <c r="K949" i="4"/>
  <c r="L949" i="4"/>
  <c r="I950" i="4"/>
  <c r="J950" i="4"/>
  <c r="K950" i="4"/>
  <c r="L950" i="4"/>
  <c r="I951" i="4"/>
  <c r="J951" i="4"/>
  <c r="K951" i="4"/>
  <c r="L951" i="4"/>
  <c r="I952" i="4"/>
  <c r="J952" i="4"/>
  <c r="K952" i="4"/>
  <c r="L952" i="4"/>
  <c r="I953" i="4"/>
  <c r="J953" i="4"/>
  <c r="K953" i="4"/>
  <c r="L953" i="4"/>
  <c r="I954" i="4"/>
  <c r="J954" i="4"/>
  <c r="K954" i="4"/>
  <c r="L954" i="4"/>
  <c r="I955" i="4"/>
  <c r="J955" i="4"/>
  <c r="K955" i="4"/>
  <c r="L955" i="4"/>
  <c r="I956" i="4"/>
  <c r="J956" i="4"/>
  <c r="K956" i="4"/>
  <c r="L956" i="4"/>
  <c r="I957" i="4"/>
  <c r="J957" i="4"/>
  <c r="K957" i="4"/>
  <c r="L957" i="4"/>
  <c r="I958" i="4"/>
  <c r="J958" i="4"/>
  <c r="K958" i="4"/>
  <c r="L958" i="4"/>
  <c r="I959" i="4"/>
  <c r="J959" i="4"/>
  <c r="K959" i="4"/>
  <c r="L959" i="4"/>
  <c r="I960" i="4"/>
  <c r="J960" i="4"/>
  <c r="K960" i="4"/>
  <c r="L960" i="4"/>
  <c r="I961" i="4"/>
  <c r="J961" i="4"/>
  <c r="K961" i="4"/>
  <c r="L961" i="4"/>
  <c r="I962" i="4"/>
  <c r="J962" i="4"/>
  <c r="K962" i="4"/>
  <c r="L962" i="4"/>
  <c r="L3" i="4"/>
  <c r="K3" i="4"/>
  <c r="J3" i="4"/>
  <c r="I3" i="4"/>
  <c r="B783" i="4" l="1"/>
  <c r="B784" i="4"/>
  <c r="B785" i="4"/>
  <c r="B786" i="4"/>
  <c r="B787" i="4"/>
  <c r="B910" i="4"/>
  <c r="C910" i="4"/>
  <c r="D910" i="4"/>
  <c r="E910" i="4"/>
  <c r="B911" i="4"/>
  <c r="C911" i="4"/>
  <c r="D911" i="4"/>
  <c r="E911" i="4"/>
  <c r="B912" i="4"/>
  <c r="C912" i="4"/>
  <c r="D912" i="4"/>
  <c r="E912" i="4"/>
  <c r="B913" i="4"/>
  <c r="C913" i="4"/>
  <c r="D913" i="4"/>
  <c r="E913" i="4"/>
  <c r="B914" i="4"/>
  <c r="C914" i="4"/>
  <c r="D914" i="4"/>
  <c r="E914" i="4"/>
  <c r="B915" i="4"/>
  <c r="C915" i="4"/>
  <c r="D915" i="4"/>
  <c r="E915" i="4"/>
  <c r="B916" i="4"/>
  <c r="C916" i="4"/>
  <c r="D916" i="4"/>
  <c r="E916" i="4"/>
  <c r="B917" i="4"/>
  <c r="C917" i="4"/>
  <c r="D917" i="4"/>
  <c r="E917" i="4"/>
  <c r="B918" i="4"/>
  <c r="C918" i="4"/>
  <c r="D918" i="4"/>
  <c r="E918" i="4"/>
  <c r="B919" i="4"/>
  <c r="C919" i="4"/>
  <c r="D919" i="4"/>
  <c r="E919" i="4"/>
  <c r="B920" i="4"/>
  <c r="C920" i="4"/>
  <c r="D920" i="4"/>
  <c r="E920" i="4"/>
  <c r="B921" i="4"/>
  <c r="C921" i="4"/>
  <c r="D921" i="4"/>
  <c r="E921" i="4"/>
  <c r="B922" i="4"/>
  <c r="C922" i="4"/>
  <c r="D922" i="4"/>
  <c r="E922" i="4"/>
  <c r="B923" i="4"/>
  <c r="C923" i="4"/>
  <c r="D923" i="4"/>
  <c r="E923" i="4"/>
  <c r="B924" i="4"/>
  <c r="C924" i="4"/>
  <c r="D924" i="4"/>
  <c r="E924" i="4"/>
  <c r="B925" i="4"/>
  <c r="C925" i="4"/>
  <c r="D925" i="4"/>
  <c r="E925" i="4"/>
  <c r="B926" i="4"/>
  <c r="C926" i="4"/>
  <c r="D926" i="4"/>
  <c r="E926" i="4"/>
  <c r="B927" i="4"/>
  <c r="C927" i="4"/>
  <c r="D927" i="4"/>
  <c r="E927" i="4"/>
  <c r="B928" i="4"/>
  <c r="C928" i="4"/>
  <c r="D928" i="4"/>
  <c r="E928" i="4"/>
  <c r="B929" i="4"/>
  <c r="C929" i="4"/>
  <c r="D929" i="4"/>
  <c r="E929" i="4"/>
  <c r="B930" i="4"/>
  <c r="C930" i="4"/>
  <c r="D930" i="4"/>
  <c r="E930" i="4"/>
  <c r="B931" i="4"/>
  <c r="C931" i="4"/>
  <c r="D931" i="4"/>
  <c r="E931" i="4"/>
  <c r="B932" i="4"/>
  <c r="C932" i="4"/>
  <c r="D932" i="4"/>
  <c r="E932" i="4"/>
  <c r="B933" i="4"/>
  <c r="C933" i="4"/>
  <c r="D933" i="4"/>
  <c r="E933" i="4"/>
  <c r="B934" i="4"/>
  <c r="C934" i="4"/>
  <c r="D934" i="4"/>
  <c r="E934" i="4"/>
  <c r="B935" i="4"/>
  <c r="C935" i="4"/>
  <c r="D935" i="4"/>
  <c r="E935" i="4"/>
  <c r="B936" i="4"/>
  <c r="C936" i="4"/>
  <c r="D936" i="4"/>
  <c r="E936" i="4"/>
  <c r="B937" i="4"/>
  <c r="C937" i="4"/>
  <c r="D937" i="4"/>
  <c r="E937" i="4"/>
  <c r="B938" i="4"/>
  <c r="C938" i="4"/>
  <c r="D938" i="4"/>
  <c r="E938" i="4"/>
  <c r="B939" i="4"/>
  <c r="C939" i="4"/>
  <c r="D939" i="4"/>
  <c r="E939" i="4"/>
  <c r="B940" i="4"/>
  <c r="C940" i="4"/>
  <c r="D940" i="4"/>
  <c r="E940" i="4"/>
  <c r="B941" i="4"/>
  <c r="C941" i="4"/>
  <c r="D941" i="4"/>
  <c r="E941" i="4"/>
  <c r="B942" i="4"/>
  <c r="C942" i="4"/>
  <c r="D942" i="4"/>
  <c r="E942" i="4"/>
  <c r="B943" i="4"/>
  <c r="C943" i="4"/>
  <c r="D943" i="4"/>
  <c r="E943" i="4"/>
  <c r="B944" i="4"/>
  <c r="C944" i="4"/>
  <c r="D944" i="4"/>
  <c r="E944" i="4"/>
  <c r="B945" i="4"/>
  <c r="C945" i="4"/>
  <c r="D945" i="4"/>
  <c r="E945" i="4"/>
  <c r="B946" i="4"/>
  <c r="C946" i="4"/>
  <c r="D946" i="4"/>
  <c r="E946" i="4"/>
  <c r="B947" i="4"/>
  <c r="C947" i="4"/>
  <c r="D947" i="4"/>
  <c r="E947" i="4"/>
  <c r="B948" i="4"/>
  <c r="C948" i="4"/>
  <c r="D948" i="4"/>
  <c r="E948" i="4"/>
  <c r="B949" i="4"/>
  <c r="C949" i="4"/>
  <c r="D949" i="4"/>
  <c r="E949" i="4"/>
  <c r="B950" i="4"/>
  <c r="C950" i="4"/>
  <c r="D950" i="4"/>
  <c r="E950" i="4"/>
  <c r="B951" i="4"/>
  <c r="C951" i="4"/>
  <c r="D951" i="4"/>
  <c r="E951" i="4"/>
  <c r="B952" i="4"/>
  <c r="C952" i="4"/>
  <c r="D952" i="4"/>
  <c r="E952" i="4"/>
  <c r="B953" i="4"/>
  <c r="C953" i="4"/>
  <c r="D953" i="4"/>
  <c r="E953" i="4"/>
  <c r="B954" i="4"/>
  <c r="C954" i="4"/>
  <c r="D954" i="4"/>
  <c r="E954" i="4"/>
  <c r="B955" i="4"/>
  <c r="C955" i="4"/>
  <c r="D955" i="4"/>
  <c r="E955" i="4"/>
  <c r="B956" i="4"/>
  <c r="C956" i="4"/>
  <c r="D956" i="4"/>
  <c r="E956" i="4"/>
  <c r="B957" i="4"/>
  <c r="C957" i="4"/>
  <c r="D957" i="4"/>
  <c r="E957" i="4"/>
  <c r="B958" i="4"/>
  <c r="C958" i="4"/>
  <c r="D958" i="4"/>
  <c r="E958" i="4"/>
  <c r="B959" i="4"/>
  <c r="C959" i="4"/>
  <c r="D959" i="4"/>
  <c r="E959" i="4"/>
  <c r="B960" i="4"/>
  <c r="C960" i="4"/>
  <c r="D960" i="4"/>
  <c r="E960" i="4"/>
  <c r="B961" i="4"/>
  <c r="C961" i="4"/>
  <c r="D961" i="4"/>
  <c r="E961" i="4"/>
  <c r="B962" i="4"/>
  <c r="C962" i="4"/>
  <c r="D962" i="4"/>
  <c r="E962" i="4"/>
  <c r="B888" i="4"/>
  <c r="C888" i="4"/>
  <c r="D888" i="4"/>
  <c r="E888" i="4"/>
  <c r="B889" i="4"/>
  <c r="C889" i="4"/>
  <c r="D889" i="4"/>
  <c r="E889" i="4"/>
  <c r="B890" i="4"/>
  <c r="C890" i="4"/>
  <c r="D890" i="4"/>
  <c r="E890" i="4"/>
  <c r="B891" i="4"/>
  <c r="C891" i="4"/>
  <c r="D891" i="4"/>
  <c r="E891" i="4"/>
  <c r="B892" i="4"/>
  <c r="C892" i="4"/>
  <c r="D892" i="4"/>
  <c r="E892" i="4"/>
  <c r="B893" i="4"/>
  <c r="C893" i="4"/>
  <c r="D893" i="4"/>
  <c r="E893" i="4"/>
  <c r="B894" i="4"/>
  <c r="C894" i="4"/>
  <c r="D894" i="4"/>
  <c r="E894" i="4"/>
  <c r="B895" i="4"/>
  <c r="C895" i="4"/>
  <c r="D895" i="4"/>
  <c r="E895" i="4"/>
  <c r="B896" i="4"/>
  <c r="C896" i="4"/>
  <c r="D896" i="4"/>
  <c r="E896" i="4"/>
  <c r="B897" i="4"/>
  <c r="C897" i="4"/>
  <c r="D897" i="4"/>
  <c r="E897" i="4"/>
  <c r="B898" i="4"/>
  <c r="C898" i="4"/>
  <c r="D898" i="4"/>
  <c r="E898" i="4"/>
  <c r="B899" i="4"/>
  <c r="C899" i="4"/>
  <c r="D899" i="4"/>
  <c r="E899" i="4"/>
  <c r="B900" i="4"/>
  <c r="C900" i="4"/>
  <c r="D900" i="4"/>
  <c r="E900" i="4"/>
  <c r="B901" i="4"/>
  <c r="C901" i="4"/>
  <c r="D901" i="4"/>
  <c r="E901" i="4"/>
  <c r="B902" i="4"/>
  <c r="C902" i="4"/>
  <c r="D902" i="4"/>
  <c r="E902" i="4"/>
  <c r="B903" i="4"/>
  <c r="C903" i="4"/>
  <c r="D903" i="4"/>
  <c r="E903" i="4"/>
  <c r="B904" i="4"/>
  <c r="C904" i="4"/>
  <c r="D904" i="4"/>
  <c r="E904" i="4"/>
  <c r="B905" i="4"/>
  <c r="C905" i="4"/>
  <c r="D905" i="4"/>
  <c r="E905" i="4"/>
  <c r="B906" i="4"/>
  <c r="C906" i="4"/>
  <c r="D906" i="4"/>
  <c r="E906" i="4"/>
  <c r="B907" i="4"/>
  <c r="C907" i="4"/>
  <c r="D907" i="4"/>
  <c r="E907" i="4"/>
  <c r="B908" i="4"/>
  <c r="C908" i="4"/>
  <c r="D908" i="4"/>
  <c r="E908" i="4"/>
  <c r="B909" i="4"/>
  <c r="C909" i="4"/>
  <c r="D909" i="4"/>
  <c r="E909" i="4"/>
  <c r="B873" i="4"/>
  <c r="C873" i="4"/>
  <c r="D873" i="4"/>
  <c r="E873" i="4"/>
  <c r="B874" i="4"/>
  <c r="C874" i="4"/>
  <c r="D874" i="4"/>
  <c r="E874" i="4"/>
  <c r="B875" i="4"/>
  <c r="C875" i="4"/>
  <c r="D875" i="4"/>
  <c r="E875" i="4"/>
  <c r="B876" i="4"/>
  <c r="C876" i="4"/>
  <c r="D876" i="4"/>
  <c r="E876" i="4"/>
  <c r="B877" i="4"/>
  <c r="C877" i="4"/>
  <c r="D877" i="4"/>
  <c r="E877" i="4"/>
  <c r="B878" i="4"/>
  <c r="C878" i="4"/>
  <c r="D878" i="4"/>
  <c r="E878" i="4"/>
  <c r="B879" i="4"/>
  <c r="C879" i="4"/>
  <c r="D879" i="4"/>
  <c r="E879" i="4"/>
  <c r="B880" i="4"/>
  <c r="C880" i="4"/>
  <c r="D880" i="4"/>
  <c r="E880" i="4"/>
  <c r="B881" i="4"/>
  <c r="C881" i="4"/>
  <c r="D881" i="4"/>
  <c r="E881" i="4"/>
  <c r="B882" i="4"/>
  <c r="C882" i="4"/>
  <c r="D882" i="4"/>
  <c r="E882" i="4"/>
  <c r="B883" i="4"/>
  <c r="C883" i="4"/>
  <c r="D883" i="4"/>
  <c r="E883" i="4"/>
  <c r="B884" i="4"/>
  <c r="C884" i="4"/>
  <c r="D884" i="4"/>
  <c r="E884" i="4"/>
  <c r="B885" i="4"/>
  <c r="C885" i="4"/>
  <c r="D885" i="4"/>
  <c r="E885" i="4"/>
  <c r="B886" i="4"/>
  <c r="C886" i="4"/>
  <c r="D886" i="4"/>
  <c r="E886" i="4"/>
  <c r="B887" i="4"/>
  <c r="C887" i="4"/>
  <c r="D887" i="4"/>
  <c r="E887" i="4"/>
  <c r="B831" i="4"/>
  <c r="C831" i="4"/>
  <c r="D831" i="4"/>
  <c r="E831" i="4"/>
  <c r="B832" i="4"/>
  <c r="C832" i="4"/>
  <c r="D832" i="4"/>
  <c r="E832" i="4"/>
  <c r="B833" i="4"/>
  <c r="C833" i="4"/>
  <c r="D833" i="4"/>
  <c r="E833" i="4"/>
  <c r="B834" i="4"/>
  <c r="C834" i="4"/>
  <c r="D834" i="4"/>
  <c r="E834" i="4"/>
  <c r="B835" i="4"/>
  <c r="C835" i="4"/>
  <c r="D835" i="4"/>
  <c r="E835" i="4"/>
  <c r="B836" i="4"/>
  <c r="C836" i="4"/>
  <c r="D836" i="4"/>
  <c r="E836" i="4"/>
  <c r="B837" i="4"/>
  <c r="C837" i="4"/>
  <c r="D837" i="4"/>
  <c r="E837" i="4"/>
  <c r="B838" i="4"/>
  <c r="C838" i="4"/>
  <c r="D838" i="4"/>
  <c r="E838" i="4"/>
  <c r="B839" i="4"/>
  <c r="C839" i="4"/>
  <c r="D839" i="4"/>
  <c r="E839" i="4"/>
  <c r="B840" i="4"/>
  <c r="C840" i="4"/>
  <c r="D840" i="4"/>
  <c r="E840" i="4"/>
  <c r="B841" i="4"/>
  <c r="C841" i="4"/>
  <c r="D841" i="4"/>
  <c r="E841" i="4"/>
  <c r="B842" i="4"/>
  <c r="C842" i="4"/>
  <c r="D842" i="4"/>
  <c r="E842" i="4"/>
  <c r="B843" i="4"/>
  <c r="C843" i="4"/>
  <c r="D843" i="4"/>
  <c r="E843" i="4"/>
  <c r="B844" i="4"/>
  <c r="C844" i="4"/>
  <c r="D844" i="4"/>
  <c r="E844" i="4"/>
  <c r="B845" i="4"/>
  <c r="C845" i="4"/>
  <c r="D845" i="4"/>
  <c r="E845" i="4"/>
  <c r="B846" i="4"/>
  <c r="C846" i="4"/>
  <c r="D846" i="4"/>
  <c r="E846" i="4"/>
  <c r="B847" i="4"/>
  <c r="C847" i="4"/>
  <c r="D847" i="4"/>
  <c r="E847" i="4"/>
  <c r="B848" i="4"/>
  <c r="C848" i="4"/>
  <c r="D848" i="4"/>
  <c r="E848" i="4"/>
  <c r="B849" i="4"/>
  <c r="C849" i="4"/>
  <c r="D849" i="4"/>
  <c r="E849" i="4"/>
  <c r="B850" i="4"/>
  <c r="C850" i="4"/>
  <c r="D850" i="4"/>
  <c r="E850" i="4"/>
  <c r="B851" i="4"/>
  <c r="C851" i="4"/>
  <c r="D851" i="4"/>
  <c r="E851" i="4"/>
  <c r="B852" i="4"/>
  <c r="C852" i="4"/>
  <c r="D852" i="4"/>
  <c r="E852" i="4"/>
  <c r="B853" i="4"/>
  <c r="C853" i="4"/>
  <c r="D853" i="4"/>
  <c r="E853" i="4"/>
  <c r="B854" i="4"/>
  <c r="C854" i="4"/>
  <c r="D854" i="4"/>
  <c r="E854" i="4"/>
  <c r="B855" i="4"/>
  <c r="C855" i="4"/>
  <c r="D855" i="4"/>
  <c r="E855" i="4"/>
  <c r="B856" i="4"/>
  <c r="C856" i="4"/>
  <c r="D856" i="4"/>
  <c r="E856" i="4"/>
  <c r="B857" i="4"/>
  <c r="C857" i="4"/>
  <c r="D857" i="4"/>
  <c r="E857" i="4"/>
  <c r="B858" i="4"/>
  <c r="C858" i="4"/>
  <c r="D858" i="4"/>
  <c r="E858" i="4"/>
  <c r="B859" i="4"/>
  <c r="C859" i="4"/>
  <c r="D859" i="4"/>
  <c r="E859" i="4"/>
  <c r="B860" i="4"/>
  <c r="C860" i="4"/>
  <c r="D860" i="4"/>
  <c r="E860" i="4"/>
  <c r="B861" i="4"/>
  <c r="C861" i="4"/>
  <c r="D861" i="4"/>
  <c r="E861" i="4"/>
  <c r="B862" i="4"/>
  <c r="C862" i="4"/>
  <c r="D862" i="4"/>
  <c r="E862" i="4"/>
  <c r="B863" i="4"/>
  <c r="C863" i="4"/>
  <c r="D863" i="4"/>
  <c r="E863" i="4"/>
  <c r="B864" i="4"/>
  <c r="C864" i="4"/>
  <c r="D864" i="4"/>
  <c r="E864" i="4"/>
  <c r="B865" i="4"/>
  <c r="C865" i="4"/>
  <c r="D865" i="4"/>
  <c r="E865" i="4"/>
  <c r="B866" i="4"/>
  <c r="C866" i="4"/>
  <c r="D866" i="4"/>
  <c r="E866" i="4"/>
  <c r="B867" i="4"/>
  <c r="C867" i="4"/>
  <c r="D867" i="4"/>
  <c r="E867" i="4"/>
  <c r="B868" i="4"/>
  <c r="C868" i="4"/>
  <c r="D868" i="4"/>
  <c r="E868" i="4"/>
  <c r="B869" i="4"/>
  <c r="C869" i="4"/>
  <c r="D869" i="4"/>
  <c r="E869" i="4"/>
  <c r="B870" i="4"/>
  <c r="C870" i="4"/>
  <c r="D870" i="4"/>
  <c r="E870" i="4"/>
  <c r="B871" i="4"/>
  <c r="C871" i="4"/>
  <c r="D871" i="4"/>
  <c r="E871" i="4"/>
  <c r="B872" i="4"/>
  <c r="C872" i="4"/>
  <c r="D872" i="4"/>
  <c r="E872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B146" i="4"/>
  <c r="C146" i="4"/>
  <c r="D146" i="4"/>
  <c r="E146" i="4"/>
  <c r="B147" i="4"/>
  <c r="C147" i="4"/>
  <c r="D147" i="4"/>
  <c r="E147" i="4"/>
  <c r="B148" i="4"/>
  <c r="C148" i="4"/>
  <c r="D148" i="4"/>
  <c r="E148" i="4"/>
  <c r="B149" i="4"/>
  <c r="C149" i="4"/>
  <c r="D149" i="4"/>
  <c r="E149" i="4"/>
  <c r="B150" i="4"/>
  <c r="C150" i="4"/>
  <c r="D150" i="4"/>
  <c r="E150" i="4"/>
  <c r="B151" i="4"/>
  <c r="C151" i="4"/>
  <c r="D151" i="4"/>
  <c r="E151" i="4"/>
  <c r="B152" i="4"/>
  <c r="C152" i="4"/>
  <c r="D152" i="4"/>
  <c r="E152" i="4"/>
  <c r="B153" i="4"/>
  <c r="C153" i="4"/>
  <c r="D153" i="4"/>
  <c r="E153" i="4"/>
  <c r="B154" i="4"/>
  <c r="C154" i="4"/>
  <c r="D154" i="4"/>
  <c r="E154" i="4"/>
  <c r="B155" i="4"/>
  <c r="C155" i="4"/>
  <c r="D155" i="4"/>
  <c r="E155" i="4"/>
  <c r="B156" i="4"/>
  <c r="C156" i="4"/>
  <c r="D156" i="4"/>
  <c r="E156" i="4"/>
  <c r="B157" i="4"/>
  <c r="C157" i="4"/>
  <c r="D157" i="4"/>
  <c r="E157" i="4"/>
  <c r="B158" i="4"/>
  <c r="C158" i="4"/>
  <c r="D158" i="4"/>
  <c r="E158" i="4"/>
  <c r="B159" i="4"/>
  <c r="C159" i="4"/>
  <c r="D159" i="4"/>
  <c r="E159" i="4"/>
  <c r="B160" i="4"/>
  <c r="C160" i="4"/>
  <c r="D160" i="4"/>
  <c r="E160" i="4"/>
  <c r="B161" i="4"/>
  <c r="C161" i="4"/>
  <c r="D161" i="4"/>
  <c r="E161" i="4"/>
  <c r="B162" i="4"/>
  <c r="C162" i="4"/>
  <c r="D162" i="4"/>
  <c r="E162" i="4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B167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E215" i="4"/>
  <c r="B216" i="4"/>
  <c r="C216" i="4"/>
  <c r="D216" i="4"/>
  <c r="E216" i="4"/>
  <c r="B217" i="4"/>
  <c r="C217" i="4"/>
  <c r="D217" i="4"/>
  <c r="E217" i="4"/>
  <c r="B218" i="4"/>
  <c r="C218" i="4"/>
  <c r="D218" i="4"/>
  <c r="E218" i="4"/>
  <c r="B219" i="4"/>
  <c r="C219" i="4"/>
  <c r="D219" i="4"/>
  <c r="E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C228" i="4"/>
  <c r="D228" i="4"/>
  <c r="E228" i="4"/>
  <c r="B229" i="4"/>
  <c r="C229" i="4"/>
  <c r="D229" i="4"/>
  <c r="E229" i="4"/>
  <c r="B230" i="4"/>
  <c r="C230" i="4"/>
  <c r="D230" i="4"/>
  <c r="E230" i="4"/>
  <c r="B231" i="4"/>
  <c r="C231" i="4"/>
  <c r="D231" i="4"/>
  <c r="E231" i="4"/>
  <c r="B232" i="4"/>
  <c r="C232" i="4"/>
  <c r="D232" i="4"/>
  <c r="E232" i="4"/>
  <c r="B233" i="4"/>
  <c r="C233" i="4"/>
  <c r="D233" i="4"/>
  <c r="E233" i="4"/>
  <c r="B234" i="4"/>
  <c r="C234" i="4"/>
  <c r="D234" i="4"/>
  <c r="E234" i="4"/>
  <c r="B235" i="4"/>
  <c r="C235" i="4"/>
  <c r="D235" i="4"/>
  <c r="E235" i="4"/>
  <c r="B236" i="4"/>
  <c r="C236" i="4"/>
  <c r="D236" i="4"/>
  <c r="E236" i="4"/>
  <c r="B237" i="4"/>
  <c r="C237" i="4"/>
  <c r="D237" i="4"/>
  <c r="E237" i="4"/>
  <c r="B238" i="4"/>
  <c r="C238" i="4"/>
  <c r="D238" i="4"/>
  <c r="E238" i="4"/>
  <c r="B239" i="4"/>
  <c r="C239" i="4"/>
  <c r="D239" i="4"/>
  <c r="E239" i="4"/>
  <c r="B240" i="4"/>
  <c r="C240" i="4"/>
  <c r="D240" i="4"/>
  <c r="E240" i="4"/>
  <c r="B241" i="4"/>
  <c r="C241" i="4"/>
  <c r="D241" i="4"/>
  <c r="E241" i="4"/>
  <c r="B242" i="4"/>
  <c r="C242" i="4"/>
  <c r="D242" i="4"/>
  <c r="E242" i="4"/>
  <c r="B243" i="4"/>
  <c r="C243" i="4"/>
  <c r="D243" i="4"/>
  <c r="E243" i="4"/>
  <c r="B244" i="4"/>
  <c r="C244" i="4"/>
  <c r="D244" i="4"/>
  <c r="E244" i="4"/>
  <c r="B245" i="4"/>
  <c r="C245" i="4"/>
  <c r="D245" i="4"/>
  <c r="E245" i="4"/>
  <c r="B246" i="4"/>
  <c r="C246" i="4"/>
  <c r="D246" i="4"/>
  <c r="E246" i="4"/>
  <c r="B247" i="4"/>
  <c r="C247" i="4"/>
  <c r="D247" i="4"/>
  <c r="E247" i="4"/>
  <c r="B248" i="4"/>
  <c r="C248" i="4"/>
  <c r="D248" i="4"/>
  <c r="E248" i="4"/>
  <c r="B249" i="4"/>
  <c r="C249" i="4"/>
  <c r="D249" i="4"/>
  <c r="E249" i="4"/>
  <c r="B250" i="4"/>
  <c r="C250" i="4"/>
  <c r="D250" i="4"/>
  <c r="E250" i="4"/>
  <c r="B251" i="4"/>
  <c r="C251" i="4"/>
  <c r="D251" i="4"/>
  <c r="E251" i="4"/>
  <c r="B252" i="4"/>
  <c r="C252" i="4"/>
  <c r="D252" i="4"/>
  <c r="E252" i="4"/>
  <c r="B253" i="4"/>
  <c r="C253" i="4"/>
  <c r="D253" i="4"/>
  <c r="E253" i="4"/>
  <c r="B254" i="4"/>
  <c r="C254" i="4"/>
  <c r="D254" i="4"/>
  <c r="E254" i="4"/>
  <c r="B255" i="4"/>
  <c r="C255" i="4"/>
  <c r="D255" i="4"/>
  <c r="E255" i="4"/>
  <c r="B256" i="4"/>
  <c r="C256" i="4"/>
  <c r="D256" i="4"/>
  <c r="E256" i="4"/>
  <c r="B257" i="4"/>
  <c r="C257" i="4"/>
  <c r="D257" i="4"/>
  <c r="E257" i="4"/>
  <c r="B258" i="4"/>
  <c r="C258" i="4"/>
  <c r="D258" i="4"/>
  <c r="E258" i="4"/>
  <c r="B259" i="4"/>
  <c r="C259" i="4"/>
  <c r="D259" i="4"/>
  <c r="E259" i="4"/>
  <c r="B260" i="4"/>
  <c r="C260" i="4"/>
  <c r="D260" i="4"/>
  <c r="E260" i="4"/>
  <c r="B261" i="4"/>
  <c r="C261" i="4"/>
  <c r="D261" i="4"/>
  <c r="E261" i="4"/>
  <c r="B262" i="4"/>
  <c r="C262" i="4"/>
  <c r="D262" i="4"/>
  <c r="E262" i="4"/>
  <c r="B263" i="4"/>
  <c r="C263" i="4"/>
  <c r="D263" i="4"/>
  <c r="E263" i="4"/>
  <c r="B264" i="4"/>
  <c r="C264" i="4"/>
  <c r="D264" i="4"/>
  <c r="E264" i="4"/>
  <c r="B265" i="4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E286" i="4"/>
  <c r="B287" i="4"/>
  <c r="C287" i="4"/>
  <c r="D287" i="4"/>
  <c r="E287" i="4"/>
  <c r="B288" i="4"/>
  <c r="C288" i="4"/>
  <c r="D288" i="4"/>
  <c r="E288" i="4"/>
  <c r="B289" i="4"/>
  <c r="C289" i="4"/>
  <c r="D289" i="4"/>
  <c r="E289" i="4"/>
  <c r="B290" i="4"/>
  <c r="C290" i="4"/>
  <c r="D290" i="4"/>
  <c r="E290" i="4"/>
  <c r="B291" i="4"/>
  <c r="C291" i="4"/>
  <c r="D291" i="4"/>
  <c r="E291" i="4"/>
  <c r="B292" i="4"/>
  <c r="C292" i="4"/>
  <c r="D292" i="4"/>
  <c r="E292" i="4"/>
  <c r="B293" i="4"/>
  <c r="C293" i="4"/>
  <c r="D293" i="4"/>
  <c r="E293" i="4"/>
  <c r="B294" i="4"/>
  <c r="C294" i="4"/>
  <c r="D294" i="4"/>
  <c r="E294" i="4"/>
  <c r="B295" i="4"/>
  <c r="C295" i="4"/>
  <c r="D295" i="4"/>
  <c r="E295" i="4"/>
  <c r="B296" i="4"/>
  <c r="C296" i="4"/>
  <c r="D296" i="4"/>
  <c r="E296" i="4"/>
  <c r="B297" i="4"/>
  <c r="C297" i="4"/>
  <c r="D297" i="4"/>
  <c r="E297" i="4"/>
  <c r="B298" i="4"/>
  <c r="C298" i="4"/>
  <c r="D298" i="4"/>
  <c r="E298" i="4"/>
  <c r="B299" i="4"/>
  <c r="C299" i="4"/>
  <c r="D299" i="4"/>
  <c r="E299" i="4"/>
  <c r="B300" i="4"/>
  <c r="C300" i="4"/>
  <c r="D300" i="4"/>
  <c r="E300" i="4"/>
  <c r="B301" i="4"/>
  <c r="C301" i="4"/>
  <c r="D301" i="4"/>
  <c r="E301" i="4"/>
  <c r="B302" i="4"/>
  <c r="C302" i="4"/>
  <c r="D302" i="4"/>
  <c r="E302" i="4"/>
  <c r="B303" i="4"/>
  <c r="C303" i="4"/>
  <c r="D303" i="4"/>
  <c r="E303" i="4"/>
  <c r="B304" i="4"/>
  <c r="C304" i="4"/>
  <c r="D304" i="4"/>
  <c r="E304" i="4"/>
  <c r="B305" i="4"/>
  <c r="C305" i="4"/>
  <c r="D305" i="4"/>
  <c r="E305" i="4"/>
  <c r="B306" i="4"/>
  <c r="C306" i="4"/>
  <c r="D306" i="4"/>
  <c r="E306" i="4"/>
  <c r="B307" i="4"/>
  <c r="C307" i="4"/>
  <c r="D307" i="4"/>
  <c r="E307" i="4"/>
  <c r="B308" i="4"/>
  <c r="C308" i="4"/>
  <c r="D308" i="4"/>
  <c r="E308" i="4"/>
  <c r="B309" i="4"/>
  <c r="C309" i="4"/>
  <c r="D309" i="4"/>
  <c r="E309" i="4"/>
  <c r="B310" i="4"/>
  <c r="C310" i="4"/>
  <c r="D310" i="4"/>
  <c r="E310" i="4"/>
  <c r="B311" i="4"/>
  <c r="C311" i="4"/>
  <c r="D311" i="4"/>
  <c r="E311" i="4"/>
  <c r="B312" i="4"/>
  <c r="C312" i="4"/>
  <c r="D312" i="4"/>
  <c r="E312" i="4"/>
  <c r="B313" i="4"/>
  <c r="C313" i="4"/>
  <c r="D313" i="4"/>
  <c r="E313" i="4"/>
  <c r="B314" i="4"/>
  <c r="C314" i="4"/>
  <c r="D314" i="4"/>
  <c r="E314" i="4"/>
  <c r="B315" i="4"/>
  <c r="C315" i="4"/>
  <c r="D315" i="4"/>
  <c r="E315" i="4"/>
  <c r="B316" i="4"/>
  <c r="C316" i="4"/>
  <c r="D316" i="4"/>
  <c r="E316" i="4"/>
  <c r="B317" i="4"/>
  <c r="C317" i="4"/>
  <c r="D317" i="4"/>
  <c r="E317" i="4"/>
  <c r="B318" i="4"/>
  <c r="C318" i="4"/>
  <c r="D318" i="4"/>
  <c r="E318" i="4"/>
  <c r="B319" i="4"/>
  <c r="C319" i="4"/>
  <c r="D319" i="4"/>
  <c r="E319" i="4"/>
  <c r="B320" i="4"/>
  <c r="C320" i="4"/>
  <c r="D320" i="4"/>
  <c r="E320" i="4"/>
  <c r="B321" i="4"/>
  <c r="C321" i="4"/>
  <c r="D321" i="4"/>
  <c r="E321" i="4"/>
  <c r="B322" i="4"/>
  <c r="C322" i="4"/>
  <c r="D322" i="4"/>
  <c r="E322" i="4"/>
  <c r="B323" i="4"/>
  <c r="C323" i="4"/>
  <c r="D323" i="4"/>
  <c r="E323" i="4"/>
  <c r="B324" i="4"/>
  <c r="C324" i="4"/>
  <c r="D324" i="4"/>
  <c r="E324" i="4"/>
  <c r="B325" i="4"/>
  <c r="C325" i="4"/>
  <c r="D325" i="4"/>
  <c r="E325" i="4"/>
  <c r="B326" i="4"/>
  <c r="C326" i="4"/>
  <c r="D326" i="4"/>
  <c r="E326" i="4"/>
  <c r="B327" i="4"/>
  <c r="C327" i="4"/>
  <c r="D327" i="4"/>
  <c r="E327" i="4"/>
  <c r="B328" i="4"/>
  <c r="C328" i="4"/>
  <c r="D328" i="4"/>
  <c r="E328" i="4"/>
  <c r="B329" i="4"/>
  <c r="C329" i="4"/>
  <c r="D329" i="4"/>
  <c r="E329" i="4"/>
  <c r="B330" i="4"/>
  <c r="C330" i="4"/>
  <c r="D330" i="4"/>
  <c r="E330" i="4"/>
  <c r="B331" i="4"/>
  <c r="C331" i="4"/>
  <c r="D331" i="4"/>
  <c r="E331" i="4"/>
  <c r="B332" i="4"/>
  <c r="C332" i="4"/>
  <c r="D332" i="4"/>
  <c r="E332" i="4"/>
  <c r="B333" i="4"/>
  <c r="C333" i="4"/>
  <c r="D333" i="4"/>
  <c r="E333" i="4"/>
  <c r="B334" i="4"/>
  <c r="C334" i="4"/>
  <c r="D334" i="4"/>
  <c r="E334" i="4"/>
  <c r="B335" i="4"/>
  <c r="C335" i="4"/>
  <c r="D335" i="4"/>
  <c r="E335" i="4"/>
  <c r="B336" i="4"/>
  <c r="C336" i="4"/>
  <c r="D336" i="4"/>
  <c r="E336" i="4"/>
  <c r="B337" i="4"/>
  <c r="C337" i="4"/>
  <c r="D337" i="4"/>
  <c r="E337" i="4"/>
  <c r="B338" i="4"/>
  <c r="C338" i="4"/>
  <c r="D338" i="4"/>
  <c r="E338" i="4"/>
  <c r="B339" i="4"/>
  <c r="C339" i="4"/>
  <c r="D339" i="4"/>
  <c r="E339" i="4"/>
  <c r="B340" i="4"/>
  <c r="C340" i="4"/>
  <c r="D340" i="4"/>
  <c r="E340" i="4"/>
  <c r="B341" i="4"/>
  <c r="C341" i="4"/>
  <c r="D341" i="4"/>
  <c r="E341" i="4"/>
  <c r="B342" i="4"/>
  <c r="C342" i="4"/>
  <c r="D342" i="4"/>
  <c r="E342" i="4"/>
  <c r="B343" i="4"/>
  <c r="C343" i="4"/>
  <c r="D343" i="4"/>
  <c r="E343" i="4"/>
  <c r="B344" i="4"/>
  <c r="C344" i="4"/>
  <c r="D344" i="4"/>
  <c r="E344" i="4"/>
  <c r="B345" i="4"/>
  <c r="C345" i="4"/>
  <c r="D345" i="4"/>
  <c r="E345" i="4"/>
  <c r="B346" i="4"/>
  <c r="C346" i="4"/>
  <c r="D346" i="4"/>
  <c r="E346" i="4"/>
  <c r="B347" i="4"/>
  <c r="C347" i="4"/>
  <c r="D347" i="4"/>
  <c r="E347" i="4"/>
  <c r="B348" i="4"/>
  <c r="C348" i="4"/>
  <c r="D348" i="4"/>
  <c r="E348" i="4"/>
  <c r="B349" i="4"/>
  <c r="C349" i="4"/>
  <c r="D349" i="4"/>
  <c r="E349" i="4"/>
  <c r="B350" i="4"/>
  <c r="C350" i="4"/>
  <c r="D350" i="4"/>
  <c r="E350" i="4"/>
  <c r="B351" i="4"/>
  <c r="C351" i="4"/>
  <c r="D351" i="4"/>
  <c r="E351" i="4"/>
  <c r="B352" i="4"/>
  <c r="C352" i="4"/>
  <c r="D352" i="4"/>
  <c r="E352" i="4"/>
  <c r="B353" i="4"/>
  <c r="C353" i="4"/>
  <c r="D353" i="4"/>
  <c r="E353" i="4"/>
  <c r="B354" i="4"/>
  <c r="C354" i="4"/>
  <c r="D354" i="4"/>
  <c r="E354" i="4"/>
  <c r="B355" i="4"/>
  <c r="C355" i="4"/>
  <c r="D355" i="4"/>
  <c r="E355" i="4"/>
  <c r="B356" i="4"/>
  <c r="C356" i="4"/>
  <c r="D356" i="4"/>
  <c r="E356" i="4"/>
  <c r="B357" i="4"/>
  <c r="C357" i="4"/>
  <c r="D357" i="4"/>
  <c r="E357" i="4"/>
  <c r="B358" i="4"/>
  <c r="C358" i="4"/>
  <c r="D358" i="4"/>
  <c r="E358" i="4"/>
  <c r="B359" i="4"/>
  <c r="C359" i="4"/>
  <c r="D359" i="4"/>
  <c r="E359" i="4"/>
  <c r="B360" i="4"/>
  <c r="C360" i="4"/>
  <c r="D360" i="4"/>
  <c r="E360" i="4"/>
  <c r="B361" i="4"/>
  <c r="C361" i="4"/>
  <c r="D361" i="4"/>
  <c r="E361" i="4"/>
  <c r="B362" i="4"/>
  <c r="C362" i="4"/>
  <c r="D362" i="4"/>
  <c r="E362" i="4"/>
  <c r="B363" i="4"/>
  <c r="C363" i="4"/>
  <c r="D363" i="4"/>
  <c r="E363" i="4"/>
  <c r="B364" i="4"/>
  <c r="C364" i="4"/>
  <c r="D364" i="4"/>
  <c r="E364" i="4"/>
  <c r="B365" i="4"/>
  <c r="C365" i="4"/>
  <c r="D365" i="4"/>
  <c r="E365" i="4"/>
  <c r="B366" i="4"/>
  <c r="C366" i="4"/>
  <c r="D366" i="4"/>
  <c r="E366" i="4"/>
  <c r="B367" i="4"/>
  <c r="C367" i="4"/>
  <c r="D367" i="4"/>
  <c r="E367" i="4"/>
  <c r="B368" i="4"/>
  <c r="C368" i="4"/>
  <c r="D368" i="4"/>
  <c r="E368" i="4"/>
  <c r="B369" i="4"/>
  <c r="C369" i="4"/>
  <c r="D369" i="4"/>
  <c r="E369" i="4"/>
  <c r="B370" i="4"/>
  <c r="C370" i="4"/>
  <c r="D370" i="4"/>
  <c r="E370" i="4"/>
  <c r="B371" i="4"/>
  <c r="C371" i="4"/>
  <c r="D371" i="4"/>
  <c r="E371" i="4"/>
  <c r="B372" i="4"/>
  <c r="C372" i="4"/>
  <c r="D372" i="4"/>
  <c r="E372" i="4"/>
  <c r="B373" i="4"/>
  <c r="C373" i="4"/>
  <c r="D373" i="4"/>
  <c r="E373" i="4"/>
  <c r="B374" i="4"/>
  <c r="C374" i="4"/>
  <c r="D374" i="4"/>
  <c r="E374" i="4"/>
  <c r="B375" i="4"/>
  <c r="C375" i="4"/>
  <c r="D375" i="4"/>
  <c r="E375" i="4"/>
  <c r="B376" i="4"/>
  <c r="C376" i="4"/>
  <c r="D376" i="4"/>
  <c r="E376" i="4"/>
  <c r="B377" i="4"/>
  <c r="C377" i="4"/>
  <c r="D377" i="4"/>
  <c r="E377" i="4"/>
  <c r="B378" i="4"/>
  <c r="C378" i="4"/>
  <c r="D378" i="4"/>
  <c r="E378" i="4"/>
  <c r="B379" i="4"/>
  <c r="C379" i="4"/>
  <c r="D379" i="4"/>
  <c r="E379" i="4"/>
  <c r="B380" i="4"/>
  <c r="C380" i="4"/>
  <c r="D380" i="4"/>
  <c r="E380" i="4"/>
  <c r="B381" i="4"/>
  <c r="C381" i="4"/>
  <c r="D381" i="4"/>
  <c r="E381" i="4"/>
  <c r="B382" i="4"/>
  <c r="C382" i="4"/>
  <c r="D382" i="4"/>
  <c r="E382" i="4"/>
  <c r="B383" i="4"/>
  <c r="C383" i="4"/>
  <c r="D383" i="4"/>
  <c r="E383" i="4"/>
  <c r="B384" i="4"/>
  <c r="C384" i="4"/>
  <c r="D384" i="4"/>
  <c r="E384" i="4"/>
  <c r="B385" i="4"/>
  <c r="C385" i="4"/>
  <c r="D385" i="4"/>
  <c r="E385" i="4"/>
  <c r="B386" i="4"/>
  <c r="C386" i="4"/>
  <c r="D386" i="4"/>
  <c r="E386" i="4"/>
  <c r="B387" i="4"/>
  <c r="C387" i="4"/>
  <c r="D387" i="4"/>
  <c r="E387" i="4"/>
  <c r="B388" i="4"/>
  <c r="C388" i="4"/>
  <c r="D388" i="4"/>
  <c r="E388" i="4"/>
  <c r="B389" i="4"/>
  <c r="C389" i="4"/>
  <c r="D389" i="4"/>
  <c r="E389" i="4"/>
  <c r="B390" i="4"/>
  <c r="C390" i="4"/>
  <c r="D390" i="4"/>
  <c r="E390" i="4"/>
  <c r="B391" i="4"/>
  <c r="C391" i="4"/>
  <c r="D391" i="4"/>
  <c r="E391" i="4"/>
  <c r="B392" i="4"/>
  <c r="C392" i="4"/>
  <c r="D392" i="4"/>
  <c r="E392" i="4"/>
  <c r="B393" i="4"/>
  <c r="C393" i="4"/>
  <c r="D393" i="4"/>
  <c r="E393" i="4"/>
  <c r="B394" i="4"/>
  <c r="C394" i="4"/>
  <c r="D394" i="4"/>
  <c r="E394" i="4"/>
  <c r="B395" i="4"/>
  <c r="C395" i="4"/>
  <c r="D395" i="4"/>
  <c r="E395" i="4"/>
  <c r="B396" i="4"/>
  <c r="C396" i="4"/>
  <c r="D396" i="4"/>
  <c r="E396" i="4"/>
  <c r="B397" i="4"/>
  <c r="C397" i="4"/>
  <c r="D397" i="4"/>
  <c r="E397" i="4"/>
  <c r="B398" i="4"/>
  <c r="C398" i="4"/>
  <c r="D398" i="4"/>
  <c r="E398" i="4"/>
  <c r="B399" i="4"/>
  <c r="C399" i="4"/>
  <c r="D399" i="4"/>
  <c r="E399" i="4"/>
  <c r="B400" i="4"/>
  <c r="C400" i="4"/>
  <c r="D400" i="4"/>
  <c r="E400" i="4"/>
  <c r="B401" i="4"/>
  <c r="C401" i="4"/>
  <c r="D401" i="4"/>
  <c r="E401" i="4"/>
  <c r="B402" i="4"/>
  <c r="C402" i="4"/>
  <c r="D402" i="4"/>
  <c r="E402" i="4"/>
  <c r="B403" i="4"/>
  <c r="C403" i="4"/>
  <c r="D403" i="4"/>
  <c r="E403" i="4"/>
  <c r="B404" i="4"/>
  <c r="C404" i="4"/>
  <c r="D404" i="4"/>
  <c r="E404" i="4"/>
  <c r="B405" i="4"/>
  <c r="C405" i="4"/>
  <c r="D405" i="4"/>
  <c r="E405" i="4"/>
  <c r="B406" i="4"/>
  <c r="C406" i="4"/>
  <c r="D406" i="4"/>
  <c r="E406" i="4"/>
  <c r="B407" i="4"/>
  <c r="C407" i="4"/>
  <c r="D407" i="4"/>
  <c r="E407" i="4"/>
  <c r="B408" i="4"/>
  <c r="C408" i="4"/>
  <c r="D408" i="4"/>
  <c r="E408" i="4"/>
  <c r="B409" i="4"/>
  <c r="C409" i="4"/>
  <c r="D409" i="4"/>
  <c r="E409" i="4"/>
  <c r="B410" i="4"/>
  <c r="C410" i="4"/>
  <c r="D410" i="4"/>
  <c r="E410" i="4"/>
  <c r="B411" i="4"/>
  <c r="C411" i="4"/>
  <c r="D411" i="4"/>
  <c r="E411" i="4"/>
  <c r="B412" i="4"/>
  <c r="C412" i="4"/>
  <c r="D412" i="4"/>
  <c r="E412" i="4"/>
  <c r="B413" i="4"/>
  <c r="C413" i="4"/>
  <c r="D413" i="4"/>
  <c r="E413" i="4"/>
  <c r="B414" i="4"/>
  <c r="C414" i="4"/>
  <c r="D414" i="4"/>
  <c r="E414" i="4"/>
  <c r="B415" i="4"/>
  <c r="C415" i="4"/>
  <c r="D415" i="4"/>
  <c r="E415" i="4"/>
  <c r="B416" i="4"/>
  <c r="C416" i="4"/>
  <c r="D416" i="4"/>
  <c r="E416" i="4"/>
  <c r="B417" i="4"/>
  <c r="C417" i="4"/>
  <c r="D417" i="4"/>
  <c r="E417" i="4"/>
  <c r="B418" i="4"/>
  <c r="C418" i="4"/>
  <c r="D418" i="4"/>
  <c r="E418" i="4"/>
  <c r="B419" i="4"/>
  <c r="C419" i="4"/>
  <c r="D419" i="4"/>
  <c r="E419" i="4"/>
  <c r="B420" i="4"/>
  <c r="C420" i="4"/>
  <c r="D420" i="4"/>
  <c r="E420" i="4"/>
  <c r="B421" i="4"/>
  <c r="C421" i="4"/>
  <c r="D421" i="4"/>
  <c r="E421" i="4"/>
  <c r="B422" i="4"/>
  <c r="C422" i="4"/>
  <c r="D422" i="4"/>
  <c r="E422" i="4"/>
  <c r="B423" i="4"/>
  <c r="C423" i="4"/>
  <c r="D423" i="4"/>
  <c r="E423" i="4"/>
  <c r="B424" i="4"/>
  <c r="C424" i="4"/>
  <c r="D424" i="4"/>
  <c r="E424" i="4"/>
  <c r="B425" i="4"/>
  <c r="C425" i="4"/>
  <c r="D425" i="4"/>
  <c r="E425" i="4"/>
  <c r="B426" i="4"/>
  <c r="C426" i="4"/>
  <c r="D426" i="4"/>
  <c r="E426" i="4"/>
  <c r="B427" i="4"/>
  <c r="C427" i="4"/>
  <c r="D427" i="4"/>
  <c r="E427" i="4"/>
  <c r="B428" i="4"/>
  <c r="C428" i="4"/>
  <c r="D428" i="4"/>
  <c r="E428" i="4"/>
  <c r="B429" i="4"/>
  <c r="C429" i="4"/>
  <c r="D429" i="4"/>
  <c r="E429" i="4"/>
  <c r="B430" i="4"/>
  <c r="C430" i="4"/>
  <c r="D430" i="4"/>
  <c r="E430" i="4"/>
  <c r="B431" i="4"/>
  <c r="C431" i="4"/>
  <c r="D431" i="4"/>
  <c r="E431" i="4"/>
  <c r="B432" i="4"/>
  <c r="C432" i="4"/>
  <c r="D432" i="4"/>
  <c r="E432" i="4"/>
  <c r="B433" i="4"/>
  <c r="C433" i="4"/>
  <c r="D433" i="4"/>
  <c r="E433" i="4"/>
  <c r="B434" i="4"/>
  <c r="C434" i="4"/>
  <c r="D434" i="4"/>
  <c r="E434" i="4"/>
  <c r="B435" i="4"/>
  <c r="C435" i="4"/>
  <c r="D435" i="4"/>
  <c r="E435" i="4"/>
  <c r="B436" i="4"/>
  <c r="C436" i="4"/>
  <c r="D436" i="4"/>
  <c r="E436" i="4"/>
  <c r="B437" i="4"/>
  <c r="C437" i="4"/>
  <c r="D437" i="4"/>
  <c r="E437" i="4"/>
  <c r="B438" i="4"/>
  <c r="C438" i="4"/>
  <c r="D438" i="4"/>
  <c r="E438" i="4"/>
  <c r="B439" i="4"/>
  <c r="C439" i="4"/>
  <c r="D439" i="4"/>
  <c r="E439" i="4"/>
  <c r="B440" i="4"/>
  <c r="C440" i="4"/>
  <c r="D440" i="4"/>
  <c r="E440" i="4"/>
  <c r="B441" i="4"/>
  <c r="C441" i="4"/>
  <c r="D441" i="4"/>
  <c r="E441" i="4"/>
  <c r="B442" i="4"/>
  <c r="C442" i="4"/>
  <c r="D442" i="4"/>
  <c r="E442" i="4"/>
  <c r="B443" i="4"/>
  <c r="C443" i="4"/>
  <c r="D443" i="4"/>
  <c r="E443" i="4"/>
  <c r="B444" i="4"/>
  <c r="C444" i="4"/>
  <c r="D444" i="4"/>
  <c r="E444" i="4"/>
  <c r="B445" i="4"/>
  <c r="C445" i="4"/>
  <c r="D445" i="4"/>
  <c r="E445" i="4"/>
  <c r="B446" i="4"/>
  <c r="C446" i="4"/>
  <c r="D446" i="4"/>
  <c r="E446" i="4"/>
  <c r="B447" i="4"/>
  <c r="C447" i="4"/>
  <c r="D447" i="4"/>
  <c r="E447" i="4"/>
  <c r="B448" i="4"/>
  <c r="C448" i="4"/>
  <c r="D448" i="4"/>
  <c r="E448" i="4"/>
  <c r="B449" i="4"/>
  <c r="C449" i="4"/>
  <c r="D449" i="4"/>
  <c r="E449" i="4"/>
  <c r="B450" i="4"/>
  <c r="C450" i="4"/>
  <c r="D450" i="4"/>
  <c r="E450" i="4"/>
  <c r="B451" i="4"/>
  <c r="C451" i="4"/>
  <c r="D451" i="4"/>
  <c r="E451" i="4"/>
  <c r="B452" i="4"/>
  <c r="C452" i="4"/>
  <c r="D452" i="4"/>
  <c r="E452" i="4"/>
  <c r="B453" i="4"/>
  <c r="C453" i="4"/>
  <c r="D453" i="4"/>
  <c r="E453" i="4"/>
  <c r="B454" i="4"/>
  <c r="C454" i="4"/>
  <c r="D454" i="4"/>
  <c r="E454" i="4"/>
  <c r="B455" i="4"/>
  <c r="C455" i="4"/>
  <c r="D455" i="4"/>
  <c r="E455" i="4"/>
  <c r="B456" i="4"/>
  <c r="C456" i="4"/>
  <c r="D456" i="4"/>
  <c r="E456" i="4"/>
  <c r="B457" i="4"/>
  <c r="C457" i="4"/>
  <c r="D457" i="4"/>
  <c r="E457" i="4"/>
  <c r="B458" i="4"/>
  <c r="C458" i="4"/>
  <c r="D458" i="4"/>
  <c r="E458" i="4"/>
  <c r="B459" i="4"/>
  <c r="C459" i="4"/>
  <c r="D459" i="4"/>
  <c r="E459" i="4"/>
  <c r="B460" i="4"/>
  <c r="C460" i="4"/>
  <c r="D460" i="4"/>
  <c r="E460" i="4"/>
  <c r="B461" i="4"/>
  <c r="C461" i="4"/>
  <c r="D461" i="4"/>
  <c r="E461" i="4"/>
  <c r="B462" i="4"/>
  <c r="C462" i="4"/>
  <c r="D462" i="4"/>
  <c r="E462" i="4"/>
  <c r="B463" i="4"/>
  <c r="C463" i="4"/>
  <c r="D463" i="4"/>
  <c r="E463" i="4"/>
  <c r="B464" i="4"/>
  <c r="C464" i="4"/>
  <c r="D464" i="4"/>
  <c r="E464" i="4"/>
  <c r="B465" i="4"/>
  <c r="C465" i="4"/>
  <c r="D465" i="4"/>
  <c r="E465" i="4"/>
  <c r="B466" i="4"/>
  <c r="C466" i="4"/>
  <c r="D466" i="4"/>
  <c r="E466" i="4"/>
  <c r="B467" i="4"/>
  <c r="C467" i="4"/>
  <c r="D467" i="4"/>
  <c r="E467" i="4"/>
  <c r="B468" i="4"/>
  <c r="C468" i="4"/>
  <c r="D468" i="4"/>
  <c r="E468" i="4"/>
  <c r="B469" i="4"/>
  <c r="C469" i="4"/>
  <c r="D469" i="4"/>
  <c r="E469" i="4"/>
  <c r="B470" i="4"/>
  <c r="C470" i="4"/>
  <c r="D470" i="4"/>
  <c r="E470" i="4"/>
  <c r="B471" i="4"/>
  <c r="C471" i="4"/>
  <c r="D471" i="4"/>
  <c r="E471" i="4"/>
  <c r="B472" i="4"/>
  <c r="C472" i="4"/>
  <c r="D472" i="4"/>
  <c r="E472" i="4"/>
  <c r="B473" i="4"/>
  <c r="C473" i="4"/>
  <c r="D473" i="4"/>
  <c r="E473" i="4"/>
  <c r="B474" i="4"/>
  <c r="C474" i="4"/>
  <c r="D474" i="4"/>
  <c r="E474" i="4"/>
  <c r="B475" i="4"/>
  <c r="C475" i="4"/>
  <c r="D475" i="4"/>
  <c r="E475" i="4"/>
  <c r="B476" i="4"/>
  <c r="C476" i="4"/>
  <c r="D476" i="4"/>
  <c r="E476" i="4"/>
  <c r="B477" i="4"/>
  <c r="C477" i="4"/>
  <c r="D477" i="4"/>
  <c r="E477" i="4"/>
  <c r="B478" i="4"/>
  <c r="C478" i="4"/>
  <c r="D478" i="4"/>
  <c r="E478" i="4"/>
  <c r="B479" i="4"/>
  <c r="C479" i="4"/>
  <c r="D479" i="4"/>
  <c r="E479" i="4"/>
  <c r="B480" i="4"/>
  <c r="C480" i="4"/>
  <c r="D480" i="4"/>
  <c r="E480" i="4"/>
  <c r="B481" i="4"/>
  <c r="C481" i="4"/>
  <c r="D481" i="4"/>
  <c r="E481" i="4"/>
  <c r="B482" i="4"/>
  <c r="C482" i="4"/>
  <c r="D482" i="4"/>
  <c r="E482" i="4"/>
  <c r="B483" i="4"/>
  <c r="C483" i="4"/>
  <c r="D483" i="4"/>
  <c r="E483" i="4"/>
  <c r="B484" i="4"/>
  <c r="C484" i="4"/>
  <c r="D484" i="4"/>
  <c r="E484" i="4"/>
  <c r="B485" i="4"/>
  <c r="C485" i="4"/>
  <c r="D485" i="4"/>
  <c r="E485" i="4"/>
  <c r="B486" i="4"/>
  <c r="C486" i="4"/>
  <c r="D486" i="4"/>
  <c r="E486" i="4"/>
  <c r="B487" i="4"/>
  <c r="C487" i="4"/>
  <c r="D487" i="4"/>
  <c r="E487" i="4"/>
  <c r="B488" i="4"/>
  <c r="C488" i="4"/>
  <c r="D488" i="4"/>
  <c r="E488" i="4"/>
  <c r="B489" i="4"/>
  <c r="C489" i="4"/>
  <c r="D489" i="4"/>
  <c r="E489" i="4"/>
  <c r="B490" i="4"/>
  <c r="C490" i="4"/>
  <c r="D490" i="4"/>
  <c r="E490" i="4"/>
  <c r="B491" i="4"/>
  <c r="C491" i="4"/>
  <c r="D491" i="4"/>
  <c r="E491" i="4"/>
  <c r="B492" i="4"/>
  <c r="C492" i="4"/>
  <c r="D492" i="4"/>
  <c r="E492" i="4"/>
  <c r="B493" i="4"/>
  <c r="C493" i="4"/>
  <c r="D493" i="4"/>
  <c r="E493" i="4"/>
  <c r="B494" i="4"/>
  <c r="C494" i="4"/>
  <c r="D494" i="4"/>
  <c r="E494" i="4"/>
  <c r="B495" i="4"/>
  <c r="C495" i="4"/>
  <c r="D495" i="4"/>
  <c r="E495" i="4"/>
  <c r="B496" i="4"/>
  <c r="C496" i="4"/>
  <c r="D496" i="4"/>
  <c r="E496" i="4"/>
  <c r="B497" i="4"/>
  <c r="C497" i="4"/>
  <c r="D497" i="4"/>
  <c r="E497" i="4"/>
  <c r="B498" i="4"/>
  <c r="C498" i="4"/>
  <c r="D498" i="4"/>
  <c r="E498" i="4"/>
  <c r="B499" i="4"/>
  <c r="C499" i="4"/>
  <c r="D499" i="4"/>
  <c r="E499" i="4"/>
  <c r="B500" i="4"/>
  <c r="C500" i="4"/>
  <c r="D500" i="4"/>
  <c r="E500" i="4"/>
  <c r="B501" i="4"/>
  <c r="C501" i="4"/>
  <c r="D501" i="4"/>
  <c r="E501" i="4"/>
  <c r="B502" i="4"/>
  <c r="C502" i="4"/>
  <c r="D502" i="4"/>
  <c r="E502" i="4"/>
  <c r="B503" i="4"/>
  <c r="C503" i="4"/>
  <c r="D503" i="4"/>
  <c r="E503" i="4"/>
  <c r="B504" i="4"/>
  <c r="C504" i="4"/>
  <c r="D504" i="4"/>
  <c r="E504" i="4"/>
  <c r="B505" i="4"/>
  <c r="C505" i="4"/>
  <c r="D505" i="4"/>
  <c r="E505" i="4"/>
  <c r="B506" i="4"/>
  <c r="C506" i="4"/>
  <c r="D506" i="4"/>
  <c r="E506" i="4"/>
  <c r="B507" i="4"/>
  <c r="C507" i="4"/>
  <c r="D507" i="4"/>
  <c r="E507" i="4"/>
  <c r="B508" i="4"/>
  <c r="C508" i="4"/>
  <c r="D508" i="4"/>
  <c r="E508" i="4"/>
  <c r="B509" i="4"/>
  <c r="C509" i="4"/>
  <c r="D509" i="4"/>
  <c r="E509" i="4"/>
  <c r="B510" i="4"/>
  <c r="C510" i="4"/>
  <c r="D510" i="4"/>
  <c r="E510" i="4"/>
  <c r="B511" i="4"/>
  <c r="C511" i="4"/>
  <c r="D511" i="4"/>
  <c r="E511" i="4"/>
  <c r="B512" i="4"/>
  <c r="C512" i="4"/>
  <c r="D512" i="4"/>
  <c r="E512" i="4"/>
  <c r="B513" i="4"/>
  <c r="C513" i="4"/>
  <c r="D513" i="4"/>
  <c r="E513" i="4"/>
  <c r="B514" i="4"/>
  <c r="C514" i="4"/>
  <c r="D514" i="4"/>
  <c r="E514" i="4"/>
  <c r="B515" i="4"/>
  <c r="C515" i="4"/>
  <c r="D515" i="4"/>
  <c r="E515" i="4"/>
  <c r="B516" i="4"/>
  <c r="C516" i="4"/>
  <c r="D516" i="4"/>
  <c r="E516" i="4"/>
  <c r="B517" i="4"/>
  <c r="C517" i="4"/>
  <c r="D517" i="4"/>
  <c r="E517" i="4"/>
  <c r="B518" i="4"/>
  <c r="C518" i="4"/>
  <c r="D518" i="4"/>
  <c r="E518" i="4"/>
  <c r="B519" i="4"/>
  <c r="C519" i="4"/>
  <c r="D519" i="4"/>
  <c r="E519" i="4"/>
  <c r="B520" i="4"/>
  <c r="C520" i="4"/>
  <c r="D520" i="4"/>
  <c r="E520" i="4"/>
  <c r="B521" i="4"/>
  <c r="C521" i="4"/>
  <c r="D521" i="4"/>
  <c r="E521" i="4"/>
  <c r="B522" i="4"/>
  <c r="C522" i="4"/>
  <c r="D522" i="4"/>
  <c r="E522" i="4"/>
  <c r="B523" i="4"/>
  <c r="C523" i="4"/>
  <c r="D523" i="4"/>
  <c r="E523" i="4"/>
  <c r="B524" i="4"/>
  <c r="C524" i="4"/>
  <c r="D524" i="4"/>
  <c r="E524" i="4"/>
  <c r="B525" i="4"/>
  <c r="C525" i="4"/>
  <c r="D525" i="4"/>
  <c r="E525" i="4"/>
  <c r="B526" i="4"/>
  <c r="C526" i="4"/>
  <c r="D526" i="4"/>
  <c r="E526" i="4"/>
  <c r="B527" i="4"/>
  <c r="C527" i="4"/>
  <c r="D527" i="4"/>
  <c r="E527" i="4"/>
  <c r="B528" i="4"/>
  <c r="C528" i="4"/>
  <c r="D528" i="4"/>
  <c r="E528" i="4"/>
  <c r="B529" i="4"/>
  <c r="C529" i="4"/>
  <c r="D529" i="4"/>
  <c r="E529" i="4"/>
  <c r="B530" i="4"/>
  <c r="C530" i="4"/>
  <c r="D530" i="4"/>
  <c r="E530" i="4"/>
  <c r="B531" i="4"/>
  <c r="C531" i="4"/>
  <c r="D531" i="4"/>
  <c r="E531" i="4"/>
  <c r="B532" i="4"/>
  <c r="C532" i="4"/>
  <c r="D532" i="4"/>
  <c r="E532" i="4"/>
  <c r="B533" i="4"/>
  <c r="C533" i="4"/>
  <c r="D533" i="4"/>
  <c r="E533" i="4"/>
  <c r="B534" i="4"/>
  <c r="C534" i="4"/>
  <c r="D534" i="4"/>
  <c r="E534" i="4"/>
  <c r="B535" i="4"/>
  <c r="C535" i="4"/>
  <c r="D535" i="4"/>
  <c r="E535" i="4"/>
  <c r="B536" i="4"/>
  <c r="C536" i="4"/>
  <c r="D536" i="4"/>
  <c r="E536" i="4"/>
  <c r="B537" i="4"/>
  <c r="C537" i="4"/>
  <c r="D537" i="4"/>
  <c r="E537" i="4"/>
  <c r="B538" i="4"/>
  <c r="C538" i="4"/>
  <c r="D538" i="4"/>
  <c r="E538" i="4"/>
  <c r="B539" i="4"/>
  <c r="C539" i="4"/>
  <c r="D539" i="4"/>
  <c r="E539" i="4"/>
  <c r="B540" i="4"/>
  <c r="C540" i="4"/>
  <c r="D540" i="4"/>
  <c r="E540" i="4"/>
  <c r="B541" i="4"/>
  <c r="C541" i="4"/>
  <c r="D541" i="4"/>
  <c r="E541" i="4"/>
  <c r="B542" i="4"/>
  <c r="C542" i="4"/>
  <c r="D542" i="4"/>
  <c r="E542" i="4"/>
  <c r="B543" i="4"/>
  <c r="C543" i="4"/>
  <c r="D543" i="4"/>
  <c r="E543" i="4"/>
  <c r="B544" i="4"/>
  <c r="C544" i="4"/>
  <c r="D544" i="4"/>
  <c r="E544" i="4"/>
  <c r="B545" i="4"/>
  <c r="C545" i="4"/>
  <c r="D545" i="4"/>
  <c r="E545" i="4"/>
  <c r="B546" i="4"/>
  <c r="C546" i="4"/>
  <c r="D546" i="4"/>
  <c r="E546" i="4"/>
  <c r="B547" i="4"/>
  <c r="C547" i="4"/>
  <c r="D547" i="4"/>
  <c r="E547" i="4"/>
  <c r="B548" i="4"/>
  <c r="C548" i="4"/>
  <c r="D548" i="4"/>
  <c r="E548" i="4"/>
  <c r="B549" i="4"/>
  <c r="C549" i="4"/>
  <c r="D549" i="4"/>
  <c r="E549" i="4"/>
  <c r="B550" i="4"/>
  <c r="C550" i="4"/>
  <c r="D550" i="4"/>
  <c r="E550" i="4"/>
  <c r="B551" i="4"/>
  <c r="C551" i="4"/>
  <c r="D551" i="4"/>
  <c r="E551" i="4"/>
  <c r="B552" i="4"/>
  <c r="C552" i="4"/>
  <c r="D552" i="4"/>
  <c r="E552" i="4"/>
  <c r="B553" i="4"/>
  <c r="C553" i="4"/>
  <c r="D553" i="4"/>
  <c r="E553" i="4"/>
  <c r="B554" i="4"/>
  <c r="C554" i="4"/>
  <c r="D554" i="4"/>
  <c r="E554" i="4"/>
  <c r="B555" i="4"/>
  <c r="C555" i="4"/>
  <c r="D555" i="4"/>
  <c r="E555" i="4"/>
  <c r="B556" i="4"/>
  <c r="C556" i="4"/>
  <c r="D556" i="4"/>
  <c r="E556" i="4"/>
  <c r="B557" i="4"/>
  <c r="C557" i="4"/>
  <c r="D557" i="4"/>
  <c r="E557" i="4"/>
  <c r="B558" i="4"/>
  <c r="C558" i="4"/>
  <c r="D558" i="4"/>
  <c r="E558" i="4"/>
  <c r="B559" i="4"/>
  <c r="C559" i="4"/>
  <c r="D559" i="4"/>
  <c r="E559" i="4"/>
  <c r="B560" i="4"/>
  <c r="C560" i="4"/>
  <c r="D560" i="4"/>
  <c r="E560" i="4"/>
  <c r="B561" i="4"/>
  <c r="C561" i="4"/>
  <c r="D561" i="4"/>
  <c r="E561" i="4"/>
  <c r="B562" i="4"/>
  <c r="C562" i="4"/>
  <c r="D562" i="4"/>
  <c r="E562" i="4"/>
  <c r="B563" i="4"/>
  <c r="C563" i="4"/>
  <c r="D563" i="4"/>
  <c r="E563" i="4"/>
  <c r="B564" i="4"/>
  <c r="C564" i="4"/>
  <c r="D564" i="4"/>
  <c r="E564" i="4"/>
  <c r="B565" i="4"/>
  <c r="C565" i="4"/>
  <c r="D565" i="4"/>
  <c r="E565" i="4"/>
  <c r="B566" i="4"/>
  <c r="C566" i="4"/>
  <c r="D566" i="4"/>
  <c r="E566" i="4"/>
  <c r="B567" i="4"/>
  <c r="C567" i="4"/>
  <c r="D567" i="4"/>
  <c r="E567" i="4"/>
  <c r="B568" i="4"/>
  <c r="C568" i="4"/>
  <c r="D568" i="4"/>
  <c r="E568" i="4"/>
  <c r="B569" i="4"/>
  <c r="C569" i="4"/>
  <c r="D569" i="4"/>
  <c r="E569" i="4"/>
  <c r="B570" i="4"/>
  <c r="C570" i="4"/>
  <c r="D570" i="4"/>
  <c r="E570" i="4"/>
  <c r="B571" i="4"/>
  <c r="C571" i="4"/>
  <c r="D571" i="4"/>
  <c r="E571" i="4"/>
  <c r="B572" i="4"/>
  <c r="C572" i="4"/>
  <c r="D572" i="4"/>
  <c r="E572" i="4"/>
  <c r="B573" i="4"/>
  <c r="C573" i="4"/>
  <c r="D573" i="4"/>
  <c r="E573" i="4"/>
  <c r="B574" i="4"/>
  <c r="C574" i="4"/>
  <c r="D574" i="4"/>
  <c r="E574" i="4"/>
  <c r="B575" i="4"/>
  <c r="C575" i="4"/>
  <c r="D575" i="4"/>
  <c r="E575" i="4"/>
  <c r="B576" i="4"/>
  <c r="C576" i="4"/>
  <c r="D576" i="4"/>
  <c r="E576" i="4"/>
  <c r="B577" i="4"/>
  <c r="C577" i="4"/>
  <c r="D577" i="4"/>
  <c r="E577" i="4"/>
  <c r="B578" i="4"/>
  <c r="C578" i="4"/>
  <c r="D578" i="4"/>
  <c r="E578" i="4"/>
  <c r="B579" i="4"/>
  <c r="C579" i="4"/>
  <c r="D579" i="4"/>
  <c r="E579" i="4"/>
  <c r="B580" i="4"/>
  <c r="C580" i="4"/>
  <c r="D580" i="4"/>
  <c r="E580" i="4"/>
  <c r="B581" i="4"/>
  <c r="C581" i="4"/>
  <c r="D581" i="4"/>
  <c r="E581" i="4"/>
  <c r="B582" i="4"/>
  <c r="C582" i="4"/>
  <c r="D582" i="4"/>
  <c r="E582" i="4"/>
  <c r="B583" i="4"/>
  <c r="C583" i="4"/>
  <c r="D583" i="4"/>
  <c r="E583" i="4"/>
  <c r="B584" i="4"/>
  <c r="C584" i="4"/>
  <c r="D584" i="4"/>
  <c r="E584" i="4"/>
  <c r="B585" i="4"/>
  <c r="C585" i="4"/>
  <c r="D585" i="4"/>
  <c r="E585" i="4"/>
  <c r="B586" i="4"/>
  <c r="C586" i="4"/>
  <c r="D586" i="4"/>
  <c r="E586" i="4"/>
  <c r="B587" i="4"/>
  <c r="C587" i="4"/>
  <c r="D587" i="4"/>
  <c r="E587" i="4"/>
  <c r="B588" i="4"/>
  <c r="C588" i="4"/>
  <c r="D588" i="4"/>
  <c r="E588" i="4"/>
  <c r="B589" i="4"/>
  <c r="C589" i="4"/>
  <c r="D589" i="4"/>
  <c r="E589" i="4"/>
  <c r="B590" i="4"/>
  <c r="C590" i="4"/>
  <c r="D590" i="4"/>
  <c r="E590" i="4"/>
  <c r="B591" i="4"/>
  <c r="C591" i="4"/>
  <c r="D591" i="4"/>
  <c r="E591" i="4"/>
  <c r="B592" i="4"/>
  <c r="C592" i="4"/>
  <c r="D592" i="4"/>
  <c r="E592" i="4"/>
  <c r="B593" i="4"/>
  <c r="C593" i="4"/>
  <c r="D593" i="4"/>
  <c r="E593" i="4"/>
  <c r="B594" i="4"/>
  <c r="C594" i="4"/>
  <c r="D594" i="4"/>
  <c r="E594" i="4"/>
  <c r="B595" i="4"/>
  <c r="C595" i="4"/>
  <c r="D595" i="4"/>
  <c r="E595" i="4"/>
  <c r="B596" i="4"/>
  <c r="C596" i="4"/>
  <c r="D596" i="4"/>
  <c r="E596" i="4"/>
  <c r="B597" i="4"/>
  <c r="C597" i="4"/>
  <c r="D597" i="4"/>
  <c r="E597" i="4"/>
  <c r="B598" i="4"/>
  <c r="C598" i="4"/>
  <c r="D598" i="4"/>
  <c r="E598" i="4"/>
  <c r="B599" i="4"/>
  <c r="C599" i="4"/>
  <c r="D599" i="4"/>
  <c r="E599" i="4"/>
  <c r="B600" i="4"/>
  <c r="C600" i="4"/>
  <c r="D600" i="4"/>
  <c r="E600" i="4"/>
  <c r="B601" i="4"/>
  <c r="C601" i="4"/>
  <c r="D601" i="4"/>
  <c r="E601" i="4"/>
  <c r="B602" i="4"/>
  <c r="C602" i="4"/>
  <c r="D602" i="4"/>
  <c r="E602" i="4"/>
  <c r="B603" i="4"/>
  <c r="C603" i="4"/>
  <c r="D603" i="4"/>
  <c r="E603" i="4"/>
  <c r="B604" i="4"/>
  <c r="C604" i="4"/>
  <c r="D604" i="4"/>
  <c r="E604" i="4"/>
  <c r="B605" i="4"/>
  <c r="C605" i="4"/>
  <c r="D605" i="4"/>
  <c r="E605" i="4"/>
  <c r="B606" i="4"/>
  <c r="C606" i="4"/>
  <c r="D606" i="4"/>
  <c r="E606" i="4"/>
  <c r="B607" i="4"/>
  <c r="C607" i="4"/>
  <c r="D607" i="4"/>
  <c r="E607" i="4"/>
  <c r="B608" i="4"/>
  <c r="C608" i="4"/>
  <c r="D608" i="4"/>
  <c r="E608" i="4"/>
  <c r="B609" i="4"/>
  <c r="C609" i="4"/>
  <c r="D609" i="4"/>
  <c r="E609" i="4"/>
  <c r="B610" i="4"/>
  <c r="C610" i="4"/>
  <c r="D610" i="4"/>
  <c r="E610" i="4"/>
  <c r="B611" i="4"/>
  <c r="C611" i="4"/>
  <c r="D611" i="4"/>
  <c r="E611" i="4"/>
  <c r="B612" i="4"/>
  <c r="C612" i="4"/>
  <c r="D612" i="4"/>
  <c r="E612" i="4"/>
  <c r="B613" i="4"/>
  <c r="C613" i="4"/>
  <c r="D613" i="4"/>
  <c r="E613" i="4"/>
  <c r="B614" i="4"/>
  <c r="C614" i="4"/>
  <c r="D614" i="4"/>
  <c r="E614" i="4"/>
  <c r="B615" i="4"/>
  <c r="C615" i="4"/>
  <c r="D615" i="4"/>
  <c r="E615" i="4"/>
  <c r="B616" i="4"/>
  <c r="C616" i="4"/>
  <c r="D616" i="4"/>
  <c r="E616" i="4"/>
  <c r="B617" i="4"/>
  <c r="C617" i="4"/>
  <c r="D617" i="4"/>
  <c r="E617" i="4"/>
  <c r="B618" i="4"/>
  <c r="C618" i="4"/>
  <c r="D618" i="4"/>
  <c r="E618" i="4"/>
  <c r="B619" i="4"/>
  <c r="C619" i="4"/>
  <c r="D619" i="4"/>
  <c r="E619" i="4"/>
  <c r="B620" i="4"/>
  <c r="C620" i="4"/>
  <c r="D620" i="4"/>
  <c r="E620" i="4"/>
  <c r="B621" i="4"/>
  <c r="C621" i="4"/>
  <c r="D621" i="4"/>
  <c r="E621" i="4"/>
  <c r="B622" i="4"/>
  <c r="C622" i="4"/>
  <c r="D622" i="4"/>
  <c r="E622" i="4"/>
  <c r="B623" i="4"/>
  <c r="C623" i="4"/>
  <c r="D623" i="4"/>
  <c r="E623" i="4"/>
  <c r="B624" i="4"/>
  <c r="C624" i="4"/>
  <c r="D624" i="4"/>
  <c r="E624" i="4"/>
  <c r="B625" i="4"/>
  <c r="C625" i="4"/>
  <c r="D625" i="4"/>
  <c r="E625" i="4"/>
  <c r="B626" i="4"/>
  <c r="C626" i="4"/>
  <c r="D626" i="4"/>
  <c r="E626" i="4"/>
  <c r="B627" i="4"/>
  <c r="C627" i="4"/>
  <c r="D627" i="4"/>
  <c r="E627" i="4"/>
  <c r="B628" i="4"/>
  <c r="C628" i="4"/>
  <c r="D628" i="4"/>
  <c r="E628" i="4"/>
  <c r="B629" i="4"/>
  <c r="C629" i="4"/>
  <c r="D629" i="4"/>
  <c r="E629" i="4"/>
  <c r="B630" i="4"/>
  <c r="C630" i="4"/>
  <c r="D630" i="4"/>
  <c r="E630" i="4"/>
  <c r="B631" i="4"/>
  <c r="C631" i="4"/>
  <c r="D631" i="4"/>
  <c r="E631" i="4"/>
  <c r="B632" i="4"/>
  <c r="C632" i="4"/>
  <c r="D632" i="4"/>
  <c r="E632" i="4"/>
  <c r="B633" i="4"/>
  <c r="C633" i="4"/>
  <c r="D633" i="4"/>
  <c r="E633" i="4"/>
  <c r="B634" i="4"/>
  <c r="C634" i="4"/>
  <c r="D634" i="4"/>
  <c r="E634" i="4"/>
  <c r="B635" i="4"/>
  <c r="C635" i="4"/>
  <c r="D635" i="4"/>
  <c r="E635" i="4"/>
  <c r="B636" i="4"/>
  <c r="C636" i="4"/>
  <c r="D636" i="4"/>
  <c r="E636" i="4"/>
  <c r="B637" i="4"/>
  <c r="C637" i="4"/>
  <c r="D637" i="4"/>
  <c r="E637" i="4"/>
  <c r="B638" i="4"/>
  <c r="C638" i="4"/>
  <c r="D638" i="4"/>
  <c r="E638" i="4"/>
  <c r="B639" i="4"/>
  <c r="C639" i="4"/>
  <c r="D639" i="4"/>
  <c r="E639" i="4"/>
  <c r="B640" i="4"/>
  <c r="C640" i="4"/>
  <c r="D640" i="4"/>
  <c r="E640" i="4"/>
  <c r="B641" i="4"/>
  <c r="C641" i="4"/>
  <c r="D641" i="4"/>
  <c r="E641" i="4"/>
  <c r="B642" i="4"/>
  <c r="C642" i="4"/>
  <c r="D642" i="4"/>
  <c r="E642" i="4"/>
  <c r="B643" i="4"/>
  <c r="C643" i="4"/>
  <c r="D643" i="4"/>
  <c r="E643" i="4"/>
  <c r="B644" i="4"/>
  <c r="C644" i="4"/>
  <c r="D644" i="4"/>
  <c r="E644" i="4"/>
  <c r="B645" i="4"/>
  <c r="C645" i="4"/>
  <c r="D645" i="4"/>
  <c r="E645" i="4"/>
  <c r="B646" i="4"/>
  <c r="C646" i="4"/>
  <c r="D646" i="4"/>
  <c r="E646" i="4"/>
  <c r="B647" i="4"/>
  <c r="C647" i="4"/>
  <c r="D647" i="4"/>
  <c r="E647" i="4"/>
  <c r="B648" i="4"/>
  <c r="C648" i="4"/>
  <c r="D648" i="4"/>
  <c r="E648" i="4"/>
  <c r="B649" i="4"/>
  <c r="C649" i="4"/>
  <c r="D649" i="4"/>
  <c r="E649" i="4"/>
  <c r="B650" i="4"/>
  <c r="C650" i="4"/>
  <c r="D650" i="4"/>
  <c r="E650" i="4"/>
  <c r="B651" i="4"/>
  <c r="C651" i="4"/>
  <c r="D651" i="4"/>
  <c r="E651" i="4"/>
  <c r="B652" i="4"/>
  <c r="C652" i="4"/>
  <c r="D652" i="4"/>
  <c r="E652" i="4"/>
  <c r="B653" i="4"/>
  <c r="C653" i="4"/>
  <c r="D653" i="4"/>
  <c r="E653" i="4"/>
  <c r="B654" i="4"/>
  <c r="C654" i="4"/>
  <c r="D654" i="4"/>
  <c r="E654" i="4"/>
  <c r="B655" i="4"/>
  <c r="C655" i="4"/>
  <c r="D655" i="4"/>
  <c r="E655" i="4"/>
  <c r="B656" i="4"/>
  <c r="C656" i="4"/>
  <c r="D656" i="4"/>
  <c r="E656" i="4"/>
  <c r="B657" i="4"/>
  <c r="C657" i="4"/>
  <c r="D657" i="4"/>
  <c r="E657" i="4"/>
  <c r="B658" i="4"/>
  <c r="C658" i="4"/>
  <c r="D658" i="4"/>
  <c r="E658" i="4"/>
  <c r="B659" i="4"/>
  <c r="C659" i="4"/>
  <c r="D659" i="4"/>
  <c r="E659" i="4"/>
  <c r="B660" i="4"/>
  <c r="C660" i="4"/>
  <c r="D660" i="4"/>
  <c r="E660" i="4"/>
  <c r="B661" i="4"/>
  <c r="C661" i="4"/>
  <c r="D661" i="4"/>
  <c r="E661" i="4"/>
  <c r="B662" i="4"/>
  <c r="C662" i="4"/>
  <c r="D662" i="4"/>
  <c r="E662" i="4"/>
  <c r="B663" i="4"/>
  <c r="C663" i="4"/>
  <c r="D663" i="4"/>
  <c r="E663" i="4"/>
  <c r="B664" i="4"/>
  <c r="C664" i="4"/>
  <c r="D664" i="4"/>
  <c r="E664" i="4"/>
  <c r="B665" i="4"/>
  <c r="C665" i="4"/>
  <c r="D665" i="4"/>
  <c r="E665" i="4"/>
  <c r="B666" i="4"/>
  <c r="C666" i="4"/>
  <c r="D666" i="4"/>
  <c r="E666" i="4"/>
  <c r="B667" i="4"/>
  <c r="C667" i="4"/>
  <c r="D667" i="4"/>
  <c r="E667" i="4"/>
  <c r="B668" i="4"/>
  <c r="C668" i="4"/>
  <c r="D668" i="4"/>
  <c r="E668" i="4"/>
  <c r="B669" i="4"/>
  <c r="C669" i="4"/>
  <c r="D669" i="4"/>
  <c r="E669" i="4"/>
  <c r="B670" i="4"/>
  <c r="C670" i="4"/>
  <c r="D670" i="4"/>
  <c r="E670" i="4"/>
  <c r="B671" i="4"/>
  <c r="C671" i="4"/>
  <c r="D671" i="4"/>
  <c r="E671" i="4"/>
  <c r="B672" i="4"/>
  <c r="C672" i="4"/>
  <c r="D672" i="4"/>
  <c r="E672" i="4"/>
  <c r="B673" i="4"/>
  <c r="C673" i="4"/>
  <c r="D673" i="4"/>
  <c r="E673" i="4"/>
  <c r="B674" i="4"/>
  <c r="C674" i="4"/>
  <c r="D674" i="4"/>
  <c r="E674" i="4"/>
  <c r="B675" i="4"/>
  <c r="C675" i="4"/>
  <c r="D675" i="4"/>
  <c r="E675" i="4"/>
  <c r="B676" i="4"/>
  <c r="C676" i="4"/>
  <c r="D676" i="4"/>
  <c r="E676" i="4"/>
  <c r="B677" i="4"/>
  <c r="C677" i="4"/>
  <c r="D677" i="4"/>
  <c r="E677" i="4"/>
  <c r="B678" i="4"/>
  <c r="C678" i="4"/>
  <c r="D678" i="4"/>
  <c r="E678" i="4"/>
  <c r="B679" i="4"/>
  <c r="C679" i="4"/>
  <c r="D679" i="4"/>
  <c r="E679" i="4"/>
  <c r="B680" i="4"/>
  <c r="C680" i="4"/>
  <c r="D680" i="4"/>
  <c r="E680" i="4"/>
  <c r="B681" i="4"/>
  <c r="C681" i="4"/>
  <c r="D681" i="4"/>
  <c r="E681" i="4"/>
  <c r="B682" i="4"/>
  <c r="C682" i="4"/>
  <c r="D682" i="4"/>
  <c r="E682" i="4"/>
  <c r="B683" i="4"/>
  <c r="C683" i="4"/>
  <c r="D683" i="4"/>
  <c r="E683" i="4"/>
  <c r="B684" i="4"/>
  <c r="C684" i="4"/>
  <c r="D684" i="4"/>
  <c r="E684" i="4"/>
  <c r="B685" i="4"/>
  <c r="C685" i="4"/>
  <c r="D685" i="4"/>
  <c r="E685" i="4"/>
  <c r="B686" i="4"/>
  <c r="C686" i="4"/>
  <c r="D686" i="4"/>
  <c r="E686" i="4"/>
  <c r="B687" i="4"/>
  <c r="C687" i="4"/>
  <c r="D687" i="4"/>
  <c r="E687" i="4"/>
  <c r="B688" i="4"/>
  <c r="C688" i="4"/>
  <c r="D688" i="4"/>
  <c r="E688" i="4"/>
  <c r="B689" i="4"/>
  <c r="C689" i="4"/>
  <c r="D689" i="4"/>
  <c r="E689" i="4"/>
  <c r="B690" i="4"/>
  <c r="C690" i="4"/>
  <c r="D690" i="4"/>
  <c r="E690" i="4"/>
  <c r="B691" i="4"/>
  <c r="C691" i="4"/>
  <c r="D691" i="4"/>
  <c r="E691" i="4"/>
  <c r="B692" i="4"/>
  <c r="C692" i="4"/>
  <c r="D692" i="4"/>
  <c r="E692" i="4"/>
  <c r="B693" i="4"/>
  <c r="C693" i="4"/>
  <c r="D693" i="4"/>
  <c r="E693" i="4"/>
  <c r="B694" i="4"/>
  <c r="C694" i="4"/>
  <c r="D694" i="4"/>
  <c r="E694" i="4"/>
  <c r="B695" i="4"/>
  <c r="C695" i="4"/>
  <c r="D695" i="4"/>
  <c r="E695" i="4"/>
  <c r="B696" i="4"/>
  <c r="C696" i="4"/>
  <c r="D696" i="4"/>
  <c r="E696" i="4"/>
  <c r="B697" i="4"/>
  <c r="C697" i="4"/>
  <c r="D697" i="4"/>
  <c r="E697" i="4"/>
  <c r="B698" i="4"/>
  <c r="C698" i="4"/>
  <c r="D698" i="4"/>
  <c r="E698" i="4"/>
  <c r="B699" i="4"/>
  <c r="C699" i="4"/>
  <c r="D699" i="4"/>
  <c r="E699" i="4"/>
  <c r="B700" i="4"/>
  <c r="C700" i="4"/>
  <c r="D700" i="4"/>
  <c r="E700" i="4"/>
  <c r="B701" i="4"/>
  <c r="C701" i="4"/>
  <c r="D701" i="4"/>
  <c r="E701" i="4"/>
  <c r="B702" i="4"/>
  <c r="C702" i="4"/>
  <c r="D702" i="4"/>
  <c r="E702" i="4"/>
  <c r="B703" i="4"/>
  <c r="C703" i="4"/>
  <c r="D703" i="4"/>
  <c r="E703" i="4"/>
  <c r="B704" i="4"/>
  <c r="C704" i="4"/>
  <c r="D704" i="4"/>
  <c r="E704" i="4"/>
  <c r="B705" i="4"/>
  <c r="C705" i="4"/>
  <c r="D705" i="4"/>
  <c r="E705" i="4"/>
  <c r="B706" i="4"/>
  <c r="C706" i="4"/>
  <c r="D706" i="4"/>
  <c r="E706" i="4"/>
  <c r="B707" i="4"/>
  <c r="C707" i="4"/>
  <c r="D707" i="4"/>
  <c r="E707" i="4"/>
  <c r="B708" i="4"/>
  <c r="C708" i="4"/>
  <c r="D708" i="4"/>
  <c r="E708" i="4"/>
  <c r="B709" i="4"/>
  <c r="C709" i="4"/>
  <c r="D709" i="4"/>
  <c r="E709" i="4"/>
  <c r="B710" i="4"/>
  <c r="C710" i="4"/>
  <c r="D710" i="4"/>
  <c r="E710" i="4"/>
  <c r="B711" i="4"/>
  <c r="C711" i="4"/>
  <c r="D711" i="4"/>
  <c r="E711" i="4"/>
  <c r="B712" i="4"/>
  <c r="C712" i="4"/>
  <c r="D712" i="4"/>
  <c r="E712" i="4"/>
  <c r="B713" i="4"/>
  <c r="C713" i="4"/>
  <c r="D713" i="4"/>
  <c r="E713" i="4"/>
  <c r="B714" i="4"/>
  <c r="C714" i="4"/>
  <c r="D714" i="4"/>
  <c r="E714" i="4"/>
  <c r="B715" i="4"/>
  <c r="C715" i="4"/>
  <c r="D715" i="4"/>
  <c r="E715" i="4"/>
  <c r="B716" i="4"/>
  <c r="C716" i="4"/>
  <c r="D716" i="4"/>
  <c r="E716" i="4"/>
  <c r="B717" i="4"/>
  <c r="C717" i="4"/>
  <c r="D717" i="4"/>
  <c r="E717" i="4"/>
  <c r="B718" i="4"/>
  <c r="C718" i="4"/>
  <c r="D718" i="4"/>
  <c r="E718" i="4"/>
  <c r="B719" i="4"/>
  <c r="C719" i="4"/>
  <c r="D719" i="4"/>
  <c r="E719" i="4"/>
  <c r="B720" i="4"/>
  <c r="C720" i="4"/>
  <c r="D720" i="4"/>
  <c r="E720" i="4"/>
  <c r="B721" i="4"/>
  <c r="C721" i="4"/>
  <c r="D721" i="4"/>
  <c r="E721" i="4"/>
  <c r="B722" i="4"/>
  <c r="C722" i="4"/>
  <c r="D722" i="4"/>
  <c r="E722" i="4"/>
  <c r="B723" i="4"/>
  <c r="C723" i="4"/>
  <c r="D723" i="4"/>
  <c r="E723" i="4"/>
  <c r="B724" i="4"/>
  <c r="C724" i="4"/>
  <c r="D724" i="4"/>
  <c r="E724" i="4"/>
  <c r="B725" i="4"/>
  <c r="C725" i="4"/>
  <c r="D725" i="4"/>
  <c r="E725" i="4"/>
  <c r="B726" i="4"/>
  <c r="C726" i="4"/>
  <c r="D726" i="4"/>
  <c r="E726" i="4"/>
  <c r="B727" i="4"/>
  <c r="C727" i="4"/>
  <c r="D727" i="4"/>
  <c r="E727" i="4"/>
  <c r="B728" i="4"/>
  <c r="C728" i="4"/>
  <c r="D728" i="4"/>
  <c r="E728" i="4"/>
  <c r="B729" i="4"/>
  <c r="C729" i="4"/>
  <c r="D729" i="4"/>
  <c r="E729" i="4"/>
  <c r="B730" i="4"/>
  <c r="C730" i="4"/>
  <c r="D730" i="4"/>
  <c r="E730" i="4"/>
  <c r="B731" i="4"/>
  <c r="C731" i="4"/>
  <c r="D731" i="4"/>
  <c r="E731" i="4"/>
  <c r="B732" i="4"/>
  <c r="C732" i="4"/>
  <c r="D732" i="4"/>
  <c r="E732" i="4"/>
  <c r="B733" i="4"/>
  <c r="C733" i="4"/>
  <c r="D733" i="4"/>
  <c r="E733" i="4"/>
  <c r="B734" i="4"/>
  <c r="C734" i="4"/>
  <c r="D734" i="4"/>
  <c r="E734" i="4"/>
  <c r="B735" i="4"/>
  <c r="C735" i="4"/>
  <c r="D735" i="4"/>
  <c r="E735" i="4"/>
  <c r="B736" i="4"/>
  <c r="C736" i="4"/>
  <c r="D736" i="4"/>
  <c r="E736" i="4"/>
  <c r="B737" i="4"/>
  <c r="C737" i="4"/>
  <c r="D737" i="4"/>
  <c r="E737" i="4"/>
  <c r="B738" i="4"/>
  <c r="C738" i="4"/>
  <c r="D738" i="4"/>
  <c r="E738" i="4"/>
  <c r="B739" i="4"/>
  <c r="C739" i="4"/>
  <c r="D739" i="4"/>
  <c r="E739" i="4"/>
  <c r="B740" i="4"/>
  <c r="C740" i="4"/>
  <c r="D740" i="4"/>
  <c r="E740" i="4"/>
  <c r="B741" i="4"/>
  <c r="C741" i="4"/>
  <c r="D741" i="4"/>
  <c r="E741" i="4"/>
  <c r="B742" i="4"/>
  <c r="C742" i="4"/>
  <c r="D742" i="4"/>
  <c r="E742" i="4"/>
  <c r="B743" i="4"/>
  <c r="C743" i="4"/>
  <c r="D743" i="4"/>
  <c r="E743" i="4"/>
  <c r="B744" i="4"/>
  <c r="C744" i="4"/>
  <c r="D744" i="4"/>
  <c r="E744" i="4"/>
  <c r="B745" i="4"/>
  <c r="C745" i="4"/>
  <c r="D745" i="4"/>
  <c r="E745" i="4"/>
  <c r="B746" i="4"/>
  <c r="C746" i="4"/>
  <c r="D746" i="4"/>
  <c r="E746" i="4"/>
  <c r="B747" i="4"/>
  <c r="C747" i="4"/>
  <c r="D747" i="4"/>
  <c r="E747" i="4"/>
  <c r="B748" i="4"/>
  <c r="C748" i="4"/>
  <c r="D748" i="4"/>
  <c r="E748" i="4"/>
  <c r="B749" i="4"/>
  <c r="C749" i="4"/>
  <c r="D749" i="4"/>
  <c r="E749" i="4"/>
  <c r="B750" i="4"/>
  <c r="C750" i="4"/>
  <c r="D750" i="4"/>
  <c r="E750" i="4"/>
  <c r="B751" i="4"/>
  <c r="C751" i="4"/>
  <c r="D751" i="4"/>
  <c r="E751" i="4"/>
  <c r="B752" i="4"/>
  <c r="C752" i="4"/>
  <c r="D752" i="4"/>
  <c r="E752" i="4"/>
  <c r="B753" i="4"/>
  <c r="C753" i="4"/>
  <c r="D753" i="4"/>
  <c r="E753" i="4"/>
  <c r="B754" i="4"/>
  <c r="C754" i="4"/>
  <c r="D754" i="4"/>
  <c r="E754" i="4"/>
  <c r="B755" i="4"/>
  <c r="C755" i="4"/>
  <c r="D755" i="4"/>
  <c r="E755" i="4"/>
  <c r="B756" i="4"/>
  <c r="C756" i="4"/>
  <c r="D756" i="4"/>
  <c r="E756" i="4"/>
  <c r="B757" i="4"/>
  <c r="C757" i="4"/>
  <c r="D757" i="4"/>
  <c r="E757" i="4"/>
  <c r="B758" i="4"/>
  <c r="C758" i="4"/>
  <c r="D758" i="4"/>
  <c r="E758" i="4"/>
  <c r="B759" i="4"/>
  <c r="C759" i="4"/>
  <c r="D759" i="4"/>
  <c r="E759" i="4"/>
  <c r="B760" i="4"/>
  <c r="C760" i="4"/>
  <c r="D760" i="4"/>
  <c r="E760" i="4"/>
  <c r="B761" i="4"/>
  <c r="C761" i="4"/>
  <c r="D761" i="4"/>
  <c r="E761" i="4"/>
  <c r="B762" i="4"/>
  <c r="C762" i="4"/>
  <c r="D762" i="4"/>
  <c r="E762" i="4"/>
  <c r="B763" i="4"/>
  <c r="C763" i="4"/>
  <c r="D763" i="4"/>
  <c r="E763" i="4"/>
  <c r="B764" i="4"/>
  <c r="C764" i="4"/>
  <c r="D764" i="4"/>
  <c r="E764" i="4"/>
  <c r="B765" i="4"/>
  <c r="C765" i="4"/>
  <c r="D765" i="4"/>
  <c r="E765" i="4"/>
  <c r="B766" i="4"/>
  <c r="C766" i="4"/>
  <c r="D766" i="4"/>
  <c r="E766" i="4"/>
  <c r="B767" i="4"/>
  <c r="C767" i="4"/>
  <c r="D767" i="4"/>
  <c r="E767" i="4"/>
  <c r="B768" i="4"/>
  <c r="C768" i="4"/>
  <c r="D768" i="4"/>
  <c r="E768" i="4"/>
  <c r="B769" i="4"/>
  <c r="C769" i="4"/>
  <c r="D769" i="4"/>
  <c r="E769" i="4"/>
  <c r="B770" i="4"/>
  <c r="C770" i="4"/>
  <c r="D770" i="4"/>
  <c r="E770" i="4"/>
  <c r="B771" i="4"/>
  <c r="C771" i="4"/>
  <c r="D771" i="4"/>
  <c r="E771" i="4"/>
  <c r="B772" i="4"/>
  <c r="C772" i="4"/>
  <c r="D772" i="4"/>
  <c r="E772" i="4"/>
  <c r="B773" i="4"/>
  <c r="C773" i="4"/>
  <c r="D773" i="4"/>
  <c r="E773" i="4"/>
  <c r="B774" i="4"/>
  <c r="C774" i="4"/>
  <c r="D774" i="4"/>
  <c r="E774" i="4"/>
  <c r="B775" i="4"/>
  <c r="C775" i="4"/>
  <c r="D775" i="4"/>
  <c r="E775" i="4"/>
  <c r="B776" i="4"/>
  <c r="C776" i="4"/>
  <c r="D776" i="4"/>
  <c r="E776" i="4"/>
  <c r="B777" i="4"/>
  <c r="C777" i="4"/>
  <c r="D777" i="4"/>
  <c r="E777" i="4"/>
  <c r="B778" i="4"/>
  <c r="C778" i="4"/>
  <c r="D778" i="4"/>
  <c r="E778" i="4"/>
  <c r="B779" i="4"/>
  <c r="C779" i="4"/>
  <c r="D779" i="4"/>
  <c r="E779" i="4"/>
  <c r="B780" i="4"/>
  <c r="C780" i="4"/>
  <c r="D780" i="4"/>
  <c r="E780" i="4"/>
  <c r="B781" i="4"/>
  <c r="C781" i="4"/>
  <c r="D781" i="4"/>
  <c r="E781" i="4"/>
  <c r="B782" i="4"/>
  <c r="C782" i="4"/>
  <c r="D782" i="4"/>
  <c r="E782" i="4"/>
  <c r="C783" i="4"/>
  <c r="D783" i="4"/>
  <c r="E783" i="4"/>
  <c r="C784" i="4"/>
  <c r="D784" i="4"/>
  <c r="E784" i="4"/>
  <c r="C785" i="4"/>
  <c r="D785" i="4"/>
  <c r="E785" i="4"/>
  <c r="C786" i="4"/>
  <c r="D786" i="4"/>
  <c r="E786" i="4"/>
  <c r="C787" i="4"/>
  <c r="D787" i="4"/>
  <c r="E787" i="4"/>
  <c r="B788" i="4"/>
  <c r="C788" i="4"/>
  <c r="D788" i="4"/>
  <c r="E788" i="4"/>
  <c r="B789" i="4"/>
  <c r="C789" i="4"/>
  <c r="D789" i="4"/>
  <c r="E789" i="4"/>
  <c r="B790" i="4"/>
  <c r="C790" i="4"/>
  <c r="D790" i="4"/>
  <c r="E790" i="4"/>
  <c r="B791" i="4"/>
  <c r="C791" i="4"/>
  <c r="D791" i="4"/>
  <c r="E791" i="4"/>
  <c r="B792" i="4"/>
  <c r="C792" i="4"/>
  <c r="D792" i="4"/>
  <c r="E792" i="4"/>
  <c r="B793" i="4"/>
  <c r="C793" i="4"/>
  <c r="D793" i="4"/>
  <c r="E793" i="4"/>
  <c r="B794" i="4"/>
  <c r="C794" i="4"/>
  <c r="D794" i="4"/>
  <c r="E794" i="4"/>
  <c r="B795" i="4"/>
  <c r="C795" i="4"/>
  <c r="D795" i="4"/>
  <c r="E795" i="4"/>
  <c r="B796" i="4"/>
  <c r="C796" i="4"/>
  <c r="D796" i="4"/>
  <c r="E796" i="4"/>
  <c r="B797" i="4"/>
  <c r="C797" i="4"/>
  <c r="D797" i="4"/>
  <c r="E797" i="4"/>
  <c r="B798" i="4"/>
  <c r="C798" i="4"/>
  <c r="D798" i="4"/>
  <c r="E798" i="4"/>
  <c r="B799" i="4"/>
  <c r="C799" i="4"/>
  <c r="D799" i="4"/>
  <c r="E799" i="4"/>
  <c r="B800" i="4"/>
  <c r="C800" i="4"/>
  <c r="D800" i="4"/>
  <c r="E800" i="4"/>
  <c r="B801" i="4"/>
  <c r="C801" i="4"/>
  <c r="D801" i="4"/>
  <c r="E801" i="4"/>
  <c r="B802" i="4"/>
  <c r="C802" i="4"/>
  <c r="D802" i="4"/>
  <c r="E802" i="4"/>
  <c r="B803" i="4"/>
  <c r="C803" i="4"/>
  <c r="D803" i="4"/>
  <c r="E803" i="4"/>
  <c r="B804" i="4"/>
  <c r="C804" i="4"/>
  <c r="D804" i="4"/>
  <c r="E804" i="4"/>
  <c r="B805" i="4"/>
  <c r="C805" i="4"/>
  <c r="D805" i="4"/>
  <c r="E805" i="4"/>
  <c r="B806" i="4"/>
  <c r="C806" i="4"/>
  <c r="D806" i="4"/>
  <c r="E806" i="4"/>
  <c r="B807" i="4"/>
  <c r="C807" i="4"/>
  <c r="D807" i="4"/>
  <c r="E807" i="4"/>
  <c r="B808" i="4"/>
  <c r="C808" i="4"/>
  <c r="D808" i="4"/>
  <c r="E808" i="4"/>
  <c r="B809" i="4"/>
  <c r="C809" i="4"/>
  <c r="D809" i="4"/>
  <c r="E809" i="4"/>
  <c r="B810" i="4"/>
  <c r="C810" i="4"/>
  <c r="D810" i="4"/>
  <c r="E810" i="4"/>
  <c r="B811" i="4"/>
  <c r="C811" i="4"/>
  <c r="D811" i="4"/>
  <c r="E811" i="4"/>
  <c r="B812" i="4"/>
  <c r="C812" i="4"/>
  <c r="D812" i="4"/>
  <c r="E812" i="4"/>
  <c r="B813" i="4"/>
  <c r="C813" i="4"/>
  <c r="D813" i="4"/>
  <c r="E813" i="4"/>
  <c r="B814" i="4"/>
  <c r="C814" i="4"/>
  <c r="D814" i="4"/>
  <c r="E814" i="4"/>
  <c r="B815" i="4"/>
  <c r="C815" i="4"/>
  <c r="D815" i="4"/>
  <c r="E815" i="4"/>
  <c r="B816" i="4"/>
  <c r="C816" i="4"/>
  <c r="D816" i="4"/>
  <c r="E816" i="4"/>
  <c r="B817" i="4"/>
  <c r="C817" i="4"/>
  <c r="D817" i="4"/>
  <c r="E817" i="4"/>
  <c r="B818" i="4"/>
  <c r="C818" i="4"/>
  <c r="D818" i="4"/>
  <c r="E818" i="4"/>
  <c r="B819" i="4"/>
  <c r="C819" i="4"/>
  <c r="D819" i="4"/>
  <c r="E819" i="4"/>
  <c r="B820" i="4"/>
  <c r="C820" i="4"/>
  <c r="D820" i="4"/>
  <c r="E820" i="4"/>
  <c r="B821" i="4"/>
  <c r="C821" i="4"/>
  <c r="D821" i="4"/>
  <c r="E821" i="4"/>
  <c r="B822" i="4"/>
  <c r="C822" i="4"/>
  <c r="D822" i="4"/>
  <c r="E822" i="4"/>
  <c r="B823" i="4"/>
  <c r="C823" i="4"/>
  <c r="D823" i="4"/>
  <c r="E823" i="4"/>
  <c r="B824" i="4"/>
  <c r="C824" i="4"/>
  <c r="D824" i="4"/>
  <c r="E824" i="4"/>
  <c r="B825" i="4"/>
  <c r="C825" i="4"/>
  <c r="D825" i="4"/>
  <c r="E825" i="4"/>
  <c r="B826" i="4"/>
  <c r="C826" i="4"/>
  <c r="D826" i="4"/>
  <c r="E826" i="4"/>
  <c r="B827" i="4"/>
  <c r="C827" i="4"/>
  <c r="D827" i="4"/>
  <c r="E827" i="4"/>
  <c r="B828" i="4"/>
  <c r="C828" i="4"/>
  <c r="D828" i="4"/>
  <c r="E828" i="4"/>
  <c r="B829" i="4"/>
  <c r="C829" i="4"/>
  <c r="D829" i="4"/>
  <c r="E829" i="4"/>
  <c r="B830" i="4"/>
  <c r="C830" i="4"/>
  <c r="D830" i="4"/>
  <c r="E830" i="4"/>
  <c r="E3" i="4"/>
  <c r="D3" i="4"/>
  <c r="C3" i="4"/>
  <c r="B3" i="4"/>
  <c r="C962" i="2"/>
  <c r="M962" i="2" s="1"/>
  <c r="B962" i="2"/>
  <c r="H962" i="2" s="1"/>
  <c r="K961" i="2"/>
  <c r="J961" i="2"/>
  <c r="F961" i="2"/>
  <c r="E961" i="2"/>
  <c r="C961" i="2"/>
  <c r="M961" i="2" s="1"/>
  <c r="B961" i="2"/>
  <c r="H961" i="2" s="1"/>
  <c r="L960" i="2"/>
  <c r="C960" i="2"/>
  <c r="M960" i="2" s="1"/>
  <c r="B960" i="2"/>
  <c r="K959" i="2"/>
  <c r="J959" i="2"/>
  <c r="F959" i="2"/>
  <c r="E959" i="2"/>
  <c r="C959" i="2"/>
  <c r="M959" i="2" s="1"/>
  <c r="B959" i="2"/>
  <c r="H959" i="2" s="1"/>
  <c r="L958" i="2"/>
  <c r="G958" i="2"/>
  <c r="C958" i="2"/>
  <c r="M958" i="2" s="1"/>
  <c r="B958" i="2"/>
  <c r="K957" i="2"/>
  <c r="J957" i="2"/>
  <c r="F957" i="2"/>
  <c r="E957" i="2"/>
  <c r="C957" i="2"/>
  <c r="M957" i="2" s="1"/>
  <c r="B957" i="2"/>
  <c r="H957" i="2" s="1"/>
  <c r="L956" i="2"/>
  <c r="C956" i="2"/>
  <c r="M956" i="2" s="1"/>
  <c r="B956" i="2"/>
  <c r="K955" i="2"/>
  <c r="J955" i="2"/>
  <c r="F955" i="2"/>
  <c r="E955" i="2"/>
  <c r="C955" i="2"/>
  <c r="M955" i="2" s="1"/>
  <c r="B955" i="2"/>
  <c r="H955" i="2" s="1"/>
  <c r="L954" i="2"/>
  <c r="G954" i="2"/>
  <c r="C954" i="2"/>
  <c r="M954" i="2" s="1"/>
  <c r="B954" i="2"/>
  <c r="K953" i="2"/>
  <c r="J953" i="2"/>
  <c r="F953" i="2"/>
  <c r="E953" i="2"/>
  <c r="C953" i="2"/>
  <c r="M953" i="2" s="1"/>
  <c r="B953" i="2"/>
  <c r="H953" i="2" s="1"/>
  <c r="L952" i="2"/>
  <c r="C952" i="2"/>
  <c r="M952" i="2" s="1"/>
  <c r="B952" i="2"/>
  <c r="K951" i="2"/>
  <c r="J951" i="2"/>
  <c r="F951" i="2"/>
  <c r="E951" i="2"/>
  <c r="C951" i="2"/>
  <c r="M951" i="2" s="1"/>
  <c r="B951" i="2"/>
  <c r="H951" i="2" s="1"/>
  <c r="L950" i="2"/>
  <c r="G950" i="2"/>
  <c r="C950" i="2"/>
  <c r="M950" i="2" s="1"/>
  <c r="B950" i="2"/>
  <c r="K949" i="2"/>
  <c r="J949" i="2"/>
  <c r="F949" i="2"/>
  <c r="E949" i="2"/>
  <c r="C949" i="2"/>
  <c r="M949" i="2" s="1"/>
  <c r="B949" i="2"/>
  <c r="H949" i="2" s="1"/>
  <c r="L948" i="2"/>
  <c r="C948" i="2"/>
  <c r="M948" i="2" s="1"/>
  <c r="B948" i="2"/>
  <c r="K947" i="2"/>
  <c r="J947" i="2"/>
  <c r="F947" i="2"/>
  <c r="E947" i="2"/>
  <c r="C947" i="2"/>
  <c r="M947" i="2" s="1"/>
  <c r="B947" i="2"/>
  <c r="H947" i="2" s="1"/>
  <c r="L946" i="2"/>
  <c r="G946" i="2"/>
  <c r="C946" i="2"/>
  <c r="M946" i="2" s="1"/>
  <c r="B946" i="2"/>
  <c r="K945" i="2"/>
  <c r="J945" i="2"/>
  <c r="F945" i="2"/>
  <c r="E945" i="2"/>
  <c r="C945" i="2"/>
  <c r="M945" i="2" s="1"/>
  <c r="B945" i="2"/>
  <c r="H945" i="2" s="1"/>
  <c r="L944" i="2"/>
  <c r="C944" i="2"/>
  <c r="M944" i="2" s="1"/>
  <c r="B944" i="2"/>
  <c r="K943" i="2"/>
  <c r="J943" i="2"/>
  <c r="F943" i="2"/>
  <c r="E943" i="2"/>
  <c r="C943" i="2"/>
  <c r="M943" i="2" s="1"/>
  <c r="B943" i="2"/>
  <c r="H943" i="2" s="1"/>
  <c r="L942" i="2"/>
  <c r="G942" i="2"/>
  <c r="C942" i="2"/>
  <c r="M942" i="2" s="1"/>
  <c r="B942" i="2"/>
  <c r="K941" i="2"/>
  <c r="J941" i="2"/>
  <c r="F941" i="2"/>
  <c r="E941" i="2"/>
  <c r="C941" i="2"/>
  <c r="M941" i="2" s="1"/>
  <c r="B941" i="2"/>
  <c r="H941" i="2" s="1"/>
  <c r="L940" i="2"/>
  <c r="C940" i="2"/>
  <c r="M940" i="2" s="1"/>
  <c r="B940" i="2"/>
  <c r="K939" i="2"/>
  <c r="J939" i="2"/>
  <c r="F939" i="2"/>
  <c r="E939" i="2"/>
  <c r="C939" i="2"/>
  <c r="M939" i="2" s="1"/>
  <c r="B939" i="2"/>
  <c r="H939" i="2" s="1"/>
  <c r="L938" i="2"/>
  <c r="G938" i="2"/>
  <c r="C938" i="2"/>
  <c r="M938" i="2" s="1"/>
  <c r="B938" i="2"/>
  <c r="K937" i="2"/>
  <c r="J937" i="2"/>
  <c r="F937" i="2"/>
  <c r="E937" i="2"/>
  <c r="C937" i="2"/>
  <c r="M937" i="2" s="1"/>
  <c r="B937" i="2"/>
  <c r="H937" i="2" s="1"/>
  <c r="L936" i="2"/>
  <c r="C936" i="2"/>
  <c r="M936" i="2" s="1"/>
  <c r="B936" i="2"/>
  <c r="K935" i="2"/>
  <c r="J935" i="2"/>
  <c r="F935" i="2"/>
  <c r="E935" i="2"/>
  <c r="C935" i="2"/>
  <c r="M935" i="2" s="1"/>
  <c r="B935" i="2"/>
  <c r="H935" i="2" s="1"/>
  <c r="L934" i="2"/>
  <c r="G934" i="2"/>
  <c r="C934" i="2"/>
  <c r="M934" i="2" s="1"/>
  <c r="B934" i="2"/>
  <c r="K933" i="2"/>
  <c r="J933" i="2"/>
  <c r="F933" i="2"/>
  <c r="E933" i="2"/>
  <c r="C933" i="2"/>
  <c r="M933" i="2" s="1"/>
  <c r="B933" i="2"/>
  <c r="H933" i="2" s="1"/>
  <c r="L932" i="2"/>
  <c r="C932" i="2"/>
  <c r="M932" i="2" s="1"/>
  <c r="B932" i="2"/>
  <c r="K931" i="2"/>
  <c r="J931" i="2"/>
  <c r="F931" i="2"/>
  <c r="E931" i="2"/>
  <c r="C931" i="2"/>
  <c r="M931" i="2" s="1"/>
  <c r="B931" i="2"/>
  <c r="H931" i="2" s="1"/>
  <c r="L930" i="2"/>
  <c r="G930" i="2"/>
  <c r="C930" i="2"/>
  <c r="M930" i="2" s="1"/>
  <c r="B930" i="2"/>
  <c r="K929" i="2"/>
  <c r="J929" i="2"/>
  <c r="F929" i="2"/>
  <c r="E929" i="2"/>
  <c r="C929" i="2"/>
  <c r="M929" i="2" s="1"/>
  <c r="B929" i="2"/>
  <c r="H929" i="2" s="1"/>
  <c r="L928" i="2"/>
  <c r="C928" i="2"/>
  <c r="M928" i="2" s="1"/>
  <c r="B928" i="2"/>
  <c r="K927" i="2"/>
  <c r="J927" i="2"/>
  <c r="F927" i="2"/>
  <c r="E927" i="2"/>
  <c r="C927" i="2"/>
  <c r="M927" i="2" s="1"/>
  <c r="B927" i="2"/>
  <c r="H927" i="2" s="1"/>
  <c r="L926" i="2"/>
  <c r="G926" i="2"/>
  <c r="C926" i="2"/>
  <c r="M926" i="2" s="1"/>
  <c r="B926" i="2"/>
  <c r="K925" i="2"/>
  <c r="J925" i="2"/>
  <c r="F925" i="2"/>
  <c r="E925" i="2"/>
  <c r="C925" i="2"/>
  <c r="M925" i="2" s="1"/>
  <c r="B925" i="2"/>
  <c r="H925" i="2" s="1"/>
  <c r="L924" i="2"/>
  <c r="C924" i="2"/>
  <c r="M924" i="2" s="1"/>
  <c r="B924" i="2"/>
  <c r="K923" i="2"/>
  <c r="J923" i="2"/>
  <c r="F923" i="2"/>
  <c r="E923" i="2"/>
  <c r="C923" i="2"/>
  <c r="M923" i="2" s="1"/>
  <c r="B923" i="2"/>
  <c r="H923" i="2" s="1"/>
  <c r="L922" i="2"/>
  <c r="C922" i="2"/>
  <c r="B922" i="2"/>
  <c r="K921" i="2"/>
  <c r="J921" i="2"/>
  <c r="F921" i="2"/>
  <c r="E921" i="2"/>
  <c r="C921" i="2"/>
  <c r="M921" i="2" s="1"/>
  <c r="B921" i="2"/>
  <c r="H921" i="2" s="1"/>
  <c r="L920" i="2"/>
  <c r="E920" i="2"/>
  <c r="C920" i="2"/>
  <c r="M920" i="2" s="1"/>
  <c r="B920" i="2"/>
  <c r="H920" i="2" s="1"/>
  <c r="L919" i="2"/>
  <c r="K919" i="2"/>
  <c r="J919" i="2"/>
  <c r="C919" i="2"/>
  <c r="M919" i="2" s="1"/>
  <c r="B919" i="2"/>
  <c r="L918" i="2"/>
  <c r="J918" i="2"/>
  <c r="E918" i="2"/>
  <c r="C918" i="2"/>
  <c r="M918" i="2" s="1"/>
  <c r="B918" i="2"/>
  <c r="H918" i="2" s="1"/>
  <c r="L917" i="2"/>
  <c r="K917" i="2"/>
  <c r="J917" i="2"/>
  <c r="G917" i="2"/>
  <c r="C917" i="2"/>
  <c r="M917" i="2" s="1"/>
  <c r="B917" i="2"/>
  <c r="L916" i="2"/>
  <c r="J916" i="2"/>
  <c r="E916" i="2"/>
  <c r="C916" i="2"/>
  <c r="M916" i="2" s="1"/>
  <c r="B916" i="2"/>
  <c r="H916" i="2" s="1"/>
  <c r="L915" i="2"/>
  <c r="K915" i="2"/>
  <c r="J915" i="2"/>
  <c r="G915" i="2"/>
  <c r="C915" i="2"/>
  <c r="M915" i="2" s="1"/>
  <c r="B915" i="2"/>
  <c r="L914" i="2"/>
  <c r="J914" i="2"/>
  <c r="E914" i="2"/>
  <c r="C914" i="2"/>
  <c r="M914" i="2" s="1"/>
  <c r="B914" i="2"/>
  <c r="H914" i="2" s="1"/>
  <c r="L913" i="2"/>
  <c r="K913" i="2"/>
  <c r="J913" i="2"/>
  <c r="C913" i="2"/>
  <c r="M913" i="2" s="1"/>
  <c r="B913" i="2"/>
  <c r="L912" i="2"/>
  <c r="J912" i="2"/>
  <c r="E912" i="2"/>
  <c r="C912" i="2"/>
  <c r="M912" i="2" s="1"/>
  <c r="B912" i="2"/>
  <c r="H912" i="2" s="1"/>
  <c r="L911" i="2"/>
  <c r="K911" i="2"/>
  <c r="J911" i="2"/>
  <c r="C911" i="2"/>
  <c r="M911" i="2" s="1"/>
  <c r="B911" i="2"/>
  <c r="L910" i="2"/>
  <c r="J910" i="2"/>
  <c r="E910" i="2"/>
  <c r="C910" i="2"/>
  <c r="M910" i="2" s="1"/>
  <c r="B910" i="2"/>
  <c r="H910" i="2" s="1"/>
  <c r="L909" i="2"/>
  <c r="K909" i="2"/>
  <c r="J909" i="2"/>
  <c r="G909" i="2"/>
  <c r="C909" i="2"/>
  <c r="M909" i="2" s="1"/>
  <c r="B909" i="2"/>
  <c r="L908" i="2"/>
  <c r="J908" i="2"/>
  <c r="E908" i="2"/>
  <c r="C908" i="2"/>
  <c r="M908" i="2" s="1"/>
  <c r="B908" i="2"/>
  <c r="H908" i="2" s="1"/>
  <c r="L907" i="2"/>
  <c r="K907" i="2"/>
  <c r="J907" i="2"/>
  <c r="G907" i="2"/>
  <c r="C907" i="2"/>
  <c r="M907" i="2" s="1"/>
  <c r="B907" i="2"/>
  <c r="L906" i="2"/>
  <c r="J906" i="2"/>
  <c r="E906" i="2"/>
  <c r="C906" i="2"/>
  <c r="M906" i="2" s="1"/>
  <c r="B906" i="2"/>
  <c r="H906" i="2" s="1"/>
  <c r="L905" i="2"/>
  <c r="K905" i="2"/>
  <c r="J905" i="2"/>
  <c r="C905" i="2"/>
  <c r="M905" i="2" s="1"/>
  <c r="B905" i="2"/>
  <c r="L904" i="2"/>
  <c r="J904" i="2"/>
  <c r="E904" i="2"/>
  <c r="C904" i="2"/>
  <c r="M904" i="2" s="1"/>
  <c r="B904" i="2"/>
  <c r="H904" i="2" s="1"/>
  <c r="L903" i="2"/>
  <c r="K903" i="2"/>
  <c r="J903" i="2"/>
  <c r="C903" i="2"/>
  <c r="M903" i="2" s="1"/>
  <c r="B903" i="2"/>
  <c r="L902" i="2"/>
  <c r="J902" i="2"/>
  <c r="E902" i="2"/>
  <c r="C902" i="2"/>
  <c r="M902" i="2" s="1"/>
  <c r="B902" i="2"/>
  <c r="H902" i="2" s="1"/>
  <c r="L901" i="2"/>
  <c r="K901" i="2"/>
  <c r="J901" i="2"/>
  <c r="G901" i="2"/>
  <c r="C901" i="2"/>
  <c r="M901" i="2" s="1"/>
  <c r="B901" i="2"/>
  <c r="L900" i="2"/>
  <c r="J900" i="2"/>
  <c r="E900" i="2"/>
  <c r="C900" i="2"/>
  <c r="M900" i="2" s="1"/>
  <c r="B900" i="2"/>
  <c r="H900" i="2" s="1"/>
  <c r="L899" i="2"/>
  <c r="K899" i="2"/>
  <c r="J899" i="2"/>
  <c r="G899" i="2"/>
  <c r="E899" i="2"/>
  <c r="C899" i="2"/>
  <c r="M899" i="2" s="1"/>
  <c r="B899" i="2"/>
  <c r="L898" i="2"/>
  <c r="J898" i="2"/>
  <c r="C898" i="2"/>
  <c r="M898" i="2" s="1"/>
  <c r="B898" i="2"/>
  <c r="L897" i="2"/>
  <c r="K897" i="2"/>
  <c r="J897" i="2"/>
  <c r="G897" i="2"/>
  <c r="C897" i="2"/>
  <c r="M897" i="2" s="1"/>
  <c r="B897" i="2"/>
  <c r="L896" i="2"/>
  <c r="J896" i="2"/>
  <c r="G896" i="2"/>
  <c r="E896" i="2"/>
  <c r="C896" i="2"/>
  <c r="M896" i="2" s="1"/>
  <c r="B896" i="2"/>
  <c r="L895" i="2"/>
  <c r="K895" i="2"/>
  <c r="J895" i="2"/>
  <c r="C895" i="2"/>
  <c r="M895" i="2" s="1"/>
  <c r="B895" i="2"/>
  <c r="L894" i="2"/>
  <c r="J894" i="2"/>
  <c r="G894" i="2"/>
  <c r="E894" i="2"/>
  <c r="C894" i="2"/>
  <c r="M894" i="2" s="1"/>
  <c r="B894" i="2"/>
  <c r="L893" i="2"/>
  <c r="K893" i="2"/>
  <c r="J893" i="2"/>
  <c r="G893" i="2"/>
  <c r="E893" i="2"/>
  <c r="C893" i="2"/>
  <c r="M893" i="2" s="1"/>
  <c r="B893" i="2"/>
  <c r="L892" i="2"/>
  <c r="J892" i="2"/>
  <c r="G892" i="2"/>
  <c r="C892" i="2"/>
  <c r="M892" i="2" s="1"/>
  <c r="B892" i="2"/>
  <c r="L891" i="2"/>
  <c r="K891" i="2"/>
  <c r="J891" i="2"/>
  <c r="G891" i="2"/>
  <c r="E891" i="2"/>
  <c r="C891" i="2"/>
  <c r="M891" i="2" s="1"/>
  <c r="B891" i="2"/>
  <c r="L890" i="2"/>
  <c r="J890" i="2"/>
  <c r="C890" i="2"/>
  <c r="M890" i="2" s="1"/>
  <c r="B890" i="2"/>
  <c r="L889" i="2"/>
  <c r="K889" i="2"/>
  <c r="J889" i="2"/>
  <c r="C889" i="2"/>
  <c r="M889" i="2" s="1"/>
  <c r="B889" i="2"/>
  <c r="G889" i="2" s="1"/>
  <c r="C888" i="2"/>
  <c r="K888" i="2" s="1"/>
  <c r="B888" i="2"/>
  <c r="L887" i="2"/>
  <c r="K887" i="2"/>
  <c r="J887" i="2"/>
  <c r="G887" i="2"/>
  <c r="C887" i="2"/>
  <c r="M887" i="2" s="1"/>
  <c r="B887" i="2"/>
  <c r="C886" i="2"/>
  <c r="K886" i="2" s="1"/>
  <c r="B886" i="2"/>
  <c r="H886" i="2" s="1"/>
  <c r="L885" i="2"/>
  <c r="K885" i="2"/>
  <c r="J885" i="2"/>
  <c r="G885" i="2"/>
  <c r="C885" i="2"/>
  <c r="M885" i="2" s="1"/>
  <c r="B885" i="2"/>
  <c r="H884" i="2"/>
  <c r="C884" i="2"/>
  <c r="K884" i="2" s="1"/>
  <c r="B884" i="2"/>
  <c r="L883" i="2"/>
  <c r="K883" i="2"/>
  <c r="J883" i="2"/>
  <c r="C883" i="2"/>
  <c r="M883" i="2" s="1"/>
  <c r="B883" i="2"/>
  <c r="H882" i="2"/>
  <c r="C882" i="2"/>
  <c r="K882" i="2" s="1"/>
  <c r="B882" i="2"/>
  <c r="L881" i="2"/>
  <c r="K881" i="2"/>
  <c r="J881" i="2"/>
  <c r="C881" i="2"/>
  <c r="M881" i="2" s="1"/>
  <c r="B881" i="2"/>
  <c r="G881" i="2" s="1"/>
  <c r="C880" i="2"/>
  <c r="K880" i="2" s="1"/>
  <c r="B880" i="2"/>
  <c r="G879" i="2"/>
  <c r="C879" i="2"/>
  <c r="M879" i="2" s="1"/>
  <c r="B879" i="2"/>
  <c r="L878" i="2"/>
  <c r="K878" i="2"/>
  <c r="J878" i="2"/>
  <c r="F878" i="2"/>
  <c r="E878" i="2"/>
  <c r="C878" i="2"/>
  <c r="M878" i="2" s="1"/>
  <c r="B878" i="2"/>
  <c r="H878" i="2" s="1"/>
  <c r="L877" i="2"/>
  <c r="G877" i="2"/>
  <c r="C877" i="2"/>
  <c r="K877" i="2" s="1"/>
  <c r="B877" i="2"/>
  <c r="L876" i="2"/>
  <c r="K876" i="2"/>
  <c r="J876" i="2"/>
  <c r="F876" i="2"/>
  <c r="E876" i="2"/>
  <c r="C876" i="2"/>
  <c r="M876" i="2" s="1"/>
  <c r="B876" i="2"/>
  <c r="H876" i="2" s="1"/>
  <c r="L875" i="2"/>
  <c r="C875" i="2"/>
  <c r="K875" i="2" s="1"/>
  <c r="B875" i="2"/>
  <c r="G875" i="2" s="1"/>
  <c r="L874" i="2"/>
  <c r="K874" i="2"/>
  <c r="J874" i="2"/>
  <c r="F874" i="2"/>
  <c r="E874" i="2"/>
  <c r="C874" i="2"/>
  <c r="M874" i="2" s="1"/>
  <c r="B874" i="2"/>
  <c r="H874" i="2" s="1"/>
  <c r="L873" i="2"/>
  <c r="C873" i="2"/>
  <c r="K873" i="2" s="1"/>
  <c r="B873" i="2"/>
  <c r="L872" i="2"/>
  <c r="K872" i="2"/>
  <c r="J872" i="2"/>
  <c r="F872" i="2"/>
  <c r="E872" i="2"/>
  <c r="C872" i="2"/>
  <c r="M872" i="2" s="1"/>
  <c r="B872" i="2"/>
  <c r="H872" i="2" s="1"/>
  <c r="L871" i="2"/>
  <c r="G871" i="2"/>
  <c r="C871" i="2"/>
  <c r="K871" i="2" s="1"/>
  <c r="B871" i="2"/>
  <c r="L870" i="2"/>
  <c r="K870" i="2"/>
  <c r="J870" i="2"/>
  <c r="F870" i="2"/>
  <c r="E870" i="2"/>
  <c r="C870" i="2"/>
  <c r="M870" i="2" s="1"/>
  <c r="B870" i="2"/>
  <c r="H870" i="2" s="1"/>
  <c r="L869" i="2"/>
  <c r="G869" i="2"/>
  <c r="C869" i="2"/>
  <c r="K869" i="2" s="1"/>
  <c r="B869" i="2"/>
  <c r="L868" i="2"/>
  <c r="K868" i="2"/>
  <c r="J868" i="2"/>
  <c r="F868" i="2"/>
  <c r="E868" i="2"/>
  <c r="C868" i="2"/>
  <c r="M868" i="2" s="1"/>
  <c r="B868" i="2"/>
  <c r="H868" i="2" s="1"/>
  <c r="L867" i="2"/>
  <c r="C867" i="2"/>
  <c r="K867" i="2" s="1"/>
  <c r="B867" i="2"/>
  <c r="G867" i="2" s="1"/>
  <c r="L866" i="2"/>
  <c r="K866" i="2"/>
  <c r="J866" i="2"/>
  <c r="F866" i="2"/>
  <c r="E866" i="2"/>
  <c r="C866" i="2"/>
  <c r="M866" i="2" s="1"/>
  <c r="B866" i="2"/>
  <c r="H866" i="2" s="1"/>
  <c r="L865" i="2"/>
  <c r="C865" i="2"/>
  <c r="K865" i="2" s="1"/>
  <c r="B865" i="2"/>
  <c r="L864" i="2"/>
  <c r="K864" i="2"/>
  <c r="J864" i="2"/>
  <c r="F864" i="2"/>
  <c r="E864" i="2"/>
  <c r="C864" i="2"/>
  <c r="M864" i="2" s="1"/>
  <c r="B864" i="2"/>
  <c r="H864" i="2" s="1"/>
  <c r="L863" i="2"/>
  <c r="G863" i="2"/>
  <c r="C863" i="2"/>
  <c r="K863" i="2" s="1"/>
  <c r="B863" i="2"/>
  <c r="L862" i="2"/>
  <c r="K862" i="2"/>
  <c r="J862" i="2"/>
  <c r="F862" i="2"/>
  <c r="E862" i="2"/>
  <c r="C862" i="2"/>
  <c r="M862" i="2" s="1"/>
  <c r="B862" i="2"/>
  <c r="H862" i="2" s="1"/>
  <c r="G861" i="2"/>
  <c r="C861" i="2"/>
  <c r="L861" i="2" s="1"/>
  <c r="B861" i="2"/>
  <c r="L860" i="2"/>
  <c r="K860" i="2"/>
  <c r="J860" i="2"/>
  <c r="F860" i="2"/>
  <c r="E860" i="2"/>
  <c r="C860" i="2"/>
  <c r="M860" i="2" s="1"/>
  <c r="B860" i="2"/>
  <c r="H860" i="2" s="1"/>
  <c r="H859" i="2"/>
  <c r="G859" i="2"/>
  <c r="C859" i="2"/>
  <c r="L859" i="2" s="1"/>
  <c r="B859" i="2"/>
  <c r="L858" i="2"/>
  <c r="K858" i="2"/>
  <c r="J858" i="2"/>
  <c r="F858" i="2"/>
  <c r="E858" i="2"/>
  <c r="C858" i="2"/>
  <c r="M858" i="2" s="1"/>
  <c r="B858" i="2"/>
  <c r="H858" i="2" s="1"/>
  <c r="L857" i="2"/>
  <c r="C857" i="2"/>
  <c r="B857" i="2"/>
  <c r="L856" i="2"/>
  <c r="K856" i="2"/>
  <c r="J856" i="2"/>
  <c r="F856" i="2"/>
  <c r="E856" i="2"/>
  <c r="C856" i="2"/>
  <c r="M856" i="2" s="1"/>
  <c r="B856" i="2"/>
  <c r="H856" i="2" s="1"/>
  <c r="M855" i="2"/>
  <c r="C855" i="2"/>
  <c r="B855" i="2"/>
  <c r="H855" i="2" s="1"/>
  <c r="L854" i="2"/>
  <c r="K854" i="2"/>
  <c r="J854" i="2"/>
  <c r="C854" i="2"/>
  <c r="M854" i="2" s="1"/>
  <c r="B854" i="2"/>
  <c r="H854" i="2" s="1"/>
  <c r="J853" i="2"/>
  <c r="C853" i="2"/>
  <c r="B853" i="2"/>
  <c r="F853" i="2" s="1"/>
  <c r="L852" i="2"/>
  <c r="K852" i="2"/>
  <c r="J852" i="2"/>
  <c r="C852" i="2"/>
  <c r="M852" i="2" s="1"/>
  <c r="B852" i="2"/>
  <c r="H852" i="2" s="1"/>
  <c r="J851" i="2"/>
  <c r="C851" i="2"/>
  <c r="B851" i="2"/>
  <c r="F851" i="2" s="1"/>
  <c r="C850" i="2"/>
  <c r="B850" i="2"/>
  <c r="H850" i="2" s="1"/>
  <c r="K849" i="2"/>
  <c r="J849" i="2"/>
  <c r="H849" i="2"/>
  <c r="F849" i="2"/>
  <c r="E849" i="2"/>
  <c r="C849" i="2"/>
  <c r="M849" i="2" s="1"/>
  <c r="B849" i="2"/>
  <c r="G849" i="2" s="1"/>
  <c r="M848" i="2"/>
  <c r="H848" i="2"/>
  <c r="C848" i="2"/>
  <c r="B848" i="2"/>
  <c r="G848" i="2" s="1"/>
  <c r="K847" i="2"/>
  <c r="J847" i="2"/>
  <c r="H847" i="2"/>
  <c r="F847" i="2"/>
  <c r="E847" i="2"/>
  <c r="C847" i="2"/>
  <c r="M847" i="2" s="1"/>
  <c r="B847" i="2"/>
  <c r="G847" i="2" s="1"/>
  <c r="M846" i="2"/>
  <c r="H846" i="2"/>
  <c r="C846" i="2"/>
  <c r="B846" i="2"/>
  <c r="G846" i="2" s="1"/>
  <c r="K845" i="2"/>
  <c r="J845" i="2"/>
  <c r="H845" i="2"/>
  <c r="F845" i="2"/>
  <c r="E845" i="2"/>
  <c r="C845" i="2"/>
  <c r="M845" i="2" s="1"/>
  <c r="B845" i="2"/>
  <c r="G845" i="2" s="1"/>
  <c r="H844" i="2"/>
  <c r="C844" i="2"/>
  <c r="M844" i="2" s="1"/>
  <c r="B844" i="2"/>
  <c r="G844" i="2" s="1"/>
  <c r="K843" i="2"/>
  <c r="J843" i="2"/>
  <c r="H843" i="2"/>
  <c r="F843" i="2"/>
  <c r="E843" i="2"/>
  <c r="C843" i="2"/>
  <c r="M843" i="2" s="1"/>
  <c r="B843" i="2"/>
  <c r="G843" i="2" s="1"/>
  <c r="H842" i="2"/>
  <c r="C842" i="2"/>
  <c r="B842" i="2"/>
  <c r="G842" i="2" s="1"/>
  <c r="K841" i="2"/>
  <c r="J841" i="2"/>
  <c r="H841" i="2"/>
  <c r="F841" i="2"/>
  <c r="E841" i="2"/>
  <c r="C841" i="2"/>
  <c r="M841" i="2" s="1"/>
  <c r="B841" i="2"/>
  <c r="G841" i="2" s="1"/>
  <c r="M840" i="2"/>
  <c r="H840" i="2"/>
  <c r="C840" i="2"/>
  <c r="B840" i="2"/>
  <c r="G840" i="2" s="1"/>
  <c r="K839" i="2"/>
  <c r="J839" i="2"/>
  <c r="H839" i="2"/>
  <c r="F839" i="2"/>
  <c r="E839" i="2"/>
  <c r="C839" i="2"/>
  <c r="M839" i="2" s="1"/>
  <c r="B839" i="2"/>
  <c r="G839" i="2" s="1"/>
  <c r="M838" i="2"/>
  <c r="H838" i="2"/>
  <c r="C838" i="2"/>
  <c r="B838" i="2"/>
  <c r="G838" i="2" s="1"/>
  <c r="K837" i="2"/>
  <c r="J837" i="2"/>
  <c r="H837" i="2"/>
  <c r="F837" i="2"/>
  <c r="E837" i="2"/>
  <c r="C837" i="2"/>
  <c r="M837" i="2" s="1"/>
  <c r="B837" i="2"/>
  <c r="G837" i="2" s="1"/>
  <c r="H836" i="2"/>
  <c r="C836" i="2"/>
  <c r="M836" i="2" s="1"/>
  <c r="B836" i="2"/>
  <c r="G836" i="2" s="1"/>
  <c r="K835" i="2"/>
  <c r="J835" i="2"/>
  <c r="H835" i="2"/>
  <c r="F835" i="2"/>
  <c r="E835" i="2"/>
  <c r="C835" i="2"/>
  <c r="M835" i="2" s="1"/>
  <c r="B835" i="2"/>
  <c r="G835" i="2" s="1"/>
  <c r="H834" i="2"/>
  <c r="C834" i="2"/>
  <c r="B834" i="2"/>
  <c r="G834" i="2" s="1"/>
  <c r="K833" i="2"/>
  <c r="J833" i="2"/>
  <c r="H833" i="2"/>
  <c r="F833" i="2"/>
  <c r="E833" i="2"/>
  <c r="C833" i="2"/>
  <c r="M833" i="2" s="1"/>
  <c r="B833" i="2"/>
  <c r="G833" i="2" s="1"/>
  <c r="M832" i="2"/>
  <c r="H832" i="2"/>
  <c r="C832" i="2"/>
  <c r="B832" i="2"/>
  <c r="G832" i="2" s="1"/>
  <c r="K831" i="2"/>
  <c r="J831" i="2"/>
  <c r="H831" i="2"/>
  <c r="F831" i="2"/>
  <c r="E831" i="2"/>
  <c r="C831" i="2"/>
  <c r="M831" i="2" s="1"/>
  <c r="B831" i="2"/>
  <c r="G831" i="2" s="1"/>
  <c r="M830" i="2"/>
  <c r="H830" i="2"/>
  <c r="C830" i="2"/>
  <c r="B830" i="2"/>
  <c r="G830" i="2" s="1"/>
  <c r="K829" i="2"/>
  <c r="J829" i="2"/>
  <c r="H829" i="2"/>
  <c r="F829" i="2"/>
  <c r="E829" i="2"/>
  <c r="C829" i="2"/>
  <c r="M829" i="2" s="1"/>
  <c r="B829" i="2"/>
  <c r="G829" i="2" s="1"/>
  <c r="H828" i="2"/>
  <c r="C828" i="2"/>
  <c r="M828" i="2" s="1"/>
  <c r="B828" i="2"/>
  <c r="G828" i="2" s="1"/>
  <c r="K827" i="2"/>
  <c r="J827" i="2"/>
  <c r="H827" i="2"/>
  <c r="F827" i="2"/>
  <c r="E827" i="2"/>
  <c r="C827" i="2"/>
  <c r="M827" i="2" s="1"/>
  <c r="B827" i="2"/>
  <c r="G827" i="2" s="1"/>
  <c r="H826" i="2"/>
  <c r="C826" i="2"/>
  <c r="B826" i="2"/>
  <c r="G826" i="2" s="1"/>
  <c r="K825" i="2"/>
  <c r="J825" i="2"/>
  <c r="H825" i="2"/>
  <c r="F825" i="2"/>
  <c r="E825" i="2"/>
  <c r="C825" i="2"/>
  <c r="M825" i="2" s="1"/>
  <c r="B825" i="2"/>
  <c r="G825" i="2" s="1"/>
  <c r="M824" i="2"/>
  <c r="H824" i="2"/>
  <c r="C824" i="2"/>
  <c r="B824" i="2"/>
  <c r="G824" i="2" s="1"/>
  <c r="K823" i="2"/>
  <c r="J823" i="2"/>
  <c r="H823" i="2"/>
  <c r="F823" i="2"/>
  <c r="E823" i="2"/>
  <c r="C823" i="2"/>
  <c r="M823" i="2" s="1"/>
  <c r="B823" i="2"/>
  <c r="G823" i="2" s="1"/>
  <c r="M822" i="2"/>
  <c r="H822" i="2"/>
  <c r="C822" i="2"/>
  <c r="B822" i="2"/>
  <c r="G822" i="2" s="1"/>
  <c r="K821" i="2"/>
  <c r="J821" i="2"/>
  <c r="H821" i="2"/>
  <c r="F821" i="2"/>
  <c r="E821" i="2"/>
  <c r="C821" i="2"/>
  <c r="M821" i="2" s="1"/>
  <c r="B821" i="2"/>
  <c r="G821" i="2" s="1"/>
  <c r="H820" i="2"/>
  <c r="C820" i="2"/>
  <c r="M820" i="2" s="1"/>
  <c r="B820" i="2"/>
  <c r="G820" i="2" s="1"/>
  <c r="K819" i="2"/>
  <c r="J819" i="2"/>
  <c r="H819" i="2"/>
  <c r="F819" i="2"/>
  <c r="E819" i="2"/>
  <c r="C819" i="2"/>
  <c r="M819" i="2" s="1"/>
  <c r="B819" i="2"/>
  <c r="G819" i="2" s="1"/>
  <c r="H818" i="2"/>
  <c r="C818" i="2"/>
  <c r="B818" i="2"/>
  <c r="G818" i="2" s="1"/>
  <c r="K817" i="2"/>
  <c r="J817" i="2"/>
  <c r="H817" i="2"/>
  <c r="F817" i="2"/>
  <c r="E817" i="2"/>
  <c r="C817" i="2"/>
  <c r="M817" i="2" s="1"/>
  <c r="B817" i="2"/>
  <c r="G817" i="2" s="1"/>
  <c r="M816" i="2"/>
  <c r="H816" i="2"/>
  <c r="C816" i="2"/>
  <c r="B816" i="2"/>
  <c r="G816" i="2" s="1"/>
  <c r="K815" i="2"/>
  <c r="J815" i="2"/>
  <c r="H815" i="2"/>
  <c r="F815" i="2"/>
  <c r="E815" i="2"/>
  <c r="C815" i="2"/>
  <c r="M815" i="2" s="1"/>
  <c r="B815" i="2"/>
  <c r="G815" i="2" s="1"/>
  <c r="M814" i="2"/>
  <c r="H814" i="2"/>
  <c r="C814" i="2"/>
  <c r="B814" i="2"/>
  <c r="G814" i="2" s="1"/>
  <c r="K813" i="2"/>
  <c r="J813" i="2"/>
  <c r="H813" i="2"/>
  <c r="F813" i="2"/>
  <c r="E813" i="2"/>
  <c r="C813" i="2"/>
  <c r="M813" i="2" s="1"/>
  <c r="B813" i="2"/>
  <c r="G813" i="2" s="1"/>
  <c r="L812" i="2"/>
  <c r="C812" i="2"/>
  <c r="B812" i="2"/>
  <c r="K811" i="2"/>
  <c r="J811" i="2"/>
  <c r="H811" i="2"/>
  <c r="F811" i="2"/>
  <c r="E811" i="2"/>
  <c r="C811" i="2"/>
  <c r="M811" i="2" s="1"/>
  <c r="B811" i="2"/>
  <c r="G811" i="2" s="1"/>
  <c r="M810" i="2"/>
  <c r="H810" i="2"/>
  <c r="C810" i="2"/>
  <c r="B810" i="2"/>
  <c r="G810" i="2" s="1"/>
  <c r="K809" i="2"/>
  <c r="J809" i="2"/>
  <c r="H809" i="2"/>
  <c r="F809" i="2"/>
  <c r="E809" i="2"/>
  <c r="C809" i="2"/>
  <c r="M809" i="2" s="1"/>
  <c r="B809" i="2"/>
  <c r="G809" i="2" s="1"/>
  <c r="L808" i="2"/>
  <c r="G808" i="2"/>
  <c r="C808" i="2"/>
  <c r="B808" i="2"/>
  <c r="H808" i="2" s="1"/>
  <c r="K807" i="2"/>
  <c r="J807" i="2"/>
  <c r="H807" i="2"/>
  <c r="F807" i="2"/>
  <c r="E807" i="2"/>
  <c r="C807" i="2"/>
  <c r="M807" i="2" s="1"/>
  <c r="B807" i="2"/>
  <c r="G807" i="2" s="1"/>
  <c r="H806" i="2"/>
  <c r="G806" i="2"/>
  <c r="C806" i="2"/>
  <c r="L806" i="2" s="1"/>
  <c r="B806" i="2"/>
  <c r="M805" i="2"/>
  <c r="H805" i="2"/>
  <c r="F805" i="2"/>
  <c r="E805" i="2"/>
  <c r="C805" i="2"/>
  <c r="L805" i="2" s="1"/>
  <c r="B805" i="2"/>
  <c r="G805" i="2" s="1"/>
  <c r="M804" i="2"/>
  <c r="G804" i="2"/>
  <c r="F804" i="2"/>
  <c r="C804" i="2"/>
  <c r="J804" i="2" s="1"/>
  <c r="B804" i="2"/>
  <c r="E804" i="2" s="1"/>
  <c r="M803" i="2"/>
  <c r="H803" i="2"/>
  <c r="F803" i="2"/>
  <c r="E803" i="2"/>
  <c r="C803" i="2"/>
  <c r="L803" i="2" s="1"/>
  <c r="B803" i="2"/>
  <c r="G803" i="2" s="1"/>
  <c r="M802" i="2"/>
  <c r="G802" i="2"/>
  <c r="F802" i="2"/>
  <c r="C802" i="2"/>
  <c r="J802" i="2" s="1"/>
  <c r="B802" i="2"/>
  <c r="E802" i="2" s="1"/>
  <c r="M801" i="2"/>
  <c r="H801" i="2"/>
  <c r="F801" i="2"/>
  <c r="E801" i="2"/>
  <c r="C801" i="2"/>
  <c r="L801" i="2" s="1"/>
  <c r="B801" i="2"/>
  <c r="G801" i="2" s="1"/>
  <c r="M800" i="2"/>
  <c r="G800" i="2"/>
  <c r="C800" i="2"/>
  <c r="J800" i="2" s="1"/>
  <c r="B800" i="2"/>
  <c r="E800" i="2" s="1"/>
  <c r="M799" i="2"/>
  <c r="H799" i="2"/>
  <c r="F799" i="2"/>
  <c r="E799" i="2"/>
  <c r="C799" i="2"/>
  <c r="L799" i="2" s="1"/>
  <c r="B799" i="2"/>
  <c r="G799" i="2" s="1"/>
  <c r="M798" i="2"/>
  <c r="G798" i="2"/>
  <c r="C798" i="2"/>
  <c r="J798" i="2" s="1"/>
  <c r="B798" i="2"/>
  <c r="E798" i="2" s="1"/>
  <c r="M797" i="2"/>
  <c r="H797" i="2"/>
  <c r="F797" i="2"/>
  <c r="E797" i="2"/>
  <c r="C797" i="2"/>
  <c r="L797" i="2" s="1"/>
  <c r="B797" i="2"/>
  <c r="G797" i="2" s="1"/>
  <c r="M796" i="2"/>
  <c r="G796" i="2"/>
  <c r="C796" i="2"/>
  <c r="J796" i="2" s="1"/>
  <c r="B796" i="2"/>
  <c r="E796" i="2" s="1"/>
  <c r="M795" i="2"/>
  <c r="H795" i="2"/>
  <c r="F795" i="2"/>
  <c r="E795" i="2"/>
  <c r="C795" i="2"/>
  <c r="L795" i="2" s="1"/>
  <c r="B795" i="2"/>
  <c r="G795" i="2" s="1"/>
  <c r="M794" i="2"/>
  <c r="G794" i="2"/>
  <c r="C794" i="2"/>
  <c r="J794" i="2" s="1"/>
  <c r="B794" i="2"/>
  <c r="E794" i="2" s="1"/>
  <c r="M793" i="2"/>
  <c r="H793" i="2"/>
  <c r="F793" i="2"/>
  <c r="E793" i="2"/>
  <c r="C793" i="2"/>
  <c r="L793" i="2" s="1"/>
  <c r="B793" i="2"/>
  <c r="G793" i="2" s="1"/>
  <c r="M792" i="2"/>
  <c r="G792" i="2"/>
  <c r="C792" i="2"/>
  <c r="J792" i="2" s="1"/>
  <c r="B792" i="2"/>
  <c r="E792" i="2" s="1"/>
  <c r="M791" i="2"/>
  <c r="H791" i="2"/>
  <c r="F791" i="2"/>
  <c r="E791" i="2"/>
  <c r="C791" i="2"/>
  <c r="L791" i="2" s="1"/>
  <c r="B791" i="2"/>
  <c r="G791" i="2" s="1"/>
  <c r="H790" i="2"/>
  <c r="F790" i="2"/>
  <c r="E790" i="2"/>
  <c r="C790" i="2"/>
  <c r="B790" i="2"/>
  <c r="G790" i="2" s="1"/>
  <c r="K789" i="2"/>
  <c r="H789" i="2"/>
  <c r="F789" i="2"/>
  <c r="C789" i="2"/>
  <c r="J789" i="2" s="1"/>
  <c r="B789" i="2"/>
  <c r="E789" i="2" s="1"/>
  <c r="H788" i="2"/>
  <c r="F788" i="2"/>
  <c r="E788" i="2"/>
  <c r="C788" i="2"/>
  <c r="B788" i="2"/>
  <c r="G788" i="2" s="1"/>
  <c r="K787" i="2"/>
  <c r="H787" i="2"/>
  <c r="F787" i="2"/>
  <c r="C787" i="2"/>
  <c r="J787" i="2" s="1"/>
  <c r="B787" i="2"/>
  <c r="E787" i="2" s="1"/>
  <c r="H786" i="2"/>
  <c r="F786" i="2"/>
  <c r="E786" i="2"/>
  <c r="C786" i="2"/>
  <c r="B786" i="2"/>
  <c r="G786" i="2" s="1"/>
  <c r="K785" i="2"/>
  <c r="H785" i="2"/>
  <c r="F785" i="2"/>
  <c r="C785" i="2"/>
  <c r="J785" i="2" s="1"/>
  <c r="B785" i="2"/>
  <c r="E785" i="2" s="1"/>
  <c r="H784" i="2"/>
  <c r="F784" i="2"/>
  <c r="E784" i="2"/>
  <c r="C784" i="2"/>
  <c r="B784" i="2"/>
  <c r="G784" i="2" s="1"/>
  <c r="K783" i="2"/>
  <c r="H783" i="2"/>
  <c r="F783" i="2"/>
  <c r="C783" i="2"/>
  <c r="J783" i="2" s="1"/>
  <c r="B783" i="2"/>
  <c r="E783" i="2" s="1"/>
  <c r="H782" i="2"/>
  <c r="F782" i="2"/>
  <c r="E782" i="2"/>
  <c r="C782" i="2"/>
  <c r="B782" i="2"/>
  <c r="G782" i="2" s="1"/>
  <c r="K781" i="2"/>
  <c r="H781" i="2"/>
  <c r="F781" i="2"/>
  <c r="C781" i="2"/>
  <c r="J781" i="2" s="1"/>
  <c r="B781" i="2"/>
  <c r="E781" i="2" s="1"/>
  <c r="H780" i="2"/>
  <c r="F780" i="2"/>
  <c r="E780" i="2"/>
  <c r="C780" i="2"/>
  <c r="B780" i="2"/>
  <c r="G780" i="2" s="1"/>
  <c r="K779" i="2"/>
  <c r="H779" i="2"/>
  <c r="F779" i="2"/>
  <c r="C779" i="2"/>
  <c r="J779" i="2" s="1"/>
  <c r="B779" i="2"/>
  <c r="E779" i="2" s="1"/>
  <c r="H778" i="2"/>
  <c r="F778" i="2"/>
  <c r="E778" i="2"/>
  <c r="C778" i="2"/>
  <c r="B778" i="2"/>
  <c r="G778" i="2" s="1"/>
  <c r="K777" i="2"/>
  <c r="H777" i="2"/>
  <c r="F777" i="2"/>
  <c r="C777" i="2"/>
  <c r="J777" i="2" s="1"/>
  <c r="B777" i="2"/>
  <c r="E777" i="2" s="1"/>
  <c r="H776" i="2"/>
  <c r="F776" i="2"/>
  <c r="E776" i="2"/>
  <c r="C776" i="2"/>
  <c r="B776" i="2"/>
  <c r="G776" i="2" s="1"/>
  <c r="K775" i="2"/>
  <c r="H775" i="2"/>
  <c r="F775" i="2"/>
  <c r="C775" i="2"/>
  <c r="J775" i="2" s="1"/>
  <c r="B775" i="2"/>
  <c r="E775" i="2" s="1"/>
  <c r="H774" i="2"/>
  <c r="F774" i="2"/>
  <c r="E774" i="2"/>
  <c r="C774" i="2"/>
  <c r="B774" i="2"/>
  <c r="G774" i="2" s="1"/>
  <c r="K773" i="2"/>
  <c r="H773" i="2"/>
  <c r="F773" i="2"/>
  <c r="C773" i="2"/>
  <c r="J773" i="2" s="1"/>
  <c r="B773" i="2"/>
  <c r="E773" i="2" s="1"/>
  <c r="H772" i="2"/>
  <c r="F772" i="2"/>
  <c r="E772" i="2"/>
  <c r="C772" i="2"/>
  <c r="B772" i="2"/>
  <c r="G772" i="2" s="1"/>
  <c r="K771" i="2"/>
  <c r="H771" i="2"/>
  <c r="F771" i="2"/>
  <c r="C771" i="2"/>
  <c r="J771" i="2" s="1"/>
  <c r="B771" i="2"/>
  <c r="E771" i="2" s="1"/>
  <c r="H770" i="2"/>
  <c r="F770" i="2"/>
  <c r="E770" i="2"/>
  <c r="C770" i="2"/>
  <c r="B770" i="2"/>
  <c r="G770" i="2" s="1"/>
  <c r="K769" i="2"/>
  <c r="H769" i="2"/>
  <c r="F769" i="2"/>
  <c r="C769" i="2"/>
  <c r="J769" i="2" s="1"/>
  <c r="B769" i="2"/>
  <c r="E769" i="2" s="1"/>
  <c r="H768" i="2"/>
  <c r="F768" i="2"/>
  <c r="E768" i="2"/>
  <c r="C768" i="2"/>
  <c r="B768" i="2"/>
  <c r="G768" i="2" s="1"/>
  <c r="K767" i="2"/>
  <c r="H767" i="2"/>
  <c r="F767" i="2"/>
  <c r="C767" i="2"/>
  <c r="J767" i="2" s="1"/>
  <c r="B767" i="2"/>
  <c r="E767" i="2" s="1"/>
  <c r="H766" i="2"/>
  <c r="F766" i="2"/>
  <c r="E766" i="2"/>
  <c r="C766" i="2"/>
  <c r="B766" i="2"/>
  <c r="G766" i="2" s="1"/>
  <c r="K765" i="2"/>
  <c r="H765" i="2"/>
  <c r="F765" i="2"/>
  <c r="C765" i="2"/>
  <c r="J765" i="2" s="1"/>
  <c r="B765" i="2"/>
  <c r="E765" i="2" s="1"/>
  <c r="H764" i="2"/>
  <c r="F764" i="2"/>
  <c r="E764" i="2"/>
  <c r="C764" i="2"/>
  <c r="B764" i="2"/>
  <c r="G764" i="2" s="1"/>
  <c r="K763" i="2"/>
  <c r="H763" i="2"/>
  <c r="F763" i="2"/>
  <c r="C763" i="2"/>
  <c r="J763" i="2" s="1"/>
  <c r="B763" i="2"/>
  <c r="E763" i="2" s="1"/>
  <c r="H762" i="2"/>
  <c r="F762" i="2"/>
  <c r="E762" i="2"/>
  <c r="C762" i="2"/>
  <c r="B762" i="2"/>
  <c r="G762" i="2" s="1"/>
  <c r="K761" i="2"/>
  <c r="H761" i="2"/>
  <c r="F761" i="2"/>
  <c r="C761" i="2"/>
  <c r="J761" i="2" s="1"/>
  <c r="B761" i="2"/>
  <c r="E761" i="2" s="1"/>
  <c r="H760" i="2"/>
  <c r="F760" i="2"/>
  <c r="E760" i="2"/>
  <c r="C760" i="2"/>
  <c r="B760" i="2"/>
  <c r="G760" i="2" s="1"/>
  <c r="K759" i="2"/>
  <c r="H759" i="2"/>
  <c r="F759" i="2"/>
  <c r="C759" i="2"/>
  <c r="J759" i="2" s="1"/>
  <c r="B759" i="2"/>
  <c r="E759" i="2" s="1"/>
  <c r="H758" i="2"/>
  <c r="F758" i="2"/>
  <c r="E758" i="2"/>
  <c r="C758" i="2"/>
  <c r="B758" i="2"/>
  <c r="G758" i="2" s="1"/>
  <c r="K757" i="2"/>
  <c r="H757" i="2"/>
  <c r="F757" i="2"/>
  <c r="C757" i="2"/>
  <c r="J757" i="2" s="1"/>
  <c r="B757" i="2"/>
  <c r="E757" i="2" s="1"/>
  <c r="H756" i="2"/>
  <c r="F756" i="2"/>
  <c r="E756" i="2"/>
  <c r="C756" i="2"/>
  <c r="B756" i="2"/>
  <c r="G756" i="2" s="1"/>
  <c r="K755" i="2"/>
  <c r="H755" i="2"/>
  <c r="F755" i="2"/>
  <c r="C755" i="2"/>
  <c r="J755" i="2" s="1"/>
  <c r="B755" i="2"/>
  <c r="E755" i="2" s="1"/>
  <c r="H754" i="2"/>
  <c r="F754" i="2"/>
  <c r="E754" i="2"/>
  <c r="C754" i="2"/>
  <c r="B754" i="2"/>
  <c r="G754" i="2" s="1"/>
  <c r="K753" i="2"/>
  <c r="H753" i="2"/>
  <c r="F753" i="2"/>
  <c r="C753" i="2"/>
  <c r="J753" i="2" s="1"/>
  <c r="B753" i="2"/>
  <c r="E753" i="2" s="1"/>
  <c r="H752" i="2"/>
  <c r="F752" i="2"/>
  <c r="E752" i="2"/>
  <c r="C752" i="2"/>
  <c r="B752" i="2"/>
  <c r="G752" i="2" s="1"/>
  <c r="K751" i="2"/>
  <c r="H751" i="2"/>
  <c r="F751" i="2"/>
  <c r="C751" i="2"/>
  <c r="J751" i="2" s="1"/>
  <c r="B751" i="2"/>
  <c r="E751" i="2" s="1"/>
  <c r="H750" i="2"/>
  <c r="F750" i="2"/>
  <c r="E750" i="2"/>
  <c r="C750" i="2"/>
  <c r="B750" i="2"/>
  <c r="G750" i="2" s="1"/>
  <c r="K749" i="2"/>
  <c r="H749" i="2"/>
  <c r="F749" i="2"/>
  <c r="C749" i="2"/>
  <c r="J749" i="2" s="1"/>
  <c r="B749" i="2"/>
  <c r="E749" i="2" s="1"/>
  <c r="H748" i="2"/>
  <c r="F748" i="2"/>
  <c r="E748" i="2"/>
  <c r="C748" i="2"/>
  <c r="B748" i="2"/>
  <c r="G748" i="2" s="1"/>
  <c r="K747" i="2"/>
  <c r="H747" i="2"/>
  <c r="F747" i="2"/>
  <c r="C747" i="2"/>
  <c r="J747" i="2" s="1"/>
  <c r="B747" i="2"/>
  <c r="E747" i="2" s="1"/>
  <c r="H746" i="2"/>
  <c r="F746" i="2"/>
  <c r="E746" i="2"/>
  <c r="C746" i="2"/>
  <c r="B746" i="2"/>
  <c r="G746" i="2" s="1"/>
  <c r="K745" i="2"/>
  <c r="H745" i="2"/>
  <c r="F745" i="2"/>
  <c r="C745" i="2"/>
  <c r="J745" i="2" s="1"/>
  <c r="B745" i="2"/>
  <c r="E745" i="2" s="1"/>
  <c r="H744" i="2"/>
  <c r="F744" i="2"/>
  <c r="E744" i="2"/>
  <c r="C744" i="2"/>
  <c r="B744" i="2"/>
  <c r="G744" i="2" s="1"/>
  <c r="K743" i="2"/>
  <c r="H743" i="2"/>
  <c r="F743" i="2"/>
  <c r="C743" i="2"/>
  <c r="J743" i="2" s="1"/>
  <c r="B743" i="2"/>
  <c r="E743" i="2" s="1"/>
  <c r="H742" i="2"/>
  <c r="F742" i="2"/>
  <c r="E742" i="2"/>
  <c r="C742" i="2"/>
  <c r="B742" i="2"/>
  <c r="G742" i="2" s="1"/>
  <c r="K741" i="2"/>
  <c r="H741" i="2"/>
  <c r="F741" i="2"/>
  <c r="C741" i="2"/>
  <c r="J741" i="2" s="1"/>
  <c r="B741" i="2"/>
  <c r="E741" i="2" s="1"/>
  <c r="H740" i="2"/>
  <c r="F740" i="2"/>
  <c r="E740" i="2"/>
  <c r="C740" i="2"/>
  <c r="B740" i="2"/>
  <c r="G740" i="2" s="1"/>
  <c r="K739" i="2"/>
  <c r="H739" i="2"/>
  <c r="F739" i="2"/>
  <c r="C739" i="2"/>
  <c r="J739" i="2" s="1"/>
  <c r="B739" i="2"/>
  <c r="E739" i="2" s="1"/>
  <c r="H738" i="2"/>
  <c r="F738" i="2"/>
  <c r="E738" i="2"/>
  <c r="C738" i="2"/>
  <c r="B738" i="2"/>
  <c r="G738" i="2" s="1"/>
  <c r="K737" i="2"/>
  <c r="H737" i="2"/>
  <c r="F737" i="2"/>
  <c r="C737" i="2"/>
  <c r="J737" i="2" s="1"/>
  <c r="B737" i="2"/>
  <c r="E737" i="2" s="1"/>
  <c r="H736" i="2"/>
  <c r="F736" i="2"/>
  <c r="E736" i="2"/>
  <c r="C736" i="2"/>
  <c r="B736" i="2"/>
  <c r="G736" i="2" s="1"/>
  <c r="H735" i="2"/>
  <c r="F735" i="2"/>
  <c r="C735" i="2"/>
  <c r="K735" i="2" s="1"/>
  <c r="B735" i="2"/>
  <c r="E735" i="2" s="1"/>
  <c r="M734" i="2"/>
  <c r="H734" i="2"/>
  <c r="F734" i="2"/>
  <c r="E734" i="2"/>
  <c r="C734" i="2"/>
  <c r="B734" i="2"/>
  <c r="G734" i="2" s="1"/>
  <c r="K733" i="2"/>
  <c r="H733" i="2"/>
  <c r="F733" i="2"/>
  <c r="C733" i="2"/>
  <c r="B733" i="2"/>
  <c r="E733" i="2" s="1"/>
  <c r="H732" i="2"/>
  <c r="F732" i="2"/>
  <c r="E732" i="2"/>
  <c r="C732" i="2"/>
  <c r="B732" i="2"/>
  <c r="G732" i="2" s="1"/>
  <c r="M731" i="2"/>
  <c r="H731" i="2"/>
  <c r="F731" i="2"/>
  <c r="C731" i="2"/>
  <c r="B731" i="2"/>
  <c r="E731" i="2" s="1"/>
  <c r="M730" i="2"/>
  <c r="H730" i="2"/>
  <c r="F730" i="2"/>
  <c r="E730" i="2"/>
  <c r="C730" i="2"/>
  <c r="B730" i="2"/>
  <c r="G730" i="2" s="1"/>
  <c r="K729" i="2"/>
  <c r="F729" i="2"/>
  <c r="C729" i="2"/>
  <c r="B729" i="2"/>
  <c r="H729" i="2" s="1"/>
  <c r="K728" i="2"/>
  <c r="H728" i="2"/>
  <c r="F728" i="2"/>
  <c r="E728" i="2"/>
  <c r="C728" i="2"/>
  <c r="L728" i="2" s="1"/>
  <c r="B728" i="2"/>
  <c r="G728" i="2" s="1"/>
  <c r="L727" i="2"/>
  <c r="F727" i="2"/>
  <c r="C727" i="2"/>
  <c r="J727" i="2" s="1"/>
  <c r="B727" i="2"/>
  <c r="E727" i="2" s="1"/>
  <c r="K726" i="2"/>
  <c r="H726" i="2"/>
  <c r="F726" i="2"/>
  <c r="E726" i="2"/>
  <c r="C726" i="2"/>
  <c r="L726" i="2" s="1"/>
  <c r="B726" i="2"/>
  <c r="G726" i="2" s="1"/>
  <c r="L725" i="2"/>
  <c r="F725" i="2"/>
  <c r="C725" i="2"/>
  <c r="J725" i="2" s="1"/>
  <c r="B725" i="2"/>
  <c r="E725" i="2" s="1"/>
  <c r="K724" i="2"/>
  <c r="H724" i="2"/>
  <c r="F724" i="2"/>
  <c r="E724" i="2"/>
  <c r="C724" i="2"/>
  <c r="L724" i="2" s="1"/>
  <c r="B724" i="2"/>
  <c r="G724" i="2" s="1"/>
  <c r="L723" i="2"/>
  <c r="F723" i="2"/>
  <c r="C723" i="2"/>
  <c r="J723" i="2" s="1"/>
  <c r="B723" i="2"/>
  <c r="E723" i="2" s="1"/>
  <c r="K722" i="2"/>
  <c r="H722" i="2"/>
  <c r="F722" i="2"/>
  <c r="E722" i="2"/>
  <c r="C722" i="2"/>
  <c r="L722" i="2" s="1"/>
  <c r="B722" i="2"/>
  <c r="G722" i="2" s="1"/>
  <c r="L721" i="2"/>
  <c r="F721" i="2"/>
  <c r="C721" i="2"/>
  <c r="J721" i="2" s="1"/>
  <c r="B721" i="2"/>
  <c r="E721" i="2" s="1"/>
  <c r="K720" i="2"/>
  <c r="H720" i="2"/>
  <c r="F720" i="2"/>
  <c r="E720" i="2"/>
  <c r="C720" i="2"/>
  <c r="L720" i="2" s="1"/>
  <c r="B720" i="2"/>
  <c r="G720" i="2" s="1"/>
  <c r="L719" i="2"/>
  <c r="F719" i="2"/>
  <c r="C719" i="2"/>
  <c r="J719" i="2" s="1"/>
  <c r="B719" i="2"/>
  <c r="E719" i="2" s="1"/>
  <c r="L718" i="2"/>
  <c r="K718" i="2"/>
  <c r="J718" i="2"/>
  <c r="C718" i="2"/>
  <c r="M718" i="2" s="1"/>
  <c r="B718" i="2"/>
  <c r="J717" i="2"/>
  <c r="E717" i="2"/>
  <c r="C717" i="2"/>
  <c r="M717" i="2" s="1"/>
  <c r="B717" i="2"/>
  <c r="H717" i="2" s="1"/>
  <c r="L716" i="2"/>
  <c r="K716" i="2"/>
  <c r="J716" i="2"/>
  <c r="G716" i="2"/>
  <c r="C716" i="2"/>
  <c r="M716" i="2" s="1"/>
  <c r="B716" i="2"/>
  <c r="J715" i="2"/>
  <c r="E715" i="2"/>
  <c r="C715" i="2"/>
  <c r="M715" i="2" s="1"/>
  <c r="B715" i="2"/>
  <c r="H715" i="2" s="1"/>
  <c r="L714" i="2"/>
  <c r="K714" i="2"/>
  <c r="J714" i="2"/>
  <c r="C714" i="2"/>
  <c r="M714" i="2" s="1"/>
  <c r="B714" i="2"/>
  <c r="J713" i="2"/>
  <c r="E713" i="2"/>
  <c r="C713" i="2"/>
  <c r="M713" i="2" s="1"/>
  <c r="B713" i="2"/>
  <c r="H713" i="2" s="1"/>
  <c r="L712" i="2"/>
  <c r="K712" i="2"/>
  <c r="J712" i="2"/>
  <c r="G712" i="2"/>
  <c r="C712" i="2"/>
  <c r="M712" i="2" s="1"/>
  <c r="B712" i="2"/>
  <c r="J711" i="2"/>
  <c r="E711" i="2"/>
  <c r="C711" i="2"/>
  <c r="M711" i="2" s="1"/>
  <c r="B711" i="2"/>
  <c r="H711" i="2" s="1"/>
  <c r="L710" i="2"/>
  <c r="K710" i="2"/>
  <c r="J710" i="2"/>
  <c r="C710" i="2"/>
  <c r="M710" i="2" s="1"/>
  <c r="B710" i="2"/>
  <c r="J709" i="2"/>
  <c r="E709" i="2"/>
  <c r="C709" i="2"/>
  <c r="M709" i="2" s="1"/>
  <c r="B709" i="2"/>
  <c r="H709" i="2" s="1"/>
  <c r="L708" i="2"/>
  <c r="K708" i="2"/>
  <c r="J708" i="2"/>
  <c r="G708" i="2"/>
  <c r="C708" i="2"/>
  <c r="M708" i="2" s="1"/>
  <c r="B708" i="2"/>
  <c r="J707" i="2"/>
  <c r="E707" i="2"/>
  <c r="C707" i="2"/>
  <c r="M707" i="2" s="1"/>
  <c r="B707" i="2"/>
  <c r="H707" i="2" s="1"/>
  <c r="L706" i="2"/>
  <c r="K706" i="2"/>
  <c r="J706" i="2"/>
  <c r="C706" i="2"/>
  <c r="M706" i="2" s="1"/>
  <c r="B706" i="2"/>
  <c r="J705" i="2"/>
  <c r="E705" i="2"/>
  <c r="C705" i="2"/>
  <c r="M705" i="2" s="1"/>
  <c r="B705" i="2"/>
  <c r="H705" i="2" s="1"/>
  <c r="L704" i="2"/>
  <c r="K704" i="2"/>
  <c r="J704" i="2"/>
  <c r="G704" i="2"/>
  <c r="C704" i="2"/>
  <c r="M704" i="2" s="1"/>
  <c r="B704" i="2"/>
  <c r="J703" i="2"/>
  <c r="E703" i="2"/>
  <c r="C703" i="2"/>
  <c r="M703" i="2" s="1"/>
  <c r="B703" i="2"/>
  <c r="H703" i="2" s="1"/>
  <c r="L702" i="2"/>
  <c r="K702" i="2"/>
  <c r="J702" i="2"/>
  <c r="C702" i="2"/>
  <c r="M702" i="2" s="1"/>
  <c r="B702" i="2"/>
  <c r="J701" i="2"/>
  <c r="E701" i="2"/>
  <c r="C701" i="2"/>
  <c r="M701" i="2" s="1"/>
  <c r="B701" i="2"/>
  <c r="H701" i="2" s="1"/>
  <c r="L700" i="2"/>
  <c r="K700" i="2"/>
  <c r="J700" i="2"/>
  <c r="G700" i="2"/>
  <c r="C700" i="2"/>
  <c r="M700" i="2" s="1"/>
  <c r="B700" i="2"/>
  <c r="J699" i="2"/>
  <c r="E699" i="2"/>
  <c r="C699" i="2"/>
  <c r="M699" i="2" s="1"/>
  <c r="B699" i="2"/>
  <c r="H699" i="2" s="1"/>
  <c r="L698" i="2"/>
  <c r="K698" i="2"/>
  <c r="J698" i="2"/>
  <c r="C698" i="2"/>
  <c r="M698" i="2" s="1"/>
  <c r="B698" i="2"/>
  <c r="J697" i="2"/>
  <c r="E697" i="2"/>
  <c r="C697" i="2"/>
  <c r="M697" i="2" s="1"/>
  <c r="B697" i="2"/>
  <c r="H697" i="2" s="1"/>
  <c r="L696" i="2"/>
  <c r="K696" i="2"/>
  <c r="J696" i="2"/>
  <c r="G696" i="2"/>
  <c r="C696" i="2"/>
  <c r="M696" i="2" s="1"/>
  <c r="B696" i="2"/>
  <c r="J695" i="2"/>
  <c r="E695" i="2"/>
  <c r="C695" i="2"/>
  <c r="M695" i="2" s="1"/>
  <c r="B695" i="2"/>
  <c r="H695" i="2" s="1"/>
  <c r="L694" i="2"/>
  <c r="K694" i="2"/>
  <c r="J694" i="2"/>
  <c r="C694" i="2"/>
  <c r="M694" i="2" s="1"/>
  <c r="B694" i="2"/>
  <c r="J693" i="2"/>
  <c r="E693" i="2"/>
  <c r="C693" i="2"/>
  <c r="M693" i="2" s="1"/>
  <c r="B693" i="2"/>
  <c r="H693" i="2" s="1"/>
  <c r="L692" i="2"/>
  <c r="K692" i="2"/>
  <c r="J692" i="2"/>
  <c r="G692" i="2"/>
  <c r="C692" i="2"/>
  <c r="M692" i="2" s="1"/>
  <c r="B692" i="2"/>
  <c r="J691" i="2"/>
  <c r="E691" i="2"/>
  <c r="C691" i="2"/>
  <c r="M691" i="2" s="1"/>
  <c r="B691" i="2"/>
  <c r="H691" i="2" s="1"/>
  <c r="L690" i="2"/>
  <c r="K690" i="2"/>
  <c r="J690" i="2"/>
  <c r="C690" i="2"/>
  <c r="M690" i="2" s="1"/>
  <c r="B690" i="2"/>
  <c r="J689" i="2"/>
  <c r="E689" i="2"/>
  <c r="C689" i="2"/>
  <c r="M689" i="2" s="1"/>
  <c r="B689" i="2"/>
  <c r="H689" i="2" s="1"/>
  <c r="L688" i="2"/>
  <c r="K688" i="2"/>
  <c r="J688" i="2"/>
  <c r="G688" i="2"/>
  <c r="C688" i="2"/>
  <c r="M688" i="2" s="1"/>
  <c r="B688" i="2"/>
  <c r="J687" i="2"/>
  <c r="E687" i="2"/>
  <c r="C687" i="2"/>
  <c r="M687" i="2" s="1"/>
  <c r="B687" i="2"/>
  <c r="H687" i="2" s="1"/>
  <c r="L686" i="2"/>
  <c r="K686" i="2"/>
  <c r="J686" i="2"/>
  <c r="C686" i="2"/>
  <c r="M686" i="2" s="1"/>
  <c r="B686" i="2"/>
  <c r="J685" i="2"/>
  <c r="E685" i="2"/>
  <c r="C685" i="2"/>
  <c r="M685" i="2" s="1"/>
  <c r="B685" i="2"/>
  <c r="H685" i="2" s="1"/>
  <c r="L684" i="2"/>
  <c r="K684" i="2"/>
  <c r="J684" i="2"/>
  <c r="G684" i="2"/>
  <c r="C684" i="2"/>
  <c r="M684" i="2" s="1"/>
  <c r="B684" i="2"/>
  <c r="J683" i="2"/>
  <c r="E683" i="2"/>
  <c r="C683" i="2"/>
  <c r="M683" i="2" s="1"/>
  <c r="B683" i="2"/>
  <c r="H683" i="2" s="1"/>
  <c r="L682" i="2"/>
  <c r="K682" i="2"/>
  <c r="J682" i="2"/>
  <c r="C682" i="2"/>
  <c r="M682" i="2" s="1"/>
  <c r="B682" i="2"/>
  <c r="J681" i="2"/>
  <c r="E681" i="2"/>
  <c r="C681" i="2"/>
  <c r="M681" i="2" s="1"/>
  <c r="B681" i="2"/>
  <c r="H681" i="2" s="1"/>
  <c r="L680" i="2"/>
  <c r="K680" i="2"/>
  <c r="J680" i="2"/>
  <c r="G680" i="2"/>
  <c r="C680" i="2"/>
  <c r="M680" i="2" s="1"/>
  <c r="B680" i="2"/>
  <c r="J679" i="2"/>
  <c r="E679" i="2"/>
  <c r="C679" i="2"/>
  <c r="M679" i="2" s="1"/>
  <c r="B679" i="2"/>
  <c r="H679" i="2" s="1"/>
  <c r="L678" i="2"/>
  <c r="K678" i="2"/>
  <c r="J678" i="2"/>
  <c r="E678" i="2"/>
  <c r="C678" i="2"/>
  <c r="M678" i="2" s="1"/>
  <c r="B678" i="2"/>
  <c r="H678" i="2" s="1"/>
  <c r="M677" i="2"/>
  <c r="L677" i="2"/>
  <c r="E677" i="2"/>
  <c r="C677" i="2"/>
  <c r="K677" i="2" s="1"/>
  <c r="B677" i="2"/>
  <c r="F677" i="2" s="1"/>
  <c r="L676" i="2"/>
  <c r="K676" i="2"/>
  <c r="J676" i="2"/>
  <c r="E676" i="2"/>
  <c r="C676" i="2"/>
  <c r="M676" i="2" s="1"/>
  <c r="B676" i="2"/>
  <c r="H676" i="2" s="1"/>
  <c r="L675" i="2"/>
  <c r="E675" i="2"/>
  <c r="C675" i="2"/>
  <c r="K675" i="2" s="1"/>
  <c r="B675" i="2"/>
  <c r="F675" i="2" s="1"/>
  <c r="L674" i="2"/>
  <c r="K674" i="2"/>
  <c r="J674" i="2"/>
  <c r="E674" i="2"/>
  <c r="C674" i="2"/>
  <c r="M674" i="2" s="1"/>
  <c r="B674" i="2"/>
  <c r="H674" i="2" s="1"/>
  <c r="L673" i="2"/>
  <c r="E673" i="2"/>
  <c r="C673" i="2"/>
  <c r="K673" i="2" s="1"/>
  <c r="B673" i="2"/>
  <c r="F673" i="2" s="1"/>
  <c r="L672" i="2"/>
  <c r="K672" i="2"/>
  <c r="J672" i="2"/>
  <c r="E672" i="2"/>
  <c r="C672" i="2"/>
  <c r="M672" i="2" s="1"/>
  <c r="B672" i="2"/>
  <c r="H672" i="2" s="1"/>
  <c r="L671" i="2"/>
  <c r="E671" i="2"/>
  <c r="C671" i="2"/>
  <c r="K671" i="2" s="1"/>
  <c r="B671" i="2"/>
  <c r="F671" i="2" s="1"/>
  <c r="L670" i="2"/>
  <c r="K670" i="2"/>
  <c r="J670" i="2"/>
  <c r="E670" i="2"/>
  <c r="C670" i="2"/>
  <c r="M670" i="2" s="1"/>
  <c r="B670" i="2"/>
  <c r="H670" i="2" s="1"/>
  <c r="L669" i="2"/>
  <c r="E669" i="2"/>
  <c r="C669" i="2"/>
  <c r="K669" i="2" s="1"/>
  <c r="B669" i="2"/>
  <c r="F669" i="2" s="1"/>
  <c r="L668" i="2"/>
  <c r="K668" i="2"/>
  <c r="J668" i="2"/>
  <c r="E668" i="2"/>
  <c r="C668" i="2"/>
  <c r="M668" i="2" s="1"/>
  <c r="B668" i="2"/>
  <c r="H668" i="2" s="1"/>
  <c r="L667" i="2"/>
  <c r="E667" i="2"/>
  <c r="C667" i="2"/>
  <c r="K667" i="2" s="1"/>
  <c r="B667" i="2"/>
  <c r="F667" i="2" s="1"/>
  <c r="L666" i="2"/>
  <c r="K666" i="2"/>
  <c r="J666" i="2"/>
  <c r="E666" i="2"/>
  <c r="C666" i="2"/>
  <c r="M666" i="2" s="1"/>
  <c r="B666" i="2"/>
  <c r="H666" i="2" s="1"/>
  <c r="L665" i="2"/>
  <c r="E665" i="2"/>
  <c r="C665" i="2"/>
  <c r="K665" i="2" s="1"/>
  <c r="B665" i="2"/>
  <c r="F665" i="2" s="1"/>
  <c r="L664" i="2"/>
  <c r="K664" i="2"/>
  <c r="J664" i="2"/>
  <c r="E664" i="2"/>
  <c r="C664" i="2"/>
  <c r="M664" i="2" s="1"/>
  <c r="B664" i="2"/>
  <c r="H664" i="2" s="1"/>
  <c r="L663" i="2"/>
  <c r="E663" i="2"/>
  <c r="C663" i="2"/>
  <c r="K663" i="2" s="1"/>
  <c r="B663" i="2"/>
  <c r="F663" i="2" s="1"/>
  <c r="L662" i="2"/>
  <c r="K662" i="2"/>
  <c r="J662" i="2"/>
  <c r="E662" i="2"/>
  <c r="C662" i="2"/>
  <c r="M662" i="2" s="1"/>
  <c r="B662" i="2"/>
  <c r="H662" i="2" s="1"/>
  <c r="L661" i="2"/>
  <c r="E661" i="2"/>
  <c r="C661" i="2"/>
  <c r="K661" i="2" s="1"/>
  <c r="B661" i="2"/>
  <c r="F661" i="2" s="1"/>
  <c r="L660" i="2"/>
  <c r="K660" i="2"/>
  <c r="J660" i="2"/>
  <c r="E660" i="2"/>
  <c r="C660" i="2"/>
  <c r="M660" i="2" s="1"/>
  <c r="B660" i="2"/>
  <c r="H660" i="2" s="1"/>
  <c r="L659" i="2"/>
  <c r="E659" i="2"/>
  <c r="C659" i="2"/>
  <c r="K659" i="2" s="1"/>
  <c r="B659" i="2"/>
  <c r="F659" i="2" s="1"/>
  <c r="L658" i="2"/>
  <c r="K658" i="2"/>
  <c r="J658" i="2"/>
  <c r="E658" i="2"/>
  <c r="C658" i="2"/>
  <c r="M658" i="2" s="1"/>
  <c r="B658" i="2"/>
  <c r="H658" i="2" s="1"/>
  <c r="L657" i="2"/>
  <c r="E657" i="2"/>
  <c r="C657" i="2"/>
  <c r="K657" i="2" s="1"/>
  <c r="B657" i="2"/>
  <c r="F657" i="2" s="1"/>
  <c r="L656" i="2"/>
  <c r="K656" i="2"/>
  <c r="J656" i="2"/>
  <c r="E656" i="2"/>
  <c r="C656" i="2"/>
  <c r="M656" i="2" s="1"/>
  <c r="B656" i="2"/>
  <c r="H656" i="2" s="1"/>
  <c r="L655" i="2"/>
  <c r="E655" i="2"/>
  <c r="C655" i="2"/>
  <c r="K655" i="2" s="1"/>
  <c r="B655" i="2"/>
  <c r="F655" i="2" s="1"/>
  <c r="L654" i="2"/>
  <c r="K654" i="2"/>
  <c r="J654" i="2"/>
  <c r="E654" i="2"/>
  <c r="C654" i="2"/>
  <c r="M654" i="2" s="1"/>
  <c r="B654" i="2"/>
  <c r="H654" i="2" s="1"/>
  <c r="L653" i="2"/>
  <c r="E653" i="2"/>
  <c r="C653" i="2"/>
  <c r="K653" i="2" s="1"/>
  <c r="B653" i="2"/>
  <c r="F653" i="2" s="1"/>
  <c r="L652" i="2"/>
  <c r="K652" i="2"/>
  <c r="J652" i="2"/>
  <c r="E652" i="2"/>
  <c r="C652" i="2"/>
  <c r="M652" i="2" s="1"/>
  <c r="B652" i="2"/>
  <c r="H652" i="2" s="1"/>
  <c r="L651" i="2"/>
  <c r="E651" i="2"/>
  <c r="C651" i="2"/>
  <c r="K651" i="2" s="1"/>
  <c r="B651" i="2"/>
  <c r="F651" i="2" s="1"/>
  <c r="L650" i="2"/>
  <c r="K650" i="2"/>
  <c r="J650" i="2"/>
  <c r="E650" i="2"/>
  <c r="C650" i="2"/>
  <c r="M650" i="2" s="1"/>
  <c r="B650" i="2"/>
  <c r="H650" i="2" s="1"/>
  <c r="L649" i="2"/>
  <c r="E649" i="2"/>
  <c r="C649" i="2"/>
  <c r="K649" i="2" s="1"/>
  <c r="B649" i="2"/>
  <c r="F649" i="2" s="1"/>
  <c r="L648" i="2"/>
  <c r="K648" i="2"/>
  <c r="J648" i="2"/>
  <c r="G648" i="2"/>
  <c r="C648" i="2"/>
  <c r="M648" i="2" s="1"/>
  <c r="B648" i="2"/>
  <c r="L647" i="2"/>
  <c r="J647" i="2"/>
  <c r="E647" i="2"/>
  <c r="C647" i="2"/>
  <c r="M647" i="2" s="1"/>
  <c r="B647" i="2"/>
  <c r="H647" i="2" s="1"/>
  <c r="L646" i="2"/>
  <c r="K646" i="2"/>
  <c r="J646" i="2"/>
  <c r="C646" i="2"/>
  <c r="M646" i="2" s="1"/>
  <c r="B646" i="2"/>
  <c r="G646" i="2" s="1"/>
  <c r="L645" i="2"/>
  <c r="J645" i="2"/>
  <c r="E645" i="2"/>
  <c r="C645" i="2"/>
  <c r="M645" i="2" s="1"/>
  <c r="B645" i="2"/>
  <c r="H645" i="2" s="1"/>
  <c r="L644" i="2"/>
  <c r="K644" i="2"/>
  <c r="J644" i="2"/>
  <c r="C644" i="2"/>
  <c r="M644" i="2" s="1"/>
  <c r="B644" i="2"/>
  <c r="L643" i="2"/>
  <c r="J643" i="2"/>
  <c r="E643" i="2"/>
  <c r="C643" i="2"/>
  <c r="M643" i="2" s="1"/>
  <c r="B643" i="2"/>
  <c r="H643" i="2" s="1"/>
  <c r="L642" i="2"/>
  <c r="K642" i="2"/>
  <c r="J642" i="2"/>
  <c r="G642" i="2"/>
  <c r="C642" i="2"/>
  <c r="M642" i="2" s="1"/>
  <c r="B642" i="2"/>
  <c r="L641" i="2"/>
  <c r="J641" i="2"/>
  <c r="E641" i="2"/>
  <c r="C641" i="2"/>
  <c r="M641" i="2" s="1"/>
  <c r="B641" i="2"/>
  <c r="H641" i="2" s="1"/>
  <c r="L640" i="2"/>
  <c r="K640" i="2"/>
  <c r="J640" i="2"/>
  <c r="G640" i="2"/>
  <c r="C640" i="2"/>
  <c r="M640" i="2" s="1"/>
  <c r="B640" i="2"/>
  <c r="L639" i="2"/>
  <c r="J639" i="2"/>
  <c r="E639" i="2"/>
  <c r="C639" i="2"/>
  <c r="M639" i="2" s="1"/>
  <c r="B639" i="2"/>
  <c r="H639" i="2" s="1"/>
  <c r="L638" i="2"/>
  <c r="K638" i="2"/>
  <c r="J638" i="2"/>
  <c r="C638" i="2"/>
  <c r="M638" i="2" s="1"/>
  <c r="B638" i="2"/>
  <c r="G638" i="2" s="1"/>
  <c r="L637" i="2"/>
  <c r="J637" i="2"/>
  <c r="E637" i="2"/>
  <c r="C637" i="2"/>
  <c r="M637" i="2" s="1"/>
  <c r="B637" i="2"/>
  <c r="H637" i="2" s="1"/>
  <c r="L636" i="2"/>
  <c r="K636" i="2"/>
  <c r="J636" i="2"/>
  <c r="C636" i="2"/>
  <c r="M636" i="2" s="1"/>
  <c r="B636" i="2"/>
  <c r="L635" i="2"/>
  <c r="J635" i="2"/>
  <c r="E635" i="2"/>
  <c r="C635" i="2"/>
  <c r="M635" i="2" s="1"/>
  <c r="B635" i="2"/>
  <c r="H635" i="2" s="1"/>
  <c r="L634" i="2"/>
  <c r="K634" i="2"/>
  <c r="J634" i="2"/>
  <c r="G634" i="2"/>
  <c r="C634" i="2"/>
  <c r="M634" i="2" s="1"/>
  <c r="B634" i="2"/>
  <c r="L633" i="2"/>
  <c r="J633" i="2"/>
  <c r="E633" i="2"/>
  <c r="C633" i="2"/>
  <c r="M633" i="2" s="1"/>
  <c r="B633" i="2"/>
  <c r="H633" i="2" s="1"/>
  <c r="L632" i="2"/>
  <c r="K632" i="2"/>
  <c r="J632" i="2"/>
  <c r="G632" i="2"/>
  <c r="C632" i="2"/>
  <c r="M632" i="2" s="1"/>
  <c r="B632" i="2"/>
  <c r="L631" i="2"/>
  <c r="J631" i="2"/>
  <c r="E631" i="2"/>
  <c r="C631" i="2"/>
  <c r="M631" i="2" s="1"/>
  <c r="B631" i="2"/>
  <c r="H631" i="2" s="1"/>
  <c r="L630" i="2"/>
  <c r="K630" i="2"/>
  <c r="J630" i="2"/>
  <c r="C630" i="2"/>
  <c r="M630" i="2" s="1"/>
  <c r="B630" i="2"/>
  <c r="G630" i="2" s="1"/>
  <c r="L629" i="2"/>
  <c r="J629" i="2"/>
  <c r="E629" i="2"/>
  <c r="C629" i="2"/>
  <c r="M629" i="2" s="1"/>
  <c r="B629" i="2"/>
  <c r="H629" i="2" s="1"/>
  <c r="L628" i="2"/>
  <c r="K628" i="2"/>
  <c r="J628" i="2"/>
  <c r="C628" i="2"/>
  <c r="M628" i="2" s="1"/>
  <c r="B628" i="2"/>
  <c r="L627" i="2"/>
  <c r="J627" i="2"/>
  <c r="E627" i="2"/>
  <c r="C627" i="2"/>
  <c r="M627" i="2" s="1"/>
  <c r="B627" i="2"/>
  <c r="H627" i="2" s="1"/>
  <c r="L626" i="2"/>
  <c r="K626" i="2"/>
  <c r="J626" i="2"/>
  <c r="G626" i="2"/>
  <c r="C626" i="2"/>
  <c r="M626" i="2" s="1"/>
  <c r="B626" i="2"/>
  <c r="L625" i="2"/>
  <c r="J625" i="2"/>
  <c r="E625" i="2"/>
  <c r="C625" i="2"/>
  <c r="M625" i="2" s="1"/>
  <c r="B625" i="2"/>
  <c r="H625" i="2" s="1"/>
  <c r="L624" i="2"/>
  <c r="K624" i="2"/>
  <c r="J624" i="2"/>
  <c r="G624" i="2"/>
  <c r="C624" i="2"/>
  <c r="M624" i="2" s="1"/>
  <c r="B624" i="2"/>
  <c r="L623" i="2"/>
  <c r="J623" i="2"/>
  <c r="E623" i="2"/>
  <c r="C623" i="2"/>
  <c r="M623" i="2" s="1"/>
  <c r="B623" i="2"/>
  <c r="H623" i="2" s="1"/>
  <c r="L622" i="2"/>
  <c r="K622" i="2"/>
  <c r="J622" i="2"/>
  <c r="C622" i="2"/>
  <c r="M622" i="2" s="1"/>
  <c r="B622" i="2"/>
  <c r="G622" i="2" s="1"/>
  <c r="L621" i="2"/>
  <c r="J621" i="2"/>
  <c r="E621" i="2"/>
  <c r="C621" i="2"/>
  <c r="M621" i="2" s="1"/>
  <c r="B621" i="2"/>
  <c r="H621" i="2" s="1"/>
  <c r="L620" i="2"/>
  <c r="K620" i="2"/>
  <c r="J620" i="2"/>
  <c r="C620" i="2"/>
  <c r="M620" i="2" s="1"/>
  <c r="B620" i="2"/>
  <c r="L619" i="2"/>
  <c r="J619" i="2"/>
  <c r="E619" i="2"/>
  <c r="C619" i="2"/>
  <c r="M619" i="2" s="1"/>
  <c r="B619" i="2"/>
  <c r="H619" i="2" s="1"/>
  <c r="L618" i="2"/>
  <c r="K618" i="2"/>
  <c r="J618" i="2"/>
  <c r="G618" i="2"/>
  <c r="C618" i="2"/>
  <c r="M618" i="2" s="1"/>
  <c r="B618" i="2"/>
  <c r="L617" i="2"/>
  <c r="J617" i="2"/>
  <c r="E617" i="2"/>
  <c r="C617" i="2"/>
  <c r="M617" i="2" s="1"/>
  <c r="B617" i="2"/>
  <c r="H617" i="2" s="1"/>
  <c r="L616" i="2"/>
  <c r="K616" i="2"/>
  <c r="J616" i="2"/>
  <c r="G616" i="2"/>
  <c r="C616" i="2"/>
  <c r="M616" i="2" s="1"/>
  <c r="B616" i="2"/>
  <c r="L615" i="2"/>
  <c r="J615" i="2"/>
  <c r="E615" i="2"/>
  <c r="C615" i="2"/>
  <c r="M615" i="2" s="1"/>
  <c r="B615" i="2"/>
  <c r="H615" i="2" s="1"/>
  <c r="L614" i="2"/>
  <c r="K614" i="2"/>
  <c r="J614" i="2"/>
  <c r="C614" i="2"/>
  <c r="M614" i="2" s="1"/>
  <c r="B614" i="2"/>
  <c r="G614" i="2" s="1"/>
  <c r="L613" i="2"/>
  <c r="J613" i="2"/>
  <c r="E613" i="2"/>
  <c r="C613" i="2"/>
  <c r="M613" i="2" s="1"/>
  <c r="B613" i="2"/>
  <c r="H613" i="2" s="1"/>
  <c r="L612" i="2"/>
  <c r="K612" i="2"/>
  <c r="J612" i="2"/>
  <c r="C612" i="2"/>
  <c r="M612" i="2" s="1"/>
  <c r="B612" i="2"/>
  <c r="L611" i="2"/>
  <c r="J611" i="2"/>
  <c r="E611" i="2"/>
  <c r="C611" i="2"/>
  <c r="M611" i="2" s="1"/>
  <c r="B611" i="2"/>
  <c r="H611" i="2" s="1"/>
  <c r="L610" i="2"/>
  <c r="K610" i="2"/>
  <c r="J610" i="2"/>
  <c r="G610" i="2"/>
  <c r="C610" i="2"/>
  <c r="M610" i="2" s="1"/>
  <c r="B610" i="2"/>
  <c r="L609" i="2"/>
  <c r="J609" i="2"/>
  <c r="E609" i="2"/>
  <c r="C609" i="2"/>
  <c r="M609" i="2" s="1"/>
  <c r="B609" i="2"/>
  <c r="H609" i="2" s="1"/>
  <c r="L608" i="2"/>
  <c r="K608" i="2"/>
  <c r="J608" i="2"/>
  <c r="G608" i="2"/>
  <c r="C608" i="2"/>
  <c r="M608" i="2" s="1"/>
  <c r="B608" i="2"/>
  <c r="L607" i="2"/>
  <c r="J607" i="2"/>
  <c r="E607" i="2"/>
  <c r="C607" i="2"/>
  <c r="M607" i="2" s="1"/>
  <c r="B607" i="2"/>
  <c r="H607" i="2" s="1"/>
  <c r="L606" i="2"/>
  <c r="K606" i="2"/>
  <c r="J606" i="2"/>
  <c r="C606" i="2"/>
  <c r="M606" i="2" s="1"/>
  <c r="B606" i="2"/>
  <c r="G606" i="2" s="1"/>
  <c r="L605" i="2"/>
  <c r="J605" i="2"/>
  <c r="E605" i="2"/>
  <c r="C605" i="2"/>
  <c r="M605" i="2" s="1"/>
  <c r="B605" i="2"/>
  <c r="H605" i="2" s="1"/>
  <c r="L604" i="2"/>
  <c r="K604" i="2"/>
  <c r="J604" i="2"/>
  <c r="C604" i="2"/>
  <c r="M604" i="2" s="1"/>
  <c r="B604" i="2"/>
  <c r="L603" i="2"/>
  <c r="J603" i="2"/>
  <c r="E603" i="2"/>
  <c r="C603" i="2"/>
  <c r="M603" i="2" s="1"/>
  <c r="B603" i="2"/>
  <c r="H603" i="2" s="1"/>
  <c r="L602" i="2"/>
  <c r="K602" i="2"/>
  <c r="J602" i="2"/>
  <c r="G602" i="2"/>
  <c r="C602" i="2"/>
  <c r="M602" i="2" s="1"/>
  <c r="B602" i="2"/>
  <c r="L601" i="2"/>
  <c r="J601" i="2"/>
  <c r="E601" i="2"/>
  <c r="C601" i="2"/>
  <c r="M601" i="2" s="1"/>
  <c r="B601" i="2"/>
  <c r="H601" i="2" s="1"/>
  <c r="L600" i="2"/>
  <c r="J600" i="2"/>
  <c r="C600" i="2"/>
  <c r="K600" i="2" s="1"/>
  <c r="B600" i="2"/>
  <c r="G600" i="2" s="1"/>
  <c r="J599" i="2"/>
  <c r="E599" i="2"/>
  <c r="C599" i="2"/>
  <c r="M599" i="2" s="1"/>
  <c r="B599" i="2"/>
  <c r="H599" i="2" s="1"/>
  <c r="L598" i="2"/>
  <c r="K598" i="2"/>
  <c r="J598" i="2"/>
  <c r="C598" i="2"/>
  <c r="M598" i="2" s="1"/>
  <c r="B598" i="2"/>
  <c r="H597" i="2"/>
  <c r="E597" i="2"/>
  <c r="C597" i="2"/>
  <c r="J597" i="2" s="1"/>
  <c r="B597" i="2"/>
  <c r="G597" i="2" s="1"/>
  <c r="L596" i="2"/>
  <c r="K596" i="2"/>
  <c r="J596" i="2"/>
  <c r="C596" i="2"/>
  <c r="M596" i="2" s="1"/>
  <c r="B596" i="2"/>
  <c r="G596" i="2" s="1"/>
  <c r="H595" i="2"/>
  <c r="E595" i="2"/>
  <c r="C595" i="2"/>
  <c r="J595" i="2" s="1"/>
  <c r="B595" i="2"/>
  <c r="G595" i="2" s="1"/>
  <c r="L594" i="2"/>
  <c r="K594" i="2"/>
  <c r="J594" i="2"/>
  <c r="F594" i="2"/>
  <c r="C594" i="2"/>
  <c r="M594" i="2" s="1"/>
  <c r="B594" i="2"/>
  <c r="G594" i="2" s="1"/>
  <c r="J593" i="2"/>
  <c r="H593" i="2"/>
  <c r="E593" i="2"/>
  <c r="C593" i="2"/>
  <c r="B593" i="2"/>
  <c r="G593" i="2" s="1"/>
  <c r="L592" i="2"/>
  <c r="K592" i="2"/>
  <c r="J592" i="2"/>
  <c r="G592" i="2"/>
  <c r="F592" i="2"/>
  <c r="C592" i="2"/>
  <c r="M592" i="2" s="1"/>
  <c r="B592" i="2"/>
  <c r="H591" i="2"/>
  <c r="E591" i="2"/>
  <c r="C591" i="2"/>
  <c r="B591" i="2"/>
  <c r="G591" i="2" s="1"/>
  <c r="L590" i="2"/>
  <c r="K590" i="2"/>
  <c r="J590" i="2"/>
  <c r="C590" i="2"/>
  <c r="M590" i="2" s="1"/>
  <c r="B590" i="2"/>
  <c r="H589" i="2"/>
  <c r="E589" i="2"/>
  <c r="C589" i="2"/>
  <c r="J589" i="2" s="1"/>
  <c r="B589" i="2"/>
  <c r="G589" i="2" s="1"/>
  <c r="L588" i="2"/>
  <c r="K588" i="2"/>
  <c r="C588" i="2"/>
  <c r="J588" i="2" s="1"/>
  <c r="B588" i="2"/>
  <c r="H587" i="2"/>
  <c r="E587" i="2"/>
  <c r="C587" i="2"/>
  <c r="J587" i="2" s="1"/>
  <c r="B587" i="2"/>
  <c r="G587" i="2" s="1"/>
  <c r="L586" i="2"/>
  <c r="K586" i="2"/>
  <c r="C586" i="2"/>
  <c r="J586" i="2" s="1"/>
  <c r="B586" i="2"/>
  <c r="H585" i="2"/>
  <c r="E585" i="2"/>
  <c r="C585" i="2"/>
  <c r="J585" i="2" s="1"/>
  <c r="B585" i="2"/>
  <c r="G585" i="2" s="1"/>
  <c r="L584" i="2"/>
  <c r="K584" i="2"/>
  <c r="C584" i="2"/>
  <c r="J584" i="2" s="1"/>
  <c r="B584" i="2"/>
  <c r="H583" i="2"/>
  <c r="E583" i="2"/>
  <c r="C583" i="2"/>
  <c r="J583" i="2" s="1"/>
  <c r="B583" i="2"/>
  <c r="G583" i="2" s="1"/>
  <c r="L582" i="2"/>
  <c r="K582" i="2"/>
  <c r="C582" i="2"/>
  <c r="J582" i="2" s="1"/>
  <c r="B582" i="2"/>
  <c r="H581" i="2"/>
  <c r="E581" i="2"/>
  <c r="C581" i="2"/>
  <c r="J581" i="2" s="1"/>
  <c r="B581" i="2"/>
  <c r="G581" i="2" s="1"/>
  <c r="L580" i="2"/>
  <c r="K580" i="2"/>
  <c r="C580" i="2"/>
  <c r="J580" i="2" s="1"/>
  <c r="B580" i="2"/>
  <c r="H579" i="2"/>
  <c r="E579" i="2"/>
  <c r="C579" i="2"/>
  <c r="J579" i="2" s="1"/>
  <c r="B579" i="2"/>
  <c r="G579" i="2" s="1"/>
  <c r="L578" i="2"/>
  <c r="K578" i="2"/>
  <c r="C578" i="2"/>
  <c r="J578" i="2" s="1"/>
  <c r="B578" i="2"/>
  <c r="H577" i="2"/>
  <c r="E577" i="2"/>
  <c r="C577" i="2"/>
  <c r="J577" i="2" s="1"/>
  <c r="B577" i="2"/>
  <c r="G577" i="2" s="1"/>
  <c r="L576" i="2"/>
  <c r="K576" i="2"/>
  <c r="C576" i="2"/>
  <c r="J576" i="2" s="1"/>
  <c r="B576" i="2"/>
  <c r="H575" i="2"/>
  <c r="E575" i="2"/>
  <c r="C575" i="2"/>
  <c r="J575" i="2" s="1"/>
  <c r="B575" i="2"/>
  <c r="G575" i="2" s="1"/>
  <c r="L574" i="2"/>
  <c r="K574" i="2"/>
  <c r="C574" i="2"/>
  <c r="J574" i="2" s="1"/>
  <c r="B574" i="2"/>
  <c r="H573" i="2"/>
  <c r="E573" i="2"/>
  <c r="C573" i="2"/>
  <c r="J573" i="2" s="1"/>
  <c r="B573" i="2"/>
  <c r="G573" i="2" s="1"/>
  <c r="L572" i="2"/>
  <c r="K572" i="2"/>
  <c r="C572" i="2"/>
  <c r="J572" i="2" s="1"/>
  <c r="B572" i="2"/>
  <c r="H571" i="2"/>
  <c r="E571" i="2"/>
  <c r="C571" i="2"/>
  <c r="J571" i="2" s="1"/>
  <c r="B571" i="2"/>
  <c r="G571" i="2" s="1"/>
  <c r="L570" i="2"/>
  <c r="K570" i="2"/>
  <c r="C570" i="2"/>
  <c r="J570" i="2" s="1"/>
  <c r="B570" i="2"/>
  <c r="H569" i="2"/>
  <c r="E569" i="2"/>
  <c r="C569" i="2"/>
  <c r="J569" i="2" s="1"/>
  <c r="B569" i="2"/>
  <c r="G569" i="2" s="1"/>
  <c r="L568" i="2"/>
  <c r="K568" i="2"/>
  <c r="C568" i="2"/>
  <c r="J568" i="2" s="1"/>
  <c r="B568" i="2"/>
  <c r="H567" i="2"/>
  <c r="E567" i="2"/>
  <c r="C567" i="2"/>
  <c r="J567" i="2" s="1"/>
  <c r="B567" i="2"/>
  <c r="G567" i="2" s="1"/>
  <c r="L566" i="2"/>
  <c r="K566" i="2"/>
  <c r="C566" i="2"/>
  <c r="J566" i="2" s="1"/>
  <c r="B566" i="2"/>
  <c r="H565" i="2"/>
  <c r="E565" i="2"/>
  <c r="C565" i="2"/>
  <c r="J565" i="2" s="1"/>
  <c r="B565" i="2"/>
  <c r="G565" i="2" s="1"/>
  <c r="L564" i="2"/>
  <c r="K564" i="2"/>
  <c r="C564" i="2"/>
  <c r="J564" i="2" s="1"/>
  <c r="B564" i="2"/>
  <c r="H563" i="2"/>
  <c r="E563" i="2"/>
  <c r="C563" i="2"/>
  <c r="J563" i="2" s="1"/>
  <c r="B563" i="2"/>
  <c r="G563" i="2" s="1"/>
  <c r="L562" i="2"/>
  <c r="K562" i="2"/>
  <c r="C562" i="2"/>
  <c r="J562" i="2" s="1"/>
  <c r="B562" i="2"/>
  <c r="H561" i="2"/>
  <c r="E561" i="2"/>
  <c r="C561" i="2"/>
  <c r="J561" i="2" s="1"/>
  <c r="B561" i="2"/>
  <c r="G561" i="2" s="1"/>
  <c r="L560" i="2"/>
  <c r="K560" i="2"/>
  <c r="C560" i="2"/>
  <c r="J560" i="2" s="1"/>
  <c r="B560" i="2"/>
  <c r="J559" i="2"/>
  <c r="H559" i="2"/>
  <c r="E559" i="2"/>
  <c r="C559" i="2"/>
  <c r="M559" i="2" s="1"/>
  <c r="B559" i="2"/>
  <c r="G559" i="2" s="1"/>
  <c r="L558" i="2"/>
  <c r="K558" i="2"/>
  <c r="J558" i="2"/>
  <c r="C558" i="2"/>
  <c r="M558" i="2" s="1"/>
  <c r="B558" i="2"/>
  <c r="G558" i="2" s="1"/>
  <c r="J557" i="2"/>
  <c r="H557" i="2"/>
  <c r="E557" i="2"/>
  <c r="C557" i="2"/>
  <c r="M557" i="2" s="1"/>
  <c r="B557" i="2"/>
  <c r="G557" i="2" s="1"/>
  <c r="L556" i="2"/>
  <c r="K556" i="2"/>
  <c r="J556" i="2"/>
  <c r="C556" i="2"/>
  <c r="M556" i="2" s="1"/>
  <c r="B556" i="2"/>
  <c r="J555" i="2"/>
  <c r="H555" i="2"/>
  <c r="E555" i="2"/>
  <c r="C555" i="2"/>
  <c r="M555" i="2" s="1"/>
  <c r="B555" i="2"/>
  <c r="G555" i="2" s="1"/>
  <c r="L554" i="2"/>
  <c r="K554" i="2"/>
  <c r="J554" i="2"/>
  <c r="G554" i="2"/>
  <c r="C554" i="2"/>
  <c r="M554" i="2" s="1"/>
  <c r="B554" i="2"/>
  <c r="J553" i="2"/>
  <c r="H553" i="2"/>
  <c r="E553" i="2"/>
  <c r="C553" i="2"/>
  <c r="M553" i="2" s="1"/>
  <c r="B553" i="2"/>
  <c r="G553" i="2" s="1"/>
  <c r="L552" i="2"/>
  <c r="K552" i="2"/>
  <c r="J552" i="2"/>
  <c r="G552" i="2"/>
  <c r="C552" i="2"/>
  <c r="M552" i="2" s="1"/>
  <c r="B552" i="2"/>
  <c r="J551" i="2"/>
  <c r="H551" i="2"/>
  <c r="E551" i="2"/>
  <c r="C551" i="2"/>
  <c r="M551" i="2" s="1"/>
  <c r="B551" i="2"/>
  <c r="G551" i="2" s="1"/>
  <c r="L550" i="2"/>
  <c r="K550" i="2"/>
  <c r="J550" i="2"/>
  <c r="C550" i="2"/>
  <c r="M550" i="2" s="1"/>
  <c r="B550" i="2"/>
  <c r="G550" i="2" s="1"/>
  <c r="J549" i="2"/>
  <c r="H549" i="2"/>
  <c r="E549" i="2"/>
  <c r="C549" i="2"/>
  <c r="M549" i="2" s="1"/>
  <c r="B549" i="2"/>
  <c r="G549" i="2" s="1"/>
  <c r="L548" i="2"/>
  <c r="K548" i="2"/>
  <c r="J548" i="2"/>
  <c r="C548" i="2"/>
  <c r="M548" i="2" s="1"/>
  <c r="B548" i="2"/>
  <c r="J547" i="2"/>
  <c r="H547" i="2"/>
  <c r="E547" i="2"/>
  <c r="C547" i="2"/>
  <c r="M547" i="2" s="1"/>
  <c r="B547" i="2"/>
  <c r="G547" i="2" s="1"/>
  <c r="L546" i="2"/>
  <c r="K546" i="2"/>
  <c r="J546" i="2"/>
  <c r="G546" i="2"/>
  <c r="C546" i="2"/>
  <c r="M546" i="2" s="1"/>
  <c r="B546" i="2"/>
  <c r="J545" i="2"/>
  <c r="H545" i="2"/>
  <c r="E545" i="2"/>
  <c r="C545" i="2"/>
  <c r="M545" i="2" s="1"/>
  <c r="B545" i="2"/>
  <c r="G545" i="2" s="1"/>
  <c r="L544" i="2"/>
  <c r="K544" i="2"/>
  <c r="J544" i="2"/>
  <c r="G544" i="2"/>
  <c r="C544" i="2"/>
  <c r="M544" i="2" s="1"/>
  <c r="B544" i="2"/>
  <c r="J543" i="2"/>
  <c r="H543" i="2"/>
  <c r="E543" i="2"/>
  <c r="C543" i="2"/>
  <c r="M543" i="2" s="1"/>
  <c r="B543" i="2"/>
  <c r="G543" i="2" s="1"/>
  <c r="L542" i="2"/>
  <c r="K542" i="2"/>
  <c r="J542" i="2"/>
  <c r="C542" i="2"/>
  <c r="M542" i="2" s="1"/>
  <c r="B542" i="2"/>
  <c r="G542" i="2" s="1"/>
  <c r="J541" i="2"/>
  <c r="H541" i="2"/>
  <c r="E541" i="2"/>
  <c r="C541" i="2"/>
  <c r="M541" i="2" s="1"/>
  <c r="B541" i="2"/>
  <c r="G541" i="2" s="1"/>
  <c r="L540" i="2"/>
  <c r="K540" i="2"/>
  <c r="J540" i="2"/>
  <c r="C540" i="2"/>
  <c r="M540" i="2" s="1"/>
  <c r="B540" i="2"/>
  <c r="J539" i="2"/>
  <c r="H539" i="2"/>
  <c r="E539" i="2"/>
  <c r="C539" i="2"/>
  <c r="M539" i="2" s="1"/>
  <c r="B539" i="2"/>
  <c r="G539" i="2" s="1"/>
  <c r="L538" i="2"/>
  <c r="K538" i="2"/>
  <c r="J538" i="2"/>
  <c r="G538" i="2"/>
  <c r="C538" i="2"/>
  <c r="M538" i="2" s="1"/>
  <c r="B538" i="2"/>
  <c r="J537" i="2"/>
  <c r="H537" i="2"/>
  <c r="E537" i="2"/>
  <c r="C537" i="2"/>
  <c r="M537" i="2" s="1"/>
  <c r="B537" i="2"/>
  <c r="G537" i="2" s="1"/>
  <c r="L536" i="2"/>
  <c r="K536" i="2"/>
  <c r="J536" i="2"/>
  <c r="G536" i="2"/>
  <c r="C536" i="2"/>
  <c r="M536" i="2" s="1"/>
  <c r="B536" i="2"/>
  <c r="J535" i="2"/>
  <c r="H535" i="2"/>
  <c r="E535" i="2"/>
  <c r="C535" i="2"/>
  <c r="M535" i="2" s="1"/>
  <c r="B535" i="2"/>
  <c r="G535" i="2" s="1"/>
  <c r="L534" i="2"/>
  <c r="K534" i="2"/>
  <c r="J534" i="2"/>
  <c r="C534" i="2"/>
  <c r="M534" i="2" s="1"/>
  <c r="B534" i="2"/>
  <c r="G534" i="2" s="1"/>
  <c r="J533" i="2"/>
  <c r="H533" i="2"/>
  <c r="E533" i="2"/>
  <c r="C533" i="2"/>
  <c r="M533" i="2" s="1"/>
  <c r="B533" i="2"/>
  <c r="G533" i="2" s="1"/>
  <c r="L532" i="2"/>
  <c r="K532" i="2"/>
  <c r="J532" i="2"/>
  <c r="C532" i="2"/>
  <c r="M532" i="2" s="1"/>
  <c r="B532" i="2"/>
  <c r="J531" i="2"/>
  <c r="H531" i="2"/>
  <c r="E531" i="2"/>
  <c r="C531" i="2"/>
  <c r="M531" i="2" s="1"/>
  <c r="B531" i="2"/>
  <c r="G531" i="2" s="1"/>
  <c r="L530" i="2"/>
  <c r="K530" i="2"/>
  <c r="J530" i="2"/>
  <c r="G530" i="2"/>
  <c r="C530" i="2"/>
  <c r="M530" i="2" s="1"/>
  <c r="B530" i="2"/>
  <c r="J529" i="2"/>
  <c r="H529" i="2"/>
  <c r="E529" i="2"/>
  <c r="C529" i="2"/>
  <c r="M529" i="2" s="1"/>
  <c r="B529" i="2"/>
  <c r="G529" i="2" s="1"/>
  <c r="L528" i="2"/>
  <c r="K528" i="2"/>
  <c r="J528" i="2"/>
  <c r="G528" i="2"/>
  <c r="C528" i="2"/>
  <c r="M528" i="2" s="1"/>
  <c r="B528" i="2"/>
  <c r="J527" i="2"/>
  <c r="H527" i="2"/>
  <c r="E527" i="2"/>
  <c r="C527" i="2"/>
  <c r="M527" i="2" s="1"/>
  <c r="B527" i="2"/>
  <c r="G527" i="2" s="1"/>
  <c r="L526" i="2"/>
  <c r="K526" i="2"/>
  <c r="J526" i="2"/>
  <c r="C526" i="2"/>
  <c r="M526" i="2" s="1"/>
  <c r="B526" i="2"/>
  <c r="G526" i="2" s="1"/>
  <c r="J525" i="2"/>
  <c r="H525" i="2"/>
  <c r="F525" i="2"/>
  <c r="E525" i="2"/>
  <c r="C525" i="2"/>
  <c r="M525" i="2" s="1"/>
  <c r="B525" i="2"/>
  <c r="G525" i="2" s="1"/>
  <c r="L524" i="2"/>
  <c r="G524" i="2"/>
  <c r="C524" i="2"/>
  <c r="K524" i="2" s="1"/>
  <c r="B524" i="2"/>
  <c r="K523" i="2"/>
  <c r="J523" i="2"/>
  <c r="H523" i="2"/>
  <c r="F523" i="2"/>
  <c r="E523" i="2"/>
  <c r="C523" i="2"/>
  <c r="M523" i="2" s="1"/>
  <c r="B523" i="2"/>
  <c r="G523" i="2" s="1"/>
  <c r="L522" i="2"/>
  <c r="G522" i="2"/>
  <c r="C522" i="2"/>
  <c r="K522" i="2" s="1"/>
  <c r="B522" i="2"/>
  <c r="K521" i="2"/>
  <c r="J521" i="2"/>
  <c r="H521" i="2"/>
  <c r="F521" i="2"/>
  <c r="E521" i="2"/>
  <c r="C521" i="2"/>
  <c r="M521" i="2" s="1"/>
  <c r="B521" i="2"/>
  <c r="G521" i="2" s="1"/>
  <c r="L520" i="2"/>
  <c r="C520" i="2"/>
  <c r="K520" i="2" s="1"/>
  <c r="B520" i="2"/>
  <c r="G520" i="2" s="1"/>
  <c r="K519" i="2"/>
  <c r="J519" i="2"/>
  <c r="H519" i="2"/>
  <c r="F519" i="2"/>
  <c r="E519" i="2"/>
  <c r="C519" i="2"/>
  <c r="M519" i="2" s="1"/>
  <c r="B519" i="2"/>
  <c r="G519" i="2" s="1"/>
  <c r="L518" i="2"/>
  <c r="C518" i="2"/>
  <c r="K518" i="2" s="1"/>
  <c r="B518" i="2"/>
  <c r="K517" i="2"/>
  <c r="J517" i="2"/>
  <c r="H517" i="2"/>
  <c r="F517" i="2"/>
  <c r="E517" i="2"/>
  <c r="C517" i="2"/>
  <c r="M517" i="2" s="1"/>
  <c r="B517" i="2"/>
  <c r="G517" i="2" s="1"/>
  <c r="L516" i="2"/>
  <c r="G516" i="2"/>
  <c r="C516" i="2"/>
  <c r="K516" i="2" s="1"/>
  <c r="B516" i="2"/>
  <c r="K515" i="2"/>
  <c r="J515" i="2"/>
  <c r="H515" i="2"/>
  <c r="F515" i="2"/>
  <c r="E515" i="2"/>
  <c r="C515" i="2"/>
  <c r="M515" i="2" s="1"/>
  <c r="B515" i="2"/>
  <c r="G515" i="2" s="1"/>
  <c r="L514" i="2"/>
  <c r="G514" i="2"/>
  <c r="C514" i="2"/>
  <c r="K514" i="2" s="1"/>
  <c r="B514" i="2"/>
  <c r="K513" i="2"/>
  <c r="J513" i="2"/>
  <c r="H513" i="2"/>
  <c r="F513" i="2"/>
  <c r="E513" i="2"/>
  <c r="C513" i="2"/>
  <c r="M513" i="2" s="1"/>
  <c r="B513" i="2"/>
  <c r="G513" i="2" s="1"/>
  <c r="L512" i="2"/>
  <c r="C512" i="2"/>
  <c r="K512" i="2" s="1"/>
  <c r="B512" i="2"/>
  <c r="G512" i="2" s="1"/>
  <c r="K511" i="2"/>
  <c r="J511" i="2"/>
  <c r="H511" i="2"/>
  <c r="F511" i="2"/>
  <c r="E511" i="2"/>
  <c r="C511" i="2"/>
  <c r="M511" i="2" s="1"/>
  <c r="B511" i="2"/>
  <c r="G511" i="2" s="1"/>
  <c r="L510" i="2"/>
  <c r="C510" i="2"/>
  <c r="K510" i="2" s="1"/>
  <c r="B510" i="2"/>
  <c r="K509" i="2"/>
  <c r="J509" i="2"/>
  <c r="H509" i="2"/>
  <c r="F509" i="2"/>
  <c r="E509" i="2"/>
  <c r="C509" i="2"/>
  <c r="M509" i="2" s="1"/>
  <c r="B509" i="2"/>
  <c r="G509" i="2" s="1"/>
  <c r="L508" i="2"/>
  <c r="G508" i="2"/>
  <c r="C508" i="2"/>
  <c r="K508" i="2" s="1"/>
  <c r="B508" i="2"/>
  <c r="K507" i="2"/>
  <c r="J507" i="2"/>
  <c r="H507" i="2"/>
  <c r="F507" i="2"/>
  <c r="E507" i="2"/>
  <c r="C507" i="2"/>
  <c r="M507" i="2" s="1"/>
  <c r="B507" i="2"/>
  <c r="G507" i="2" s="1"/>
  <c r="L506" i="2"/>
  <c r="G506" i="2"/>
  <c r="C506" i="2"/>
  <c r="K506" i="2" s="1"/>
  <c r="B506" i="2"/>
  <c r="K505" i="2"/>
  <c r="J505" i="2"/>
  <c r="H505" i="2"/>
  <c r="F505" i="2"/>
  <c r="E505" i="2"/>
  <c r="C505" i="2"/>
  <c r="M505" i="2" s="1"/>
  <c r="B505" i="2"/>
  <c r="G505" i="2" s="1"/>
  <c r="L504" i="2"/>
  <c r="C504" i="2"/>
  <c r="K504" i="2" s="1"/>
  <c r="B504" i="2"/>
  <c r="G504" i="2" s="1"/>
  <c r="K503" i="2"/>
  <c r="J503" i="2"/>
  <c r="H503" i="2"/>
  <c r="F503" i="2"/>
  <c r="E503" i="2"/>
  <c r="C503" i="2"/>
  <c r="M503" i="2" s="1"/>
  <c r="B503" i="2"/>
  <c r="G503" i="2" s="1"/>
  <c r="L502" i="2"/>
  <c r="C502" i="2"/>
  <c r="K502" i="2" s="1"/>
  <c r="B502" i="2"/>
  <c r="K501" i="2"/>
  <c r="J501" i="2"/>
  <c r="H501" i="2"/>
  <c r="F501" i="2"/>
  <c r="E501" i="2"/>
  <c r="C501" i="2"/>
  <c r="M501" i="2" s="1"/>
  <c r="B501" i="2"/>
  <c r="G501" i="2" s="1"/>
  <c r="L500" i="2"/>
  <c r="G500" i="2"/>
  <c r="C500" i="2"/>
  <c r="K500" i="2" s="1"/>
  <c r="B500" i="2"/>
  <c r="K499" i="2"/>
  <c r="J499" i="2"/>
  <c r="H499" i="2"/>
  <c r="F499" i="2"/>
  <c r="E499" i="2"/>
  <c r="C499" i="2"/>
  <c r="M499" i="2" s="1"/>
  <c r="B499" i="2"/>
  <c r="G499" i="2" s="1"/>
  <c r="L498" i="2"/>
  <c r="G498" i="2"/>
  <c r="C498" i="2"/>
  <c r="K498" i="2" s="1"/>
  <c r="B498" i="2"/>
  <c r="K497" i="2"/>
  <c r="J497" i="2"/>
  <c r="H497" i="2"/>
  <c r="F497" i="2"/>
  <c r="E497" i="2"/>
  <c r="C497" i="2"/>
  <c r="M497" i="2" s="1"/>
  <c r="B497" i="2"/>
  <c r="G497" i="2" s="1"/>
  <c r="L496" i="2"/>
  <c r="C496" i="2"/>
  <c r="K496" i="2" s="1"/>
  <c r="B496" i="2"/>
  <c r="G496" i="2" s="1"/>
  <c r="K495" i="2"/>
  <c r="J495" i="2"/>
  <c r="H495" i="2"/>
  <c r="F495" i="2"/>
  <c r="E495" i="2"/>
  <c r="C495" i="2"/>
  <c r="M495" i="2" s="1"/>
  <c r="B495" i="2"/>
  <c r="G495" i="2" s="1"/>
  <c r="L494" i="2"/>
  <c r="C494" i="2"/>
  <c r="K494" i="2" s="1"/>
  <c r="B494" i="2"/>
  <c r="K493" i="2"/>
  <c r="J493" i="2"/>
  <c r="H493" i="2"/>
  <c r="F493" i="2"/>
  <c r="E493" i="2"/>
  <c r="C493" i="2"/>
  <c r="M493" i="2" s="1"/>
  <c r="B493" i="2"/>
  <c r="G493" i="2" s="1"/>
  <c r="L492" i="2"/>
  <c r="G492" i="2"/>
  <c r="C492" i="2"/>
  <c r="K492" i="2" s="1"/>
  <c r="B492" i="2"/>
  <c r="K491" i="2"/>
  <c r="J491" i="2"/>
  <c r="H491" i="2"/>
  <c r="F491" i="2"/>
  <c r="E491" i="2"/>
  <c r="C491" i="2"/>
  <c r="M491" i="2" s="1"/>
  <c r="B491" i="2"/>
  <c r="G491" i="2" s="1"/>
  <c r="L490" i="2"/>
  <c r="G490" i="2"/>
  <c r="C490" i="2"/>
  <c r="K490" i="2" s="1"/>
  <c r="B490" i="2"/>
  <c r="K489" i="2"/>
  <c r="J489" i="2"/>
  <c r="H489" i="2"/>
  <c r="F489" i="2"/>
  <c r="E489" i="2"/>
  <c r="C489" i="2"/>
  <c r="M489" i="2" s="1"/>
  <c r="B489" i="2"/>
  <c r="G489" i="2" s="1"/>
  <c r="L488" i="2"/>
  <c r="C488" i="2"/>
  <c r="K488" i="2" s="1"/>
  <c r="B488" i="2"/>
  <c r="G488" i="2" s="1"/>
  <c r="K487" i="2"/>
  <c r="J487" i="2"/>
  <c r="H487" i="2"/>
  <c r="F487" i="2"/>
  <c r="E487" i="2"/>
  <c r="C487" i="2"/>
  <c r="M487" i="2" s="1"/>
  <c r="B487" i="2"/>
  <c r="G487" i="2" s="1"/>
  <c r="L486" i="2"/>
  <c r="C486" i="2"/>
  <c r="K486" i="2" s="1"/>
  <c r="B486" i="2"/>
  <c r="K485" i="2"/>
  <c r="J485" i="2"/>
  <c r="H485" i="2"/>
  <c r="F485" i="2"/>
  <c r="E485" i="2"/>
  <c r="C485" i="2"/>
  <c r="M485" i="2" s="1"/>
  <c r="B485" i="2"/>
  <c r="G485" i="2" s="1"/>
  <c r="L484" i="2"/>
  <c r="G484" i="2"/>
  <c r="C484" i="2"/>
  <c r="K484" i="2" s="1"/>
  <c r="B484" i="2"/>
  <c r="K483" i="2"/>
  <c r="J483" i="2"/>
  <c r="H483" i="2"/>
  <c r="F483" i="2"/>
  <c r="E483" i="2"/>
  <c r="C483" i="2"/>
  <c r="M483" i="2" s="1"/>
  <c r="B483" i="2"/>
  <c r="G483" i="2" s="1"/>
  <c r="L482" i="2"/>
  <c r="G482" i="2"/>
  <c r="C482" i="2"/>
  <c r="K482" i="2" s="1"/>
  <c r="B482" i="2"/>
  <c r="K481" i="2"/>
  <c r="J481" i="2"/>
  <c r="H481" i="2"/>
  <c r="F481" i="2"/>
  <c r="E481" i="2"/>
  <c r="C481" i="2"/>
  <c r="M481" i="2" s="1"/>
  <c r="B481" i="2"/>
  <c r="G481" i="2" s="1"/>
  <c r="L480" i="2"/>
  <c r="C480" i="2"/>
  <c r="K480" i="2" s="1"/>
  <c r="B480" i="2"/>
  <c r="G480" i="2" s="1"/>
  <c r="K479" i="2"/>
  <c r="J479" i="2"/>
  <c r="H479" i="2"/>
  <c r="F479" i="2"/>
  <c r="E479" i="2"/>
  <c r="C479" i="2"/>
  <c r="M479" i="2" s="1"/>
  <c r="B479" i="2"/>
  <c r="G479" i="2" s="1"/>
  <c r="L478" i="2"/>
  <c r="C478" i="2"/>
  <c r="K478" i="2" s="1"/>
  <c r="B478" i="2"/>
  <c r="K477" i="2"/>
  <c r="J477" i="2"/>
  <c r="H477" i="2"/>
  <c r="F477" i="2"/>
  <c r="E477" i="2"/>
  <c r="C477" i="2"/>
  <c r="M477" i="2" s="1"/>
  <c r="B477" i="2"/>
  <c r="G477" i="2" s="1"/>
  <c r="L476" i="2"/>
  <c r="G476" i="2"/>
  <c r="C476" i="2"/>
  <c r="K476" i="2" s="1"/>
  <c r="B476" i="2"/>
  <c r="K475" i="2"/>
  <c r="J475" i="2"/>
  <c r="H475" i="2"/>
  <c r="F475" i="2"/>
  <c r="E475" i="2"/>
  <c r="C475" i="2"/>
  <c r="M475" i="2" s="1"/>
  <c r="B475" i="2"/>
  <c r="G475" i="2" s="1"/>
  <c r="L474" i="2"/>
  <c r="G474" i="2"/>
  <c r="C474" i="2"/>
  <c r="K474" i="2" s="1"/>
  <c r="B474" i="2"/>
  <c r="K473" i="2"/>
  <c r="J473" i="2"/>
  <c r="H473" i="2"/>
  <c r="F473" i="2"/>
  <c r="E473" i="2"/>
  <c r="C473" i="2"/>
  <c r="M473" i="2" s="1"/>
  <c r="B473" i="2"/>
  <c r="G473" i="2" s="1"/>
  <c r="L472" i="2"/>
  <c r="C472" i="2"/>
  <c r="K472" i="2" s="1"/>
  <c r="B472" i="2"/>
  <c r="G472" i="2" s="1"/>
  <c r="K471" i="2"/>
  <c r="J471" i="2"/>
  <c r="H471" i="2"/>
  <c r="F471" i="2"/>
  <c r="E471" i="2"/>
  <c r="C471" i="2"/>
  <c r="M471" i="2" s="1"/>
  <c r="B471" i="2"/>
  <c r="G471" i="2" s="1"/>
  <c r="L470" i="2"/>
  <c r="G470" i="2"/>
  <c r="C470" i="2"/>
  <c r="B470" i="2"/>
  <c r="H470" i="2" s="1"/>
  <c r="K469" i="2"/>
  <c r="J469" i="2"/>
  <c r="H469" i="2"/>
  <c r="F469" i="2"/>
  <c r="E469" i="2"/>
  <c r="C469" i="2"/>
  <c r="M469" i="2" s="1"/>
  <c r="B469" i="2"/>
  <c r="G469" i="2" s="1"/>
  <c r="H468" i="2"/>
  <c r="G468" i="2"/>
  <c r="C468" i="2"/>
  <c r="L468" i="2" s="1"/>
  <c r="B468" i="2"/>
  <c r="K467" i="2"/>
  <c r="J467" i="2"/>
  <c r="H467" i="2"/>
  <c r="F467" i="2"/>
  <c r="E467" i="2"/>
  <c r="C467" i="2"/>
  <c r="M467" i="2" s="1"/>
  <c r="B467" i="2"/>
  <c r="G467" i="2" s="1"/>
  <c r="L466" i="2"/>
  <c r="C466" i="2"/>
  <c r="B466" i="2"/>
  <c r="K465" i="2"/>
  <c r="J465" i="2"/>
  <c r="H465" i="2"/>
  <c r="F465" i="2"/>
  <c r="E465" i="2"/>
  <c r="C465" i="2"/>
  <c r="M465" i="2" s="1"/>
  <c r="B465" i="2"/>
  <c r="G465" i="2" s="1"/>
  <c r="H464" i="2"/>
  <c r="C464" i="2"/>
  <c r="B464" i="2"/>
  <c r="G464" i="2" s="1"/>
  <c r="K463" i="2"/>
  <c r="J463" i="2"/>
  <c r="H463" i="2"/>
  <c r="F463" i="2"/>
  <c r="E463" i="2"/>
  <c r="C463" i="2"/>
  <c r="M463" i="2" s="1"/>
  <c r="B463" i="2"/>
  <c r="G463" i="2" s="1"/>
  <c r="L462" i="2"/>
  <c r="G462" i="2"/>
  <c r="C462" i="2"/>
  <c r="B462" i="2"/>
  <c r="H462" i="2" s="1"/>
  <c r="K461" i="2"/>
  <c r="J461" i="2"/>
  <c r="H461" i="2"/>
  <c r="F461" i="2"/>
  <c r="E461" i="2"/>
  <c r="C461" i="2"/>
  <c r="M461" i="2" s="1"/>
  <c r="B461" i="2"/>
  <c r="G461" i="2" s="1"/>
  <c r="H460" i="2"/>
  <c r="G460" i="2"/>
  <c r="C460" i="2"/>
  <c r="L460" i="2" s="1"/>
  <c r="B460" i="2"/>
  <c r="K459" i="2"/>
  <c r="J459" i="2"/>
  <c r="H459" i="2"/>
  <c r="F459" i="2"/>
  <c r="E459" i="2"/>
  <c r="C459" i="2"/>
  <c r="M459" i="2" s="1"/>
  <c r="B459" i="2"/>
  <c r="G459" i="2" s="1"/>
  <c r="L458" i="2"/>
  <c r="C458" i="2"/>
  <c r="B458" i="2"/>
  <c r="K457" i="2"/>
  <c r="J457" i="2"/>
  <c r="H457" i="2"/>
  <c r="F457" i="2"/>
  <c r="E457" i="2"/>
  <c r="C457" i="2"/>
  <c r="M457" i="2" s="1"/>
  <c r="B457" i="2"/>
  <c r="G457" i="2" s="1"/>
  <c r="H456" i="2"/>
  <c r="C456" i="2"/>
  <c r="B456" i="2"/>
  <c r="G456" i="2" s="1"/>
  <c r="K455" i="2"/>
  <c r="J455" i="2"/>
  <c r="H455" i="2"/>
  <c r="F455" i="2"/>
  <c r="E455" i="2"/>
  <c r="C455" i="2"/>
  <c r="M455" i="2" s="1"/>
  <c r="B455" i="2"/>
  <c r="G455" i="2" s="1"/>
  <c r="L454" i="2"/>
  <c r="G454" i="2"/>
  <c r="C454" i="2"/>
  <c r="B454" i="2"/>
  <c r="H454" i="2" s="1"/>
  <c r="K453" i="2"/>
  <c r="J453" i="2"/>
  <c r="H453" i="2"/>
  <c r="F453" i="2"/>
  <c r="E453" i="2"/>
  <c r="C453" i="2"/>
  <c r="M453" i="2" s="1"/>
  <c r="B453" i="2"/>
  <c r="G453" i="2" s="1"/>
  <c r="H452" i="2"/>
  <c r="G452" i="2"/>
  <c r="C452" i="2"/>
  <c r="L452" i="2" s="1"/>
  <c r="B452" i="2"/>
  <c r="K451" i="2"/>
  <c r="J451" i="2"/>
  <c r="H451" i="2"/>
  <c r="F451" i="2"/>
  <c r="E451" i="2"/>
  <c r="C451" i="2"/>
  <c r="M451" i="2" s="1"/>
  <c r="B451" i="2"/>
  <c r="G451" i="2" s="1"/>
  <c r="L450" i="2"/>
  <c r="C450" i="2"/>
  <c r="B450" i="2"/>
  <c r="K449" i="2"/>
  <c r="J449" i="2"/>
  <c r="H449" i="2"/>
  <c r="F449" i="2"/>
  <c r="E449" i="2"/>
  <c r="C449" i="2"/>
  <c r="M449" i="2" s="1"/>
  <c r="B449" i="2"/>
  <c r="G449" i="2" s="1"/>
  <c r="M448" i="2"/>
  <c r="H448" i="2"/>
  <c r="C448" i="2"/>
  <c r="B448" i="2"/>
  <c r="G448" i="2" s="1"/>
  <c r="K447" i="2"/>
  <c r="J447" i="2"/>
  <c r="H447" i="2"/>
  <c r="F447" i="2"/>
  <c r="E447" i="2"/>
  <c r="C447" i="2"/>
  <c r="M447" i="2" s="1"/>
  <c r="B447" i="2"/>
  <c r="G447" i="2" s="1"/>
  <c r="L446" i="2"/>
  <c r="G446" i="2"/>
  <c r="C446" i="2"/>
  <c r="B446" i="2"/>
  <c r="H446" i="2" s="1"/>
  <c r="K445" i="2"/>
  <c r="J445" i="2"/>
  <c r="H445" i="2"/>
  <c r="F445" i="2"/>
  <c r="E445" i="2"/>
  <c r="C445" i="2"/>
  <c r="M445" i="2" s="1"/>
  <c r="B445" i="2"/>
  <c r="G445" i="2" s="1"/>
  <c r="H444" i="2"/>
  <c r="G444" i="2"/>
  <c r="C444" i="2"/>
  <c r="L444" i="2" s="1"/>
  <c r="B444" i="2"/>
  <c r="K443" i="2"/>
  <c r="J443" i="2"/>
  <c r="H443" i="2"/>
  <c r="F443" i="2"/>
  <c r="E443" i="2"/>
  <c r="C443" i="2"/>
  <c r="M443" i="2" s="1"/>
  <c r="B443" i="2"/>
  <c r="G443" i="2" s="1"/>
  <c r="L442" i="2"/>
  <c r="C442" i="2"/>
  <c r="B442" i="2"/>
  <c r="K441" i="2"/>
  <c r="J441" i="2"/>
  <c r="H441" i="2"/>
  <c r="F441" i="2"/>
  <c r="E441" i="2"/>
  <c r="C441" i="2"/>
  <c r="M441" i="2" s="1"/>
  <c r="B441" i="2"/>
  <c r="G441" i="2" s="1"/>
  <c r="M440" i="2"/>
  <c r="H440" i="2"/>
  <c r="C440" i="2"/>
  <c r="B440" i="2"/>
  <c r="G440" i="2" s="1"/>
  <c r="K439" i="2"/>
  <c r="J439" i="2"/>
  <c r="H439" i="2"/>
  <c r="F439" i="2"/>
  <c r="E439" i="2"/>
  <c r="C439" i="2"/>
  <c r="M439" i="2" s="1"/>
  <c r="B439" i="2"/>
  <c r="G439" i="2" s="1"/>
  <c r="L438" i="2"/>
  <c r="G438" i="2"/>
  <c r="C438" i="2"/>
  <c r="B438" i="2"/>
  <c r="H438" i="2" s="1"/>
  <c r="K437" i="2"/>
  <c r="J437" i="2"/>
  <c r="H437" i="2"/>
  <c r="F437" i="2"/>
  <c r="E437" i="2"/>
  <c r="C437" i="2"/>
  <c r="M437" i="2" s="1"/>
  <c r="B437" i="2"/>
  <c r="G437" i="2" s="1"/>
  <c r="H436" i="2"/>
  <c r="G436" i="2"/>
  <c r="C436" i="2"/>
  <c r="L436" i="2" s="1"/>
  <c r="B436" i="2"/>
  <c r="K435" i="2"/>
  <c r="J435" i="2"/>
  <c r="H435" i="2"/>
  <c r="F435" i="2"/>
  <c r="E435" i="2"/>
  <c r="C435" i="2"/>
  <c r="M435" i="2" s="1"/>
  <c r="B435" i="2"/>
  <c r="G435" i="2" s="1"/>
  <c r="L434" i="2"/>
  <c r="F434" i="2"/>
  <c r="C434" i="2"/>
  <c r="J434" i="2" s="1"/>
  <c r="B434" i="2"/>
  <c r="E434" i="2" s="1"/>
  <c r="K433" i="2"/>
  <c r="H433" i="2"/>
  <c r="F433" i="2"/>
  <c r="E433" i="2"/>
  <c r="C433" i="2"/>
  <c r="L433" i="2" s="1"/>
  <c r="B433" i="2"/>
  <c r="G433" i="2" s="1"/>
  <c r="L432" i="2"/>
  <c r="F432" i="2"/>
  <c r="C432" i="2"/>
  <c r="J432" i="2" s="1"/>
  <c r="B432" i="2"/>
  <c r="E432" i="2" s="1"/>
  <c r="K431" i="2"/>
  <c r="H431" i="2"/>
  <c r="F431" i="2"/>
  <c r="E431" i="2"/>
  <c r="C431" i="2"/>
  <c r="L431" i="2" s="1"/>
  <c r="B431" i="2"/>
  <c r="G431" i="2" s="1"/>
  <c r="L430" i="2"/>
  <c r="F430" i="2"/>
  <c r="C430" i="2"/>
  <c r="J430" i="2" s="1"/>
  <c r="B430" i="2"/>
  <c r="E430" i="2" s="1"/>
  <c r="K429" i="2"/>
  <c r="H429" i="2"/>
  <c r="F429" i="2"/>
  <c r="E429" i="2"/>
  <c r="C429" i="2"/>
  <c r="L429" i="2" s="1"/>
  <c r="B429" i="2"/>
  <c r="G429" i="2" s="1"/>
  <c r="L428" i="2"/>
  <c r="F428" i="2"/>
  <c r="C428" i="2"/>
  <c r="J428" i="2" s="1"/>
  <c r="B428" i="2"/>
  <c r="E428" i="2" s="1"/>
  <c r="K427" i="2"/>
  <c r="H427" i="2"/>
  <c r="F427" i="2"/>
  <c r="E427" i="2"/>
  <c r="C427" i="2"/>
  <c r="L427" i="2" s="1"/>
  <c r="B427" i="2"/>
  <c r="G427" i="2" s="1"/>
  <c r="L426" i="2"/>
  <c r="F426" i="2"/>
  <c r="C426" i="2"/>
  <c r="J426" i="2" s="1"/>
  <c r="B426" i="2"/>
  <c r="E426" i="2" s="1"/>
  <c r="K425" i="2"/>
  <c r="H425" i="2"/>
  <c r="F425" i="2"/>
  <c r="E425" i="2"/>
  <c r="C425" i="2"/>
  <c r="L425" i="2" s="1"/>
  <c r="B425" i="2"/>
  <c r="G425" i="2" s="1"/>
  <c r="L424" i="2"/>
  <c r="F424" i="2"/>
  <c r="C424" i="2"/>
  <c r="J424" i="2" s="1"/>
  <c r="B424" i="2"/>
  <c r="E424" i="2" s="1"/>
  <c r="K423" i="2"/>
  <c r="H423" i="2"/>
  <c r="F423" i="2"/>
  <c r="E423" i="2"/>
  <c r="C423" i="2"/>
  <c r="L423" i="2" s="1"/>
  <c r="B423" i="2"/>
  <c r="G423" i="2" s="1"/>
  <c r="L422" i="2"/>
  <c r="F422" i="2"/>
  <c r="C422" i="2"/>
  <c r="J422" i="2" s="1"/>
  <c r="B422" i="2"/>
  <c r="E422" i="2" s="1"/>
  <c r="K421" i="2"/>
  <c r="H421" i="2"/>
  <c r="F421" i="2"/>
  <c r="E421" i="2"/>
  <c r="C421" i="2"/>
  <c r="L421" i="2" s="1"/>
  <c r="B421" i="2"/>
  <c r="G421" i="2" s="1"/>
  <c r="L420" i="2"/>
  <c r="F420" i="2"/>
  <c r="C420" i="2"/>
  <c r="J420" i="2" s="1"/>
  <c r="B420" i="2"/>
  <c r="E420" i="2" s="1"/>
  <c r="K419" i="2"/>
  <c r="H419" i="2"/>
  <c r="F419" i="2"/>
  <c r="E419" i="2"/>
  <c r="C419" i="2"/>
  <c r="L419" i="2" s="1"/>
  <c r="B419" i="2"/>
  <c r="G419" i="2" s="1"/>
  <c r="L418" i="2"/>
  <c r="F418" i="2"/>
  <c r="C418" i="2"/>
  <c r="J418" i="2" s="1"/>
  <c r="B418" i="2"/>
  <c r="E418" i="2" s="1"/>
  <c r="K417" i="2"/>
  <c r="H417" i="2"/>
  <c r="F417" i="2"/>
  <c r="E417" i="2"/>
  <c r="C417" i="2"/>
  <c r="L417" i="2" s="1"/>
  <c r="B417" i="2"/>
  <c r="G417" i="2" s="1"/>
  <c r="L416" i="2"/>
  <c r="F416" i="2"/>
  <c r="C416" i="2"/>
  <c r="J416" i="2" s="1"/>
  <c r="B416" i="2"/>
  <c r="E416" i="2" s="1"/>
  <c r="K415" i="2"/>
  <c r="H415" i="2"/>
  <c r="F415" i="2"/>
  <c r="E415" i="2"/>
  <c r="C415" i="2"/>
  <c r="L415" i="2" s="1"/>
  <c r="B415" i="2"/>
  <c r="G415" i="2" s="1"/>
  <c r="L414" i="2"/>
  <c r="F414" i="2"/>
  <c r="C414" i="2"/>
  <c r="J414" i="2" s="1"/>
  <c r="B414" i="2"/>
  <c r="E414" i="2" s="1"/>
  <c r="K413" i="2"/>
  <c r="H413" i="2"/>
  <c r="F413" i="2"/>
  <c r="E413" i="2"/>
  <c r="C413" i="2"/>
  <c r="L413" i="2" s="1"/>
  <c r="B413" i="2"/>
  <c r="G413" i="2" s="1"/>
  <c r="L412" i="2"/>
  <c r="F412" i="2"/>
  <c r="C412" i="2"/>
  <c r="J412" i="2" s="1"/>
  <c r="B412" i="2"/>
  <c r="E412" i="2" s="1"/>
  <c r="K411" i="2"/>
  <c r="H411" i="2"/>
  <c r="F411" i="2"/>
  <c r="E411" i="2"/>
  <c r="C411" i="2"/>
  <c r="L411" i="2" s="1"/>
  <c r="B411" i="2"/>
  <c r="G411" i="2" s="1"/>
  <c r="L410" i="2"/>
  <c r="F410" i="2"/>
  <c r="C410" i="2"/>
  <c r="J410" i="2" s="1"/>
  <c r="B410" i="2"/>
  <c r="E410" i="2" s="1"/>
  <c r="K409" i="2"/>
  <c r="H409" i="2"/>
  <c r="F409" i="2"/>
  <c r="E409" i="2"/>
  <c r="C409" i="2"/>
  <c r="L409" i="2" s="1"/>
  <c r="B409" i="2"/>
  <c r="G409" i="2" s="1"/>
  <c r="L408" i="2"/>
  <c r="F408" i="2"/>
  <c r="C408" i="2"/>
  <c r="J408" i="2" s="1"/>
  <c r="B408" i="2"/>
  <c r="E408" i="2" s="1"/>
  <c r="K407" i="2"/>
  <c r="H407" i="2"/>
  <c r="F407" i="2"/>
  <c r="E407" i="2"/>
  <c r="C407" i="2"/>
  <c r="L407" i="2" s="1"/>
  <c r="B407" i="2"/>
  <c r="G407" i="2" s="1"/>
  <c r="L406" i="2"/>
  <c r="F406" i="2"/>
  <c r="C406" i="2"/>
  <c r="J406" i="2" s="1"/>
  <c r="B406" i="2"/>
  <c r="E406" i="2" s="1"/>
  <c r="K405" i="2"/>
  <c r="H405" i="2"/>
  <c r="F405" i="2"/>
  <c r="E405" i="2"/>
  <c r="C405" i="2"/>
  <c r="L405" i="2" s="1"/>
  <c r="B405" i="2"/>
  <c r="G405" i="2" s="1"/>
  <c r="L404" i="2"/>
  <c r="F404" i="2"/>
  <c r="C404" i="2"/>
  <c r="J404" i="2" s="1"/>
  <c r="B404" i="2"/>
  <c r="E404" i="2" s="1"/>
  <c r="K403" i="2"/>
  <c r="E403" i="2"/>
  <c r="C403" i="2"/>
  <c r="L403" i="2" s="1"/>
  <c r="B403" i="2"/>
  <c r="G403" i="2" s="1"/>
  <c r="L402" i="2"/>
  <c r="K402" i="2"/>
  <c r="J402" i="2"/>
  <c r="C402" i="2"/>
  <c r="M402" i="2" s="1"/>
  <c r="B402" i="2"/>
  <c r="L401" i="2"/>
  <c r="J401" i="2"/>
  <c r="E401" i="2"/>
  <c r="C401" i="2"/>
  <c r="M401" i="2" s="1"/>
  <c r="B401" i="2"/>
  <c r="H401" i="2" s="1"/>
  <c r="L400" i="2"/>
  <c r="K400" i="2"/>
  <c r="J400" i="2"/>
  <c r="G400" i="2"/>
  <c r="C400" i="2"/>
  <c r="M400" i="2" s="1"/>
  <c r="B400" i="2"/>
  <c r="L399" i="2"/>
  <c r="J399" i="2"/>
  <c r="E399" i="2"/>
  <c r="C399" i="2"/>
  <c r="M399" i="2" s="1"/>
  <c r="B399" i="2"/>
  <c r="H399" i="2" s="1"/>
  <c r="L398" i="2"/>
  <c r="K398" i="2"/>
  <c r="J398" i="2"/>
  <c r="G398" i="2"/>
  <c r="C398" i="2"/>
  <c r="M398" i="2" s="1"/>
  <c r="B398" i="2"/>
  <c r="L397" i="2"/>
  <c r="J397" i="2"/>
  <c r="E397" i="2"/>
  <c r="C397" i="2"/>
  <c r="M397" i="2" s="1"/>
  <c r="B397" i="2"/>
  <c r="H397" i="2" s="1"/>
  <c r="L396" i="2"/>
  <c r="K396" i="2"/>
  <c r="J396" i="2"/>
  <c r="C396" i="2"/>
  <c r="M396" i="2" s="1"/>
  <c r="B396" i="2"/>
  <c r="L395" i="2"/>
  <c r="J395" i="2"/>
  <c r="E395" i="2"/>
  <c r="C395" i="2"/>
  <c r="M395" i="2" s="1"/>
  <c r="B395" i="2"/>
  <c r="H395" i="2" s="1"/>
  <c r="L394" i="2"/>
  <c r="K394" i="2"/>
  <c r="J394" i="2"/>
  <c r="C394" i="2"/>
  <c r="M394" i="2" s="1"/>
  <c r="B394" i="2"/>
  <c r="L393" i="2"/>
  <c r="J393" i="2"/>
  <c r="E393" i="2"/>
  <c r="C393" i="2"/>
  <c r="M393" i="2" s="1"/>
  <c r="B393" i="2"/>
  <c r="H393" i="2" s="1"/>
  <c r="L392" i="2"/>
  <c r="K392" i="2"/>
  <c r="J392" i="2"/>
  <c r="G392" i="2"/>
  <c r="C392" i="2"/>
  <c r="M392" i="2" s="1"/>
  <c r="B392" i="2"/>
  <c r="L391" i="2"/>
  <c r="J391" i="2"/>
  <c r="E391" i="2"/>
  <c r="C391" i="2"/>
  <c r="M391" i="2" s="1"/>
  <c r="B391" i="2"/>
  <c r="H391" i="2" s="1"/>
  <c r="L390" i="2"/>
  <c r="K390" i="2"/>
  <c r="J390" i="2"/>
  <c r="G390" i="2"/>
  <c r="C390" i="2"/>
  <c r="M390" i="2" s="1"/>
  <c r="B390" i="2"/>
  <c r="L389" i="2"/>
  <c r="J389" i="2"/>
  <c r="E389" i="2"/>
  <c r="C389" i="2"/>
  <c r="M389" i="2" s="1"/>
  <c r="B389" i="2"/>
  <c r="H389" i="2" s="1"/>
  <c r="L388" i="2"/>
  <c r="K388" i="2"/>
  <c r="J388" i="2"/>
  <c r="C388" i="2"/>
  <c r="M388" i="2" s="1"/>
  <c r="B388" i="2"/>
  <c r="L387" i="2"/>
  <c r="J387" i="2"/>
  <c r="E387" i="2"/>
  <c r="C387" i="2"/>
  <c r="M387" i="2" s="1"/>
  <c r="B387" i="2"/>
  <c r="H387" i="2" s="1"/>
  <c r="L386" i="2"/>
  <c r="K386" i="2"/>
  <c r="J386" i="2"/>
  <c r="C386" i="2"/>
  <c r="M386" i="2" s="1"/>
  <c r="B386" i="2"/>
  <c r="L385" i="2"/>
  <c r="J385" i="2"/>
  <c r="E385" i="2"/>
  <c r="C385" i="2"/>
  <c r="M385" i="2" s="1"/>
  <c r="B385" i="2"/>
  <c r="H385" i="2" s="1"/>
  <c r="L384" i="2"/>
  <c r="K384" i="2"/>
  <c r="J384" i="2"/>
  <c r="G384" i="2"/>
  <c r="C384" i="2"/>
  <c r="M384" i="2" s="1"/>
  <c r="B384" i="2"/>
  <c r="L383" i="2"/>
  <c r="J383" i="2"/>
  <c r="E383" i="2"/>
  <c r="C383" i="2"/>
  <c r="M383" i="2" s="1"/>
  <c r="B383" i="2"/>
  <c r="H383" i="2" s="1"/>
  <c r="L382" i="2"/>
  <c r="K382" i="2"/>
  <c r="J382" i="2"/>
  <c r="G382" i="2"/>
  <c r="C382" i="2"/>
  <c r="M382" i="2" s="1"/>
  <c r="B382" i="2"/>
  <c r="L381" i="2"/>
  <c r="J381" i="2"/>
  <c r="E381" i="2"/>
  <c r="C381" i="2"/>
  <c r="M381" i="2" s="1"/>
  <c r="B381" i="2"/>
  <c r="H381" i="2" s="1"/>
  <c r="L380" i="2"/>
  <c r="K380" i="2"/>
  <c r="J380" i="2"/>
  <c r="C380" i="2"/>
  <c r="M380" i="2" s="1"/>
  <c r="B380" i="2"/>
  <c r="L379" i="2"/>
  <c r="J379" i="2"/>
  <c r="E379" i="2"/>
  <c r="C379" i="2"/>
  <c r="M379" i="2" s="1"/>
  <c r="B379" i="2"/>
  <c r="H379" i="2" s="1"/>
  <c r="L378" i="2"/>
  <c r="K378" i="2"/>
  <c r="J378" i="2"/>
  <c r="C378" i="2"/>
  <c r="M378" i="2" s="1"/>
  <c r="B378" i="2"/>
  <c r="L377" i="2"/>
  <c r="J377" i="2"/>
  <c r="E377" i="2"/>
  <c r="C377" i="2"/>
  <c r="M377" i="2" s="1"/>
  <c r="B377" i="2"/>
  <c r="H377" i="2" s="1"/>
  <c r="L376" i="2"/>
  <c r="K376" i="2"/>
  <c r="J376" i="2"/>
  <c r="G376" i="2"/>
  <c r="C376" i="2"/>
  <c r="M376" i="2" s="1"/>
  <c r="B376" i="2"/>
  <c r="L375" i="2"/>
  <c r="J375" i="2"/>
  <c r="E375" i="2"/>
  <c r="C375" i="2"/>
  <c r="M375" i="2" s="1"/>
  <c r="B375" i="2"/>
  <c r="H375" i="2" s="1"/>
  <c r="L374" i="2"/>
  <c r="K374" i="2"/>
  <c r="J374" i="2"/>
  <c r="G374" i="2"/>
  <c r="C374" i="2"/>
  <c r="M374" i="2" s="1"/>
  <c r="B374" i="2"/>
  <c r="L373" i="2"/>
  <c r="J373" i="2"/>
  <c r="E373" i="2"/>
  <c r="C373" i="2"/>
  <c r="M373" i="2" s="1"/>
  <c r="B373" i="2"/>
  <c r="H373" i="2" s="1"/>
  <c r="L372" i="2"/>
  <c r="K372" i="2"/>
  <c r="J372" i="2"/>
  <c r="C372" i="2"/>
  <c r="M372" i="2" s="1"/>
  <c r="B372" i="2"/>
  <c r="L371" i="2"/>
  <c r="J371" i="2"/>
  <c r="E371" i="2"/>
  <c r="C371" i="2"/>
  <c r="M371" i="2" s="1"/>
  <c r="B371" i="2"/>
  <c r="H371" i="2" s="1"/>
  <c r="L370" i="2"/>
  <c r="K370" i="2"/>
  <c r="J370" i="2"/>
  <c r="C370" i="2"/>
  <c r="M370" i="2" s="1"/>
  <c r="B370" i="2"/>
  <c r="L369" i="2"/>
  <c r="J369" i="2"/>
  <c r="E369" i="2"/>
  <c r="C369" i="2"/>
  <c r="M369" i="2" s="1"/>
  <c r="B369" i="2"/>
  <c r="H369" i="2" s="1"/>
  <c r="L368" i="2"/>
  <c r="K368" i="2"/>
  <c r="J368" i="2"/>
  <c r="G368" i="2"/>
  <c r="C368" i="2"/>
  <c r="M368" i="2" s="1"/>
  <c r="B368" i="2"/>
  <c r="L367" i="2"/>
  <c r="J367" i="2"/>
  <c r="E367" i="2"/>
  <c r="C367" i="2"/>
  <c r="M367" i="2" s="1"/>
  <c r="B367" i="2"/>
  <c r="H367" i="2" s="1"/>
  <c r="L366" i="2"/>
  <c r="K366" i="2"/>
  <c r="J366" i="2"/>
  <c r="G366" i="2"/>
  <c r="C366" i="2"/>
  <c r="M366" i="2" s="1"/>
  <c r="B366" i="2"/>
  <c r="L365" i="2"/>
  <c r="J365" i="2"/>
  <c r="E365" i="2"/>
  <c r="C365" i="2"/>
  <c r="M365" i="2" s="1"/>
  <c r="B365" i="2"/>
  <c r="H365" i="2" s="1"/>
  <c r="L364" i="2"/>
  <c r="K364" i="2"/>
  <c r="J364" i="2"/>
  <c r="C364" i="2"/>
  <c r="M364" i="2" s="1"/>
  <c r="B364" i="2"/>
  <c r="L363" i="2"/>
  <c r="J363" i="2"/>
  <c r="E363" i="2"/>
  <c r="C363" i="2"/>
  <c r="M363" i="2" s="1"/>
  <c r="B363" i="2"/>
  <c r="H363" i="2" s="1"/>
  <c r="L362" i="2"/>
  <c r="K362" i="2"/>
  <c r="J362" i="2"/>
  <c r="C362" i="2"/>
  <c r="M362" i="2" s="1"/>
  <c r="B362" i="2"/>
  <c r="L361" i="2"/>
  <c r="J361" i="2"/>
  <c r="E361" i="2"/>
  <c r="C361" i="2"/>
  <c r="M361" i="2" s="1"/>
  <c r="B361" i="2"/>
  <c r="H361" i="2" s="1"/>
  <c r="L360" i="2"/>
  <c r="K360" i="2"/>
  <c r="J360" i="2"/>
  <c r="G360" i="2"/>
  <c r="C360" i="2"/>
  <c r="M360" i="2" s="1"/>
  <c r="B360" i="2"/>
  <c r="L359" i="2"/>
  <c r="J359" i="2"/>
  <c r="E359" i="2"/>
  <c r="C359" i="2"/>
  <c r="M359" i="2" s="1"/>
  <c r="B359" i="2"/>
  <c r="H359" i="2" s="1"/>
  <c r="L358" i="2"/>
  <c r="K358" i="2"/>
  <c r="J358" i="2"/>
  <c r="G358" i="2"/>
  <c r="C358" i="2"/>
  <c r="M358" i="2" s="1"/>
  <c r="B358" i="2"/>
  <c r="L357" i="2"/>
  <c r="J357" i="2"/>
  <c r="E357" i="2"/>
  <c r="C357" i="2"/>
  <c r="M357" i="2" s="1"/>
  <c r="B357" i="2"/>
  <c r="H357" i="2" s="1"/>
  <c r="L356" i="2"/>
  <c r="K356" i="2"/>
  <c r="J356" i="2"/>
  <c r="C356" i="2"/>
  <c r="M356" i="2" s="1"/>
  <c r="B356" i="2"/>
  <c r="L355" i="2"/>
  <c r="J355" i="2"/>
  <c r="E355" i="2"/>
  <c r="C355" i="2"/>
  <c r="M355" i="2" s="1"/>
  <c r="B355" i="2"/>
  <c r="H355" i="2" s="1"/>
  <c r="L354" i="2"/>
  <c r="K354" i="2"/>
  <c r="J354" i="2"/>
  <c r="C354" i="2"/>
  <c r="M354" i="2" s="1"/>
  <c r="B354" i="2"/>
  <c r="L353" i="2"/>
  <c r="J353" i="2"/>
  <c r="E353" i="2"/>
  <c r="C353" i="2"/>
  <c r="M353" i="2" s="1"/>
  <c r="B353" i="2"/>
  <c r="H353" i="2" s="1"/>
  <c r="L352" i="2"/>
  <c r="K352" i="2"/>
  <c r="J352" i="2"/>
  <c r="G352" i="2"/>
  <c r="C352" i="2"/>
  <c r="M352" i="2" s="1"/>
  <c r="B352" i="2"/>
  <c r="L351" i="2"/>
  <c r="J351" i="2"/>
  <c r="E351" i="2"/>
  <c r="C351" i="2"/>
  <c r="M351" i="2" s="1"/>
  <c r="B351" i="2"/>
  <c r="H351" i="2" s="1"/>
  <c r="L350" i="2"/>
  <c r="K350" i="2"/>
  <c r="J350" i="2"/>
  <c r="G350" i="2"/>
  <c r="C350" i="2"/>
  <c r="M350" i="2" s="1"/>
  <c r="B350" i="2"/>
  <c r="L349" i="2"/>
  <c r="J349" i="2"/>
  <c r="E349" i="2"/>
  <c r="C349" i="2"/>
  <c r="M349" i="2" s="1"/>
  <c r="B349" i="2"/>
  <c r="H349" i="2" s="1"/>
  <c r="L348" i="2"/>
  <c r="K348" i="2"/>
  <c r="J348" i="2"/>
  <c r="C348" i="2"/>
  <c r="M348" i="2" s="1"/>
  <c r="B348" i="2"/>
  <c r="L347" i="2"/>
  <c r="J347" i="2"/>
  <c r="E347" i="2"/>
  <c r="C347" i="2"/>
  <c r="M347" i="2" s="1"/>
  <c r="B347" i="2"/>
  <c r="H347" i="2" s="1"/>
  <c r="L346" i="2"/>
  <c r="K346" i="2"/>
  <c r="J346" i="2"/>
  <c r="C346" i="2"/>
  <c r="M346" i="2" s="1"/>
  <c r="B346" i="2"/>
  <c r="L345" i="2"/>
  <c r="J345" i="2"/>
  <c r="E345" i="2"/>
  <c r="C345" i="2"/>
  <c r="M345" i="2" s="1"/>
  <c r="B345" i="2"/>
  <c r="H345" i="2" s="1"/>
  <c r="L344" i="2"/>
  <c r="K344" i="2"/>
  <c r="J344" i="2"/>
  <c r="G344" i="2"/>
  <c r="C344" i="2"/>
  <c r="M344" i="2" s="1"/>
  <c r="B344" i="2"/>
  <c r="L343" i="2"/>
  <c r="J343" i="2"/>
  <c r="E343" i="2"/>
  <c r="C343" i="2"/>
  <c r="M343" i="2" s="1"/>
  <c r="B343" i="2"/>
  <c r="H343" i="2" s="1"/>
  <c r="L342" i="2"/>
  <c r="K342" i="2"/>
  <c r="J342" i="2"/>
  <c r="C342" i="2"/>
  <c r="M342" i="2" s="1"/>
  <c r="B342" i="2"/>
  <c r="G342" i="2" s="1"/>
  <c r="L341" i="2"/>
  <c r="J341" i="2"/>
  <c r="E341" i="2"/>
  <c r="C341" i="2"/>
  <c r="M341" i="2" s="1"/>
  <c r="B341" i="2"/>
  <c r="H341" i="2" s="1"/>
  <c r="L340" i="2"/>
  <c r="K340" i="2"/>
  <c r="J340" i="2"/>
  <c r="C340" i="2"/>
  <c r="M340" i="2" s="1"/>
  <c r="B340" i="2"/>
  <c r="L339" i="2"/>
  <c r="J339" i="2"/>
  <c r="E339" i="2"/>
  <c r="C339" i="2"/>
  <c r="M339" i="2" s="1"/>
  <c r="B339" i="2"/>
  <c r="H339" i="2" s="1"/>
  <c r="L338" i="2"/>
  <c r="K338" i="2"/>
  <c r="J338" i="2"/>
  <c r="C338" i="2"/>
  <c r="M338" i="2" s="1"/>
  <c r="B338" i="2"/>
  <c r="L337" i="2"/>
  <c r="J337" i="2"/>
  <c r="E337" i="2"/>
  <c r="C337" i="2"/>
  <c r="M337" i="2" s="1"/>
  <c r="B337" i="2"/>
  <c r="H337" i="2" s="1"/>
  <c r="L336" i="2"/>
  <c r="K336" i="2"/>
  <c r="J336" i="2"/>
  <c r="G336" i="2"/>
  <c r="C336" i="2"/>
  <c r="M336" i="2" s="1"/>
  <c r="B336" i="2"/>
  <c r="L335" i="2"/>
  <c r="J335" i="2"/>
  <c r="E335" i="2"/>
  <c r="C335" i="2"/>
  <c r="M335" i="2" s="1"/>
  <c r="B335" i="2"/>
  <c r="H335" i="2" s="1"/>
  <c r="L334" i="2"/>
  <c r="K334" i="2"/>
  <c r="J334" i="2"/>
  <c r="C334" i="2"/>
  <c r="M334" i="2" s="1"/>
  <c r="B334" i="2"/>
  <c r="G334" i="2" s="1"/>
  <c r="L333" i="2"/>
  <c r="J333" i="2"/>
  <c r="E333" i="2"/>
  <c r="C333" i="2"/>
  <c r="M333" i="2" s="1"/>
  <c r="B333" i="2"/>
  <c r="H333" i="2" s="1"/>
  <c r="L332" i="2"/>
  <c r="K332" i="2"/>
  <c r="J332" i="2"/>
  <c r="C332" i="2"/>
  <c r="M332" i="2" s="1"/>
  <c r="B332" i="2"/>
  <c r="J331" i="2"/>
  <c r="E331" i="2"/>
  <c r="C331" i="2"/>
  <c r="M331" i="2" s="1"/>
  <c r="B331" i="2"/>
  <c r="H331" i="2" s="1"/>
  <c r="L330" i="2"/>
  <c r="K330" i="2"/>
  <c r="J330" i="2"/>
  <c r="G330" i="2"/>
  <c r="C330" i="2"/>
  <c r="M330" i="2" s="1"/>
  <c r="B330" i="2"/>
  <c r="J329" i="2"/>
  <c r="E329" i="2"/>
  <c r="C329" i="2"/>
  <c r="M329" i="2" s="1"/>
  <c r="B329" i="2"/>
  <c r="H329" i="2" s="1"/>
  <c r="L328" i="2"/>
  <c r="K328" i="2"/>
  <c r="J328" i="2"/>
  <c r="C328" i="2"/>
  <c r="M328" i="2" s="1"/>
  <c r="B328" i="2"/>
  <c r="J327" i="2"/>
  <c r="E327" i="2"/>
  <c r="C327" i="2"/>
  <c r="M327" i="2" s="1"/>
  <c r="B327" i="2"/>
  <c r="H327" i="2" s="1"/>
  <c r="L326" i="2"/>
  <c r="K326" i="2"/>
  <c r="J326" i="2"/>
  <c r="G326" i="2"/>
  <c r="C326" i="2"/>
  <c r="M326" i="2" s="1"/>
  <c r="B326" i="2"/>
  <c r="J325" i="2"/>
  <c r="E325" i="2"/>
  <c r="C325" i="2"/>
  <c r="M325" i="2" s="1"/>
  <c r="B325" i="2"/>
  <c r="H325" i="2" s="1"/>
  <c r="L324" i="2"/>
  <c r="K324" i="2"/>
  <c r="J324" i="2"/>
  <c r="C324" i="2"/>
  <c r="M324" i="2" s="1"/>
  <c r="B324" i="2"/>
  <c r="J323" i="2"/>
  <c r="E323" i="2"/>
  <c r="C323" i="2"/>
  <c r="M323" i="2" s="1"/>
  <c r="B323" i="2"/>
  <c r="H323" i="2" s="1"/>
  <c r="L322" i="2"/>
  <c r="K322" i="2"/>
  <c r="J322" i="2"/>
  <c r="G322" i="2"/>
  <c r="C322" i="2"/>
  <c r="M322" i="2" s="1"/>
  <c r="B322" i="2"/>
  <c r="J321" i="2"/>
  <c r="E321" i="2"/>
  <c r="C321" i="2"/>
  <c r="M321" i="2" s="1"/>
  <c r="B321" i="2"/>
  <c r="H321" i="2" s="1"/>
  <c r="L320" i="2"/>
  <c r="K320" i="2"/>
  <c r="J320" i="2"/>
  <c r="C320" i="2"/>
  <c r="M320" i="2" s="1"/>
  <c r="B320" i="2"/>
  <c r="J319" i="2"/>
  <c r="E319" i="2"/>
  <c r="C319" i="2"/>
  <c r="M319" i="2" s="1"/>
  <c r="B319" i="2"/>
  <c r="H319" i="2" s="1"/>
  <c r="L318" i="2"/>
  <c r="K318" i="2"/>
  <c r="J318" i="2"/>
  <c r="G318" i="2"/>
  <c r="C318" i="2"/>
  <c r="M318" i="2" s="1"/>
  <c r="B318" i="2"/>
  <c r="J317" i="2"/>
  <c r="E317" i="2"/>
  <c r="C317" i="2"/>
  <c r="M317" i="2" s="1"/>
  <c r="B317" i="2"/>
  <c r="H317" i="2" s="1"/>
  <c r="L316" i="2"/>
  <c r="K316" i="2"/>
  <c r="J316" i="2"/>
  <c r="C316" i="2"/>
  <c r="M316" i="2" s="1"/>
  <c r="B316" i="2"/>
  <c r="J315" i="2"/>
  <c r="E315" i="2"/>
  <c r="C315" i="2"/>
  <c r="M315" i="2" s="1"/>
  <c r="B315" i="2"/>
  <c r="H315" i="2" s="1"/>
  <c r="L314" i="2"/>
  <c r="K314" i="2"/>
  <c r="J314" i="2"/>
  <c r="G314" i="2"/>
  <c r="C314" i="2"/>
  <c r="M314" i="2" s="1"/>
  <c r="B314" i="2"/>
  <c r="J313" i="2"/>
  <c r="E313" i="2"/>
  <c r="C313" i="2"/>
  <c r="M313" i="2" s="1"/>
  <c r="B313" i="2"/>
  <c r="H313" i="2" s="1"/>
  <c r="L312" i="2"/>
  <c r="K312" i="2"/>
  <c r="J312" i="2"/>
  <c r="C312" i="2"/>
  <c r="M312" i="2" s="1"/>
  <c r="B312" i="2"/>
  <c r="J311" i="2"/>
  <c r="E311" i="2"/>
  <c r="C311" i="2"/>
  <c r="M311" i="2" s="1"/>
  <c r="B311" i="2"/>
  <c r="H311" i="2" s="1"/>
  <c r="L310" i="2"/>
  <c r="K310" i="2"/>
  <c r="J310" i="2"/>
  <c r="G310" i="2"/>
  <c r="C310" i="2"/>
  <c r="M310" i="2" s="1"/>
  <c r="B310" i="2"/>
  <c r="J309" i="2"/>
  <c r="E309" i="2"/>
  <c r="C309" i="2"/>
  <c r="M309" i="2" s="1"/>
  <c r="B309" i="2"/>
  <c r="H309" i="2" s="1"/>
  <c r="L308" i="2"/>
  <c r="K308" i="2"/>
  <c r="J308" i="2"/>
  <c r="C308" i="2"/>
  <c r="M308" i="2" s="1"/>
  <c r="B308" i="2"/>
  <c r="J307" i="2"/>
  <c r="E307" i="2"/>
  <c r="C307" i="2"/>
  <c r="M307" i="2" s="1"/>
  <c r="B307" i="2"/>
  <c r="H307" i="2" s="1"/>
  <c r="L306" i="2"/>
  <c r="K306" i="2"/>
  <c r="J306" i="2"/>
  <c r="G306" i="2"/>
  <c r="C306" i="2"/>
  <c r="M306" i="2" s="1"/>
  <c r="B306" i="2"/>
  <c r="J305" i="2"/>
  <c r="E305" i="2"/>
  <c r="C305" i="2"/>
  <c r="M305" i="2" s="1"/>
  <c r="B305" i="2"/>
  <c r="H305" i="2" s="1"/>
  <c r="L304" i="2"/>
  <c r="K304" i="2"/>
  <c r="J304" i="2"/>
  <c r="C304" i="2"/>
  <c r="M304" i="2" s="1"/>
  <c r="B304" i="2"/>
  <c r="J303" i="2"/>
  <c r="E303" i="2"/>
  <c r="C303" i="2"/>
  <c r="M303" i="2" s="1"/>
  <c r="B303" i="2"/>
  <c r="H303" i="2" s="1"/>
  <c r="L302" i="2"/>
  <c r="K302" i="2"/>
  <c r="J302" i="2"/>
  <c r="G302" i="2"/>
  <c r="C302" i="2"/>
  <c r="M302" i="2" s="1"/>
  <c r="B302" i="2"/>
  <c r="J301" i="2"/>
  <c r="E301" i="2"/>
  <c r="C301" i="2"/>
  <c r="M301" i="2" s="1"/>
  <c r="B301" i="2"/>
  <c r="H301" i="2" s="1"/>
  <c r="L300" i="2"/>
  <c r="K300" i="2"/>
  <c r="J300" i="2"/>
  <c r="C300" i="2"/>
  <c r="M300" i="2" s="1"/>
  <c r="B300" i="2"/>
  <c r="J299" i="2"/>
  <c r="E299" i="2"/>
  <c r="C299" i="2"/>
  <c r="M299" i="2" s="1"/>
  <c r="B299" i="2"/>
  <c r="H299" i="2" s="1"/>
  <c r="L298" i="2"/>
  <c r="K298" i="2"/>
  <c r="J298" i="2"/>
  <c r="C298" i="2"/>
  <c r="M298" i="2" s="1"/>
  <c r="B298" i="2"/>
  <c r="M297" i="2"/>
  <c r="L297" i="2"/>
  <c r="H297" i="2"/>
  <c r="C297" i="2"/>
  <c r="K297" i="2" s="1"/>
  <c r="B297" i="2"/>
  <c r="L296" i="2"/>
  <c r="K296" i="2"/>
  <c r="J296" i="2"/>
  <c r="C296" i="2"/>
  <c r="M296" i="2" s="1"/>
  <c r="B296" i="2"/>
  <c r="M295" i="2"/>
  <c r="L295" i="2"/>
  <c r="C295" i="2"/>
  <c r="K295" i="2" s="1"/>
  <c r="B295" i="2"/>
  <c r="L294" i="2"/>
  <c r="K294" i="2"/>
  <c r="J294" i="2"/>
  <c r="G294" i="2"/>
  <c r="C294" i="2"/>
  <c r="M294" i="2" s="1"/>
  <c r="B294" i="2"/>
  <c r="M293" i="2"/>
  <c r="L293" i="2"/>
  <c r="C293" i="2"/>
  <c r="K293" i="2" s="1"/>
  <c r="B293" i="2"/>
  <c r="L292" i="2"/>
  <c r="K292" i="2"/>
  <c r="J292" i="2"/>
  <c r="G292" i="2"/>
  <c r="C292" i="2"/>
  <c r="M292" i="2" s="1"/>
  <c r="B292" i="2"/>
  <c r="M291" i="2"/>
  <c r="L291" i="2"/>
  <c r="H291" i="2"/>
  <c r="C291" i="2"/>
  <c r="K291" i="2" s="1"/>
  <c r="B291" i="2"/>
  <c r="L290" i="2"/>
  <c r="K290" i="2"/>
  <c r="J290" i="2"/>
  <c r="C290" i="2"/>
  <c r="M290" i="2" s="1"/>
  <c r="B290" i="2"/>
  <c r="M289" i="2"/>
  <c r="L289" i="2"/>
  <c r="H289" i="2"/>
  <c r="C289" i="2"/>
  <c r="K289" i="2" s="1"/>
  <c r="B289" i="2"/>
  <c r="L288" i="2"/>
  <c r="K288" i="2"/>
  <c r="J288" i="2"/>
  <c r="C288" i="2"/>
  <c r="M288" i="2" s="1"/>
  <c r="B288" i="2"/>
  <c r="M287" i="2"/>
  <c r="L287" i="2"/>
  <c r="C287" i="2"/>
  <c r="K287" i="2" s="1"/>
  <c r="B287" i="2"/>
  <c r="L286" i="2"/>
  <c r="K286" i="2"/>
  <c r="J286" i="2"/>
  <c r="G286" i="2"/>
  <c r="C286" i="2"/>
  <c r="M286" i="2" s="1"/>
  <c r="B286" i="2"/>
  <c r="M285" i="2"/>
  <c r="L285" i="2"/>
  <c r="C285" i="2"/>
  <c r="K285" i="2" s="1"/>
  <c r="B285" i="2"/>
  <c r="L284" i="2"/>
  <c r="K284" i="2"/>
  <c r="J284" i="2"/>
  <c r="G284" i="2"/>
  <c r="C284" i="2"/>
  <c r="M284" i="2" s="1"/>
  <c r="B284" i="2"/>
  <c r="M283" i="2"/>
  <c r="L283" i="2"/>
  <c r="H283" i="2"/>
  <c r="C283" i="2"/>
  <c r="K283" i="2" s="1"/>
  <c r="B283" i="2"/>
  <c r="L282" i="2"/>
  <c r="K282" i="2"/>
  <c r="J282" i="2"/>
  <c r="C282" i="2"/>
  <c r="M282" i="2" s="1"/>
  <c r="B282" i="2"/>
  <c r="M281" i="2"/>
  <c r="L281" i="2"/>
  <c r="H281" i="2"/>
  <c r="C281" i="2"/>
  <c r="K281" i="2" s="1"/>
  <c r="B281" i="2"/>
  <c r="L280" i="2"/>
  <c r="K280" i="2"/>
  <c r="J280" i="2"/>
  <c r="C280" i="2"/>
  <c r="M280" i="2" s="1"/>
  <c r="B280" i="2"/>
  <c r="M279" i="2"/>
  <c r="L279" i="2"/>
  <c r="C279" i="2"/>
  <c r="K279" i="2" s="1"/>
  <c r="B279" i="2"/>
  <c r="L278" i="2"/>
  <c r="K278" i="2"/>
  <c r="J278" i="2"/>
  <c r="G278" i="2"/>
  <c r="C278" i="2"/>
  <c r="M278" i="2" s="1"/>
  <c r="B278" i="2"/>
  <c r="M277" i="2"/>
  <c r="L277" i="2"/>
  <c r="C277" i="2"/>
  <c r="K277" i="2" s="1"/>
  <c r="B277" i="2"/>
  <c r="L276" i="2"/>
  <c r="K276" i="2"/>
  <c r="J276" i="2"/>
  <c r="G276" i="2"/>
  <c r="C276" i="2"/>
  <c r="M276" i="2" s="1"/>
  <c r="B276" i="2"/>
  <c r="H275" i="2"/>
  <c r="F275" i="2"/>
  <c r="C275" i="2"/>
  <c r="B275" i="2"/>
  <c r="G275" i="2" s="1"/>
  <c r="K274" i="2"/>
  <c r="H274" i="2"/>
  <c r="F274" i="2"/>
  <c r="E274" i="2"/>
  <c r="C274" i="2"/>
  <c r="J274" i="2" s="1"/>
  <c r="B274" i="2"/>
  <c r="G274" i="2" s="1"/>
  <c r="M273" i="2"/>
  <c r="H273" i="2"/>
  <c r="F273" i="2"/>
  <c r="C273" i="2"/>
  <c r="B273" i="2"/>
  <c r="G273" i="2" s="1"/>
  <c r="K272" i="2"/>
  <c r="H272" i="2"/>
  <c r="F272" i="2"/>
  <c r="E272" i="2"/>
  <c r="C272" i="2"/>
  <c r="J272" i="2" s="1"/>
  <c r="B272" i="2"/>
  <c r="G272" i="2" s="1"/>
  <c r="M271" i="2"/>
  <c r="H271" i="2"/>
  <c r="F271" i="2"/>
  <c r="C271" i="2"/>
  <c r="B271" i="2"/>
  <c r="G271" i="2" s="1"/>
  <c r="K270" i="2"/>
  <c r="H270" i="2"/>
  <c r="F270" i="2"/>
  <c r="E270" i="2"/>
  <c r="C270" i="2"/>
  <c r="J270" i="2" s="1"/>
  <c r="B270" i="2"/>
  <c r="G270" i="2" s="1"/>
  <c r="M269" i="2"/>
  <c r="H269" i="2"/>
  <c r="F269" i="2"/>
  <c r="C269" i="2"/>
  <c r="B269" i="2"/>
  <c r="G269" i="2" s="1"/>
  <c r="K268" i="2"/>
  <c r="H268" i="2"/>
  <c r="F268" i="2"/>
  <c r="E268" i="2"/>
  <c r="C268" i="2"/>
  <c r="J268" i="2" s="1"/>
  <c r="B268" i="2"/>
  <c r="G268" i="2" s="1"/>
  <c r="H267" i="2"/>
  <c r="F267" i="2"/>
  <c r="C267" i="2"/>
  <c r="B267" i="2"/>
  <c r="G267" i="2" s="1"/>
  <c r="K266" i="2"/>
  <c r="H266" i="2"/>
  <c r="F266" i="2"/>
  <c r="E266" i="2"/>
  <c r="C266" i="2"/>
  <c r="J266" i="2" s="1"/>
  <c r="B266" i="2"/>
  <c r="G266" i="2" s="1"/>
  <c r="M265" i="2"/>
  <c r="H265" i="2"/>
  <c r="F265" i="2"/>
  <c r="C265" i="2"/>
  <c r="B265" i="2"/>
  <c r="G265" i="2" s="1"/>
  <c r="K264" i="2"/>
  <c r="H264" i="2"/>
  <c r="F264" i="2"/>
  <c r="E264" i="2"/>
  <c r="C264" i="2"/>
  <c r="J264" i="2" s="1"/>
  <c r="B264" i="2"/>
  <c r="G264" i="2" s="1"/>
  <c r="H263" i="2"/>
  <c r="F263" i="2"/>
  <c r="C263" i="2"/>
  <c r="M263" i="2" s="1"/>
  <c r="B263" i="2"/>
  <c r="G263" i="2" s="1"/>
  <c r="K262" i="2"/>
  <c r="H262" i="2"/>
  <c r="F262" i="2"/>
  <c r="E262" i="2"/>
  <c r="C262" i="2"/>
  <c r="J262" i="2" s="1"/>
  <c r="B262" i="2"/>
  <c r="G262" i="2" s="1"/>
  <c r="M261" i="2"/>
  <c r="H261" i="2"/>
  <c r="F261" i="2"/>
  <c r="C261" i="2"/>
  <c r="B261" i="2"/>
  <c r="G261" i="2" s="1"/>
  <c r="K260" i="2"/>
  <c r="H260" i="2"/>
  <c r="F260" i="2"/>
  <c r="E260" i="2"/>
  <c r="C260" i="2"/>
  <c r="J260" i="2" s="1"/>
  <c r="B260" i="2"/>
  <c r="G260" i="2" s="1"/>
  <c r="H259" i="2"/>
  <c r="F259" i="2"/>
  <c r="C259" i="2"/>
  <c r="B259" i="2"/>
  <c r="G259" i="2" s="1"/>
  <c r="K258" i="2"/>
  <c r="H258" i="2"/>
  <c r="F258" i="2"/>
  <c r="E258" i="2"/>
  <c r="C258" i="2"/>
  <c r="J258" i="2" s="1"/>
  <c r="B258" i="2"/>
  <c r="G258" i="2" s="1"/>
  <c r="M257" i="2"/>
  <c r="H257" i="2"/>
  <c r="F257" i="2"/>
  <c r="C257" i="2"/>
  <c r="B257" i="2"/>
  <c r="G257" i="2" s="1"/>
  <c r="K256" i="2"/>
  <c r="H256" i="2"/>
  <c r="F256" i="2"/>
  <c r="E256" i="2"/>
  <c r="C256" i="2"/>
  <c r="J256" i="2" s="1"/>
  <c r="B256" i="2"/>
  <c r="G256" i="2" s="1"/>
  <c r="H255" i="2"/>
  <c r="F255" i="2"/>
  <c r="C255" i="2"/>
  <c r="M255" i="2" s="1"/>
  <c r="B255" i="2"/>
  <c r="G255" i="2" s="1"/>
  <c r="K254" i="2"/>
  <c r="H254" i="2"/>
  <c r="F254" i="2"/>
  <c r="E254" i="2"/>
  <c r="C254" i="2"/>
  <c r="J254" i="2" s="1"/>
  <c r="B254" i="2"/>
  <c r="G254" i="2" s="1"/>
  <c r="M253" i="2"/>
  <c r="H253" i="2"/>
  <c r="F253" i="2"/>
  <c r="C253" i="2"/>
  <c r="B253" i="2"/>
  <c r="G253" i="2" s="1"/>
  <c r="K252" i="2"/>
  <c r="H252" i="2"/>
  <c r="F252" i="2"/>
  <c r="E252" i="2"/>
  <c r="C252" i="2"/>
  <c r="J252" i="2" s="1"/>
  <c r="B252" i="2"/>
  <c r="G252" i="2" s="1"/>
  <c r="H251" i="2"/>
  <c r="F251" i="2"/>
  <c r="C251" i="2"/>
  <c r="B251" i="2"/>
  <c r="G251" i="2" s="1"/>
  <c r="K250" i="2"/>
  <c r="H250" i="2"/>
  <c r="F250" i="2"/>
  <c r="E250" i="2"/>
  <c r="C250" i="2"/>
  <c r="J250" i="2" s="1"/>
  <c r="B250" i="2"/>
  <c r="G250" i="2" s="1"/>
  <c r="M249" i="2"/>
  <c r="H249" i="2"/>
  <c r="F249" i="2"/>
  <c r="C249" i="2"/>
  <c r="B249" i="2"/>
  <c r="G249" i="2" s="1"/>
  <c r="K248" i="2"/>
  <c r="H248" i="2"/>
  <c r="F248" i="2"/>
  <c r="E248" i="2"/>
  <c r="C248" i="2"/>
  <c r="J248" i="2" s="1"/>
  <c r="B248" i="2"/>
  <c r="G248" i="2" s="1"/>
  <c r="H247" i="2"/>
  <c r="F247" i="2"/>
  <c r="C247" i="2"/>
  <c r="M247" i="2" s="1"/>
  <c r="B247" i="2"/>
  <c r="G247" i="2" s="1"/>
  <c r="K246" i="2"/>
  <c r="H246" i="2"/>
  <c r="F246" i="2"/>
  <c r="E246" i="2"/>
  <c r="C246" i="2"/>
  <c r="J246" i="2" s="1"/>
  <c r="B246" i="2"/>
  <c r="G246" i="2" s="1"/>
  <c r="M245" i="2"/>
  <c r="H245" i="2"/>
  <c r="F245" i="2"/>
  <c r="C245" i="2"/>
  <c r="B245" i="2"/>
  <c r="G245" i="2" s="1"/>
  <c r="K244" i="2"/>
  <c r="H244" i="2"/>
  <c r="F244" i="2"/>
  <c r="E244" i="2"/>
  <c r="C244" i="2"/>
  <c r="J244" i="2" s="1"/>
  <c r="B244" i="2"/>
  <c r="G244" i="2" s="1"/>
  <c r="H243" i="2"/>
  <c r="F243" i="2"/>
  <c r="C243" i="2"/>
  <c r="B243" i="2"/>
  <c r="G243" i="2" s="1"/>
  <c r="K242" i="2"/>
  <c r="H242" i="2"/>
  <c r="F242" i="2"/>
  <c r="E242" i="2"/>
  <c r="C242" i="2"/>
  <c r="J242" i="2" s="1"/>
  <c r="B242" i="2"/>
  <c r="G242" i="2" s="1"/>
  <c r="M241" i="2"/>
  <c r="H241" i="2"/>
  <c r="F241" i="2"/>
  <c r="C241" i="2"/>
  <c r="B241" i="2"/>
  <c r="G241" i="2" s="1"/>
  <c r="K240" i="2"/>
  <c r="H240" i="2"/>
  <c r="F240" i="2"/>
  <c r="E240" i="2"/>
  <c r="C240" i="2"/>
  <c r="J240" i="2" s="1"/>
  <c r="B240" i="2"/>
  <c r="G240" i="2" s="1"/>
  <c r="H239" i="2"/>
  <c r="F239" i="2"/>
  <c r="C239" i="2"/>
  <c r="M239" i="2" s="1"/>
  <c r="B239" i="2"/>
  <c r="G239" i="2" s="1"/>
  <c r="K238" i="2"/>
  <c r="H238" i="2"/>
  <c r="F238" i="2"/>
  <c r="E238" i="2"/>
  <c r="C238" i="2"/>
  <c r="J238" i="2" s="1"/>
  <c r="B238" i="2"/>
  <c r="G238" i="2" s="1"/>
  <c r="M237" i="2"/>
  <c r="H237" i="2"/>
  <c r="F237" i="2"/>
  <c r="C237" i="2"/>
  <c r="B237" i="2"/>
  <c r="G237" i="2" s="1"/>
  <c r="K236" i="2"/>
  <c r="H236" i="2"/>
  <c r="F236" i="2"/>
  <c r="E236" i="2"/>
  <c r="C236" i="2"/>
  <c r="J236" i="2" s="1"/>
  <c r="B236" i="2"/>
  <c r="G236" i="2" s="1"/>
  <c r="H235" i="2"/>
  <c r="F235" i="2"/>
  <c r="C235" i="2"/>
  <c r="B235" i="2"/>
  <c r="G235" i="2" s="1"/>
  <c r="K234" i="2"/>
  <c r="H234" i="2"/>
  <c r="F234" i="2"/>
  <c r="E234" i="2"/>
  <c r="C234" i="2"/>
  <c r="J234" i="2" s="1"/>
  <c r="B234" i="2"/>
  <c r="G234" i="2" s="1"/>
  <c r="M233" i="2"/>
  <c r="H233" i="2"/>
  <c r="F233" i="2"/>
  <c r="C233" i="2"/>
  <c r="B233" i="2"/>
  <c r="G233" i="2" s="1"/>
  <c r="K232" i="2"/>
  <c r="H232" i="2"/>
  <c r="F232" i="2"/>
  <c r="E232" i="2"/>
  <c r="C232" i="2"/>
  <c r="J232" i="2" s="1"/>
  <c r="B232" i="2"/>
  <c r="G232" i="2" s="1"/>
  <c r="H231" i="2"/>
  <c r="F231" i="2"/>
  <c r="C231" i="2"/>
  <c r="M231" i="2" s="1"/>
  <c r="B231" i="2"/>
  <c r="G231" i="2" s="1"/>
  <c r="K230" i="2"/>
  <c r="H230" i="2"/>
  <c r="F230" i="2"/>
  <c r="E230" i="2"/>
  <c r="C230" i="2"/>
  <c r="J230" i="2" s="1"/>
  <c r="B230" i="2"/>
  <c r="G230" i="2" s="1"/>
  <c r="M229" i="2"/>
  <c r="H229" i="2"/>
  <c r="F229" i="2"/>
  <c r="C229" i="2"/>
  <c r="B229" i="2"/>
  <c r="G229" i="2" s="1"/>
  <c r="K228" i="2"/>
  <c r="H228" i="2"/>
  <c r="F228" i="2"/>
  <c r="E228" i="2"/>
  <c r="C228" i="2"/>
  <c r="J228" i="2" s="1"/>
  <c r="B228" i="2"/>
  <c r="G228" i="2" s="1"/>
  <c r="H227" i="2"/>
  <c r="F227" i="2"/>
  <c r="C227" i="2"/>
  <c r="B227" i="2"/>
  <c r="G227" i="2" s="1"/>
  <c r="K226" i="2"/>
  <c r="H226" i="2"/>
  <c r="F226" i="2"/>
  <c r="E226" i="2"/>
  <c r="C226" i="2"/>
  <c r="J226" i="2" s="1"/>
  <c r="B226" i="2"/>
  <c r="G226" i="2" s="1"/>
  <c r="M225" i="2"/>
  <c r="H225" i="2"/>
  <c r="F225" i="2"/>
  <c r="C225" i="2"/>
  <c r="B225" i="2"/>
  <c r="G225" i="2" s="1"/>
  <c r="K224" i="2"/>
  <c r="H224" i="2"/>
  <c r="F224" i="2"/>
  <c r="E224" i="2"/>
  <c r="C224" i="2"/>
  <c r="J224" i="2" s="1"/>
  <c r="B224" i="2"/>
  <c r="G224" i="2" s="1"/>
  <c r="H223" i="2"/>
  <c r="F223" i="2"/>
  <c r="C223" i="2"/>
  <c r="M223" i="2" s="1"/>
  <c r="B223" i="2"/>
  <c r="G223" i="2" s="1"/>
  <c r="K222" i="2"/>
  <c r="H222" i="2"/>
  <c r="F222" i="2"/>
  <c r="E222" i="2"/>
  <c r="C222" i="2"/>
  <c r="J222" i="2" s="1"/>
  <c r="B222" i="2"/>
  <c r="G222" i="2" s="1"/>
  <c r="M221" i="2"/>
  <c r="H221" i="2"/>
  <c r="F221" i="2"/>
  <c r="C221" i="2"/>
  <c r="B221" i="2"/>
  <c r="G221" i="2" s="1"/>
  <c r="K220" i="2"/>
  <c r="H220" i="2"/>
  <c r="F220" i="2"/>
  <c r="E220" i="2"/>
  <c r="C220" i="2"/>
  <c r="J220" i="2" s="1"/>
  <c r="B220" i="2"/>
  <c r="G220" i="2" s="1"/>
  <c r="H219" i="2"/>
  <c r="F219" i="2"/>
  <c r="C219" i="2"/>
  <c r="B219" i="2"/>
  <c r="G219" i="2" s="1"/>
  <c r="K218" i="2"/>
  <c r="H218" i="2"/>
  <c r="F218" i="2"/>
  <c r="E218" i="2"/>
  <c r="C218" i="2"/>
  <c r="J218" i="2" s="1"/>
  <c r="B218" i="2"/>
  <c r="G218" i="2" s="1"/>
  <c r="M217" i="2"/>
  <c r="H217" i="2"/>
  <c r="F217" i="2"/>
  <c r="C217" i="2"/>
  <c r="B217" i="2"/>
  <c r="G217" i="2" s="1"/>
  <c r="K216" i="2"/>
  <c r="H216" i="2"/>
  <c r="F216" i="2"/>
  <c r="E216" i="2"/>
  <c r="C216" i="2"/>
  <c r="J216" i="2" s="1"/>
  <c r="B216" i="2"/>
  <c r="G216" i="2" s="1"/>
  <c r="H215" i="2"/>
  <c r="F215" i="2"/>
  <c r="C215" i="2"/>
  <c r="M215" i="2" s="1"/>
  <c r="B215" i="2"/>
  <c r="G215" i="2" s="1"/>
  <c r="K214" i="2"/>
  <c r="H214" i="2"/>
  <c r="F214" i="2"/>
  <c r="E214" i="2"/>
  <c r="C214" i="2"/>
  <c r="J214" i="2" s="1"/>
  <c r="B214" i="2"/>
  <c r="G214" i="2" s="1"/>
  <c r="M213" i="2"/>
  <c r="H213" i="2"/>
  <c r="F213" i="2"/>
  <c r="C213" i="2"/>
  <c r="B213" i="2"/>
  <c r="G213" i="2" s="1"/>
  <c r="K212" i="2"/>
  <c r="H212" i="2"/>
  <c r="F212" i="2"/>
  <c r="E212" i="2"/>
  <c r="C212" i="2"/>
  <c r="J212" i="2" s="1"/>
  <c r="B212" i="2"/>
  <c r="G212" i="2" s="1"/>
  <c r="H211" i="2"/>
  <c r="F211" i="2"/>
  <c r="C211" i="2"/>
  <c r="B211" i="2"/>
  <c r="G211" i="2" s="1"/>
  <c r="K210" i="2"/>
  <c r="H210" i="2"/>
  <c r="F210" i="2"/>
  <c r="E210" i="2"/>
  <c r="C210" i="2"/>
  <c r="J210" i="2" s="1"/>
  <c r="B210" i="2"/>
  <c r="G210" i="2" s="1"/>
  <c r="M209" i="2"/>
  <c r="H209" i="2"/>
  <c r="F209" i="2"/>
  <c r="C209" i="2"/>
  <c r="B209" i="2"/>
  <c r="G209" i="2" s="1"/>
  <c r="K208" i="2"/>
  <c r="H208" i="2"/>
  <c r="F208" i="2"/>
  <c r="E208" i="2"/>
  <c r="C208" i="2"/>
  <c r="J208" i="2" s="1"/>
  <c r="B208" i="2"/>
  <c r="G208" i="2" s="1"/>
  <c r="H207" i="2"/>
  <c r="F207" i="2"/>
  <c r="C207" i="2"/>
  <c r="M207" i="2" s="1"/>
  <c r="B207" i="2"/>
  <c r="G207" i="2" s="1"/>
  <c r="K206" i="2"/>
  <c r="H206" i="2"/>
  <c r="F206" i="2"/>
  <c r="E206" i="2"/>
  <c r="C206" i="2"/>
  <c r="J206" i="2" s="1"/>
  <c r="B206" i="2"/>
  <c r="G206" i="2" s="1"/>
  <c r="M205" i="2"/>
  <c r="H205" i="2"/>
  <c r="F205" i="2"/>
  <c r="C205" i="2"/>
  <c r="B205" i="2"/>
  <c r="G205" i="2" s="1"/>
  <c r="K204" i="2"/>
  <c r="H204" i="2"/>
  <c r="F204" i="2"/>
  <c r="E204" i="2"/>
  <c r="C204" i="2"/>
  <c r="J204" i="2" s="1"/>
  <c r="B204" i="2"/>
  <c r="G204" i="2" s="1"/>
  <c r="H203" i="2"/>
  <c r="F203" i="2"/>
  <c r="C203" i="2"/>
  <c r="B203" i="2"/>
  <c r="G203" i="2" s="1"/>
  <c r="K202" i="2"/>
  <c r="H202" i="2"/>
  <c r="F202" i="2"/>
  <c r="E202" i="2"/>
  <c r="C202" i="2"/>
  <c r="J202" i="2" s="1"/>
  <c r="B202" i="2"/>
  <c r="G202" i="2" s="1"/>
  <c r="M201" i="2"/>
  <c r="H201" i="2"/>
  <c r="F201" i="2"/>
  <c r="C201" i="2"/>
  <c r="B201" i="2"/>
  <c r="G201" i="2" s="1"/>
  <c r="K200" i="2"/>
  <c r="H200" i="2"/>
  <c r="F200" i="2"/>
  <c r="E200" i="2"/>
  <c r="C200" i="2"/>
  <c r="J200" i="2" s="1"/>
  <c r="B200" i="2"/>
  <c r="G200" i="2" s="1"/>
  <c r="H199" i="2"/>
  <c r="F199" i="2"/>
  <c r="C199" i="2"/>
  <c r="M199" i="2" s="1"/>
  <c r="B199" i="2"/>
  <c r="G199" i="2" s="1"/>
  <c r="K198" i="2"/>
  <c r="H198" i="2"/>
  <c r="F198" i="2"/>
  <c r="E198" i="2"/>
  <c r="C198" i="2"/>
  <c r="J198" i="2" s="1"/>
  <c r="B198" i="2"/>
  <c r="G198" i="2" s="1"/>
  <c r="M197" i="2"/>
  <c r="H197" i="2"/>
  <c r="F197" i="2"/>
  <c r="C197" i="2"/>
  <c r="B197" i="2"/>
  <c r="G197" i="2" s="1"/>
  <c r="K196" i="2"/>
  <c r="H196" i="2"/>
  <c r="F196" i="2"/>
  <c r="E196" i="2"/>
  <c r="C196" i="2"/>
  <c r="J196" i="2" s="1"/>
  <c r="B196" i="2"/>
  <c r="G196" i="2" s="1"/>
  <c r="H195" i="2"/>
  <c r="F195" i="2"/>
  <c r="C195" i="2"/>
  <c r="B195" i="2"/>
  <c r="G195" i="2" s="1"/>
  <c r="K194" i="2"/>
  <c r="H194" i="2"/>
  <c r="F194" i="2"/>
  <c r="E194" i="2"/>
  <c r="C194" i="2"/>
  <c r="J194" i="2" s="1"/>
  <c r="B194" i="2"/>
  <c r="G194" i="2" s="1"/>
  <c r="M193" i="2"/>
  <c r="H193" i="2"/>
  <c r="F193" i="2"/>
  <c r="C193" i="2"/>
  <c r="B193" i="2"/>
  <c r="G193" i="2" s="1"/>
  <c r="K192" i="2"/>
  <c r="H192" i="2"/>
  <c r="F192" i="2"/>
  <c r="E192" i="2"/>
  <c r="C192" i="2"/>
  <c r="J192" i="2" s="1"/>
  <c r="B192" i="2"/>
  <c r="G192" i="2" s="1"/>
  <c r="H191" i="2"/>
  <c r="F191" i="2"/>
  <c r="C191" i="2"/>
  <c r="M191" i="2" s="1"/>
  <c r="B191" i="2"/>
  <c r="G191" i="2" s="1"/>
  <c r="K190" i="2"/>
  <c r="H190" i="2"/>
  <c r="F190" i="2"/>
  <c r="E190" i="2"/>
  <c r="C190" i="2"/>
  <c r="J190" i="2" s="1"/>
  <c r="B190" i="2"/>
  <c r="G190" i="2" s="1"/>
  <c r="M189" i="2"/>
  <c r="H189" i="2"/>
  <c r="F189" i="2"/>
  <c r="C189" i="2"/>
  <c r="B189" i="2"/>
  <c r="G189" i="2" s="1"/>
  <c r="K188" i="2"/>
  <c r="H188" i="2"/>
  <c r="F188" i="2"/>
  <c r="E188" i="2"/>
  <c r="C188" i="2"/>
  <c r="J188" i="2" s="1"/>
  <c r="B188" i="2"/>
  <c r="G188" i="2" s="1"/>
  <c r="H187" i="2"/>
  <c r="F187" i="2"/>
  <c r="C187" i="2"/>
  <c r="B187" i="2"/>
  <c r="G187" i="2" s="1"/>
  <c r="K186" i="2"/>
  <c r="H186" i="2"/>
  <c r="F186" i="2"/>
  <c r="E186" i="2"/>
  <c r="C186" i="2"/>
  <c r="J186" i="2" s="1"/>
  <c r="B186" i="2"/>
  <c r="G186" i="2" s="1"/>
  <c r="M185" i="2"/>
  <c r="H185" i="2"/>
  <c r="F185" i="2"/>
  <c r="C185" i="2"/>
  <c r="B185" i="2"/>
  <c r="G185" i="2" s="1"/>
  <c r="K184" i="2"/>
  <c r="H184" i="2"/>
  <c r="F184" i="2"/>
  <c r="E184" i="2"/>
  <c r="C184" i="2"/>
  <c r="J184" i="2" s="1"/>
  <c r="B184" i="2"/>
  <c r="G184" i="2" s="1"/>
  <c r="H183" i="2"/>
  <c r="F183" i="2"/>
  <c r="C183" i="2"/>
  <c r="M183" i="2" s="1"/>
  <c r="B183" i="2"/>
  <c r="G183" i="2" s="1"/>
  <c r="K182" i="2"/>
  <c r="H182" i="2"/>
  <c r="F182" i="2"/>
  <c r="E182" i="2"/>
  <c r="C182" i="2"/>
  <c r="J182" i="2" s="1"/>
  <c r="B182" i="2"/>
  <c r="G182" i="2" s="1"/>
  <c r="M181" i="2"/>
  <c r="H181" i="2"/>
  <c r="F181" i="2"/>
  <c r="C181" i="2"/>
  <c r="B181" i="2"/>
  <c r="G181" i="2" s="1"/>
  <c r="K180" i="2"/>
  <c r="H180" i="2"/>
  <c r="F180" i="2"/>
  <c r="E180" i="2"/>
  <c r="C180" i="2"/>
  <c r="J180" i="2" s="1"/>
  <c r="B180" i="2"/>
  <c r="G180" i="2" s="1"/>
  <c r="H179" i="2"/>
  <c r="F179" i="2"/>
  <c r="C179" i="2"/>
  <c r="B179" i="2"/>
  <c r="G179" i="2" s="1"/>
  <c r="K178" i="2"/>
  <c r="H178" i="2"/>
  <c r="F178" i="2"/>
  <c r="E178" i="2"/>
  <c r="C178" i="2"/>
  <c r="J178" i="2" s="1"/>
  <c r="B178" i="2"/>
  <c r="G178" i="2" s="1"/>
  <c r="M177" i="2"/>
  <c r="H177" i="2"/>
  <c r="F177" i="2"/>
  <c r="C177" i="2"/>
  <c r="B177" i="2"/>
  <c r="G177" i="2" s="1"/>
  <c r="K176" i="2"/>
  <c r="H176" i="2"/>
  <c r="F176" i="2"/>
  <c r="E176" i="2"/>
  <c r="C176" i="2"/>
  <c r="J176" i="2" s="1"/>
  <c r="B176" i="2"/>
  <c r="G176" i="2" s="1"/>
  <c r="H175" i="2"/>
  <c r="F175" i="2"/>
  <c r="C175" i="2"/>
  <c r="M175" i="2" s="1"/>
  <c r="B175" i="2"/>
  <c r="G175" i="2" s="1"/>
  <c r="K174" i="2"/>
  <c r="H174" i="2"/>
  <c r="F174" i="2"/>
  <c r="E174" i="2"/>
  <c r="C174" i="2"/>
  <c r="J174" i="2" s="1"/>
  <c r="B174" i="2"/>
  <c r="G174" i="2" s="1"/>
  <c r="M173" i="2"/>
  <c r="H173" i="2"/>
  <c r="F173" i="2"/>
  <c r="C173" i="2"/>
  <c r="B173" i="2"/>
  <c r="G173" i="2" s="1"/>
  <c r="K172" i="2"/>
  <c r="H172" i="2"/>
  <c r="F172" i="2"/>
  <c r="E172" i="2"/>
  <c r="C172" i="2"/>
  <c r="J172" i="2" s="1"/>
  <c r="B172" i="2"/>
  <c r="G172" i="2" s="1"/>
  <c r="H171" i="2"/>
  <c r="F171" i="2"/>
  <c r="C171" i="2"/>
  <c r="B171" i="2"/>
  <c r="G171" i="2" s="1"/>
  <c r="K170" i="2"/>
  <c r="H170" i="2"/>
  <c r="F170" i="2"/>
  <c r="E170" i="2"/>
  <c r="C170" i="2"/>
  <c r="J170" i="2" s="1"/>
  <c r="B170" i="2"/>
  <c r="G170" i="2" s="1"/>
  <c r="M169" i="2"/>
  <c r="H169" i="2"/>
  <c r="F169" i="2"/>
  <c r="C169" i="2"/>
  <c r="B169" i="2"/>
  <c r="G169" i="2" s="1"/>
  <c r="K168" i="2"/>
  <c r="H168" i="2"/>
  <c r="F168" i="2"/>
  <c r="E168" i="2"/>
  <c r="C168" i="2"/>
  <c r="J168" i="2" s="1"/>
  <c r="B168" i="2"/>
  <c r="G168" i="2" s="1"/>
  <c r="H167" i="2"/>
  <c r="F167" i="2"/>
  <c r="C167" i="2"/>
  <c r="M167" i="2" s="1"/>
  <c r="B167" i="2"/>
  <c r="G167" i="2" s="1"/>
  <c r="K166" i="2"/>
  <c r="H166" i="2"/>
  <c r="F166" i="2"/>
  <c r="E166" i="2"/>
  <c r="C166" i="2"/>
  <c r="J166" i="2" s="1"/>
  <c r="B166" i="2"/>
  <c r="G166" i="2" s="1"/>
  <c r="M165" i="2"/>
  <c r="H165" i="2"/>
  <c r="F165" i="2"/>
  <c r="C165" i="2"/>
  <c r="B165" i="2"/>
  <c r="G165" i="2" s="1"/>
  <c r="K164" i="2"/>
  <c r="H164" i="2"/>
  <c r="F164" i="2"/>
  <c r="E164" i="2"/>
  <c r="C164" i="2"/>
  <c r="J164" i="2" s="1"/>
  <c r="B164" i="2"/>
  <c r="G164" i="2" s="1"/>
  <c r="H163" i="2"/>
  <c r="F163" i="2"/>
  <c r="C163" i="2"/>
  <c r="B163" i="2"/>
  <c r="G163" i="2" s="1"/>
  <c r="K162" i="2"/>
  <c r="H162" i="2"/>
  <c r="F162" i="2"/>
  <c r="E162" i="2"/>
  <c r="C162" i="2"/>
  <c r="J162" i="2" s="1"/>
  <c r="B162" i="2"/>
  <c r="G162" i="2" s="1"/>
  <c r="M161" i="2"/>
  <c r="H161" i="2"/>
  <c r="F161" i="2"/>
  <c r="C161" i="2"/>
  <c r="B161" i="2"/>
  <c r="G161" i="2" s="1"/>
  <c r="K160" i="2"/>
  <c r="H160" i="2"/>
  <c r="F160" i="2"/>
  <c r="E160" i="2"/>
  <c r="C160" i="2"/>
  <c r="J160" i="2" s="1"/>
  <c r="B160" i="2"/>
  <c r="G160" i="2" s="1"/>
  <c r="H159" i="2"/>
  <c r="F159" i="2"/>
  <c r="C159" i="2"/>
  <c r="M159" i="2" s="1"/>
  <c r="B159" i="2"/>
  <c r="G159" i="2" s="1"/>
  <c r="K158" i="2"/>
  <c r="H158" i="2"/>
  <c r="F158" i="2"/>
  <c r="E158" i="2"/>
  <c r="C158" i="2"/>
  <c r="J158" i="2" s="1"/>
  <c r="B158" i="2"/>
  <c r="G158" i="2" s="1"/>
  <c r="M157" i="2"/>
  <c r="H157" i="2"/>
  <c r="F157" i="2"/>
  <c r="C157" i="2"/>
  <c r="B157" i="2"/>
  <c r="G157" i="2" s="1"/>
  <c r="K156" i="2"/>
  <c r="H156" i="2"/>
  <c r="F156" i="2"/>
  <c r="E156" i="2"/>
  <c r="C156" i="2"/>
  <c r="J156" i="2" s="1"/>
  <c r="B156" i="2"/>
  <c r="G156" i="2" s="1"/>
  <c r="H155" i="2"/>
  <c r="F155" i="2"/>
  <c r="C155" i="2"/>
  <c r="B155" i="2"/>
  <c r="G155" i="2" s="1"/>
  <c r="K154" i="2"/>
  <c r="H154" i="2"/>
  <c r="F154" i="2"/>
  <c r="E154" i="2"/>
  <c r="C154" i="2"/>
  <c r="J154" i="2" s="1"/>
  <c r="B154" i="2"/>
  <c r="G154" i="2" s="1"/>
  <c r="M153" i="2"/>
  <c r="H153" i="2"/>
  <c r="F153" i="2"/>
  <c r="C153" i="2"/>
  <c r="B153" i="2"/>
  <c r="G153" i="2" s="1"/>
  <c r="K152" i="2"/>
  <c r="H152" i="2"/>
  <c r="F152" i="2"/>
  <c r="E152" i="2"/>
  <c r="C152" i="2"/>
  <c r="J152" i="2" s="1"/>
  <c r="B152" i="2"/>
  <c r="G152" i="2" s="1"/>
  <c r="H151" i="2"/>
  <c r="F151" i="2"/>
  <c r="C151" i="2"/>
  <c r="M151" i="2" s="1"/>
  <c r="B151" i="2"/>
  <c r="G151" i="2" s="1"/>
  <c r="K150" i="2"/>
  <c r="H150" i="2"/>
  <c r="F150" i="2"/>
  <c r="E150" i="2"/>
  <c r="C150" i="2"/>
  <c r="J150" i="2" s="1"/>
  <c r="B150" i="2"/>
  <c r="G150" i="2" s="1"/>
  <c r="M149" i="2"/>
  <c r="H149" i="2"/>
  <c r="F149" i="2"/>
  <c r="C149" i="2"/>
  <c r="B149" i="2"/>
  <c r="G149" i="2" s="1"/>
  <c r="K148" i="2"/>
  <c r="H148" i="2"/>
  <c r="F148" i="2"/>
  <c r="E148" i="2"/>
  <c r="C148" i="2"/>
  <c r="J148" i="2" s="1"/>
  <c r="B148" i="2"/>
  <c r="G148" i="2" s="1"/>
  <c r="H147" i="2"/>
  <c r="F147" i="2"/>
  <c r="C147" i="2"/>
  <c r="B147" i="2"/>
  <c r="G147" i="2" s="1"/>
  <c r="K146" i="2"/>
  <c r="H146" i="2"/>
  <c r="F146" i="2"/>
  <c r="E146" i="2"/>
  <c r="C146" i="2"/>
  <c r="J146" i="2" s="1"/>
  <c r="B146" i="2"/>
  <c r="G146" i="2" s="1"/>
  <c r="M145" i="2"/>
  <c r="H145" i="2"/>
  <c r="F145" i="2"/>
  <c r="C145" i="2"/>
  <c r="B145" i="2"/>
  <c r="G145" i="2" s="1"/>
  <c r="K144" i="2"/>
  <c r="H144" i="2"/>
  <c r="F144" i="2"/>
  <c r="E144" i="2"/>
  <c r="C144" i="2"/>
  <c r="J144" i="2" s="1"/>
  <c r="B144" i="2"/>
  <c r="G144" i="2" s="1"/>
  <c r="H143" i="2"/>
  <c r="F143" i="2"/>
  <c r="C143" i="2"/>
  <c r="M143" i="2" s="1"/>
  <c r="B143" i="2"/>
  <c r="G143" i="2" s="1"/>
  <c r="K142" i="2"/>
  <c r="H142" i="2"/>
  <c r="F142" i="2"/>
  <c r="E142" i="2"/>
  <c r="C142" i="2"/>
  <c r="J142" i="2" s="1"/>
  <c r="B142" i="2"/>
  <c r="G142" i="2" s="1"/>
  <c r="M141" i="2"/>
  <c r="H141" i="2"/>
  <c r="F141" i="2"/>
  <c r="C141" i="2"/>
  <c r="B141" i="2"/>
  <c r="G141" i="2" s="1"/>
  <c r="K140" i="2"/>
  <c r="H140" i="2"/>
  <c r="F140" i="2"/>
  <c r="E140" i="2"/>
  <c r="C140" i="2"/>
  <c r="J140" i="2" s="1"/>
  <c r="B140" i="2"/>
  <c r="G140" i="2" s="1"/>
  <c r="H139" i="2"/>
  <c r="F139" i="2"/>
  <c r="C139" i="2"/>
  <c r="B139" i="2"/>
  <c r="G139" i="2" s="1"/>
  <c r="K138" i="2"/>
  <c r="H138" i="2"/>
  <c r="F138" i="2"/>
  <c r="E138" i="2"/>
  <c r="C138" i="2"/>
  <c r="J138" i="2" s="1"/>
  <c r="B138" i="2"/>
  <c r="G138" i="2" s="1"/>
  <c r="M137" i="2"/>
  <c r="H137" i="2"/>
  <c r="F137" i="2"/>
  <c r="C137" i="2"/>
  <c r="B137" i="2"/>
  <c r="G137" i="2" s="1"/>
  <c r="K136" i="2"/>
  <c r="H136" i="2"/>
  <c r="F136" i="2"/>
  <c r="E136" i="2"/>
  <c r="C136" i="2"/>
  <c r="J136" i="2" s="1"/>
  <c r="B136" i="2"/>
  <c r="G136" i="2" s="1"/>
  <c r="H135" i="2"/>
  <c r="F135" i="2"/>
  <c r="C135" i="2"/>
  <c r="M135" i="2" s="1"/>
  <c r="B135" i="2"/>
  <c r="G135" i="2" s="1"/>
  <c r="K134" i="2"/>
  <c r="H134" i="2"/>
  <c r="F134" i="2"/>
  <c r="E134" i="2"/>
  <c r="C134" i="2"/>
  <c r="J134" i="2" s="1"/>
  <c r="B134" i="2"/>
  <c r="G134" i="2" s="1"/>
  <c r="M133" i="2"/>
  <c r="H133" i="2"/>
  <c r="F133" i="2"/>
  <c r="C133" i="2"/>
  <c r="B133" i="2"/>
  <c r="G133" i="2" s="1"/>
  <c r="K132" i="2"/>
  <c r="H132" i="2"/>
  <c r="F132" i="2"/>
  <c r="E132" i="2"/>
  <c r="C132" i="2"/>
  <c r="J132" i="2" s="1"/>
  <c r="B132" i="2"/>
  <c r="G132" i="2" s="1"/>
  <c r="H131" i="2"/>
  <c r="F131" i="2"/>
  <c r="C131" i="2"/>
  <c r="B131" i="2"/>
  <c r="G131" i="2" s="1"/>
  <c r="K130" i="2"/>
  <c r="H130" i="2"/>
  <c r="F130" i="2"/>
  <c r="E130" i="2"/>
  <c r="C130" i="2"/>
  <c r="J130" i="2" s="1"/>
  <c r="B130" i="2"/>
  <c r="G130" i="2" s="1"/>
  <c r="M129" i="2"/>
  <c r="H129" i="2"/>
  <c r="F129" i="2"/>
  <c r="C129" i="2"/>
  <c r="B129" i="2"/>
  <c r="G129" i="2" s="1"/>
  <c r="K128" i="2"/>
  <c r="H128" i="2"/>
  <c r="F128" i="2"/>
  <c r="E128" i="2"/>
  <c r="C128" i="2"/>
  <c r="J128" i="2" s="1"/>
  <c r="B128" i="2"/>
  <c r="G128" i="2" s="1"/>
  <c r="H127" i="2"/>
  <c r="F127" i="2"/>
  <c r="C127" i="2"/>
  <c r="M127" i="2" s="1"/>
  <c r="B127" i="2"/>
  <c r="G127" i="2" s="1"/>
  <c r="K126" i="2"/>
  <c r="H126" i="2"/>
  <c r="F126" i="2"/>
  <c r="E126" i="2"/>
  <c r="C126" i="2"/>
  <c r="J126" i="2" s="1"/>
  <c r="B126" i="2"/>
  <c r="G126" i="2" s="1"/>
  <c r="M125" i="2"/>
  <c r="H125" i="2"/>
  <c r="F125" i="2"/>
  <c r="C125" i="2"/>
  <c r="B125" i="2"/>
  <c r="G125" i="2" s="1"/>
  <c r="K124" i="2"/>
  <c r="H124" i="2"/>
  <c r="F124" i="2"/>
  <c r="E124" i="2"/>
  <c r="C124" i="2"/>
  <c r="J124" i="2" s="1"/>
  <c r="B124" i="2"/>
  <c r="G124" i="2" s="1"/>
  <c r="H123" i="2"/>
  <c r="F123" i="2"/>
  <c r="C123" i="2"/>
  <c r="B123" i="2"/>
  <c r="G123" i="2" s="1"/>
  <c r="K122" i="2"/>
  <c r="H122" i="2"/>
  <c r="F122" i="2"/>
  <c r="E122" i="2"/>
  <c r="C122" i="2"/>
  <c r="J122" i="2" s="1"/>
  <c r="B122" i="2"/>
  <c r="G122" i="2" s="1"/>
  <c r="M121" i="2"/>
  <c r="H121" i="2"/>
  <c r="F121" i="2"/>
  <c r="C121" i="2"/>
  <c r="B121" i="2"/>
  <c r="G121" i="2" s="1"/>
  <c r="K120" i="2"/>
  <c r="H120" i="2"/>
  <c r="F120" i="2"/>
  <c r="E120" i="2"/>
  <c r="C120" i="2"/>
  <c r="J120" i="2" s="1"/>
  <c r="B120" i="2"/>
  <c r="G120" i="2" s="1"/>
  <c r="H119" i="2"/>
  <c r="F119" i="2"/>
  <c r="C119" i="2"/>
  <c r="M119" i="2" s="1"/>
  <c r="B119" i="2"/>
  <c r="G119" i="2" s="1"/>
  <c r="K118" i="2"/>
  <c r="H118" i="2"/>
  <c r="F118" i="2"/>
  <c r="E118" i="2"/>
  <c r="C118" i="2"/>
  <c r="J118" i="2" s="1"/>
  <c r="B118" i="2"/>
  <c r="G118" i="2" s="1"/>
  <c r="M117" i="2"/>
  <c r="H117" i="2"/>
  <c r="F117" i="2"/>
  <c r="C117" i="2"/>
  <c r="B117" i="2"/>
  <c r="G117" i="2" s="1"/>
  <c r="K116" i="2"/>
  <c r="H116" i="2"/>
  <c r="F116" i="2"/>
  <c r="E116" i="2"/>
  <c r="C116" i="2"/>
  <c r="J116" i="2" s="1"/>
  <c r="B116" i="2"/>
  <c r="G116" i="2" s="1"/>
  <c r="H115" i="2"/>
  <c r="F115" i="2"/>
  <c r="C115" i="2"/>
  <c r="B115" i="2"/>
  <c r="G115" i="2" s="1"/>
  <c r="K114" i="2"/>
  <c r="H114" i="2"/>
  <c r="F114" i="2"/>
  <c r="E114" i="2"/>
  <c r="C114" i="2"/>
  <c r="J114" i="2" s="1"/>
  <c r="B114" i="2"/>
  <c r="G114" i="2" s="1"/>
  <c r="M113" i="2"/>
  <c r="H113" i="2"/>
  <c r="F113" i="2"/>
  <c r="C113" i="2"/>
  <c r="B113" i="2"/>
  <c r="G113" i="2" s="1"/>
  <c r="K112" i="2"/>
  <c r="H112" i="2"/>
  <c r="F112" i="2"/>
  <c r="E112" i="2"/>
  <c r="C112" i="2"/>
  <c r="J112" i="2" s="1"/>
  <c r="B112" i="2"/>
  <c r="G112" i="2" s="1"/>
  <c r="H111" i="2"/>
  <c r="F111" i="2"/>
  <c r="C111" i="2"/>
  <c r="M111" i="2" s="1"/>
  <c r="B111" i="2"/>
  <c r="G111" i="2" s="1"/>
  <c r="K110" i="2"/>
  <c r="H110" i="2"/>
  <c r="F110" i="2"/>
  <c r="E110" i="2"/>
  <c r="C110" i="2"/>
  <c r="J110" i="2" s="1"/>
  <c r="B110" i="2"/>
  <c r="G110" i="2" s="1"/>
  <c r="M109" i="2"/>
  <c r="H109" i="2"/>
  <c r="F109" i="2"/>
  <c r="C109" i="2"/>
  <c r="B109" i="2"/>
  <c r="G109" i="2" s="1"/>
  <c r="K108" i="2"/>
  <c r="H108" i="2"/>
  <c r="F108" i="2"/>
  <c r="E108" i="2"/>
  <c r="C108" i="2"/>
  <c r="J108" i="2" s="1"/>
  <c r="B108" i="2"/>
  <c r="G108" i="2" s="1"/>
  <c r="H107" i="2"/>
  <c r="F107" i="2"/>
  <c r="C107" i="2"/>
  <c r="B107" i="2"/>
  <c r="G107" i="2" s="1"/>
  <c r="K106" i="2"/>
  <c r="H106" i="2"/>
  <c r="F106" i="2"/>
  <c r="E106" i="2"/>
  <c r="C106" i="2"/>
  <c r="J106" i="2" s="1"/>
  <c r="B106" i="2"/>
  <c r="G106" i="2" s="1"/>
  <c r="M105" i="2"/>
  <c r="H105" i="2"/>
  <c r="F105" i="2"/>
  <c r="C105" i="2"/>
  <c r="B105" i="2"/>
  <c r="G105" i="2" s="1"/>
  <c r="K104" i="2"/>
  <c r="H104" i="2"/>
  <c r="F104" i="2"/>
  <c r="E104" i="2"/>
  <c r="C104" i="2"/>
  <c r="J104" i="2" s="1"/>
  <c r="B104" i="2"/>
  <c r="G104" i="2" s="1"/>
  <c r="H103" i="2"/>
  <c r="F103" i="2"/>
  <c r="C103" i="2"/>
  <c r="M103" i="2" s="1"/>
  <c r="B103" i="2"/>
  <c r="G103" i="2" s="1"/>
  <c r="K102" i="2"/>
  <c r="H102" i="2"/>
  <c r="F102" i="2"/>
  <c r="E102" i="2"/>
  <c r="C102" i="2"/>
  <c r="J102" i="2" s="1"/>
  <c r="B102" i="2"/>
  <c r="G102" i="2" s="1"/>
  <c r="M101" i="2"/>
  <c r="H101" i="2"/>
  <c r="F101" i="2"/>
  <c r="C101" i="2"/>
  <c r="B101" i="2"/>
  <c r="G101" i="2" s="1"/>
  <c r="K100" i="2"/>
  <c r="H100" i="2"/>
  <c r="F100" i="2"/>
  <c r="E100" i="2"/>
  <c r="C100" i="2"/>
  <c r="J100" i="2" s="1"/>
  <c r="B100" i="2"/>
  <c r="G100" i="2" s="1"/>
  <c r="H99" i="2"/>
  <c r="F99" i="2"/>
  <c r="C99" i="2"/>
  <c r="B99" i="2"/>
  <c r="G99" i="2" s="1"/>
  <c r="K98" i="2"/>
  <c r="H98" i="2"/>
  <c r="F98" i="2"/>
  <c r="E98" i="2"/>
  <c r="C98" i="2"/>
  <c r="J98" i="2" s="1"/>
  <c r="B98" i="2"/>
  <c r="G98" i="2" s="1"/>
  <c r="M97" i="2"/>
  <c r="H97" i="2"/>
  <c r="F97" i="2"/>
  <c r="C97" i="2"/>
  <c r="B97" i="2"/>
  <c r="G97" i="2" s="1"/>
  <c r="K96" i="2"/>
  <c r="H96" i="2"/>
  <c r="F96" i="2"/>
  <c r="E96" i="2"/>
  <c r="C96" i="2"/>
  <c r="J96" i="2" s="1"/>
  <c r="B96" i="2"/>
  <c r="G96" i="2" s="1"/>
  <c r="H95" i="2"/>
  <c r="F95" i="2"/>
  <c r="C95" i="2"/>
  <c r="M95" i="2" s="1"/>
  <c r="B95" i="2"/>
  <c r="G95" i="2" s="1"/>
  <c r="K94" i="2"/>
  <c r="H94" i="2"/>
  <c r="F94" i="2"/>
  <c r="E94" i="2"/>
  <c r="C94" i="2"/>
  <c r="J94" i="2" s="1"/>
  <c r="B94" i="2"/>
  <c r="G94" i="2" s="1"/>
  <c r="M93" i="2"/>
  <c r="H93" i="2"/>
  <c r="F93" i="2"/>
  <c r="C93" i="2"/>
  <c r="B93" i="2"/>
  <c r="G93" i="2" s="1"/>
  <c r="K92" i="2"/>
  <c r="H92" i="2"/>
  <c r="F92" i="2"/>
  <c r="E92" i="2"/>
  <c r="C92" i="2"/>
  <c r="J92" i="2" s="1"/>
  <c r="B92" i="2"/>
  <c r="G92" i="2" s="1"/>
  <c r="H91" i="2"/>
  <c r="F91" i="2"/>
  <c r="C91" i="2"/>
  <c r="B91" i="2"/>
  <c r="G91" i="2" s="1"/>
  <c r="K90" i="2"/>
  <c r="H90" i="2"/>
  <c r="F90" i="2"/>
  <c r="E90" i="2"/>
  <c r="C90" i="2"/>
  <c r="J90" i="2" s="1"/>
  <c r="B90" i="2"/>
  <c r="G90" i="2" s="1"/>
  <c r="M89" i="2"/>
  <c r="H89" i="2"/>
  <c r="F89" i="2"/>
  <c r="C89" i="2"/>
  <c r="B89" i="2"/>
  <c r="G89" i="2" s="1"/>
  <c r="K88" i="2"/>
  <c r="H88" i="2"/>
  <c r="F88" i="2"/>
  <c r="E88" i="2"/>
  <c r="C88" i="2"/>
  <c r="J88" i="2" s="1"/>
  <c r="B88" i="2"/>
  <c r="G88" i="2" s="1"/>
  <c r="H87" i="2"/>
  <c r="F87" i="2"/>
  <c r="C87" i="2"/>
  <c r="M87" i="2" s="1"/>
  <c r="B87" i="2"/>
  <c r="G87" i="2" s="1"/>
  <c r="K86" i="2"/>
  <c r="H86" i="2"/>
  <c r="F86" i="2"/>
  <c r="E86" i="2"/>
  <c r="C86" i="2"/>
  <c r="J86" i="2" s="1"/>
  <c r="B86" i="2"/>
  <c r="G86" i="2" s="1"/>
  <c r="M85" i="2"/>
  <c r="H85" i="2"/>
  <c r="F85" i="2"/>
  <c r="C85" i="2"/>
  <c r="B85" i="2"/>
  <c r="G85" i="2" s="1"/>
  <c r="K84" i="2"/>
  <c r="H84" i="2"/>
  <c r="F84" i="2"/>
  <c r="E84" i="2"/>
  <c r="C84" i="2"/>
  <c r="J84" i="2" s="1"/>
  <c r="B84" i="2"/>
  <c r="G84" i="2" s="1"/>
  <c r="H83" i="2"/>
  <c r="F83" i="2"/>
  <c r="C83" i="2"/>
  <c r="B83" i="2"/>
  <c r="G83" i="2" s="1"/>
  <c r="K82" i="2"/>
  <c r="H82" i="2"/>
  <c r="F82" i="2"/>
  <c r="E82" i="2"/>
  <c r="C82" i="2"/>
  <c r="J82" i="2" s="1"/>
  <c r="B82" i="2"/>
  <c r="G82" i="2" s="1"/>
  <c r="H81" i="2"/>
  <c r="F81" i="2"/>
  <c r="C81" i="2"/>
  <c r="B81" i="2"/>
  <c r="G81" i="2" s="1"/>
  <c r="H80" i="2"/>
  <c r="F80" i="2"/>
  <c r="E80" i="2"/>
  <c r="C80" i="2"/>
  <c r="B80" i="2"/>
  <c r="G80" i="2" s="1"/>
  <c r="H79" i="2"/>
  <c r="F79" i="2"/>
  <c r="C79" i="2"/>
  <c r="K79" i="2" s="1"/>
  <c r="B79" i="2"/>
  <c r="G79" i="2" s="1"/>
  <c r="H78" i="2"/>
  <c r="F78" i="2"/>
  <c r="E78" i="2"/>
  <c r="C78" i="2"/>
  <c r="B78" i="2"/>
  <c r="G78" i="2" s="1"/>
  <c r="H77" i="2"/>
  <c r="F77" i="2"/>
  <c r="C77" i="2"/>
  <c r="K77" i="2" s="1"/>
  <c r="B77" i="2"/>
  <c r="G77" i="2" s="1"/>
  <c r="M76" i="2"/>
  <c r="H76" i="2"/>
  <c r="F76" i="2"/>
  <c r="E76" i="2"/>
  <c r="C76" i="2"/>
  <c r="B76" i="2"/>
  <c r="G76" i="2" s="1"/>
  <c r="K75" i="2"/>
  <c r="H75" i="2"/>
  <c r="F75" i="2"/>
  <c r="C75" i="2"/>
  <c r="B75" i="2"/>
  <c r="G75" i="2" s="1"/>
  <c r="M74" i="2"/>
  <c r="H74" i="2"/>
  <c r="F74" i="2"/>
  <c r="E74" i="2"/>
  <c r="C74" i="2"/>
  <c r="B74" i="2"/>
  <c r="G74" i="2" s="1"/>
  <c r="M73" i="2"/>
  <c r="F73" i="2"/>
  <c r="C73" i="2"/>
  <c r="B73" i="2"/>
  <c r="E73" i="2" s="1"/>
  <c r="K72" i="2"/>
  <c r="H72" i="2"/>
  <c r="F72" i="2"/>
  <c r="E72" i="2"/>
  <c r="C72" i="2"/>
  <c r="L72" i="2" s="1"/>
  <c r="B72" i="2"/>
  <c r="G72" i="2" s="1"/>
  <c r="L71" i="2"/>
  <c r="F71" i="2"/>
  <c r="C71" i="2"/>
  <c r="J71" i="2" s="1"/>
  <c r="B71" i="2"/>
  <c r="E71" i="2" s="1"/>
  <c r="K70" i="2"/>
  <c r="H70" i="2"/>
  <c r="F70" i="2"/>
  <c r="E70" i="2"/>
  <c r="C70" i="2"/>
  <c r="L70" i="2" s="1"/>
  <c r="B70" i="2"/>
  <c r="G70" i="2" s="1"/>
  <c r="L69" i="2"/>
  <c r="F69" i="2"/>
  <c r="C69" i="2"/>
  <c r="J69" i="2" s="1"/>
  <c r="B69" i="2"/>
  <c r="E69" i="2" s="1"/>
  <c r="K68" i="2"/>
  <c r="H68" i="2"/>
  <c r="F68" i="2"/>
  <c r="E68" i="2"/>
  <c r="C68" i="2"/>
  <c r="L68" i="2" s="1"/>
  <c r="B68" i="2"/>
  <c r="G68" i="2" s="1"/>
  <c r="L67" i="2"/>
  <c r="F67" i="2"/>
  <c r="C67" i="2"/>
  <c r="J67" i="2" s="1"/>
  <c r="B67" i="2"/>
  <c r="E67" i="2" s="1"/>
  <c r="K66" i="2"/>
  <c r="H66" i="2"/>
  <c r="F66" i="2"/>
  <c r="E66" i="2"/>
  <c r="C66" i="2"/>
  <c r="L66" i="2" s="1"/>
  <c r="B66" i="2"/>
  <c r="G66" i="2" s="1"/>
  <c r="L65" i="2"/>
  <c r="F65" i="2"/>
  <c r="C65" i="2"/>
  <c r="J65" i="2" s="1"/>
  <c r="B65" i="2"/>
  <c r="E65" i="2" s="1"/>
  <c r="K64" i="2"/>
  <c r="H64" i="2"/>
  <c r="F64" i="2"/>
  <c r="E64" i="2"/>
  <c r="C64" i="2"/>
  <c r="L64" i="2" s="1"/>
  <c r="B64" i="2"/>
  <c r="G64" i="2" s="1"/>
  <c r="L63" i="2"/>
  <c r="F63" i="2"/>
  <c r="C63" i="2"/>
  <c r="J63" i="2" s="1"/>
  <c r="B63" i="2"/>
  <c r="E63" i="2" s="1"/>
  <c r="K62" i="2"/>
  <c r="H62" i="2"/>
  <c r="F62" i="2"/>
  <c r="E62" i="2"/>
  <c r="C62" i="2"/>
  <c r="L62" i="2" s="1"/>
  <c r="B62" i="2"/>
  <c r="G62" i="2" s="1"/>
  <c r="L61" i="2"/>
  <c r="F61" i="2"/>
  <c r="C61" i="2"/>
  <c r="J61" i="2" s="1"/>
  <c r="B61" i="2"/>
  <c r="E61" i="2" s="1"/>
  <c r="K60" i="2"/>
  <c r="H60" i="2"/>
  <c r="F60" i="2"/>
  <c r="E60" i="2"/>
  <c r="C60" i="2"/>
  <c r="L60" i="2" s="1"/>
  <c r="B60" i="2"/>
  <c r="G60" i="2" s="1"/>
  <c r="L59" i="2"/>
  <c r="F59" i="2"/>
  <c r="C59" i="2"/>
  <c r="J59" i="2" s="1"/>
  <c r="B59" i="2"/>
  <c r="E59" i="2" s="1"/>
  <c r="K58" i="2"/>
  <c r="H58" i="2"/>
  <c r="F58" i="2"/>
  <c r="E58" i="2"/>
  <c r="C58" i="2"/>
  <c r="L58" i="2" s="1"/>
  <c r="B58" i="2"/>
  <c r="G58" i="2" s="1"/>
  <c r="L57" i="2"/>
  <c r="F57" i="2"/>
  <c r="C57" i="2"/>
  <c r="J57" i="2" s="1"/>
  <c r="B57" i="2"/>
  <c r="E57" i="2" s="1"/>
  <c r="K56" i="2"/>
  <c r="H56" i="2"/>
  <c r="F56" i="2"/>
  <c r="E56" i="2"/>
  <c r="C56" i="2"/>
  <c r="L56" i="2" s="1"/>
  <c r="B56" i="2"/>
  <c r="G56" i="2" s="1"/>
  <c r="F55" i="2"/>
  <c r="C55" i="2"/>
  <c r="J55" i="2" s="1"/>
  <c r="B55" i="2"/>
  <c r="E55" i="2" s="1"/>
  <c r="H54" i="2"/>
  <c r="F54" i="2"/>
  <c r="E54" i="2"/>
  <c r="C54" i="2"/>
  <c r="L54" i="2" s="1"/>
  <c r="B54" i="2"/>
  <c r="G54" i="2" s="1"/>
  <c r="F53" i="2"/>
  <c r="C53" i="2"/>
  <c r="J53" i="2" s="1"/>
  <c r="B53" i="2"/>
  <c r="E53" i="2" s="1"/>
  <c r="H52" i="2"/>
  <c r="F52" i="2"/>
  <c r="E52" i="2"/>
  <c r="C52" i="2"/>
  <c r="L52" i="2" s="1"/>
  <c r="B52" i="2"/>
  <c r="G52" i="2" s="1"/>
  <c r="F51" i="2"/>
  <c r="C51" i="2"/>
  <c r="J51" i="2" s="1"/>
  <c r="B51" i="2"/>
  <c r="E51" i="2" s="1"/>
  <c r="H50" i="2"/>
  <c r="F50" i="2"/>
  <c r="E50" i="2"/>
  <c r="C50" i="2"/>
  <c r="L50" i="2" s="1"/>
  <c r="B50" i="2"/>
  <c r="G50" i="2" s="1"/>
  <c r="F49" i="2"/>
  <c r="C49" i="2"/>
  <c r="J49" i="2" s="1"/>
  <c r="B49" i="2"/>
  <c r="E49" i="2" s="1"/>
  <c r="H48" i="2"/>
  <c r="F48" i="2"/>
  <c r="E48" i="2"/>
  <c r="C48" i="2"/>
  <c r="L48" i="2" s="1"/>
  <c r="B48" i="2"/>
  <c r="G48" i="2" s="1"/>
  <c r="F47" i="2"/>
  <c r="C47" i="2"/>
  <c r="J47" i="2" s="1"/>
  <c r="B47" i="2"/>
  <c r="E47" i="2" s="1"/>
  <c r="H46" i="2"/>
  <c r="F46" i="2"/>
  <c r="E46" i="2"/>
  <c r="C46" i="2"/>
  <c r="L46" i="2" s="1"/>
  <c r="B46" i="2"/>
  <c r="G46" i="2" s="1"/>
  <c r="F45" i="2"/>
  <c r="C45" i="2"/>
  <c r="J45" i="2" s="1"/>
  <c r="B45" i="2"/>
  <c r="E45" i="2" s="1"/>
  <c r="H44" i="2"/>
  <c r="F44" i="2"/>
  <c r="E44" i="2"/>
  <c r="C44" i="2"/>
  <c r="L44" i="2" s="1"/>
  <c r="B44" i="2"/>
  <c r="G44" i="2" s="1"/>
  <c r="F43" i="2"/>
  <c r="C43" i="2"/>
  <c r="J43" i="2" s="1"/>
  <c r="B43" i="2"/>
  <c r="E43" i="2" s="1"/>
  <c r="H42" i="2"/>
  <c r="F42" i="2"/>
  <c r="E42" i="2"/>
  <c r="C42" i="2"/>
  <c r="L42" i="2" s="1"/>
  <c r="B42" i="2"/>
  <c r="G42" i="2" s="1"/>
  <c r="F41" i="2"/>
  <c r="C41" i="2"/>
  <c r="J41" i="2" s="1"/>
  <c r="B41" i="2"/>
  <c r="E41" i="2" s="1"/>
  <c r="H40" i="2"/>
  <c r="F40" i="2"/>
  <c r="E40" i="2"/>
  <c r="C40" i="2"/>
  <c r="L40" i="2" s="1"/>
  <c r="B40" i="2"/>
  <c r="G40" i="2" s="1"/>
  <c r="F39" i="2"/>
  <c r="C39" i="2"/>
  <c r="J39" i="2" s="1"/>
  <c r="B39" i="2"/>
  <c r="E39" i="2" s="1"/>
  <c r="H38" i="2"/>
  <c r="F38" i="2"/>
  <c r="E38" i="2"/>
  <c r="C38" i="2"/>
  <c r="L38" i="2" s="1"/>
  <c r="B38" i="2"/>
  <c r="G38" i="2" s="1"/>
  <c r="F37" i="2"/>
  <c r="C37" i="2"/>
  <c r="J37" i="2" s="1"/>
  <c r="B37" i="2"/>
  <c r="E37" i="2" s="1"/>
  <c r="H36" i="2"/>
  <c r="F36" i="2"/>
  <c r="E36" i="2"/>
  <c r="C36" i="2"/>
  <c r="L36" i="2" s="1"/>
  <c r="B36" i="2"/>
  <c r="G36" i="2" s="1"/>
  <c r="F35" i="2"/>
  <c r="C35" i="2"/>
  <c r="J35" i="2" s="1"/>
  <c r="B35" i="2"/>
  <c r="E35" i="2" s="1"/>
  <c r="H34" i="2"/>
  <c r="F34" i="2"/>
  <c r="E34" i="2"/>
  <c r="C34" i="2"/>
  <c r="L34" i="2" s="1"/>
  <c r="B34" i="2"/>
  <c r="G34" i="2" s="1"/>
  <c r="F33" i="2"/>
  <c r="C33" i="2"/>
  <c r="J33" i="2" s="1"/>
  <c r="B33" i="2"/>
  <c r="E33" i="2" s="1"/>
  <c r="H32" i="2"/>
  <c r="F32" i="2"/>
  <c r="E32" i="2"/>
  <c r="C32" i="2"/>
  <c r="L32" i="2" s="1"/>
  <c r="B32" i="2"/>
  <c r="G32" i="2" s="1"/>
  <c r="F31" i="2"/>
  <c r="C31" i="2"/>
  <c r="J31" i="2" s="1"/>
  <c r="B31" i="2"/>
  <c r="E31" i="2" s="1"/>
  <c r="H30" i="2"/>
  <c r="F30" i="2"/>
  <c r="E30" i="2"/>
  <c r="C30" i="2"/>
  <c r="L30" i="2" s="1"/>
  <c r="B30" i="2"/>
  <c r="G30" i="2" s="1"/>
  <c r="F29" i="2"/>
  <c r="C29" i="2"/>
  <c r="J29" i="2" s="1"/>
  <c r="B29" i="2"/>
  <c r="E29" i="2" s="1"/>
  <c r="H28" i="2"/>
  <c r="F28" i="2"/>
  <c r="E28" i="2"/>
  <c r="C28" i="2"/>
  <c r="L28" i="2" s="1"/>
  <c r="B28" i="2"/>
  <c r="G28" i="2" s="1"/>
  <c r="F27" i="2"/>
  <c r="C27" i="2"/>
  <c r="J27" i="2" s="1"/>
  <c r="B27" i="2"/>
  <c r="E27" i="2" s="1"/>
  <c r="H26" i="2"/>
  <c r="F26" i="2"/>
  <c r="E26" i="2"/>
  <c r="C26" i="2"/>
  <c r="L26" i="2" s="1"/>
  <c r="B26" i="2"/>
  <c r="G26" i="2" s="1"/>
  <c r="F25" i="2"/>
  <c r="C25" i="2"/>
  <c r="J25" i="2" s="1"/>
  <c r="B25" i="2"/>
  <c r="E25" i="2" s="1"/>
  <c r="H24" i="2"/>
  <c r="F24" i="2"/>
  <c r="E24" i="2"/>
  <c r="C24" i="2"/>
  <c r="L24" i="2" s="1"/>
  <c r="B24" i="2"/>
  <c r="G24" i="2" s="1"/>
  <c r="F23" i="2"/>
  <c r="C23" i="2"/>
  <c r="J23" i="2" s="1"/>
  <c r="B23" i="2"/>
  <c r="E23" i="2" s="1"/>
  <c r="H22" i="2"/>
  <c r="F22" i="2"/>
  <c r="E22" i="2"/>
  <c r="C22" i="2"/>
  <c r="L22" i="2" s="1"/>
  <c r="B22" i="2"/>
  <c r="G22" i="2" s="1"/>
  <c r="F21" i="2"/>
  <c r="C21" i="2"/>
  <c r="J21" i="2" s="1"/>
  <c r="B21" i="2"/>
  <c r="E21" i="2" s="1"/>
  <c r="H20" i="2"/>
  <c r="F20" i="2"/>
  <c r="E20" i="2"/>
  <c r="C20" i="2"/>
  <c r="L20" i="2" s="1"/>
  <c r="B20" i="2"/>
  <c r="G20" i="2" s="1"/>
  <c r="F19" i="2"/>
  <c r="C19" i="2"/>
  <c r="J19" i="2" s="1"/>
  <c r="B19" i="2"/>
  <c r="E19" i="2" s="1"/>
  <c r="H18" i="2"/>
  <c r="F18" i="2"/>
  <c r="E18" i="2"/>
  <c r="C18" i="2"/>
  <c r="L18" i="2" s="1"/>
  <c r="B18" i="2"/>
  <c r="G18" i="2" s="1"/>
  <c r="F17" i="2"/>
  <c r="C17" i="2"/>
  <c r="J17" i="2" s="1"/>
  <c r="B17" i="2"/>
  <c r="E17" i="2" s="1"/>
  <c r="K16" i="2"/>
  <c r="J16" i="2"/>
  <c r="H16" i="2"/>
  <c r="F16" i="2"/>
  <c r="E16" i="2"/>
  <c r="C16" i="2"/>
  <c r="M16" i="2" s="1"/>
  <c r="B16" i="2"/>
  <c r="G16" i="2" s="1"/>
  <c r="L15" i="2"/>
  <c r="C15" i="2"/>
  <c r="K15" i="2" s="1"/>
  <c r="B15" i="2"/>
  <c r="F15" i="2" s="1"/>
  <c r="K14" i="2"/>
  <c r="J14" i="2"/>
  <c r="H14" i="2"/>
  <c r="F14" i="2"/>
  <c r="E14" i="2"/>
  <c r="C14" i="2"/>
  <c r="M14" i="2" s="1"/>
  <c r="B14" i="2"/>
  <c r="G14" i="2" s="1"/>
  <c r="L13" i="2"/>
  <c r="C13" i="2"/>
  <c r="K13" i="2" s="1"/>
  <c r="B13" i="2"/>
  <c r="F13" i="2" s="1"/>
  <c r="K12" i="2"/>
  <c r="J12" i="2"/>
  <c r="F12" i="2"/>
  <c r="E12" i="2"/>
  <c r="C12" i="2"/>
  <c r="M12" i="2" s="1"/>
  <c r="B12" i="2"/>
  <c r="H12" i="2" s="1"/>
  <c r="L11" i="2"/>
  <c r="C11" i="2"/>
  <c r="K11" i="2" s="1"/>
  <c r="B11" i="2"/>
  <c r="F11" i="2" s="1"/>
  <c r="K10" i="2"/>
  <c r="J10" i="2"/>
  <c r="F10" i="2"/>
  <c r="E10" i="2"/>
  <c r="C10" i="2"/>
  <c r="M10" i="2" s="1"/>
  <c r="B10" i="2"/>
  <c r="H10" i="2" s="1"/>
  <c r="L9" i="2"/>
  <c r="C9" i="2"/>
  <c r="K9" i="2" s="1"/>
  <c r="B9" i="2"/>
  <c r="F9" i="2" s="1"/>
  <c r="L8" i="2"/>
  <c r="K8" i="2"/>
  <c r="J8" i="2"/>
  <c r="F8" i="2"/>
  <c r="E8" i="2"/>
  <c r="C8" i="2"/>
  <c r="M8" i="2" s="1"/>
  <c r="B8" i="2"/>
  <c r="H8" i="2" s="1"/>
  <c r="L7" i="2"/>
  <c r="C7" i="2"/>
  <c r="K7" i="2" s="1"/>
  <c r="B7" i="2"/>
  <c r="F7" i="2" s="1"/>
  <c r="L6" i="2"/>
  <c r="K6" i="2"/>
  <c r="J6" i="2"/>
  <c r="F6" i="2"/>
  <c r="E6" i="2"/>
  <c r="C6" i="2"/>
  <c r="M6" i="2" s="1"/>
  <c r="B6" i="2"/>
  <c r="H6" i="2" s="1"/>
  <c r="L5" i="2"/>
  <c r="C5" i="2"/>
  <c r="K5" i="2" s="1"/>
  <c r="B5" i="2"/>
  <c r="F5" i="2" s="1"/>
  <c r="L4" i="2"/>
  <c r="K4" i="2"/>
  <c r="J4" i="2"/>
  <c r="F4" i="2"/>
  <c r="E4" i="2"/>
  <c r="C4" i="2"/>
  <c r="M4" i="2" s="1"/>
  <c r="B4" i="2"/>
  <c r="H4" i="2" s="1"/>
  <c r="L3" i="2"/>
  <c r="C3" i="2"/>
  <c r="K3" i="2" s="1"/>
  <c r="B3" i="2"/>
  <c r="F3" i="2" s="1"/>
  <c r="G3" i="4" l="1"/>
  <c r="G786" i="4"/>
  <c r="G782" i="4"/>
  <c r="G780" i="4"/>
  <c r="G779" i="4"/>
  <c r="G777" i="4"/>
  <c r="G776" i="4"/>
  <c r="G774" i="4"/>
  <c r="G773" i="4"/>
  <c r="G771" i="4"/>
  <c r="G770" i="4"/>
  <c r="G768" i="4"/>
  <c r="G767" i="4"/>
  <c r="G765" i="4"/>
  <c r="G763" i="4"/>
  <c r="G761" i="4"/>
  <c r="G759" i="4"/>
  <c r="G757" i="4"/>
  <c r="G755" i="4"/>
  <c r="G753" i="4"/>
  <c r="G751" i="4"/>
  <c r="G749" i="4"/>
  <c r="G747" i="4"/>
  <c r="G745" i="4"/>
  <c r="G743" i="4"/>
  <c r="G741" i="4"/>
  <c r="G739" i="4"/>
  <c r="G737" i="4"/>
  <c r="G735" i="4"/>
  <c r="G733" i="4"/>
  <c r="G731" i="4"/>
  <c r="G729" i="4"/>
  <c r="G727" i="4"/>
  <c r="G725" i="4"/>
  <c r="G723" i="4"/>
  <c r="G721" i="4"/>
  <c r="G719" i="4"/>
  <c r="G717" i="4"/>
  <c r="G715" i="4"/>
  <c r="G713" i="4"/>
  <c r="G711" i="4"/>
  <c r="G709" i="4"/>
  <c r="G707" i="4"/>
  <c r="G705" i="4"/>
  <c r="G703" i="4"/>
  <c r="G701" i="4"/>
  <c r="G699" i="4"/>
  <c r="G697" i="4"/>
  <c r="G694" i="4"/>
  <c r="G692" i="4"/>
  <c r="G691" i="4"/>
  <c r="G689" i="4"/>
  <c r="G687" i="4"/>
  <c r="G684" i="4"/>
  <c r="G682" i="4"/>
  <c r="G681" i="4"/>
  <c r="G679" i="4"/>
  <c r="G677" i="4"/>
  <c r="G675" i="4"/>
  <c r="G673" i="4"/>
  <c r="G671" i="4"/>
  <c r="G669" i="4"/>
  <c r="G667" i="4"/>
  <c r="G665" i="4"/>
  <c r="G664" i="4"/>
  <c r="G662" i="4"/>
  <c r="G660" i="4"/>
  <c r="G658" i="4"/>
  <c r="G656" i="4"/>
  <c r="G654" i="4"/>
  <c r="G652" i="4"/>
  <c r="G650" i="4"/>
  <c r="G647" i="4"/>
  <c r="G781" i="4"/>
  <c r="G778" i="4"/>
  <c r="G775" i="4"/>
  <c r="G772" i="4"/>
  <c r="G769" i="4"/>
  <c r="G766" i="4"/>
  <c r="G764" i="4"/>
  <c r="G762" i="4"/>
  <c r="G760" i="4"/>
  <c r="G758" i="4"/>
  <c r="G756" i="4"/>
  <c r="G754" i="4"/>
  <c r="G752" i="4"/>
  <c r="G750" i="4"/>
  <c r="G748" i="4"/>
  <c r="G746" i="4"/>
  <c r="G744" i="4"/>
  <c r="G742" i="4"/>
  <c r="G740" i="4"/>
  <c r="G738" i="4"/>
  <c r="G736" i="4"/>
  <c r="G734" i="4"/>
  <c r="G732" i="4"/>
  <c r="G730" i="4"/>
  <c r="G728" i="4"/>
  <c r="G726" i="4"/>
  <c r="G724" i="4"/>
  <c r="G722" i="4"/>
  <c r="G720" i="4"/>
  <c r="G718" i="4"/>
  <c r="G716" i="4"/>
  <c r="G714" i="4"/>
  <c r="G712" i="4"/>
  <c r="G710" i="4"/>
  <c r="G708" i="4"/>
  <c r="G706" i="4"/>
  <c r="G704" i="4"/>
  <c r="G702" i="4"/>
  <c r="G700" i="4"/>
  <c r="G698" i="4"/>
  <c r="G696" i="4"/>
  <c r="G695" i="4"/>
  <c r="G693" i="4"/>
  <c r="G690" i="4"/>
  <c r="G688" i="4"/>
  <c r="G686" i="4"/>
  <c r="G685" i="4"/>
  <c r="G683" i="4"/>
  <c r="G680" i="4"/>
  <c r="G678" i="4"/>
  <c r="G676" i="4"/>
  <c r="G674" i="4"/>
  <c r="G672" i="4"/>
  <c r="G670" i="4"/>
  <c r="G668" i="4"/>
  <c r="G666" i="4"/>
  <c r="G663" i="4"/>
  <c r="G661" i="4"/>
  <c r="G659" i="4"/>
  <c r="G657" i="4"/>
  <c r="G655" i="4"/>
  <c r="G653" i="4"/>
  <c r="G651" i="4"/>
  <c r="G649" i="4"/>
  <c r="G648" i="4"/>
  <c r="G646" i="4"/>
  <c r="G645" i="4"/>
  <c r="G643" i="4"/>
  <c r="G641" i="4"/>
  <c r="G639" i="4"/>
  <c r="G637" i="4"/>
  <c r="G635" i="4"/>
  <c r="G633" i="4"/>
  <c r="G631" i="4"/>
  <c r="G629" i="4"/>
  <c r="G627" i="4"/>
  <c r="G625" i="4"/>
  <c r="G623" i="4"/>
  <c r="G621" i="4"/>
  <c r="G619" i="4"/>
  <c r="G617" i="4"/>
  <c r="G615" i="4"/>
  <c r="G613" i="4"/>
  <c r="G611" i="4"/>
  <c r="G609" i="4"/>
  <c r="G607" i="4"/>
  <c r="G605" i="4"/>
  <c r="G603" i="4"/>
  <c r="G601" i="4"/>
  <c r="G599" i="4"/>
  <c r="G596" i="4"/>
  <c r="G594" i="4"/>
  <c r="G588" i="4"/>
  <c r="G364" i="4"/>
  <c r="G361" i="4"/>
  <c r="G359" i="4"/>
  <c r="G356" i="4"/>
  <c r="G354" i="4"/>
  <c r="G352" i="4"/>
  <c r="G349" i="4"/>
  <c r="G347" i="4"/>
  <c r="G344" i="4"/>
  <c r="G341" i="4"/>
  <c r="G338" i="4"/>
  <c r="G336" i="4"/>
  <c r="G333" i="4"/>
  <c r="G331" i="4"/>
  <c r="G329" i="4"/>
  <c r="G327" i="4"/>
  <c r="G325" i="4"/>
  <c r="G323" i="4"/>
  <c r="G321" i="4"/>
  <c r="G319" i="4"/>
  <c r="G317" i="4"/>
  <c r="G315" i="4"/>
  <c r="G313" i="4"/>
  <c r="G312" i="4"/>
  <c r="G310" i="4"/>
  <c r="G308" i="4"/>
  <c r="G306" i="4"/>
  <c r="G304" i="4"/>
  <c r="G302" i="4"/>
  <c r="G300" i="4"/>
  <c r="G298" i="4"/>
  <c r="G296" i="4"/>
  <c r="G294" i="4"/>
  <c r="G292" i="4"/>
  <c r="G290" i="4"/>
  <c r="G288" i="4"/>
  <c r="G286" i="4"/>
  <c r="G284" i="4"/>
  <c r="G282" i="4"/>
  <c r="G280" i="4"/>
  <c r="G278" i="4"/>
  <c r="G276" i="4"/>
  <c r="G274" i="4"/>
  <c r="G272" i="4"/>
  <c r="G270" i="4"/>
  <c r="G268" i="4"/>
  <c r="G267" i="4"/>
  <c r="G265" i="4"/>
  <c r="G262" i="4"/>
  <c r="G261" i="4"/>
  <c r="G259" i="4"/>
  <c r="G257" i="4"/>
  <c r="G255" i="4"/>
  <c r="G253" i="4"/>
  <c r="G251" i="4"/>
  <c r="G250" i="4"/>
  <c r="G249" i="4"/>
  <c r="G247" i="4"/>
  <c r="G244" i="4"/>
  <c r="G241" i="4"/>
  <c r="G238" i="4"/>
  <c r="G235" i="4"/>
  <c r="G232" i="4"/>
  <c r="G215" i="4"/>
  <c r="G644" i="4"/>
  <c r="G642" i="4"/>
  <c r="G640" i="4"/>
  <c r="G638" i="4"/>
  <c r="G636" i="4"/>
  <c r="G634" i="4"/>
  <c r="G632" i="4"/>
  <c r="G630" i="4"/>
  <c r="G628" i="4"/>
  <c r="G626" i="4"/>
  <c r="G624" i="4"/>
  <c r="G622" i="4"/>
  <c r="G620" i="4"/>
  <c r="G618" i="4"/>
  <c r="G616" i="4"/>
  <c r="G614" i="4"/>
  <c r="G612" i="4"/>
  <c r="G610" i="4"/>
  <c r="G608" i="4"/>
  <c r="G606" i="4"/>
  <c r="G604" i="4"/>
  <c r="G602" i="4"/>
  <c r="G600" i="4"/>
  <c r="G598" i="4"/>
  <c r="G597" i="4"/>
  <c r="G595" i="4"/>
  <c r="G593" i="4"/>
  <c r="G592" i="4"/>
  <c r="G591" i="4"/>
  <c r="G590" i="4"/>
  <c r="G589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3" i="4"/>
  <c r="G362" i="4"/>
  <c r="G360" i="4"/>
  <c r="G358" i="4"/>
  <c r="G357" i="4"/>
  <c r="G355" i="4"/>
  <c r="G353" i="4"/>
  <c r="G351" i="4"/>
  <c r="G350" i="4"/>
  <c r="G348" i="4"/>
  <c r="G346" i="4"/>
  <c r="G345" i="4"/>
  <c r="G343" i="4"/>
  <c r="G342" i="4"/>
  <c r="G340" i="4"/>
  <c r="G339" i="4"/>
  <c r="G337" i="4"/>
  <c r="G335" i="4"/>
  <c r="G334" i="4"/>
  <c r="G332" i="4"/>
  <c r="G330" i="4"/>
  <c r="G328" i="4"/>
  <c r="G326" i="4"/>
  <c r="G324" i="4"/>
  <c r="G322" i="4"/>
  <c r="G320" i="4"/>
  <c r="G318" i="4"/>
  <c r="G316" i="4"/>
  <c r="G314" i="4"/>
  <c r="G311" i="4"/>
  <c r="G309" i="4"/>
  <c r="G307" i="4"/>
  <c r="G305" i="4"/>
  <c r="G303" i="4"/>
  <c r="G301" i="4"/>
  <c r="G299" i="4"/>
  <c r="G297" i="4"/>
  <c r="G295" i="4"/>
  <c r="G293" i="4"/>
  <c r="G291" i="4"/>
  <c r="G289" i="4"/>
  <c r="G287" i="4"/>
  <c r="G285" i="4"/>
  <c r="G283" i="4"/>
  <c r="G281" i="4"/>
  <c r="G279" i="4"/>
  <c r="G277" i="4"/>
  <c r="G275" i="4"/>
  <c r="G273" i="4"/>
  <c r="G271" i="4"/>
  <c r="G269" i="4"/>
  <c r="G266" i="4"/>
  <c r="G264" i="4"/>
  <c r="G263" i="4"/>
  <c r="G260" i="4"/>
  <c r="G258" i="4"/>
  <c r="G256" i="4"/>
  <c r="G254" i="4"/>
  <c r="G252" i="4"/>
  <c r="G248" i="4"/>
  <c r="G246" i="4"/>
  <c r="G245" i="4"/>
  <c r="G243" i="4"/>
  <c r="G242" i="4"/>
  <c r="G240" i="4"/>
  <c r="G239" i="4"/>
  <c r="G237" i="4"/>
  <c r="G236" i="4"/>
  <c r="G234" i="4"/>
  <c r="G233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135" i="4"/>
  <c r="G78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4" i="4"/>
  <c r="G133" i="4"/>
  <c r="G132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784" i="4"/>
  <c r="G131" i="4"/>
  <c r="G75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3" i="4"/>
  <c r="G3" i="2"/>
  <c r="G5" i="2"/>
  <c r="G7" i="2"/>
  <c r="G9" i="2"/>
  <c r="G11" i="2"/>
  <c r="G13" i="2"/>
  <c r="G15" i="2"/>
  <c r="K17" i="2"/>
  <c r="Q13" i="2" s="1"/>
  <c r="J20" i="2"/>
  <c r="K21" i="2"/>
  <c r="K23" i="2"/>
  <c r="J26" i="2"/>
  <c r="K27" i="2"/>
  <c r="J30" i="2"/>
  <c r="J32" i="2"/>
  <c r="J34" i="2"/>
  <c r="J36" i="2"/>
  <c r="J38" i="2"/>
  <c r="J40" i="2"/>
  <c r="J42" i="2"/>
  <c r="J44" i="2"/>
  <c r="J46" i="2"/>
  <c r="K47" i="2"/>
  <c r="H3" i="2"/>
  <c r="H5" i="2"/>
  <c r="M5" i="2"/>
  <c r="H7" i="2"/>
  <c r="H9" i="2"/>
  <c r="M9" i="2"/>
  <c r="M11" i="2"/>
  <c r="M13" i="2"/>
  <c r="K18" i="2"/>
  <c r="K20" i="2"/>
  <c r="L23" i="2"/>
  <c r="K26" i="2"/>
  <c r="L27" i="2"/>
  <c r="L29" i="2"/>
  <c r="L33" i="2"/>
  <c r="L35" i="2"/>
  <c r="K36" i="2"/>
  <c r="K38" i="2"/>
  <c r="K40" i="2"/>
  <c r="K42" i="2"/>
  <c r="K44" i="2"/>
  <c r="K46" i="2"/>
  <c r="K48" i="2"/>
  <c r="K50" i="2"/>
  <c r="L53" i="2"/>
  <c r="K54" i="2"/>
  <c r="L55" i="2"/>
  <c r="J78" i="2"/>
  <c r="L78" i="2"/>
  <c r="L81" i="2"/>
  <c r="J81" i="2"/>
  <c r="L99" i="2"/>
  <c r="K99" i="2"/>
  <c r="J99" i="2"/>
  <c r="L123" i="2"/>
  <c r="K123" i="2"/>
  <c r="J123" i="2"/>
  <c r="L139" i="2"/>
  <c r="K139" i="2"/>
  <c r="J139" i="2"/>
  <c r="L155" i="2"/>
  <c r="K155" i="2"/>
  <c r="J155" i="2"/>
  <c r="L171" i="2"/>
  <c r="K171" i="2"/>
  <c r="J171" i="2"/>
  <c r="L187" i="2"/>
  <c r="K187" i="2"/>
  <c r="J187" i="2"/>
  <c r="L211" i="2"/>
  <c r="K211" i="2"/>
  <c r="J211" i="2"/>
  <c r="L227" i="2"/>
  <c r="K227" i="2"/>
  <c r="J227" i="2"/>
  <c r="L243" i="2"/>
  <c r="K243" i="2"/>
  <c r="J243" i="2"/>
  <c r="L259" i="2"/>
  <c r="K259" i="2"/>
  <c r="J259" i="2"/>
  <c r="K275" i="2"/>
  <c r="M275" i="2"/>
  <c r="L275" i="2"/>
  <c r="J275" i="2"/>
  <c r="F279" i="2"/>
  <c r="G279" i="2"/>
  <c r="E279" i="2"/>
  <c r="F287" i="2"/>
  <c r="G287" i="2"/>
  <c r="E287" i="2"/>
  <c r="H298" i="2"/>
  <c r="F298" i="2"/>
  <c r="E298" i="2"/>
  <c r="F308" i="2"/>
  <c r="E308" i="2"/>
  <c r="H308" i="2"/>
  <c r="G308" i="2"/>
  <c r="F324" i="2"/>
  <c r="E324" i="2"/>
  <c r="H324" i="2"/>
  <c r="G324" i="2"/>
  <c r="F380" i="2"/>
  <c r="E380" i="2"/>
  <c r="H380" i="2"/>
  <c r="G380" i="2"/>
  <c r="F396" i="2"/>
  <c r="E396" i="2"/>
  <c r="H396" i="2"/>
  <c r="G396" i="2"/>
  <c r="F604" i="2"/>
  <c r="E604" i="2"/>
  <c r="H604" i="2"/>
  <c r="G604" i="2"/>
  <c r="F620" i="2"/>
  <c r="E620" i="2"/>
  <c r="H620" i="2"/>
  <c r="G620" i="2"/>
  <c r="F686" i="2"/>
  <c r="E686" i="2"/>
  <c r="H686" i="2"/>
  <c r="G686" i="2"/>
  <c r="F702" i="2"/>
  <c r="E702" i="2"/>
  <c r="H702" i="2"/>
  <c r="G702" i="2"/>
  <c r="F718" i="2"/>
  <c r="E718" i="2"/>
  <c r="H718" i="2"/>
  <c r="G718" i="2"/>
  <c r="E3" i="2"/>
  <c r="J3" i="2"/>
  <c r="G4" i="2"/>
  <c r="G10" i="2"/>
  <c r="L10" i="2"/>
  <c r="R13" i="2" s="1"/>
  <c r="E11" i="2"/>
  <c r="J11" i="2"/>
  <c r="G12" i="2"/>
  <c r="L12" i="2"/>
  <c r="E13" i="2"/>
  <c r="J13" i="2"/>
  <c r="L14" i="2"/>
  <c r="E15" i="2"/>
  <c r="J15" i="2"/>
  <c r="L16" i="2"/>
  <c r="G17" i="2"/>
  <c r="M17" i="2"/>
  <c r="M18" i="2"/>
  <c r="G19" i="2"/>
  <c r="M19" i="2"/>
  <c r="M20" i="2"/>
  <c r="G21" i="2"/>
  <c r="M21" i="2"/>
  <c r="M22" i="2"/>
  <c r="G23" i="2"/>
  <c r="M23" i="2"/>
  <c r="M24" i="2"/>
  <c r="G25" i="2"/>
  <c r="M25" i="2"/>
  <c r="M26" i="2"/>
  <c r="G27" i="2"/>
  <c r="M27" i="2"/>
  <c r="M28" i="2"/>
  <c r="G29" i="2"/>
  <c r="M29" i="2"/>
  <c r="M30" i="2"/>
  <c r="G31" i="2"/>
  <c r="M31" i="2"/>
  <c r="M32" i="2"/>
  <c r="G33" i="2"/>
  <c r="M33" i="2"/>
  <c r="M34" i="2"/>
  <c r="G35" i="2"/>
  <c r="M35" i="2"/>
  <c r="M36" i="2"/>
  <c r="G37" i="2"/>
  <c r="M37" i="2"/>
  <c r="M38" i="2"/>
  <c r="G39" i="2"/>
  <c r="M39" i="2"/>
  <c r="M40" i="2"/>
  <c r="G41" i="2"/>
  <c r="M41" i="2"/>
  <c r="M42" i="2"/>
  <c r="G43" i="2"/>
  <c r="M43" i="2"/>
  <c r="M44" i="2"/>
  <c r="G45" i="2"/>
  <c r="M45" i="2"/>
  <c r="M46" i="2"/>
  <c r="G47" i="2"/>
  <c r="M47" i="2"/>
  <c r="M48" i="2"/>
  <c r="G49" i="2"/>
  <c r="M49" i="2"/>
  <c r="M50" i="2"/>
  <c r="G51" i="2"/>
  <c r="M51" i="2"/>
  <c r="M52" i="2"/>
  <c r="G53" i="2"/>
  <c r="M53" i="2"/>
  <c r="M54" i="2"/>
  <c r="G55" i="2"/>
  <c r="M55" i="2"/>
  <c r="M56" i="2"/>
  <c r="G57" i="2"/>
  <c r="M57" i="2"/>
  <c r="M58" i="2"/>
  <c r="G59" i="2"/>
  <c r="M59" i="2"/>
  <c r="M60" i="2"/>
  <c r="G61" i="2"/>
  <c r="M61" i="2"/>
  <c r="M62" i="2"/>
  <c r="G63" i="2"/>
  <c r="M63" i="2"/>
  <c r="M64" i="2"/>
  <c r="G65" i="2"/>
  <c r="M65" i="2"/>
  <c r="M66" i="2"/>
  <c r="G67" i="2"/>
  <c r="M67" i="2"/>
  <c r="M68" i="2"/>
  <c r="G69" i="2"/>
  <c r="M69" i="2"/>
  <c r="M70" i="2"/>
  <c r="G71" i="2"/>
  <c r="M71" i="2"/>
  <c r="M72" i="2"/>
  <c r="G73" i="2"/>
  <c r="L75" i="2"/>
  <c r="J75" i="2"/>
  <c r="M75" i="2"/>
  <c r="M78" i="2"/>
  <c r="J80" i="2"/>
  <c r="L80" i="2"/>
  <c r="K80" i="2"/>
  <c r="L89" i="2"/>
  <c r="K89" i="2"/>
  <c r="J89" i="2"/>
  <c r="L97" i="2"/>
  <c r="K97" i="2"/>
  <c r="J97" i="2"/>
  <c r="L105" i="2"/>
  <c r="K105" i="2"/>
  <c r="J105" i="2"/>
  <c r="L113" i="2"/>
  <c r="K113" i="2"/>
  <c r="J113" i="2"/>
  <c r="L121" i="2"/>
  <c r="K121" i="2"/>
  <c r="J121" i="2"/>
  <c r="L129" i="2"/>
  <c r="K129" i="2"/>
  <c r="J129" i="2"/>
  <c r="L137" i="2"/>
  <c r="K137" i="2"/>
  <c r="J137" i="2"/>
  <c r="L145" i="2"/>
  <c r="K145" i="2"/>
  <c r="J145" i="2"/>
  <c r="L153" i="2"/>
  <c r="K153" i="2"/>
  <c r="J153" i="2"/>
  <c r="L161" i="2"/>
  <c r="K161" i="2"/>
  <c r="J161" i="2"/>
  <c r="L169" i="2"/>
  <c r="K169" i="2"/>
  <c r="J169" i="2"/>
  <c r="L177" i="2"/>
  <c r="K177" i="2"/>
  <c r="J177" i="2"/>
  <c r="L185" i="2"/>
  <c r="K185" i="2"/>
  <c r="J185" i="2"/>
  <c r="L193" i="2"/>
  <c r="K193" i="2"/>
  <c r="J193" i="2"/>
  <c r="L201" i="2"/>
  <c r="K201" i="2"/>
  <c r="J201" i="2"/>
  <c r="L209" i="2"/>
  <c r="K209" i="2"/>
  <c r="J209" i="2"/>
  <c r="L217" i="2"/>
  <c r="K217" i="2"/>
  <c r="J217" i="2"/>
  <c r="L225" i="2"/>
  <c r="K225" i="2"/>
  <c r="J225" i="2"/>
  <c r="L233" i="2"/>
  <c r="K233" i="2"/>
  <c r="J233" i="2"/>
  <c r="L241" i="2"/>
  <c r="K241" i="2"/>
  <c r="J241" i="2"/>
  <c r="L249" i="2"/>
  <c r="K249" i="2"/>
  <c r="J249" i="2"/>
  <c r="L257" i="2"/>
  <c r="K257" i="2"/>
  <c r="J257" i="2"/>
  <c r="L265" i="2"/>
  <c r="K265" i="2"/>
  <c r="J265" i="2"/>
  <c r="L273" i="2"/>
  <c r="K273" i="2"/>
  <c r="J273" i="2"/>
  <c r="F277" i="2"/>
  <c r="G277" i="2"/>
  <c r="E277" i="2"/>
  <c r="H280" i="2"/>
  <c r="F280" i="2"/>
  <c r="E280" i="2"/>
  <c r="F285" i="2"/>
  <c r="G285" i="2"/>
  <c r="E285" i="2"/>
  <c r="H288" i="2"/>
  <c r="F288" i="2"/>
  <c r="E288" i="2"/>
  <c r="F293" i="2"/>
  <c r="G293" i="2"/>
  <c r="E293" i="2"/>
  <c r="H296" i="2"/>
  <c r="F296" i="2"/>
  <c r="E296" i="2"/>
  <c r="F304" i="2"/>
  <c r="E304" i="2"/>
  <c r="H304" i="2"/>
  <c r="G304" i="2"/>
  <c r="F320" i="2"/>
  <c r="E320" i="2"/>
  <c r="H320" i="2"/>
  <c r="G320" i="2"/>
  <c r="K464" i="2"/>
  <c r="J464" i="2"/>
  <c r="L464" i="2"/>
  <c r="M464" i="2"/>
  <c r="J18" i="2"/>
  <c r="K19" i="2"/>
  <c r="J22" i="2"/>
  <c r="J24" i="2"/>
  <c r="K25" i="2"/>
  <c r="J28" i="2"/>
  <c r="K29" i="2"/>
  <c r="K31" i="2"/>
  <c r="K33" i="2"/>
  <c r="K35" i="2"/>
  <c r="K37" i="2"/>
  <c r="K39" i="2"/>
  <c r="K41" i="2"/>
  <c r="K43" i="2"/>
  <c r="K45" i="2"/>
  <c r="M3" i="2"/>
  <c r="M7" i="2"/>
  <c r="H11" i="2"/>
  <c r="H13" i="2"/>
  <c r="H15" i="2"/>
  <c r="M15" i="2"/>
  <c r="L17" i="2"/>
  <c r="L19" i="2"/>
  <c r="L21" i="2"/>
  <c r="K22" i="2"/>
  <c r="K24" i="2"/>
  <c r="L25" i="2"/>
  <c r="K28" i="2"/>
  <c r="K30" i="2"/>
  <c r="L31" i="2"/>
  <c r="K32" i="2"/>
  <c r="K34" i="2"/>
  <c r="L37" i="2"/>
  <c r="L39" i="2"/>
  <c r="L41" i="2"/>
  <c r="L43" i="2"/>
  <c r="L45" i="2"/>
  <c r="L47" i="2"/>
  <c r="L49" i="2"/>
  <c r="L51" i="2"/>
  <c r="K52" i="2"/>
  <c r="K78" i="2"/>
  <c r="M81" i="2"/>
  <c r="L83" i="2"/>
  <c r="K83" i="2"/>
  <c r="J83" i="2"/>
  <c r="L91" i="2"/>
  <c r="K91" i="2"/>
  <c r="J91" i="2"/>
  <c r="L107" i="2"/>
  <c r="K107" i="2"/>
  <c r="J107" i="2"/>
  <c r="L115" i="2"/>
  <c r="K115" i="2"/>
  <c r="J115" i="2"/>
  <c r="L131" i="2"/>
  <c r="K131" i="2"/>
  <c r="J131" i="2"/>
  <c r="L147" i="2"/>
  <c r="K147" i="2"/>
  <c r="J147" i="2"/>
  <c r="L163" i="2"/>
  <c r="K163" i="2"/>
  <c r="J163" i="2"/>
  <c r="L179" i="2"/>
  <c r="K179" i="2"/>
  <c r="J179" i="2"/>
  <c r="L195" i="2"/>
  <c r="K195" i="2"/>
  <c r="J195" i="2"/>
  <c r="L203" i="2"/>
  <c r="K203" i="2"/>
  <c r="J203" i="2"/>
  <c r="L219" i="2"/>
  <c r="K219" i="2"/>
  <c r="J219" i="2"/>
  <c r="L235" i="2"/>
  <c r="K235" i="2"/>
  <c r="J235" i="2"/>
  <c r="L251" i="2"/>
  <c r="K251" i="2"/>
  <c r="J251" i="2"/>
  <c r="L267" i="2"/>
  <c r="K267" i="2"/>
  <c r="J267" i="2"/>
  <c r="H282" i="2"/>
  <c r="F282" i="2"/>
  <c r="E282" i="2"/>
  <c r="H290" i="2"/>
  <c r="F290" i="2"/>
  <c r="E290" i="2"/>
  <c r="F295" i="2"/>
  <c r="G295" i="2"/>
  <c r="E295" i="2"/>
  <c r="F348" i="2"/>
  <c r="E348" i="2"/>
  <c r="H348" i="2"/>
  <c r="G348" i="2"/>
  <c r="F364" i="2"/>
  <c r="E364" i="2"/>
  <c r="H364" i="2"/>
  <c r="G364" i="2"/>
  <c r="F486" i="2"/>
  <c r="E486" i="2"/>
  <c r="H486" i="2"/>
  <c r="G486" i="2"/>
  <c r="F502" i="2"/>
  <c r="E502" i="2"/>
  <c r="H502" i="2"/>
  <c r="G502" i="2"/>
  <c r="F518" i="2"/>
  <c r="E518" i="2"/>
  <c r="H518" i="2"/>
  <c r="G518" i="2"/>
  <c r="F636" i="2"/>
  <c r="E636" i="2"/>
  <c r="H636" i="2"/>
  <c r="G636" i="2"/>
  <c r="E5" i="2"/>
  <c r="J5" i="2"/>
  <c r="G6" i="2"/>
  <c r="E7" i="2"/>
  <c r="J7" i="2"/>
  <c r="G8" i="2"/>
  <c r="E9" i="2"/>
  <c r="J9" i="2"/>
  <c r="H17" i="2"/>
  <c r="H19" i="2"/>
  <c r="H21" i="2"/>
  <c r="H23" i="2"/>
  <c r="H25" i="2"/>
  <c r="H27" i="2"/>
  <c r="H29" i="2"/>
  <c r="H31" i="2"/>
  <c r="H33" i="2"/>
  <c r="H35" i="2"/>
  <c r="H37" i="2"/>
  <c r="H39" i="2"/>
  <c r="H41" i="2"/>
  <c r="H43" i="2"/>
  <c r="H45" i="2"/>
  <c r="H47" i="2"/>
  <c r="H49" i="2"/>
  <c r="H51" i="2"/>
  <c r="H53" i="2"/>
  <c r="H55" i="2"/>
  <c r="H57" i="2"/>
  <c r="H59" i="2"/>
  <c r="H61" i="2"/>
  <c r="H63" i="2"/>
  <c r="H65" i="2"/>
  <c r="H67" i="2"/>
  <c r="H69" i="2"/>
  <c r="H71" i="2"/>
  <c r="H73" i="2"/>
  <c r="J74" i="2"/>
  <c r="L74" i="2"/>
  <c r="K74" i="2"/>
  <c r="L77" i="2"/>
  <c r="J77" i="2"/>
  <c r="M77" i="2"/>
  <c r="M80" i="2"/>
  <c r="L87" i="2"/>
  <c r="K87" i="2"/>
  <c r="J87" i="2"/>
  <c r="L95" i="2"/>
  <c r="K95" i="2"/>
  <c r="J95" i="2"/>
  <c r="L103" i="2"/>
  <c r="K103" i="2"/>
  <c r="J103" i="2"/>
  <c r="L111" i="2"/>
  <c r="K111" i="2"/>
  <c r="J111" i="2"/>
  <c r="L119" i="2"/>
  <c r="K119" i="2"/>
  <c r="J119" i="2"/>
  <c r="L127" i="2"/>
  <c r="K127" i="2"/>
  <c r="J127" i="2"/>
  <c r="L135" i="2"/>
  <c r="K135" i="2"/>
  <c r="J135" i="2"/>
  <c r="L143" i="2"/>
  <c r="K143" i="2"/>
  <c r="J143" i="2"/>
  <c r="L151" i="2"/>
  <c r="K151" i="2"/>
  <c r="J151" i="2"/>
  <c r="L159" i="2"/>
  <c r="K159" i="2"/>
  <c r="J159" i="2"/>
  <c r="L167" i="2"/>
  <c r="K167" i="2"/>
  <c r="J167" i="2"/>
  <c r="L175" i="2"/>
  <c r="K175" i="2"/>
  <c r="J175" i="2"/>
  <c r="L183" i="2"/>
  <c r="K183" i="2"/>
  <c r="J183" i="2"/>
  <c r="L191" i="2"/>
  <c r="K191" i="2"/>
  <c r="J191" i="2"/>
  <c r="L199" i="2"/>
  <c r="K199" i="2"/>
  <c r="J199" i="2"/>
  <c r="L207" i="2"/>
  <c r="K207" i="2"/>
  <c r="J207" i="2"/>
  <c r="L215" i="2"/>
  <c r="K215" i="2"/>
  <c r="J215" i="2"/>
  <c r="L223" i="2"/>
  <c r="K223" i="2"/>
  <c r="J223" i="2"/>
  <c r="L231" i="2"/>
  <c r="K231" i="2"/>
  <c r="J231" i="2"/>
  <c r="L239" i="2"/>
  <c r="K239" i="2"/>
  <c r="J239" i="2"/>
  <c r="L247" i="2"/>
  <c r="K247" i="2"/>
  <c r="J247" i="2"/>
  <c r="L255" i="2"/>
  <c r="K255" i="2"/>
  <c r="J255" i="2"/>
  <c r="L263" i="2"/>
  <c r="K263" i="2"/>
  <c r="J263" i="2"/>
  <c r="L271" i="2"/>
  <c r="K271" i="2"/>
  <c r="J271" i="2"/>
  <c r="H278" i="2"/>
  <c r="F278" i="2"/>
  <c r="E278" i="2"/>
  <c r="H279" i="2"/>
  <c r="G282" i="2"/>
  <c r="F283" i="2"/>
  <c r="G283" i="2"/>
  <c r="E283" i="2"/>
  <c r="H286" i="2"/>
  <c r="F286" i="2"/>
  <c r="E286" i="2"/>
  <c r="H287" i="2"/>
  <c r="G290" i="2"/>
  <c r="F291" i="2"/>
  <c r="G291" i="2"/>
  <c r="E291" i="2"/>
  <c r="H294" i="2"/>
  <c r="F294" i="2"/>
  <c r="E294" i="2"/>
  <c r="H295" i="2"/>
  <c r="G298" i="2"/>
  <c r="F300" i="2"/>
  <c r="E300" i="2"/>
  <c r="H300" i="2"/>
  <c r="G300" i="2"/>
  <c r="F316" i="2"/>
  <c r="E316" i="2"/>
  <c r="H316" i="2"/>
  <c r="G316" i="2"/>
  <c r="F332" i="2"/>
  <c r="E332" i="2"/>
  <c r="H332" i="2"/>
  <c r="G332" i="2"/>
  <c r="F356" i="2"/>
  <c r="E356" i="2"/>
  <c r="H356" i="2"/>
  <c r="G356" i="2"/>
  <c r="F372" i="2"/>
  <c r="E372" i="2"/>
  <c r="H372" i="2"/>
  <c r="G372" i="2"/>
  <c r="F388" i="2"/>
  <c r="E388" i="2"/>
  <c r="H388" i="2"/>
  <c r="G388" i="2"/>
  <c r="F450" i="2"/>
  <c r="E450" i="2"/>
  <c r="H450" i="2"/>
  <c r="G450" i="2"/>
  <c r="J48" i="2"/>
  <c r="K49" i="2"/>
  <c r="J50" i="2"/>
  <c r="K51" i="2"/>
  <c r="J52" i="2"/>
  <c r="K53" i="2"/>
  <c r="J54" i="2"/>
  <c r="K55" i="2"/>
  <c r="J56" i="2"/>
  <c r="K57" i="2"/>
  <c r="J58" i="2"/>
  <c r="K59" i="2"/>
  <c r="J60" i="2"/>
  <c r="K61" i="2"/>
  <c r="J62" i="2"/>
  <c r="K63" i="2"/>
  <c r="J64" i="2"/>
  <c r="K65" i="2"/>
  <c r="J66" i="2"/>
  <c r="K67" i="2"/>
  <c r="J68" i="2"/>
  <c r="K69" i="2"/>
  <c r="J70" i="2"/>
  <c r="K71" i="2"/>
  <c r="J72" i="2"/>
  <c r="L73" i="2"/>
  <c r="J73" i="2"/>
  <c r="K73" i="2"/>
  <c r="J76" i="2"/>
  <c r="L76" i="2"/>
  <c r="K76" i="2"/>
  <c r="L79" i="2"/>
  <c r="J79" i="2"/>
  <c r="M79" i="2"/>
  <c r="K81" i="2"/>
  <c r="M83" i="2"/>
  <c r="L85" i="2"/>
  <c r="K85" i="2"/>
  <c r="J85" i="2"/>
  <c r="M91" i="2"/>
  <c r="L93" i="2"/>
  <c r="K93" i="2"/>
  <c r="J93" i="2"/>
  <c r="M99" i="2"/>
  <c r="L101" i="2"/>
  <c r="K101" i="2"/>
  <c r="J101" i="2"/>
  <c r="M107" i="2"/>
  <c r="L109" i="2"/>
  <c r="K109" i="2"/>
  <c r="J109" i="2"/>
  <c r="M115" i="2"/>
  <c r="L117" i="2"/>
  <c r="K117" i="2"/>
  <c r="J117" i="2"/>
  <c r="M123" i="2"/>
  <c r="L125" i="2"/>
  <c r="K125" i="2"/>
  <c r="J125" i="2"/>
  <c r="M131" i="2"/>
  <c r="L133" i="2"/>
  <c r="K133" i="2"/>
  <c r="J133" i="2"/>
  <c r="M139" i="2"/>
  <c r="L141" i="2"/>
  <c r="K141" i="2"/>
  <c r="J141" i="2"/>
  <c r="M147" i="2"/>
  <c r="L149" i="2"/>
  <c r="K149" i="2"/>
  <c r="J149" i="2"/>
  <c r="M155" i="2"/>
  <c r="L157" i="2"/>
  <c r="K157" i="2"/>
  <c r="J157" i="2"/>
  <c r="M163" i="2"/>
  <c r="L165" i="2"/>
  <c r="K165" i="2"/>
  <c r="J165" i="2"/>
  <c r="M171" i="2"/>
  <c r="L173" i="2"/>
  <c r="K173" i="2"/>
  <c r="J173" i="2"/>
  <c r="M179" i="2"/>
  <c r="L181" i="2"/>
  <c r="K181" i="2"/>
  <c r="J181" i="2"/>
  <c r="M187" i="2"/>
  <c r="L189" i="2"/>
  <c r="K189" i="2"/>
  <c r="J189" i="2"/>
  <c r="M195" i="2"/>
  <c r="L197" i="2"/>
  <c r="K197" i="2"/>
  <c r="J197" i="2"/>
  <c r="M203" i="2"/>
  <c r="L205" i="2"/>
  <c r="K205" i="2"/>
  <c r="J205" i="2"/>
  <c r="M211" i="2"/>
  <c r="L213" i="2"/>
  <c r="K213" i="2"/>
  <c r="J213" i="2"/>
  <c r="M219" i="2"/>
  <c r="L221" i="2"/>
  <c r="K221" i="2"/>
  <c r="J221" i="2"/>
  <c r="M227" i="2"/>
  <c r="L229" i="2"/>
  <c r="K229" i="2"/>
  <c r="J229" i="2"/>
  <c r="M235" i="2"/>
  <c r="L237" i="2"/>
  <c r="K237" i="2"/>
  <c r="J237" i="2"/>
  <c r="M243" i="2"/>
  <c r="L245" i="2"/>
  <c r="K245" i="2"/>
  <c r="J245" i="2"/>
  <c r="M251" i="2"/>
  <c r="L253" i="2"/>
  <c r="K253" i="2"/>
  <c r="J253" i="2"/>
  <c r="M259" i="2"/>
  <c r="L261" i="2"/>
  <c r="K261" i="2"/>
  <c r="J261" i="2"/>
  <c r="M267" i="2"/>
  <c r="L269" i="2"/>
  <c r="K269" i="2"/>
  <c r="J269" i="2"/>
  <c r="H276" i="2"/>
  <c r="F276" i="2"/>
  <c r="Q6" i="2" s="1"/>
  <c r="E276" i="2"/>
  <c r="H277" i="2"/>
  <c r="G280" i="2"/>
  <c r="F281" i="2"/>
  <c r="G281" i="2"/>
  <c r="E281" i="2"/>
  <c r="H284" i="2"/>
  <c r="F284" i="2"/>
  <c r="E284" i="2"/>
  <c r="H285" i="2"/>
  <c r="G288" i="2"/>
  <c r="F289" i="2"/>
  <c r="G289" i="2"/>
  <c r="E289" i="2"/>
  <c r="H292" i="2"/>
  <c r="F292" i="2"/>
  <c r="E292" i="2"/>
  <c r="H293" i="2"/>
  <c r="G296" i="2"/>
  <c r="F297" i="2"/>
  <c r="G297" i="2"/>
  <c r="E297" i="2"/>
  <c r="F312" i="2"/>
  <c r="E312" i="2"/>
  <c r="H312" i="2"/>
  <c r="G312" i="2"/>
  <c r="F328" i="2"/>
  <c r="E328" i="2"/>
  <c r="H328" i="2"/>
  <c r="G328" i="2"/>
  <c r="F340" i="2"/>
  <c r="E340" i="2"/>
  <c r="H340" i="2"/>
  <c r="G340" i="2"/>
  <c r="E75" i="2"/>
  <c r="E77" i="2"/>
  <c r="E79" i="2"/>
  <c r="E81" i="2"/>
  <c r="L82" i="2"/>
  <c r="E83" i="2"/>
  <c r="L84" i="2"/>
  <c r="E85" i="2"/>
  <c r="L86" i="2"/>
  <c r="E87" i="2"/>
  <c r="L88" i="2"/>
  <c r="E89" i="2"/>
  <c r="L90" i="2"/>
  <c r="E91" i="2"/>
  <c r="L92" i="2"/>
  <c r="E93" i="2"/>
  <c r="L94" i="2"/>
  <c r="E95" i="2"/>
  <c r="L96" i="2"/>
  <c r="E97" i="2"/>
  <c r="L98" i="2"/>
  <c r="E99" i="2"/>
  <c r="L100" i="2"/>
  <c r="E101" i="2"/>
  <c r="L102" i="2"/>
  <c r="E103" i="2"/>
  <c r="L104" i="2"/>
  <c r="E105" i="2"/>
  <c r="L106" i="2"/>
  <c r="E107" i="2"/>
  <c r="L108" i="2"/>
  <c r="E109" i="2"/>
  <c r="L110" i="2"/>
  <c r="E111" i="2"/>
  <c r="L112" i="2"/>
  <c r="E113" i="2"/>
  <c r="L114" i="2"/>
  <c r="E115" i="2"/>
  <c r="L116" i="2"/>
  <c r="E117" i="2"/>
  <c r="L118" i="2"/>
  <c r="E119" i="2"/>
  <c r="L120" i="2"/>
  <c r="E121" i="2"/>
  <c r="L122" i="2"/>
  <c r="E123" i="2"/>
  <c r="L124" i="2"/>
  <c r="E125" i="2"/>
  <c r="L126" i="2"/>
  <c r="E127" i="2"/>
  <c r="L128" i="2"/>
  <c r="E129" i="2"/>
  <c r="L130" i="2"/>
  <c r="E131" i="2"/>
  <c r="L132" i="2"/>
  <c r="E133" i="2"/>
  <c r="L134" i="2"/>
  <c r="E135" i="2"/>
  <c r="L136" i="2"/>
  <c r="E137" i="2"/>
  <c r="L138" i="2"/>
  <c r="E139" i="2"/>
  <c r="L140" i="2"/>
  <c r="E141" i="2"/>
  <c r="L142" i="2"/>
  <c r="E143" i="2"/>
  <c r="L144" i="2"/>
  <c r="E145" i="2"/>
  <c r="L146" i="2"/>
  <c r="E147" i="2"/>
  <c r="L148" i="2"/>
  <c r="E149" i="2"/>
  <c r="L150" i="2"/>
  <c r="E151" i="2"/>
  <c r="L152" i="2"/>
  <c r="E153" i="2"/>
  <c r="L154" i="2"/>
  <c r="E155" i="2"/>
  <c r="L156" i="2"/>
  <c r="E157" i="2"/>
  <c r="L158" i="2"/>
  <c r="E159" i="2"/>
  <c r="L160" i="2"/>
  <c r="E161" i="2"/>
  <c r="L162" i="2"/>
  <c r="E163" i="2"/>
  <c r="L164" i="2"/>
  <c r="E165" i="2"/>
  <c r="L166" i="2"/>
  <c r="E167" i="2"/>
  <c r="L168" i="2"/>
  <c r="E169" i="2"/>
  <c r="L170" i="2"/>
  <c r="E171" i="2"/>
  <c r="L172" i="2"/>
  <c r="E173" i="2"/>
  <c r="L174" i="2"/>
  <c r="E175" i="2"/>
  <c r="L176" i="2"/>
  <c r="E177" i="2"/>
  <c r="L178" i="2"/>
  <c r="E179" i="2"/>
  <c r="L180" i="2"/>
  <c r="E181" i="2"/>
  <c r="L182" i="2"/>
  <c r="E183" i="2"/>
  <c r="L184" i="2"/>
  <c r="E185" i="2"/>
  <c r="L186" i="2"/>
  <c r="E187" i="2"/>
  <c r="L188" i="2"/>
  <c r="E189" i="2"/>
  <c r="L190" i="2"/>
  <c r="E191" i="2"/>
  <c r="L192" i="2"/>
  <c r="E193" i="2"/>
  <c r="L194" i="2"/>
  <c r="E195" i="2"/>
  <c r="L196" i="2"/>
  <c r="E197" i="2"/>
  <c r="L198" i="2"/>
  <c r="E199" i="2"/>
  <c r="L200" i="2"/>
  <c r="E201" i="2"/>
  <c r="L202" i="2"/>
  <c r="E203" i="2"/>
  <c r="L204" i="2"/>
  <c r="E205" i="2"/>
  <c r="L206" i="2"/>
  <c r="E207" i="2"/>
  <c r="L208" i="2"/>
  <c r="E209" i="2"/>
  <c r="L210" i="2"/>
  <c r="E211" i="2"/>
  <c r="L212" i="2"/>
  <c r="E213" i="2"/>
  <c r="L214" i="2"/>
  <c r="E215" i="2"/>
  <c r="L216" i="2"/>
  <c r="E217" i="2"/>
  <c r="L218" i="2"/>
  <c r="E219" i="2"/>
  <c r="L220" i="2"/>
  <c r="E221" i="2"/>
  <c r="L222" i="2"/>
  <c r="E223" i="2"/>
  <c r="L224" i="2"/>
  <c r="E225" i="2"/>
  <c r="L226" i="2"/>
  <c r="E227" i="2"/>
  <c r="L228" i="2"/>
  <c r="E229" i="2"/>
  <c r="L230" i="2"/>
  <c r="E231" i="2"/>
  <c r="L232" i="2"/>
  <c r="E233" i="2"/>
  <c r="L234" i="2"/>
  <c r="E235" i="2"/>
  <c r="L236" i="2"/>
  <c r="E237" i="2"/>
  <c r="L238" i="2"/>
  <c r="E239" i="2"/>
  <c r="L240" i="2"/>
  <c r="E241" i="2"/>
  <c r="L242" i="2"/>
  <c r="E243" i="2"/>
  <c r="L244" i="2"/>
  <c r="E245" i="2"/>
  <c r="L246" i="2"/>
  <c r="E247" i="2"/>
  <c r="L248" i="2"/>
  <c r="E249" i="2"/>
  <c r="L250" i="2"/>
  <c r="E251" i="2"/>
  <c r="L252" i="2"/>
  <c r="E253" i="2"/>
  <c r="L254" i="2"/>
  <c r="E255" i="2"/>
  <c r="L256" i="2"/>
  <c r="E257" i="2"/>
  <c r="L258" i="2"/>
  <c r="E259" i="2"/>
  <c r="L260" i="2"/>
  <c r="E261" i="2"/>
  <c r="L262" i="2"/>
  <c r="E263" i="2"/>
  <c r="L264" i="2"/>
  <c r="E265" i="2"/>
  <c r="L266" i="2"/>
  <c r="E267" i="2"/>
  <c r="L268" i="2"/>
  <c r="E269" i="2"/>
  <c r="L270" i="2"/>
  <c r="E271" i="2"/>
  <c r="L272" i="2"/>
  <c r="E273" i="2"/>
  <c r="L274" i="2"/>
  <c r="E275" i="2"/>
  <c r="J277" i="2"/>
  <c r="J279" i="2"/>
  <c r="J281" i="2"/>
  <c r="J283" i="2"/>
  <c r="J285" i="2"/>
  <c r="J287" i="2"/>
  <c r="J289" i="2"/>
  <c r="J291" i="2"/>
  <c r="J293" i="2"/>
  <c r="J295" i="2"/>
  <c r="J297" i="2"/>
  <c r="F338" i="2"/>
  <c r="E338" i="2"/>
  <c r="H338" i="2"/>
  <c r="F346" i="2"/>
  <c r="E346" i="2"/>
  <c r="H346" i="2"/>
  <c r="F354" i="2"/>
  <c r="E354" i="2"/>
  <c r="H354" i="2"/>
  <c r="F362" i="2"/>
  <c r="E362" i="2"/>
  <c r="H362" i="2"/>
  <c r="F370" i="2"/>
  <c r="E370" i="2"/>
  <c r="H370" i="2"/>
  <c r="F378" i="2"/>
  <c r="E378" i="2"/>
  <c r="H378" i="2"/>
  <c r="F386" i="2"/>
  <c r="E386" i="2"/>
  <c r="H386" i="2"/>
  <c r="F394" i="2"/>
  <c r="E394" i="2"/>
  <c r="H394" i="2"/>
  <c r="F402" i="2"/>
  <c r="E402" i="2"/>
  <c r="H402" i="2"/>
  <c r="F442" i="2"/>
  <c r="E442" i="2"/>
  <c r="H442" i="2"/>
  <c r="G442" i="2"/>
  <c r="K456" i="2"/>
  <c r="J456" i="2"/>
  <c r="L456" i="2"/>
  <c r="F532" i="2"/>
  <c r="E532" i="2"/>
  <c r="H532" i="2"/>
  <c r="G532" i="2"/>
  <c r="F548" i="2"/>
  <c r="E548" i="2"/>
  <c r="H548" i="2"/>
  <c r="G548" i="2"/>
  <c r="L591" i="2"/>
  <c r="K591" i="2"/>
  <c r="J591" i="2"/>
  <c r="M591" i="2"/>
  <c r="M82" i="2"/>
  <c r="M84" i="2"/>
  <c r="M86" i="2"/>
  <c r="M88" i="2"/>
  <c r="M90" i="2"/>
  <c r="M92" i="2"/>
  <c r="M94" i="2"/>
  <c r="M96" i="2"/>
  <c r="M98" i="2"/>
  <c r="M100" i="2"/>
  <c r="M102" i="2"/>
  <c r="M104" i="2"/>
  <c r="M106" i="2"/>
  <c r="M108" i="2"/>
  <c r="M110" i="2"/>
  <c r="M112" i="2"/>
  <c r="M114" i="2"/>
  <c r="M116" i="2"/>
  <c r="M118" i="2"/>
  <c r="M120" i="2"/>
  <c r="M122" i="2"/>
  <c r="M124" i="2"/>
  <c r="M126" i="2"/>
  <c r="M128" i="2"/>
  <c r="M130" i="2"/>
  <c r="M132" i="2"/>
  <c r="M134" i="2"/>
  <c r="M136" i="2"/>
  <c r="M138" i="2"/>
  <c r="M140" i="2"/>
  <c r="M142" i="2"/>
  <c r="M144" i="2"/>
  <c r="M146" i="2"/>
  <c r="M148" i="2"/>
  <c r="M150" i="2"/>
  <c r="M152" i="2"/>
  <c r="M154" i="2"/>
  <c r="M156" i="2"/>
  <c r="M158" i="2"/>
  <c r="M160" i="2"/>
  <c r="M162" i="2"/>
  <c r="M164" i="2"/>
  <c r="M166" i="2"/>
  <c r="M168" i="2"/>
  <c r="M170" i="2"/>
  <c r="M172" i="2"/>
  <c r="M174" i="2"/>
  <c r="M176" i="2"/>
  <c r="M178" i="2"/>
  <c r="M180" i="2"/>
  <c r="M182" i="2"/>
  <c r="M184" i="2"/>
  <c r="M186" i="2"/>
  <c r="M188" i="2"/>
  <c r="M190" i="2"/>
  <c r="M192" i="2"/>
  <c r="M194" i="2"/>
  <c r="M196" i="2"/>
  <c r="M198" i="2"/>
  <c r="M200" i="2"/>
  <c r="M202" i="2"/>
  <c r="M204" i="2"/>
  <c r="M206" i="2"/>
  <c r="M208" i="2"/>
  <c r="M210" i="2"/>
  <c r="M212" i="2"/>
  <c r="M214" i="2"/>
  <c r="M216" i="2"/>
  <c r="M218" i="2"/>
  <c r="M220" i="2"/>
  <c r="M222" i="2"/>
  <c r="M224" i="2"/>
  <c r="M226" i="2"/>
  <c r="M228" i="2"/>
  <c r="M230" i="2"/>
  <c r="M232" i="2"/>
  <c r="M234" i="2"/>
  <c r="M236" i="2"/>
  <c r="M238" i="2"/>
  <c r="M240" i="2"/>
  <c r="M242" i="2"/>
  <c r="M244" i="2"/>
  <c r="M246" i="2"/>
  <c r="M248" i="2"/>
  <c r="M250" i="2"/>
  <c r="M252" i="2"/>
  <c r="M254" i="2"/>
  <c r="M256" i="2"/>
  <c r="M258" i="2"/>
  <c r="M260" i="2"/>
  <c r="M262" i="2"/>
  <c r="M264" i="2"/>
  <c r="M266" i="2"/>
  <c r="M268" i="2"/>
  <c r="M270" i="2"/>
  <c r="M272" i="2"/>
  <c r="M274" i="2"/>
  <c r="F302" i="2"/>
  <c r="E302" i="2"/>
  <c r="H302" i="2"/>
  <c r="F306" i="2"/>
  <c r="E306" i="2"/>
  <c r="H306" i="2"/>
  <c r="F310" i="2"/>
  <c r="E310" i="2"/>
  <c r="H310" i="2"/>
  <c r="F314" i="2"/>
  <c r="E314" i="2"/>
  <c r="H314" i="2"/>
  <c r="F318" i="2"/>
  <c r="E318" i="2"/>
  <c r="H318" i="2"/>
  <c r="F322" i="2"/>
  <c r="E322" i="2"/>
  <c r="H322" i="2"/>
  <c r="F326" i="2"/>
  <c r="E326" i="2"/>
  <c r="H326" i="2"/>
  <c r="F330" i="2"/>
  <c r="E330" i="2"/>
  <c r="H330" i="2"/>
  <c r="F336" i="2"/>
  <c r="E336" i="2"/>
  <c r="H336" i="2"/>
  <c r="F344" i="2"/>
  <c r="E344" i="2"/>
  <c r="H344" i="2"/>
  <c r="F352" i="2"/>
  <c r="E352" i="2"/>
  <c r="H352" i="2"/>
  <c r="F360" i="2"/>
  <c r="E360" i="2"/>
  <c r="H360" i="2"/>
  <c r="F368" i="2"/>
  <c r="E368" i="2"/>
  <c r="H368" i="2"/>
  <c r="F376" i="2"/>
  <c r="E376" i="2"/>
  <c r="H376" i="2"/>
  <c r="F384" i="2"/>
  <c r="E384" i="2"/>
  <c r="H384" i="2"/>
  <c r="F392" i="2"/>
  <c r="E392" i="2"/>
  <c r="H392" i="2"/>
  <c r="F400" i="2"/>
  <c r="E400" i="2"/>
  <c r="H400" i="2"/>
  <c r="K448" i="2"/>
  <c r="J448" i="2"/>
  <c r="L448" i="2"/>
  <c r="F466" i="2"/>
  <c r="E466" i="2"/>
  <c r="H466" i="2"/>
  <c r="G466" i="2"/>
  <c r="F478" i="2"/>
  <c r="E478" i="2"/>
  <c r="H478" i="2"/>
  <c r="G478" i="2"/>
  <c r="F494" i="2"/>
  <c r="E494" i="2"/>
  <c r="H494" i="2"/>
  <c r="G494" i="2"/>
  <c r="F510" i="2"/>
  <c r="E510" i="2"/>
  <c r="H510" i="2"/>
  <c r="G510" i="2"/>
  <c r="F334" i="2"/>
  <c r="E334" i="2"/>
  <c r="H334" i="2"/>
  <c r="G338" i="2"/>
  <c r="F342" i="2"/>
  <c r="E342" i="2"/>
  <c r="H342" i="2"/>
  <c r="G346" i="2"/>
  <c r="F350" i="2"/>
  <c r="E350" i="2"/>
  <c r="H350" i="2"/>
  <c r="G354" i="2"/>
  <c r="F358" i="2"/>
  <c r="E358" i="2"/>
  <c r="H358" i="2"/>
  <c r="G362" i="2"/>
  <c r="F366" i="2"/>
  <c r="E366" i="2"/>
  <c r="H366" i="2"/>
  <c r="G370" i="2"/>
  <c r="F374" i="2"/>
  <c r="E374" i="2"/>
  <c r="H374" i="2"/>
  <c r="G378" i="2"/>
  <c r="F382" i="2"/>
  <c r="E382" i="2"/>
  <c r="H382" i="2"/>
  <c r="G386" i="2"/>
  <c r="F390" i="2"/>
  <c r="E390" i="2"/>
  <c r="H390" i="2"/>
  <c r="G394" i="2"/>
  <c r="F398" i="2"/>
  <c r="E398" i="2"/>
  <c r="H398" i="2"/>
  <c r="G402" i="2"/>
  <c r="K440" i="2"/>
  <c r="J440" i="2"/>
  <c r="L440" i="2"/>
  <c r="M456" i="2"/>
  <c r="F458" i="2"/>
  <c r="E458" i="2"/>
  <c r="H458" i="2"/>
  <c r="G458" i="2"/>
  <c r="F540" i="2"/>
  <c r="E540" i="2"/>
  <c r="H540" i="2"/>
  <c r="G540" i="2"/>
  <c r="F556" i="2"/>
  <c r="E556" i="2"/>
  <c r="H556" i="2"/>
  <c r="G556" i="2"/>
  <c r="F299" i="2"/>
  <c r="K299" i="2"/>
  <c r="F301" i="2"/>
  <c r="K301" i="2"/>
  <c r="F303" i="2"/>
  <c r="K303" i="2"/>
  <c r="F305" i="2"/>
  <c r="K305" i="2"/>
  <c r="F307" i="2"/>
  <c r="K307" i="2"/>
  <c r="F309" i="2"/>
  <c r="K309" i="2"/>
  <c r="F311" i="2"/>
  <c r="K311" i="2"/>
  <c r="F313" i="2"/>
  <c r="K313" i="2"/>
  <c r="F315" i="2"/>
  <c r="K315" i="2"/>
  <c r="F317" i="2"/>
  <c r="K317" i="2"/>
  <c r="F319" i="2"/>
  <c r="K319" i="2"/>
  <c r="F321" i="2"/>
  <c r="K321" i="2"/>
  <c r="F323" i="2"/>
  <c r="K323" i="2"/>
  <c r="F325" i="2"/>
  <c r="K325" i="2"/>
  <c r="F327" i="2"/>
  <c r="K327" i="2"/>
  <c r="F329" i="2"/>
  <c r="K329" i="2"/>
  <c r="F331" i="2"/>
  <c r="K331" i="2"/>
  <c r="F333" i="2"/>
  <c r="K333" i="2"/>
  <c r="F335" i="2"/>
  <c r="K335" i="2"/>
  <c r="F337" i="2"/>
  <c r="K337" i="2"/>
  <c r="F339" i="2"/>
  <c r="K339" i="2"/>
  <c r="F341" i="2"/>
  <c r="K341" i="2"/>
  <c r="F343" i="2"/>
  <c r="K343" i="2"/>
  <c r="F345" i="2"/>
  <c r="K345" i="2"/>
  <c r="F347" i="2"/>
  <c r="K347" i="2"/>
  <c r="F349" i="2"/>
  <c r="K349" i="2"/>
  <c r="F351" i="2"/>
  <c r="K351" i="2"/>
  <c r="F353" i="2"/>
  <c r="K353" i="2"/>
  <c r="F355" i="2"/>
  <c r="K355" i="2"/>
  <c r="F357" i="2"/>
  <c r="K357" i="2"/>
  <c r="F359" i="2"/>
  <c r="K359" i="2"/>
  <c r="F361" i="2"/>
  <c r="K361" i="2"/>
  <c r="F363" i="2"/>
  <c r="K363" i="2"/>
  <c r="F365" i="2"/>
  <c r="K365" i="2"/>
  <c r="F367" i="2"/>
  <c r="K367" i="2"/>
  <c r="F369" i="2"/>
  <c r="K369" i="2"/>
  <c r="F371" i="2"/>
  <c r="K371" i="2"/>
  <c r="F373" i="2"/>
  <c r="K373" i="2"/>
  <c r="F375" i="2"/>
  <c r="K375" i="2"/>
  <c r="F377" i="2"/>
  <c r="K377" i="2"/>
  <c r="F379" i="2"/>
  <c r="K379" i="2"/>
  <c r="F381" i="2"/>
  <c r="K381" i="2"/>
  <c r="F383" i="2"/>
  <c r="K383" i="2"/>
  <c r="F385" i="2"/>
  <c r="K385" i="2"/>
  <c r="F387" i="2"/>
  <c r="K387" i="2"/>
  <c r="F389" i="2"/>
  <c r="K389" i="2"/>
  <c r="F391" i="2"/>
  <c r="K391" i="2"/>
  <c r="F393" i="2"/>
  <c r="K393" i="2"/>
  <c r="F395" i="2"/>
  <c r="K395" i="2"/>
  <c r="F397" i="2"/>
  <c r="K397" i="2"/>
  <c r="F399" i="2"/>
  <c r="K399" i="2"/>
  <c r="F401" i="2"/>
  <c r="K401" i="2"/>
  <c r="F403" i="2"/>
  <c r="M403" i="2"/>
  <c r="S14" i="2" s="1"/>
  <c r="G404" i="2"/>
  <c r="M404" i="2"/>
  <c r="M405" i="2"/>
  <c r="G406" i="2"/>
  <c r="M406" i="2"/>
  <c r="M407" i="2"/>
  <c r="G408" i="2"/>
  <c r="M408" i="2"/>
  <c r="M409" i="2"/>
  <c r="G410" i="2"/>
  <c r="M410" i="2"/>
  <c r="M411" i="2"/>
  <c r="G412" i="2"/>
  <c r="M412" i="2"/>
  <c r="M413" i="2"/>
  <c r="G414" i="2"/>
  <c r="M414" i="2"/>
  <c r="M415" i="2"/>
  <c r="G416" i="2"/>
  <c r="M416" i="2"/>
  <c r="M417" i="2"/>
  <c r="G418" i="2"/>
  <c r="M418" i="2"/>
  <c r="M419" i="2"/>
  <c r="G420" i="2"/>
  <c r="M420" i="2"/>
  <c r="M421" i="2"/>
  <c r="G422" i="2"/>
  <c r="M422" i="2"/>
  <c r="M423" i="2"/>
  <c r="G424" i="2"/>
  <c r="M424" i="2"/>
  <c r="M425" i="2"/>
  <c r="G426" i="2"/>
  <c r="M426" i="2"/>
  <c r="M427" i="2"/>
  <c r="G428" i="2"/>
  <c r="M428" i="2"/>
  <c r="M429" i="2"/>
  <c r="G430" i="2"/>
  <c r="M430" i="2"/>
  <c r="M431" i="2"/>
  <c r="G432" i="2"/>
  <c r="M432" i="2"/>
  <c r="M433" i="2"/>
  <c r="G434" i="2"/>
  <c r="M434" i="2"/>
  <c r="F436" i="2"/>
  <c r="E436" i="2"/>
  <c r="K442" i="2"/>
  <c r="J442" i="2"/>
  <c r="M442" i="2"/>
  <c r="F444" i="2"/>
  <c r="E444" i="2"/>
  <c r="K450" i="2"/>
  <c r="J450" i="2"/>
  <c r="M450" i="2"/>
  <c r="F452" i="2"/>
  <c r="E452" i="2"/>
  <c r="K458" i="2"/>
  <c r="J458" i="2"/>
  <c r="M458" i="2"/>
  <c r="F460" i="2"/>
  <c r="E460" i="2"/>
  <c r="K466" i="2"/>
  <c r="J466" i="2"/>
  <c r="M466" i="2"/>
  <c r="F468" i="2"/>
  <c r="E468" i="2"/>
  <c r="F476" i="2"/>
  <c r="E476" i="2"/>
  <c r="H476" i="2"/>
  <c r="F484" i="2"/>
  <c r="E484" i="2"/>
  <c r="H484" i="2"/>
  <c r="F492" i="2"/>
  <c r="E492" i="2"/>
  <c r="H492" i="2"/>
  <c r="F500" i="2"/>
  <c r="E500" i="2"/>
  <c r="H500" i="2"/>
  <c r="F508" i="2"/>
  <c r="E508" i="2"/>
  <c r="H508" i="2"/>
  <c r="F516" i="2"/>
  <c r="E516" i="2"/>
  <c r="H516" i="2"/>
  <c r="F524" i="2"/>
  <c r="E524" i="2"/>
  <c r="H524" i="2"/>
  <c r="F530" i="2"/>
  <c r="E530" i="2"/>
  <c r="H530" i="2"/>
  <c r="F538" i="2"/>
  <c r="E538" i="2"/>
  <c r="H538" i="2"/>
  <c r="F546" i="2"/>
  <c r="E546" i="2"/>
  <c r="H546" i="2"/>
  <c r="F554" i="2"/>
  <c r="E554" i="2"/>
  <c r="H554" i="2"/>
  <c r="G299" i="2"/>
  <c r="L299" i="2"/>
  <c r="G301" i="2"/>
  <c r="L301" i="2"/>
  <c r="G303" i="2"/>
  <c r="L303" i="2"/>
  <c r="G305" i="2"/>
  <c r="L305" i="2"/>
  <c r="G307" i="2"/>
  <c r="L307" i="2"/>
  <c r="G309" i="2"/>
  <c r="L309" i="2"/>
  <c r="G311" i="2"/>
  <c r="L311" i="2"/>
  <c r="G313" i="2"/>
  <c r="L313" i="2"/>
  <c r="G315" i="2"/>
  <c r="L315" i="2"/>
  <c r="G317" i="2"/>
  <c r="L317" i="2"/>
  <c r="G319" i="2"/>
  <c r="L319" i="2"/>
  <c r="G321" i="2"/>
  <c r="L321" i="2"/>
  <c r="G323" i="2"/>
  <c r="L323" i="2"/>
  <c r="G325" i="2"/>
  <c r="L325" i="2"/>
  <c r="G327" i="2"/>
  <c r="L327" i="2"/>
  <c r="G329" i="2"/>
  <c r="L329" i="2"/>
  <c r="G331" i="2"/>
  <c r="L331" i="2"/>
  <c r="G333" i="2"/>
  <c r="G335" i="2"/>
  <c r="G337" i="2"/>
  <c r="G339" i="2"/>
  <c r="G341" i="2"/>
  <c r="G343" i="2"/>
  <c r="G345" i="2"/>
  <c r="G347" i="2"/>
  <c r="G349" i="2"/>
  <c r="G351" i="2"/>
  <c r="G353" i="2"/>
  <c r="G355" i="2"/>
  <c r="G357" i="2"/>
  <c r="G359" i="2"/>
  <c r="G361" i="2"/>
  <c r="G363" i="2"/>
  <c r="G365" i="2"/>
  <c r="G367" i="2"/>
  <c r="G369" i="2"/>
  <c r="G371" i="2"/>
  <c r="G373" i="2"/>
  <c r="G375" i="2"/>
  <c r="G377" i="2"/>
  <c r="G379" i="2"/>
  <c r="G381" i="2"/>
  <c r="G383" i="2"/>
  <c r="G385" i="2"/>
  <c r="G387" i="2"/>
  <c r="G389" i="2"/>
  <c r="G391" i="2"/>
  <c r="G393" i="2"/>
  <c r="G395" i="2"/>
  <c r="G397" i="2"/>
  <c r="G399" i="2"/>
  <c r="G401" i="2"/>
  <c r="H403" i="2"/>
  <c r="H404" i="2"/>
  <c r="H406" i="2"/>
  <c r="H408" i="2"/>
  <c r="H410" i="2"/>
  <c r="H412" i="2"/>
  <c r="H414" i="2"/>
  <c r="H416" i="2"/>
  <c r="H418" i="2"/>
  <c r="H420" i="2"/>
  <c r="H422" i="2"/>
  <c r="H424" i="2"/>
  <c r="H426" i="2"/>
  <c r="H428" i="2"/>
  <c r="H430" i="2"/>
  <c r="H432" i="2"/>
  <c r="H434" i="2"/>
  <c r="K436" i="2"/>
  <c r="J436" i="2"/>
  <c r="M436" i="2"/>
  <c r="F438" i="2"/>
  <c r="E438" i="2"/>
  <c r="K444" i="2"/>
  <c r="J444" i="2"/>
  <c r="M444" i="2"/>
  <c r="F446" i="2"/>
  <c r="E446" i="2"/>
  <c r="K452" i="2"/>
  <c r="J452" i="2"/>
  <c r="M452" i="2"/>
  <c r="F454" i="2"/>
  <c r="E454" i="2"/>
  <c r="K460" i="2"/>
  <c r="J460" i="2"/>
  <c r="M460" i="2"/>
  <c r="F462" i="2"/>
  <c r="E462" i="2"/>
  <c r="K468" i="2"/>
  <c r="J468" i="2"/>
  <c r="M468" i="2"/>
  <c r="F470" i="2"/>
  <c r="E470" i="2"/>
  <c r="F474" i="2"/>
  <c r="E474" i="2"/>
  <c r="H474" i="2"/>
  <c r="F482" i="2"/>
  <c r="E482" i="2"/>
  <c r="H482" i="2"/>
  <c r="F490" i="2"/>
  <c r="E490" i="2"/>
  <c r="H490" i="2"/>
  <c r="F498" i="2"/>
  <c r="E498" i="2"/>
  <c r="H498" i="2"/>
  <c r="F506" i="2"/>
  <c r="E506" i="2"/>
  <c r="H506" i="2"/>
  <c r="F514" i="2"/>
  <c r="E514" i="2"/>
  <c r="H514" i="2"/>
  <c r="F522" i="2"/>
  <c r="E522" i="2"/>
  <c r="H522" i="2"/>
  <c r="F528" i="2"/>
  <c r="E528" i="2"/>
  <c r="H528" i="2"/>
  <c r="F536" i="2"/>
  <c r="E536" i="2"/>
  <c r="H536" i="2"/>
  <c r="F544" i="2"/>
  <c r="E544" i="2"/>
  <c r="H544" i="2"/>
  <c r="F552" i="2"/>
  <c r="E552" i="2"/>
  <c r="H552" i="2"/>
  <c r="E560" i="2"/>
  <c r="H560" i="2"/>
  <c r="G560" i="2"/>
  <c r="F560" i="2"/>
  <c r="E562" i="2"/>
  <c r="H562" i="2"/>
  <c r="G562" i="2"/>
  <c r="F562" i="2"/>
  <c r="E564" i="2"/>
  <c r="H564" i="2"/>
  <c r="G564" i="2"/>
  <c r="F564" i="2"/>
  <c r="E566" i="2"/>
  <c r="H566" i="2"/>
  <c r="G566" i="2"/>
  <c r="F566" i="2"/>
  <c r="E568" i="2"/>
  <c r="H568" i="2"/>
  <c r="G568" i="2"/>
  <c r="F568" i="2"/>
  <c r="E570" i="2"/>
  <c r="H570" i="2"/>
  <c r="G570" i="2"/>
  <c r="F570" i="2"/>
  <c r="E572" i="2"/>
  <c r="H572" i="2"/>
  <c r="G572" i="2"/>
  <c r="F572" i="2"/>
  <c r="E574" i="2"/>
  <c r="H574" i="2"/>
  <c r="G574" i="2"/>
  <c r="F574" i="2"/>
  <c r="E576" i="2"/>
  <c r="H576" i="2"/>
  <c r="G576" i="2"/>
  <c r="F576" i="2"/>
  <c r="E578" i="2"/>
  <c r="H578" i="2"/>
  <c r="G578" i="2"/>
  <c r="F578" i="2"/>
  <c r="E580" i="2"/>
  <c r="H580" i="2"/>
  <c r="G580" i="2"/>
  <c r="F580" i="2"/>
  <c r="E582" i="2"/>
  <c r="H582" i="2"/>
  <c r="G582" i="2"/>
  <c r="F582" i="2"/>
  <c r="E584" i="2"/>
  <c r="H584" i="2"/>
  <c r="G584" i="2"/>
  <c r="F584" i="2"/>
  <c r="E586" i="2"/>
  <c r="H586" i="2"/>
  <c r="G586" i="2"/>
  <c r="F586" i="2"/>
  <c r="E588" i="2"/>
  <c r="H588" i="2"/>
  <c r="G588" i="2"/>
  <c r="F588" i="2"/>
  <c r="E590" i="2"/>
  <c r="H590" i="2"/>
  <c r="G590" i="2"/>
  <c r="F590" i="2"/>
  <c r="F612" i="2"/>
  <c r="E612" i="2"/>
  <c r="H612" i="2"/>
  <c r="G612" i="2"/>
  <c r="F628" i="2"/>
  <c r="E628" i="2"/>
  <c r="H628" i="2"/>
  <c r="G628" i="2"/>
  <c r="F644" i="2"/>
  <c r="E644" i="2"/>
  <c r="H644" i="2"/>
  <c r="G644" i="2"/>
  <c r="J403" i="2"/>
  <c r="K404" i="2"/>
  <c r="J405" i="2"/>
  <c r="K406" i="2"/>
  <c r="J407" i="2"/>
  <c r="K408" i="2"/>
  <c r="J409" i="2"/>
  <c r="K410" i="2"/>
  <c r="J411" i="2"/>
  <c r="K412" i="2"/>
  <c r="J413" i="2"/>
  <c r="K414" i="2"/>
  <c r="J415" i="2"/>
  <c r="K416" i="2"/>
  <c r="J417" i="2"/>
  <c r="K418" i="2"/>
  <c r="J419" i="2"/>
  <c r="K420" i="2"/>
  <c r="J421" i="2"/>
  <c r="K422" i="2"/>
  <c r="J423" i="2"/>
  <c r="K424" i="2"/>
  <c r="J425" i="2"/>
  <c r="K426" i="2"/>
  <c r="J427" i="2"/>
  <c r="K428" i="2"/>
  <c r="J429" i="2"/>
  <c r="K430" i="2"/>
  <c r="J431" i="2"/>
  <c r="K432" i="2"/>
  <c r="J433" i="2"/>
  <c r="K434" i="2"/>
  <c r="K438" i="2"/>
  <c r="J438" i="2"/>
  <c r="M438" i="2"/>
  <c r="F440" i="2"/>
  <c r="E440" i="2"/>
  <c r="K446" i="2"/>
  <c r="J446" i="2"/>
  <c r="M446" i="2"/>
  <c r="F448" i="2"/>
  <c r="E448" i="2"/>
  <c r="K454" i="2"/>
  <c r="J454" i="2"/>
  <c r="M454" i="2"/>
  <c r="F456" i="2"/>
  <c r="E456" i="2"/>
  <c r="K462" i="2"/>
  <c r="J462" i="2"/>
  <c r="M462" i="2"/>
  <c r="F464" i="2"/>
  <c r="E464" i="2"/>
  <c r="K470" i="2"/>
  <c r="J470" i="2"/>
  <c r="M470" i="2"/>
  <c r="F472" i="2"/>
  <c r="E472" i="2"/>
  <c r="H472" i="2"/>
  <c r="F480" i="2"/>
  <c r="E480" i="2"/>
  <c r="H480" i="2"/>
  <c r="F488" i="2"/>
  <c r="E488" i="2"/>
  <c r="H488" i="2"/>
  <c r="F496" i="2"/>
  <c r="E496" i="2"/>
  <c r="H496" i="2"/>
  <c r="F504" i="2"/>
  <c r="E504" i="2"/>
  <c r="H504" i="2"/>
  <c r="F512" i="2"/>
  <c r="E512" i="2"/>
  <c r="H512" i="2"/>
  <c r="F520" i="2"/>
  <c r="E520" i="2"/>
  <c r="H520" i="2"/>
  <c r="F526" i="2"/>
  <c r="E526" i="2"/>
  <c r="H526" i="2"/>
  <c r="F534" i="2"/>
  <c r="E534" i="2"/>
  <c r="H534" i="2"/>
  <c r="F542" i="2"/>
  <c r="E542" i="2"/>
  <c r="H542" i="2"/>
  <c r="F550" i="2"/>
  <c r="E550" i="2"/>
  <c r="H550" i="2"/>
  <c r="F558" i="2"/>
  <c r="E558" i="2"/>
  <c r="H558" i="2"/>
  <c r="E598" i="2"/>
  <c r="H598" i="2"/>
  <c r="G598" i="2"/>
  <c r="F598" i="2"/>
  <c r="M472" i="2"/>
  <c r="M474" i="2"/>
  <c r="M476" i="2"/>
  <c r="M478" i="2"/>
  <c r="M480" i="2"/>
  <c r="M482" i="2"/>
  <c r="M484" i="2"/>
  <c r="M486" i="2"/>
  <c r="M488" i="2"/>
  <c r="M490" i="2"/>
  <c r="M492" i="2"/>
  <c r="M494" i="2"/>
  <c r="M496" i="2"/>
  <c r="M498" i="2"/>
  <c r="M500" i="2"/>
  <c r="M502" i="2"/>
  <c r="M504" i="2"/>
  <c r="M506" i="2"/>
  <c r="M508" i="2"/>
  <c r="M510" i="2"/>
  <c r="M512" i="2"/>
  <c r="M514" i="2"/>
  <c r="M516" i="2"/>
  <c r="M518" i="2"/>
  <c r="M520" i="2"/>
  <c r="M522" i="2"/>
  <c r="M524" i="2"/>
  <c r="K525" i="2"/>
  <c r="F527" i="2"/>
  <c r="K527" i="2"/>
  <c r="F529" i="2"/>
  <c r="K529" i="2"/>
  <c r="F531" i="2"/>
  <c r="K531" i="2"/>
  <c r="F533" i="2"/>
  <c r="K533" i="2"/>
  <c r="F535" i="2"/>
  <c r="K535" i="2"/>
  <c r="F537" i="2"/>
  <c r="K537" i="2"/>
  <c r="F539" i="2"/>
  <c r="K539" i="2"/>
  <c r="F541" i="2"/>
  <c r="K541" i="2"/>
  <c r="F543" i="2"/>
  <c r="K543" i="2"/>
  <c r="F545" i="2"/>
  <c r="K545" i="2"/>
  <c r="F547" i="2"/>
  <c r="K547" i="2"/>
  <c r="F549" i="2"/>
  <c r="K549" i="2"/>
  <c r="F551" i="2"/>
  <c r="K551" i="2"/>
  <c r="F553" i="2"/>
  <c r="K553" i="2"/>
  <c r="F555" i="2"/>
  <c r="K555" i="2"/>
  <c r="F557" i="2"/>
  <c r="K557" i="2"/>
  <c r="F559" i="2"/>
  <c r="K559" i="2"/>
  <c r="E592" i="2"/>
  <c r="H592" i="2"/>
  <c r="L593" i="2"/>
  <c r="K593" i="2"/>
  <c r="M593" i="2"/>
  <c r="F596" i="2"/>
  <c r="F602" i="2"/>
  <c r="E602" i="2"/>
  <c r="H602" i="2"/>
  <c r="F610" i="2"/>
  <c r="E610" i="2"/>
  <c r="H610" i="2"/>
  <c r="F618" i="2"/>
  <c r="E618" i="2"/>
  <c r="H618" i="2"/>
  <c r="F626" i="2"/>
  <c r="E626" i="2"/>
  <c r="H626" i="2"/>
  <c r="F634" i="2"/>
  <c r="E634" i="2"/>
  <c r="H634" i="2"/>
  <c r="F642" i="2"/>
  <c r="E642" i="2"/>
  <c r="H642" i="2"/>
  <c r="F682" i="2"/>
  <c r="E682" i="2"/>
  <c r="H682" i="2"/>
  <c r="G682" i="2"/>
  <c r="F698" i="2"/>
  <c r="E698" i="2"/>
  <c r="H698" i="2"/>
  <c r="G698" i="2"/>
  <c r="F714" i="2"/>
  <c r="E714" i="2"/>
  <c r="H714" i="2"/>
  <c r="G714" i="2"/>
  <c r="L758" i="2"/>
  <c r="K758" i="2"/>
  <c r="J758" i="2"/>
  <c r="M758" i="2"/>
  <c r="L435" i="2"/>
  <c r="L437" i="2"/>
  <c r="L439" i="2"/>
  <c r="L441" i="2"/>
  <c r="L443" i="2"/>
  <c r="L445" i="2"/>
  <c r="L447" i="2"/>
  <c r="L449" i="2"/>
  <c r="L451" i="2"/>
  <c r="L453" i="2"/>
  <c r="L455" i="2"/>
  <c r="L457" i="2"/>
  <c r="L459" i="2"/>
  <c r="L461" i="2"/>
  <c r="L463" i="2"/>
  <c r="L465" i="2"/>
  <c r="L467" i="2"/>
  <c r="L469" i="2"/>
  <c r="L471" i="2"/>
  <c r="J472" i="2"/>
  <c r="L473" i="2"/>
  <c r="J474" i="2"/>
  <c r="L475" i="2"/>
  <c r="J476" i="2"/>
  <c r="L477" i="2"/>
  <c r="J478" i="2"/>
  <c r="L479" i="2"/>
  <c r="J480" i="2"/>
  <c r="L481" i="2"/>
  <c r="J482" i="2"/>
  <c r="L483" i="2"/>
  <c r="J484" i="2"/>
  <c r="L485" i="2"/>
  <c r="J486" i="2"/>
  <c r="L487" i="2"/>
  <c r="J488" i="2"/>
  <c r="L489" i="2"/>
  <c r="J490" i="2"/>
  <c r="L491" i="2"/>
  <c r="J492" i="2"/>
  <c r="L493" i="2"/>
  <c r="J494" i="2"/>
  <c r="L495" i="2"/>
  <c r="J496" i="2"/>
  <c r="L497" i="2"/>
  <c r="J498" i="2"/>
  <c r="L499" i="2"/>
  <c r="J500" i="2"/>
  <c r="L501" i="2"/>
  <c r="J502" i="2"/>
  <c r="L503" i="2"/>
  <c r="J504" i="2"/>
  <c r="L505" i="2"/>
  <c r="J506" i="2"/>
  <c r="L507" i="2"/>
  <c r="J508" i="2"/>
  <c r="L509" i="2"/>
  <c r="J510" i="2"/>
  <c r="L511" i="2"/>
  <c r="J512" i="2"/>
  <c r="L513" i="2"/>
  <c r="J514" i="2"/>
  <c r="L515" i="2"/>
  <c r="J516" i="2"/>
  <c r="L517" i="2"/>
  <c r="J518" i="2"/>
  <c r="L519" i="2"/>
  <c r="J520" i="2"/>
  <c r="L521" i="2"/>
  <c r="J522" i="2"/>
  <c r="L523" i="2"/>
  <c r="J524" i="2"/>
  <c r="L525" i="2"/>
  <c r="L527" i="2"/>
  <c r="L529" i="2"/>
  <c r="L531" i="2"/>
  <c r="L533" i="2"/>
  <c r="L535" i="2"/>
  <c r="L537" i="2"/>
  <c r="L539" i="2"/>
  <c r="L541" i="2"/>
  <c r="L543" i="2"/>
  <c r="L545" i="2"/>
  <c r="L547" i="2"/>
  <c r="L549" i="2"/>
  <c r="L551" i="2"/>
  <c r="L553" i="2"/>
  <c r="L555" i="2"/>
  <c r="L557" i="2"/>
  <c r="L559" i="2"/>
  <c r="E594" i="2"/>
  <c r="H594" i="2"/>
  <c r="L595" i="2"/>
  <c r="K595" i="2"/>
  <c r="M595" i="2"/>
  <c r="F608" i="2"/>
  <c r="E608" i="2"/>
  <c r="H608" i="2"/>
  <c r="F616" i="2"/>
  <c r="E616" i="2"/>
  <c r="H616" i="2"/>
  <c r="F624" i="2"/>
  <c r="E624" i="2"/>
  <c r="H624" i="2"/>
  <c r="F632" i="2"/>
  <c r="E632" i="2"/>
  <c r="H632" i="2"/>
  <c r="F640" i="2"/>
  <c r="E640" i="2"/>
  <c r="H640" i="2"/>
  <c r="F648" i="2"/>
  <c r="E648" i="2"/>
  <c r="H648" i="2"/>
  <c r="F694" i="2"/>
  <c r="E694" i="2"/>
  <c r="H694" i="2"/>
  <c r="G694" i="2"/>
  <c r="F710" i="2"/>
  <c r="E710" i="2"/>
  <c r="H710" i="2"/>
  <c r="G710" i="2"/>
  <c r="L561" i="2"/>
  <c r="K561" i="2"/>
  <c r="M561" i="2"/>
  <c r="L563" i="2"/>
  <c r="K563" i="2"/>
  <c r="M563" i="2"/>
  <c r="L565" i="2"/>
  <c r="K565" i="2"/>
  <c r="M565" i="2"/>
  <c r="L567" i="2"/>
  <c r="K567" i="2"/>
  <c r="M567" i="2"/>
  <c r="L569" i="2"/>
  <c r="K569" i="2"/>
  <c r="M569" i="2"/>
  <c r="L571" i="2"/>
  <c r="K571" i="2"/>
  <c r="M571" i="2"/>
  <c r="L573" i="2"/>
  <c r="K573" i="2"/>
  <c r="M573" i="2"/>
  <c r="L575" i="2"/>
  <c r="K575" i="2"/>
  <c r="M575" i="2"/>
  <c r="L577" i="2"/>
  <c r="K577" i="2"/>
  <c r="M577" i="2"/>
  <c r="L579" i="2"/>
  <c r="K579" i="2"/>
  <c r="M579" i="2"/>
  <c r="L581" i="2"/>
  <c r="K581" i="2"/>
  <c r="M581" i="2"/>
  <c r="L583" i="2"/>
  <c r="K583" i="2"/>
  <c r="M583" i="2"/>
  <c r="L585" i="2"/>
  <c r="K585" i="2"/>
  <c r="M585" i="2"/>
  <c r="L587" i="2"/>
  <c r="K587" i="2"/>
  <c r="M587" i="2"/>
  <c r="L589" i="2"/>
  <c r="K589" i="2"/>
  <c r="M589" i="2"/>
  <c r="E596" i="2"/>
  <c r="H596" i="2"/>
  <c r="L597" i="2"/>
  <c r="K597" i="2"/>
  <c r="M597" i="2"/>
  <c r="F600" i="2"/>
  <c r="E600" i="2"/>
  <c r="H600" i="2"/>
  <c r="F606" i="2"/>
  <c r="E606" i="2"/>
  <c r="H606" i="2"/>
  <c r="F614" i="2"/>
  <c r="E614" i="2"/>
  <c r="H614" i="2"/>
  <c r="F622" i="2"/>
  <c r="E622" i="2"/>
  <c r="H622" i="2"/>
  <c r="F630" i="2"/>
  <c r="E630" i="2"/>
  <c r="H630" i="2"/>
  <c r="F638" i="2"/>
  <c r="E638" i="2"/>
  <c r="H638" i="2"/>
  <c r="F646" i="2"/>
  <c r="E646" i="2"/>
  <c r="H646" i="2"/>
  <c r="F690" i="2"/>
  <c r="E690" i="2"/>
  <c r="H690" i="2"/>
  <c r="G690" i="2"/>
  <c r="F706" i="2"/>
  <c r="E706" i="2"/>
  <c r="H706" i="2"/>
  <c r="G706" i="2"/>
  <c r="L790" i="2"/>
  <c r="K790" i="2"/>
  <c r="J790" i="2"/>
  <c r="M790" i="2"/>
  <c r="F812" i="2"/>
  <c r="E812" i="2"/>
  <c r="H812" i="2"/>
  <c r="G812" i="2"/>
  <c r="F857" i="2"/>
  <c r="E857" i="2"/>
  <c r="H857" i="2"/>
  <c r="G857" i="2"/>
  <c r="F873" i="2"/>
  <c r="E873" i="2"/>
  <c r="H873" i="2"/>
  <c r="G873" i="2"/>
  <c r="H883" i="2"/>
  <c r="F883" i="2"/>
  <c r="E883" i="2"/>
  <c r="G883" i="2"/>
  <c r="F905" i="2"/>
  <c r="E905" i="2"/>
  <c r="H905" i="2"/>
  <c r="G905" i="2"/>
  <c r="H932" i="2"/>
  <c r="F932" i="2"/>
  <c r="E932" i="2"/>
  <c r="G932" i="2"/>
  <c r="H948" i="2"/>
  <c r="F948" i="2"/>
  <c r="E948" i="2"/>
  <c r="G948" i="2"/>
  <c r="M560" i="2"/>
  <c r="F561" i="2"/>
  <c r="M562" i="2"/>
  <c r="F563" i="2"/>
  <c r="M564" i="2"/>
  <c r="F565" i="2"/>
  <c r="M566" i="2"/>
  <c r="F567" i="2"/>
  <c r="M568" i="2"/>
  <c r="F569" i="2"/>
  <c r="M570" i="2"/>
  <c r="F571" i="2"/>
  <c r="M572" i="2"/>
  <c r="F573" i="2"/>
  <c r="M574" i="2"/>
  <c r="F575" i="2"/>
  <c r="M576" i="2"/>
  <c r="F577" i="2"/>
  <c r="M578" i="2"/>
  <c r="F579" i="2"/>
  <c r="M580" i="2"/>
  <c r="F581" i="2"/>
  <c r="M582" i="2"/>
  <c r="F583" i="2"/>
  <c r="M584" i="2"/>
  <c r="F585" i="2"/>
  <c r="M586" i="2"/>
  <c r="F587" i="2"/>
  <c r="M588" i="2"/>
  <c r="F589" i="2"/>
  <c r="F591" i="2"/>
  <c r="F593" i="2"/>
  <c r="F595" i="2"/>
  <c r="F597" i="2"/>
  <c r="F599" i="2"/>
  <c r="K599" i="2"/>
  <c r="M600" i="2"/>
  <c r="F601" i="2"/>
  <c r="K601" i="2"/>
  <c r="F603" i="2"/>
  <c r="Q8" i="2" s="1"/>
  <c r="K603" i="2"/>
  <c r="F605" i="2"/>
  <c r="K605" i="2"/>
  <c r="F607" i="2"/>
  <c r="K607" i="2"/>
  <c r="F609" i="2"/>
  <c r="K609" i="2"/>
  <c r="F611" i="2"/>
  <c r="K611" i="2"/>
  <c r="F613" i="2"/>
  <c r="K613" i="2"/>
  <c r="F615" i="2"/>
  <c r="K615" i="2"/>
  <c r="F617" i="2"/>
  <c r="K617" i="2"/>
  <c r="F619" i="2"/>
  <c r="K619" i="2"/>
  <c r="F621" i="2"/>
  <c r="K621" i="2"/>
  <c r="F623" i="2"/>
  <c r="K623" i="2"/>
  <c r="F625" i="2"/>
  <c r="K625" i="2"/>
  <c r="F627" i="2"/>
  <c r="K627" i="2"/>
  <c r="F629" i="2"/>
  <c r="K629" i="2"/>
  <c r="F631" i="2"/>
  <c r="K631" i="2"/>
  <c r="F633" i="2"/>
  <c r="K633" i="2"/>
  <c r="F635" i="2"/>
  <c r="K635" i="2"/>
  <c r="F637" i="2"/>
  <c r="K637" i="2"/>
  <c r="F639" i="2"/>
  <c r="K639" i="2"/>
  <c r="F641" i="2"/>
  <c r="K641" i="2"/>
  <c r="F643" i="2"/>
  <c r="K643" i="2"/>
  <c r="F645" i="2"/>
  <c r="K645" i="2"/>
  <c r="F647" i="2"/>
  <c r="K647" i="2"/>
  <c r="G649" i="2"/>
  <c r="M649" i="2"/>
  <c r="F650" i="2"/>
  <c r="G651" i="2"/>
  <c r="M651" i="2"/>
  <c r="F652" i="2"/>
  <c r="G653" i="2"/>
  <c r="M653" i="2"/>
  <c r="F654" i="2"/>
  <c r="G655" i="2"/>
  <c r="M655" i="2"/>
  <c r="F656" i="2"/>
  <c r="G657" i="2"/>
  <c r="M657" i="2"/>
  <c r="F658" i="2"/>
  <c r="G659" i="2"/>
  <c r="M659" i="2"/>
  <c r="F660" i="2"/>
  <c r="G661" i="2"/>
  <c r="M661" i="2"/>
  <c r="F662" i="2"/>
  <c r="G663" i="2"/>
  <c r="M663" i="2"/>
  <c r="F664" i="2"/>
  <c r="G665" i="2"/>
  <c r="M665" i="2"/>
  <c r="F666" i="2"/>
  <c r="G667" i="2"/>
  <c r="M667" i="2"/>
  <c r="F668" i="2"/>
  <c r="G669" i="2"/>
  <c r="M669" i="2"/>
  <c r="F670" i="2"/>
  <c r="G671" i="2"/>
  <c r="M671" i="2"/>
  <c r="F672" i="2"/>
  <c r="G673" i="2"/>
  <c r="M673" i="2"/>
  <c r="F674" i="2"/>
  <c r="G675" i="2"/>
  <c r="M675" i="2"/>
  <c r="F676" i="2"/>
  <c r="G677" i="2"/>
  <c r="F678" i="2"/>
  <c r="L766" i="2"/>
  <c r="K766" i="2"/>
  <c r="J766" i="2"/>
  <c r="M766" i="2"/>
  <c r="G599" i="2"/>
  <c r="L599" i="2"/>
  <c r="G601" i="2"/>
  <c r="G603" i="2"/>
  <c r="G605" i="2"/>
  <c r="G607" i="2"/>
  <c r="G609" i="2"/>
  <c r="G611" i="2"/>
  <c r="G613" i="2"/>
  <c r="G615" i="2"/>
  <c r="G617" i="2"/>
  <c r="G619" i="2"/>
  <c r="G621" i="2"/>
  <c r="G623" i="2"/>
  <c r="G625" i="2"/>
  <c r="G627" i="2"/>
  <c r="G629" i="2"/>
  <c r="G631" i="2"/>
  <c r="G633" i="2"/>
  <c r="G635" i="2"/>
  <c r="G637" i="2"/>
  <c r="G639" i="2"/>
  <c r="G641" i="2"/>
  <c r="G643" i="2"/>
  <c r="G645" i="2"/>
  <c r="G647" i="2"/>
  <c r="H649" i="2"/>
  <c r="G650" i="2"/>
  <c r="H651" i="2"/>
  <c r="G652" i="2"/>
  <c r="H653" i="2"/>
  <c r="G654" i="2"/>
  <c r="H655" i="2"/>
  <c r="G656" i="2"/>
  <c r="H657" i="2"/>
  <c r="G658" i="2"/>
  <c r="H659" i="2"/>
  <c r="G660" i="2"/>
  <c r="H661" i="2"/>
  <c r="G662" i="2"/>
  <c r="H663" i="2"/>
  <c r="G664" i="2"/>
  <c r="H665" i="2"/>
  <c r="G666" i="2"/>
  <c r="H667" i="2"/>
  <c r="G668" i="2"/>
  <c r="H669" i="2"/>
  <c r="G670" i="2"/>
  <c r="H671" i="2"/>
  <c r="G672" i="2"/>
  <c r="H673" i="2"/>
  <c r="G674" i="2"/>
  <c r="H675" i="2"/>
  <c r="G676" i="2"/>
  <c r="H677" i="2"/>
  <c r="G678" i="2"/>
  <c r="F680" i="2"/>
  <c r="E680" i="2"/>
  <c r="H680" i="2"/>
  <c r="F684" i="2"/>
  <c r="E684" i="2"/>
  <c r="H684" i="2"/>
  <c r="F688" i="2"/>
  <c r="E688" i="2"/>
  <c r="H688" i="2"/>
  <c r="F692" i="2"/>
  <c r="E692" i="2"/>
  <c r="H692" i="2"/>
  <c r="F696" i="2"/>
  <c r="E696" i="2"/>
  <c r="H696" i="2"/>
  <c r="F700" i="2"/>
  <c r="E700" i="2"/>
  <c r="H700" i="2"/>
  <c r="F704" i="2"/>
  <c r="E704" i="2"/>
  <c r="H704" i="2"/>
  <c r="F708" i="2"/>
  <c r="E708" i="2"/>
  <c r="H708" i="2"/>
  <c r="F712" i="2"/>
  <c r="E712" i="2"/>
  <c r="H712" i="2"/>
  <c r="F716" i="2"/>
  <c r="E716" i="2"/>
  <c r="H716" i="2"/>
  <c r="L742" i="2"/>
  <c r="K742" i="2"/>
  <c r="J742" i="2"/>
  <c r="M742" i="2"/>
  <c r="L774" i="2"/>
  <c r="K774" i="2"/>
  <c r="J774" i="2"/>
  <c r="M774" i="2"/>
  <c r="J649" i="2"/>
  <c r="P15" i="2" s="1"/>
  <c r="J651" i="2"/>
  <c r="J653" i="2"/>
  <c r="J655" i="2"/>
  <c r="J657" i="2"/>
  <c r="J659" i="2"/>
  <c r="J661" i="2"/>
  <c r="J663" i="2"/>
  <c r="J665" i="2"/>
  <c r="J667" i="2"/>
  <c r="J669" i="2"/>
  <c r="J671" i="2"/>
  <c r="J673" i="2"/>
  <c r="J675" i="2"/>
  <c r="J677" i="2"/>
  <c r="J731" i="2"/>
  <c r="L731" i="2"/>
  <c r="K731" i="2"/>
  <c r="L750" i="2"/>
  <c r="K750" i="2"/>
  <c r="J750" i="2"/>
  <c r="M750" i="2"/>
  <c r="L782" i="2"/>
  <c r="K782" i="2"/>
  <c r="J782" i="2"/>
  <c r="M782" i="2"/>
  <c r="F679" i="2"/>
  <c r="K679" i="2"/>
  <c r="F681" i="2"/>
  <c r="K681" i="2"/>
  <c r="F683" i="2"/>
  <c r="K683" i="2"/>
  <c r="F685" i="2"/>
  <c r="K685" i="2"/>
  <c r="F687" i="2"/>
  <c r="K687" i="2"/>
  <c r="F689" i="2"/>
  <c r="K689" i="2"/>
  <c r="F691" i="2"/>
  <c r="K691" i="2"/>
  <c r="F693" i="2"/>
  <c r="K693" i="2"/>
  <c r="F695" i="2"/>
  <c r="K695" i="2"/>
  <c r="F697" i="2"/>
  <c r="K697" i="2"/>
  <c r="F699" i="2"/>
  <c r="K699" i="2"/>
  <c r="F701" i="2"/>
  <c r="K701" i="2"/>
  <c r="F703" i="2"/>
  <c r="K703" i="2"/>
  <c r="F705" i="2"/>
  <c r="K705" i="2"/>
  <c r="F707" i="2"/>
  <c r="K707" i="2"/>
  <c r="F709" i="2"/>
  <c r="K709" i="2"/>
  <c r="F711" i="2"/>
  <c r="K711" i="2"/>
  <c r="F713" i="2"/>
  <c r="K713" i="2"/>
  <c r="F715" i="2"/>
  <c r="K715" i="2"/>
  <c r="F717" i="2"/>
  <c r="K717" i="2"/>
  <c r="G719" i="2"/>
  <c r="M719" i="2"/>
  <c r="M720" i="2"/>
  <c r="G721" i="2"/>
  <c r="M721" i="2"/>
  <c r="M722" i="2"/>
  <c r="G723" i="2"/>
  <c r="M723" i="2"/>
  <c r="M724" i="2"/>
  <c r="G725" i="2"/>
  <c r="M725" i="2"/>
  <c r="M726" i="2"/>
  <c r="G727" i="2"/>
  <c r="M727" i="2"/>
  <c r="M728" i="2"/>
  <c r="L730" i="2"/>
  <c r="J730" i="2"/>
  <c r="K730" i="2"/>
  <c r="J733" i="2"/>
  <c r="L733" i="2"/>
  <c r="M733" i="2"/>
  <c r="L740" i="2"/>
  <c r="K740" i="2"/>
  <c r="J740" i="2"/>
  <c r="M740" i="2"/>
  <c r="L748" i="2"/>
  <c r="K748" i="2"/>
  <c r="J748" i="2"/>
  <c r="M748" i="2"/>
  <c r="L756" i="2"/>
  <c r="K756" i="2"/>
  <c r="J756" i="2"/>
  <c r="M756" i="2"/>
  <c r="L764" i="2"/>
  <c r="K764" i="2"/>
  <c r="J764" i="2"/>
  <c r="M764" i="2"/>
  <c r="L772" i="2"/>
  <c r="K772" i="2"/>
  <c r="J772" i="2"/>
  <c r="M772" i="2"/>
  <c r="L780" i="2"/>
  <c r="K780" i="2"/>
  <c r="J780" i="2"/>
  <c r="M780" i="2"/>
  <c r="L788" i="2"/>
  <c r="K788" i="2"/>
  <c r="J788" i="2"/>
  <c r="M788" i="2"/>
  <c r="L818" i="2"/>
  <c r="K818" i="2"/>
  <c r="J818" i="2"/>
  <c r="M818" i="2"/>
  <c r="L834" i="2"/>
  <c r="K834" i="2"/>
  <c r="J834" i="2"/>
  <c r="M834" i="2"/>
  <c r="M850" i="2"/>
  <c r="L850" i="2"/>
  <c r="K850" i="2"/>
  <c r="J850" i="2"/>
  <c r="G679" i="2"/>
  <c r="L679" i="2"/>
  <c r="G681" i="2"/>
  <c r="L681" i="2"/>
  <c r="G683" i="2"/>
  <c r="L683" i="2"/>
  <c r="G685" i="2"/>
  <c r="L685" i="2"/>
  <c r="G687" i="2"/>
  <c r="L687" i="2"/>
  <c r="G689" i="2"/>
  <c r="L689" i="2"/>
  <c r="G691" i="2"/>
  <c r="L691" i="2"/>
  <c r="G693" i="2"/>
  <c r="L693" i="2"/>
  <c r="G695" i="2"/>
  <c r="L695" i="2"/>
  <c r="G697" i="2"/>
  <c r="L697" i="2"/>
  <c r="G699" i="2"/>
  <c r="L699" i="2"/>
  <c r="G701" i="2"/>
  <c r="L701" i="2"/>
  <c r="G703" i="2"/>
  <c r="L703" i="2"/>
  <c r="G705" i="2"/>
  <c r="L705" i="2"/>
  <c r="G707" i="2"/>
  <c r="L707" i="2"/>
  <c r="G709" i="2"/>
  <c r="L709" i="2"/>
  <c r="G711" i="2"/>
  <c r="L711" i="2"/>
  <c r="G713" i="2"/>
  <c r="L713" i="2"/>
  <c r="G715" i="2"/>
  <c r="L715" i="2"/>
  <c r="G717" i="2"/>
  <c r="L717" i="2"/>
  <c r="H719" i="2"/>
  <c r="H721" i="2"/>
  <c r="H723" i="2"/>
  <c r="H725" i="2"/>
  <c r="H727" i="2"/>
  <c r="E729" i="2"/>
  <c r="G729" i="2"/>
  <c r="L732" i="2"/>
  <c r="J732" i="2"/>
  <c r="K732" i="2"/>
  <c r="J735" i="2"/>
  <c r="M735" i="2"/>
  <c r="L735" i="2"/>
  <c r="L738" i="2"/>
  <c r="K738" i="2"/>
  <c r="J738" i="2"/>
  <c r="M738" i="2"/>
  <c r="L746" i="2"/>
  <c r="K746" i="2"/>
  <c r="J746" i="2"/>
  <c r="M746" i="2"/>
  <c r="L754" i="2"/>
  <c r="K754" i="2"/>
  <c r="J754" i="2"/>
  <c r="M754" i="2"/>
  <c r="L762" i="2"/>
  <c r="K762" i="2"/>
  <c r="J762" i="2"/>
  <c r="M762" i="2"/>
  <c r="L770" i="2"/>
  <c r="K770" i="2"/>
  <c r="J770" i="2"/>
  <c r="M770" i="2"/>
  <c r="L778" i="2"/>
  <c r="K778" i="2"/>
  <c r="J778" i="2"/>
  <c r="M778" i="2"/>
  <c r="L786" i="2"/>
  <c r="K786" i="2"/>
  <c r="J786" i="2"/>
  <c r="M786" i="2"/>
  <c r="K810" i="2"/>
  <c r="J810" i="2"/>
  <c r="L810" i="2"/>
  <c r="K719" i="2"/>
  <c r="J720" i="2"/>
  <c r="K721" i="2"/>
  <c r="J722" i="2"/>
  <c r="K723" i="2"/>
  <c r="J724" i="2"/>
  <c r="K725" i="2"/>
  <c r="J726" i="2"/>
  <c r="K727" i="2"/>
  <c r="J728" i="2"/>
  <c r="J729" i="2"/>
  <c r="L729" i="2"/>
  <c r="M729" i="2"/>
  <c r="M732" i="2"/>
  <c r="L734" i="2"/>
  <c r="J734" i="2"/>
  <c r="K734" i="2"/>
  <c r="L736" i="2"/>
  <c r="K736" i="2"/>
  <c r="J736" i="2"/>
  <c r="M736" i="2"/>
  <c r="L744" i="2"/>
  <c r="K744" i="2"/>
  <c r="J744" i="2"/>
  <c r="M744" i="2"/>
  <c r="L752" i="2"/>
  <c r="K752" i="2"/>
  <c r="J752" i="2"/>
  <c r="M752" i="2"/>
  <c r="L760" i="2"/>
  <c r="K760" i="2"/>
  <c r="J760" i="2"/>
  <c r="M760" i="2"/>
  <c r="L768" i="2"/>
  <c r="K768" i="2"/>
  <c r="J768" i="2"/>
  <c r="M768" i="2"/>
  <c r="L776" i="2"/>
  <c r="K776" i="2"/>
  <c r="J776" i="2"/>
  <c r="M776" i="2"/>
  <c r="L784" i="2"/>
  <c r="K784" i="2"/>
  <c r="J784" i="2"/>
  <c r="M784" i="2"/>
  <c r="L826" i="2"/>
  <c r="K826" i="2"/>
  <c r="J826" i="2"/>
  <c r="M826" i="2"/>
  <c r="L842" i="2"/>
  <c r="K842" i="2"/>
  <c r="J842" i="2"/>
  <c r="M842" i="2"/>
  <c r="G731" i="2"/>
  <c r="G733" i="2"/>
  <c r="G735" i="2"/>
  <c r="G737" i="2"/>
  <c r="L737" i="2"/>
  <c r="G739" i="2"/>
  <c r="L739" i="2"/>
  <c r="G741" i="2"/>
  <c r="L741" i="2"/>
  <c r="G743" i="2"/>
  <c r="L743" i="2"/>
  <c r="G745" i="2"/>
  <c r="L745" i="2"/>
  <c r="G747" i="2"/>
  <c r="L747" i="2"/>
  <c r="G749" i="2"/>
  <c r="L749" i="2"/>
  <c r="G751" i="2"/>
  <c r="L751" i="2"/>
  <c r="G753" i="2"/>
  <c r="L753" i="2"/>
  <c r="G755" i="2"/>
  <c r="L755" i="2"/>
  <c r="G757" i="2"/>
  <c r="L757" i="2"/>
  <c r="G759" i="2"/>
  <c r="L759" i="2"/>
  <c r="G761" i="2"/>
  <c r="L761" i="2"/>
  <c r="G763" i="2"/>
  <c r="L763" i="2"/>
  <c r="G765" i="2"/>
  <c r="L765" i="2"/>
  <c r="G767" i="2"/>
  <c r="L767" i="2"/>
  <c r="G769" i="2"/>
  <c r="L769" i="2"/>
  <c r="G771" i="2"/>
  <c r="L771" i="2"/>
  <c r="G773" i="2"/>
  <c r="L773" i="2"/>
  <c r="G775" i="2"/>
  <c r="L775" i="2"/>
  <c r="G777" i="2"/>
  <c r="L777" i="2"/>
  <c r="G779" i="2"/>
  <c r="L779" i="2"/>
  <c r="G781" i="2"/>
  <c r="L781" i="2"/>
  <c r="G783" i="2"/>
  <c r="L783" i="2"/>
  <c r="G785" i="2"/>
  <c r="L785" i="2"/>
  <c r="G787" i="2"/>
  <c r="L787" i="2"/>
  <c r="G789" i="2"/>
  <c r="L789" i="2"/>
  <c r="H792" i="2"/>
  <c r="H794" i="2"/>
  <c r="H796" i="2"/>
  <c r="H798" i="2"/>
  <c r="H800" i="2"/>
  <c r="H802" i="2"/>
  <c r="H804" i="2"/>
  <c r="F806" i="2"/>
  <c r="E806" i="2"/>
  <c r="K812" i="2"/>
  <c r="J812" i="2"/>
  <c r="M812" i="2"/>
  <c r="L816" i="2"/>
  <c r="K816" i="2"/>
  <c r="J816" i="2"/>
  <c r="L824" i="2"/>
  <c r="K824" i="2"/>
  <c r="J824" i="2"/>
  <c r="L832" i="2"/>
  <c r="K832" i="2"/>
  <c r="J832" i="2"/>
  <c r="L840" i="2"/>
  <c r="K840" i="2"/>
  <c r="J840" i="2"/>
  <c r="L848" i="2"/>
  <c r="K848" i="2"/>
  <c r="J848" i="2"/>
  <c r="M737" i="2"/>
  <c r="M739" i="2"/>
  <c r="M741" i="2"/>
  <c r="M743" i="2"/>
  <c r="M745" i="2"/>
  <c r="M747" i="2"/>
  <c r="M749" i="2"/>
  <c r="M751" i="2"/>
  <c r="M753" i="2"/>
  <c r="M755" i="2"/>
  <c r="M757" i="2"/>
  <c r="M759" i="2"/>
  <c r="M761" i="2"/>
  <c r="M763" i="2"/>
  <c r="M765" i="2"/>
  <c r="M767" i="2"/>
  <c r="M769" i="2"/>
  <c r="M771" i="2"/>
  <c r="M773" i="2"/>
  <c r="M775" i="2"/>
  <c r="M777" i="2"/>
  <c r="M779" i="2"/>
  <c r="M781" i="2"/>
  <c r="M783" i="2"/>
  <c r="M785" i="2"/>
  <c r="M787" i="2"/>
  <c r="M789" i="2"/>
  <c r="J791" i="2"/>
  <c r="K792" i="2"/>
  <c r="J793" i="2"/>
  <c r="K794" i="2"/>
  <c r="J795" i="2"/>
  <c r="K796" i="2"/>
  <c r="J797" i="2"/>
  <c r="K798" i="2"/>
  <c r="J799" i="2"/>
  <c r="K800" i="2"/>
  <c r="J801" i="2"/>
  <c r="K802" i="2"/>
  <c r="J803" i="2"/>
  <c r="K804" i="2"/>
  <c r="J805" i="2"/>
  <c r="K806" i="2"/>
  <c r="J806" i="2"/>
  <c r="M806" i="2"/>
  <c r="F808" i="2"/>
  <c r="E808" i="2"/>
  <c r="L814" i="2"/>
  <c r="K814" i="2"/>
  <c r="J814" i="2"/>
  <c r="L822" i="2"/>
  <c r="K822" i="2"/>
  <c r="J822" i="2"/>
  <c r="L830" i="2"/>
  <c r="K830" i="2"/>
  <c r="J830" i="2"/>
  <c r="L838" i="2"/>
  <c r="K838" i="2"/>
  <c r="J838" i="2"/>
  <c r="L846" i="2"/>
  <c r="K846" i="2"/>
  <c r="J846" i="2"/>
  <c r="F865" i="2"/>
  <c r="E865" i="2"/>
  <c r="H865" i="2"/>
  <c r="G865" i="2"/>
  <c r="F880" i="2"/>
  <c r="G880" i="2"/>
  <c r="E880" i="2"/>
  <c r="H880" i="2"/>
  <c r="F888" i="2"/>
  <c r="G888" i="2"/>
  <c r="E888" i="2"/>
  <c r="H888" i="2"/>
  <c r="K791" i="2"/>
  <c r="F792" i="2"/>
  <c r="L792" i="2"/>
  <c r="K793" i="2"/>
  <c r="F794" i="2"/>
  <c r="L794" i="2"/>
  <c r="K795" i="2"/>
  <c r="F796" i="2"/>
  <c r="L796" i="2"/>
  <c r="K797" i="2"/>
  <c r="F798" i="2"/>
  <c r="L798" i="2"/>
  <c r="K799" i="2"/>
  <c r="F800" i="2"/>
  <c r="L800" i="2"/>
  <c r="K801" i="2"/>
  <c r="L802" i="2"/>
  <c r="K803" i="2"/>
  <c r="L804" i="2"/>
  <c r="K805" i="2"/>
  <c r="K808" i="2"/>
  <c r="J808" i="2"/>
  <c r="M808" i="2"/>
  <c r="F810" i="2"/>
  <c r="E810" i="2"/>
  <c r="L820" i="2"/>
  <c r="K820" i="2"/>
  <c r="J820" i="2"/>
  <c r="L828" i="2"/>
  <c r="K828" i="2"/>
  <c r="J828" i="2"/>
  <c r="L836" i="2"/>
  <c r="K836" i="2"/>
  <c r="J836" i="2"/>
  <c r="L844" i="2"/>
  <c r="K844" i="2"/>
  <c r="J844" i="2"/>
  <c r="K851" i="2"/>
  <c r="M851" i="2"/>
  <c r="L851" i="2"/>
  <c r="K853" i="2"/>
  <c r="M853" i="2"/>
  <c r="L853" i="2"/>
  <c r="K855" i="2"/>
  <c r="J855" i="2"/>
  <c r="L855" i="2"/>
  <c r="L807" i="2"/>
  <c r="L809" i="2"/>
  <c r="L811" i="2"/>
  <c r="L813" i="2"/>
  <c r="E814" i="2"/>
  <c r="L815" i="2"/>
  <c r="E816" i="2"/>
  <c r="L817" i="2"/>
  <c r="E818" i="2"/>
  <c r="L819" i="2"/>
  <c r="E820" i="2"/>
  <c r="L821" i="2"/>
  <c r="E822" i="2"/>
  <c r="L823" i="2"/>
  <c r="E824" i="2"/>
  <c r="L825" i="2"/>
  <c r="E826" i="2"/>
  <c r="L827" i="2"/>
  <c r="E828" i="2"/>
  <c r="L829" i="2"/>
  <c r="E830" i="2"/>
  <c r="L831" i="2"/>
  <c r="E832" i="2"/>
  <c r="L833" i="2"/>
  <c r="E834" i="2"/>
  <c r="L835" i="2"/>
  <c r="E836" i="2"/>
  <c r="L837" i="2"/>
  <c r="E838" i="2"/>
  <c r="L839" i="2"/>
  <c r="E840" i="2"/>
  <c r="L841" i="2"/>
  <c r="E842" i="2"/>
  <c r="L843" i="2"/>
  <c r="E844" i="2"/>
  <c r="L845" i="2"/>
  <c r="E846" i="2"/>
  <c r="L847" i="2"/>
  <c r="E848" i="2"/>
  <c r="L849" i="2"/>
  <c r="E850" i="2"/>
  <c r="E851" i="2"/>
  <c r="E852" i="2"/>
  <c r="E853" i="2"/>
  <c r="E854" i="2"/>
  <c r="G855" i="2"/>
  <c r="K857" i="2"/>
  <c r="J857" i="2"/>
  <c r="M857" i="2"/>
  <c r="F859" i="2"/>
  <c r="E859" i="2"/>
  <c r="F863" i="2"/>
  <c r="E863" i="2"/>
  <c r="H863" i="2"/>
  <c r="F871" i="2"/>
  <c r="E871" i="2"/>
  <c r="H871" i="2"/>
  <c r="H879" i="2"/>
  <c r="F879" i="2"/>
  <c r="E879" i="2"/>
  <c r="F882" i="2"/>
  <c r="G882" i="2"/>
  <c r="E882" i="2"/>
  <c r="H885" i="2"/>
  <c r="F885" i="2"/>
  <c r="E885" i="2"/>
  <c r="H890" i="2"/>
  <c r="F890" i="2"/>
  <c r="G890" i="2"/>
  <c r="E890" i="2"/>
  <c r="F814" i="2"/>
  <c r="F816" i="2"/>
  <c r="F818" i="2"/>
  <c r="F820" i="2"/>
  <c r="F822" i="2"/>
  <c r="F824" i="2"/>
  <c r="F826" i="2"/>
  <c r="F828" i="2"/>
  <c r="F830" i="2"/>
  <c r="F832" i="2"/>
  <c r="F834" i="2"/>
  <c r="F836" i="2"/>
  <c r="F838" i="2"/>
  <c r="F840" i="2"/>
  <c r="F842" i="2"/>
  <c r="F844" i="2"/>
  <c r="F846" i="2"/>
  <c r="F848" i="2"/>
  <c r="F850" i="2"/>
  <c r="G851" i="2"/>
  <c r="F852" i="2"/>
  <c r="G853" i="2"/>
  <c r="F854" i="2"/>
  <c r="K859" i="2"/>
  <c r="J859" i="2"/>
  <c r="M859" i="2"/>
  <c r="F861" i="2"/>
  <c r="E861" i="2"/>
  <c r="H861" i="2"/>
  <c r="F869" i="2"/>
  <c r="E869" i="2"/>
  <c r="H869" i="2"/>
  <c r="F877" i="2"/>
  <c r="E877" i="2"/>
  <c r="H877" i="2"/>
  <c r="F884" i="2"/>
  <c r="G884" i="2"/>
  <c r="E884" i="2"/>
  <c r="H887" i="2"/>
  <c r="F887" i="2"/>
  <c r="E887" i="2"/>
  <c r="F895" i="2"/>
  <c r="H895" i="2"/>
  <c r="G895" i="2"/>
  <c r="E895" i="2"/>
  <c r="F913" i="2"/>
  <c r="E913" i="2"/>
  <c r="H913" i="2"/>
  <c r="G913" i="2"/>
  <c r="G850" i="2"/>
  <c r="H851" i="2"/>
  <c r="G852" i="2"/>
  <c r="H853" i="2"/>
  <c r="G854" i="2"/>
  <c r="F855" i="2"/>
  <c r="E855" i="2"/>
  <c r="K861" i="2"/>
  <c r="J861" i="2"/>
  <c r="M861" i="2"/>
  <c r="F867" i="2"/>
  <c r="E867" i="2"/>
  <c r="H867" i="2"/>
  <c r="F875" i="2"/>
  <c r="E875" i="2"/>
  <c r="H875" i="2"/>
  <c r="H881" i="2"/>
  <c r="F881" i="2"/>
  <c r="E881" i="2"/>
  <c r="F886" i="2"/>
  <c r="G886" i="2"/>
  <c r="E886" i="2"/>
  <c r="H889" i="2"/>
  <c r="F889" i="2"/>
  <c r="E889" i="2"/>
  <c r="H898" i="2"/>
  <c r="F898" i="2"/>
  <c r="G898" i="2"/>
  <c r="E898" i="2"/>
  <c r="M863" i="2"/>
  <c r="M865" i="2"/>
  <c r="M867" i="2"/>
  <c r="M869" i="2"/>
  <c r="M871" i="2"/>
  <c r="M873" i="2"/>
  <c r="M875" i="2"/>
  <c r="M877" i="2"/>
  <c r="J879" i="2"/>
  <c r="J880" i="2"/>
  <c r="J882" i="2"/>
  <c r="J884" i="2"/>
  <c r="J886" i="2"/>
  <c r="J888" i="2"/>
  <c r="H892" i="2"/>
  <c r="F892" i="2"/>
  <c r="F897" i="2"/>
  <c r="H897" i="2"/>
  <c r="F903" i="2"/>
  <c r="E903" i="2"/>
  <c r="H903" i="2"/>
  <c r="F911" i="2"/>
  <c r="E911" i="2"/>
  <c r="H911" i="2"/>
  <c r="F919" i="2"/>
  <c r="E919" i="2"/>
  <c r="H919" i="2"/>
  <c r="F922" i="2"/>
  <c r="E922" i="2"/>
  <c r="H922" i="2"/>
  <c r="G922" i="2"/>
  <c r="H928" i="2"/>
  <c r="F928" i="2"/>
  <c r="E928" i="2"/>
  <c r="G928" i="2"/>
  <c r="H944" i="2"/>
  <c r="F944" i="2"/>
  <c r="E944" i="2"/>
  <c r="G944" i="2"/>
  <c r="H960" i="2"/>
  <c r="F960" i="2"/>
  <c r="E960" i="2"/>
  <c r="G960" i="2"/>
  <c r="G856" i="2"/>
  <c r="G858" i="2"/>
  <c r="G860" i="2"/>
  <c r="G862" i="2"/>
  <c r="J863" i="2"/>
  <c r="G864" i="2"/>
  <c r="J865" i="2"/>
  <c r="G866" i="2"/>
  <c r="J867" i="2"/>
  <c r="G868" i="2"/>
  <c r="J869" i="2"/>
  <c r="G870" i="2"/>
  <c r="J871" i="2"/>
  <c r="G872" i="2"/>
  <c r="J873" i="2"/>
  <c r="G874" i="2"/>
  <c r="J875" i="2"/>
  <c r="G876" i="2"/>
  <c r="J877" i="2"/>
  <c r="G878" i="2"/>
  <c r="K879" i="2"/>
  <c r="L880" i="2"/>
  <c r="L882" i="2"/>
  <c r="L884" i="2"/>
  <c r="L886" i="2"/>
  <c r="L888" i="2"/>
  <c r="F891" i="2"/>
  <c r="H891" i="2"/>
  <c r="H894" i="2"/>
  <c r="F894" i="2"/>
  <c r="F899" i="2"/>
  <c r="H899" i="2"/>
  <c r="F901" i="2"/>
  <c r="E901" i="2"/>
  <c r="H901" i="2"/>
  <c r="F909" i="2"/>
  <c r="E909" i="2"/>
  <c r="H909" i="2"/>
  <c r="F917" i="2"/>
  <c r="E917" i="2"/>
  <c r="H917" i="2"/>
  <c r="H924" i="2"/>
  <c r="F924" i="2"/>
  <c r="E924" i="2"/>
  <c r="G924" i="2"/>
  <c r="H940" i="2"/>
  <c r="F940" i="2"/>
  <c r="E940" i="2"/>
  <c r="G940" i="2"/>
  <c r="H956" i="2"/>
  <c r="F956" i="2"/>
  <c r="E956" i="2"/>
  <c r="G956" i="2"/>
  <c r="L879" i="2"/>
  <c r="M880" i="2"/>
  <c r="M882" i="2"/>
  <c r="M884" i="2"/>
  <c r="M886" i="2"/>
  <c r="M888" i="2"/>
  <c r="E892" i="2"/>
  <c r="F893" i="2"/>
  <c r="H893" i="2"/>
  <c r="H896" i="2"/>
  <c r="F896" i="2"/>
  <c r="E897" i="2"/>
  <c r="G903" i="2"/>
  <c r="F907" i="2"/>
  <c r="E907" i="2"/>
  <c r="H907" i="2"/>
  <c r="G911" i="2"/>
  <c r="F915" i="2"/>
  <c r="E915" i="2"/>
  <c r="H915" i="2"/>
  <c r="G919" i="2"/>
  <c r="H936" i="2"/>
  <c r="F936" i="2"/>
  <c r="E936" i="2"/>
  <c r="G936" i="2"/>
  <c r="H952" i="2"/>
  <c r="F952" i="2"/>
  <c r="E952" i="2"/>
  <c r="G952" i="2"/>
  <c r="K890" i="2"/>
  <c r="K892" i="2"/>
  <c r="K894" i="2"/>
  <c r="K896" i="2"/>
  <c r="K898" i="2"/>
  <c r="F900" i="2"/>
  <c r="K900" i="2"/>
  <c r="F902" i="2"/>
  <c r="K902" i="2"/>
  <c r="F904" i="2"/>
  <c r="K904" i="2"/>
  <c r="F906" i="2"/>
  <c r="K906" i="2"/>
  <c r="F908" i="2"/>
  <c r="K908" i="2"/>
  <c r="F910" i="2"/>
  <c r="K910" i="2"/>
  <c r="F912" i="2"/>
  <c r="K912" i="2"/>
  <c r="F914" i="2"/>
  <c r="K914" i="2"/>
  <c r="F916" i="2"/>
  <c r="K916" i="2"/>
  <c r="F918" i="2"/>
  <c r="K918" i="2"/>
  <c r="F920" i="2"/>
  <c r="K922" i="2"/>
  <c r="J922" i="2"/>
  <c r="M922" i="2"/>
  <c r="G900" i="2"/>
  <c r="G902" i="2"/>
  <c r="G904" i="2"/>
  <c r="G906" i="2"/>
  <c r="G908" i="2"/>
  <c r="G910" i="2"/>
  <c r="G912" i="2"/>
  <c r="G914" i="2"/>
  <c r="G916" i="2"/>
  <c r="G918" i="2"/>
  <c r="G920" i="2"/>
  <c r="H926" i="2"/>
  <c r="F926" i="2"/>
  <c r="E926" i="2"/>
  <c r="H930" i="2"/>
  <c r="F930" i="2"/>
  <c r="E930" i="2"/>
  <c r="H934" i="2"/>
  <c r="F934" i="2"/>
  <c r="E934" i="2"/>
  <c r="H938" i="2"/>
  <c r="F938" i="2"/>
  <c r="E938" i="2"/>
  <c r="H942" i="2"/>
  <c r="F942" i="2"/>
  <c r="E942" i="2"/>
  <c r="H946" i="2"/>
  <c r="F946" i="2"/>
  <c r="E946" i="2"/>
  <c r="H950" i="2"/>
  <c r="F950" i="2"/>
  <c r="E950" i="2"/>
  <c r="H954" i="2"/>
  <c r="F954" i="2"/>
  <c r="E954" i="2"/>
  <c r="H958" i="2"/>
  <c r="F958" i="2"/>
  <c r="E958" i="2"/>
  <c r="K920" i="2"/>
  <c r="J920" i="2"/>
  <c r="G921" i="2"/>
  <c r="L921" i="2"/>
  <c r="G923" i="2"/>
  <c r="L923" i="2"/>
  <c r="J924" i="2"/>
  <c r="G925" i="2"/>
  <c r="L925" i="2"/>
  <c r="J926" i="2"/>
  <c r="G927" i="2"/>
  <c r="L927" i="2"/>
  <c r="J928" i="2"/>
  <c r="G929" i="2"/>
  <c r="L929" i="2"/>
  <c r="J930" i="2"/>
  <c r="G931" i="2"/>
  <c r="L931" i="2"/>
  <c r="J932" i="2"/>
  <c r="G933" i="2"/>
  <c r="L933" i="2"/>
  <c r="J934" i="2"/>
  <c r="G935" i="2"/>
  <c r="L935" i="2"/>
  <c r="J936" i="2"/>
  <c r="G937" i="2"/>
  <c r="L937" i="2"/>
  <c r="J938" i="2"/>
  <c r="G939" i="2"/>
  <c r="L939" i="2"/>
  <c r="J940" i="2"/>
  <c r="G941" i="2"/>
  <c r="L941" i="2"/>
  <c r="J942" i="2"/>
  <c r="G943" i="2"/>
  <c r="L943" i="2"/>
  <c r="J944" i="2"/>
  <c r="G945" i="2"/>
  <c r="L945" i="2"/>
  <c r="J946" i="2"/>
  <c r="G947" i="2"/>
  <c r="L947" i="2"/>
  <c r="J948" i="2"/>
  <c r="G949" i="2"/>
  <c r="L949" i="2"/>
  <c r="J950" i="2"/>
  <c r="G951" i="2"/>
  <c r="L951" i="2"/>
  <c r="J952" i="2"/>
  <c r="G953" i="2"/>
  <c r="L953" i="2"/>
  <c r="J954" i="2"/>
  <c r="G955" i="2"/>
  <c r="L955" i="2"/>
  <c r="J956" i="2"/>
  <c r="G957" i="2"/>
  <c r="L957" i="2"/>
  <c r="J958" i="2"/>
  <c r="G959" i="2"/>
  <c r="L959" i="2"/>
  <c r="J960" i="2"/>
  <c r="G961" i="2"/>
  <c r="L961" i="2"/>
  <c r="E962" i="2"/>
  <c r="J962" i="2"/>
  <c r="K924" i="2"/>
  <c r="K926" i="2"/>
  <c r="K928" i="2"/>
  <c r="K930" i="2"/>
  <c r="K932" i="2"/>
  <c r="K934" i="2"/>
  <c r="K936" i="2"/>
  <c r="K938" i="2"/>
  <c r="K940" i="2"/>
  <c r="K942" i="2"/>
  <c r="K944" i="2"/>
  <c r="K946" i="2"/>
  <c r="K948" i="2"/>
  <c r="K950" i="2"/>
  <c r="K952" i="2"/>
  <c r="K954" i="2"/>
  <c r="K956" i="2"/>
  <c r="K958" i="2"/>
  <c r="K960" i="2"/>
  <c r="F962" i="2"/>
  <c r="K962" i="2"/>
  <c r="G962" i="2"/>
  <c r="L962" i="2"/>
  <c r="P13" i="2" l="1"/>
  <c r="S13" i="2"/>
  <c r="P6" i="2"/>
  <c r="R7" i="2"/>
  <c r="Q7" i="2"/>
  <c r="S16" i="2"/>
  <c r="S15" i="2"/>
  <c r="R16" i="2"/>
  <c r="P16" i="2"/>
  <c r="S7" i="2"/>
  <c r="R6" i="2"/>
  <c r="R15" i="2"/>
  <c r="P14" i="2"/>
  <c r="P8" i="2"/>
  <c r="Q9" i="2"/>
  <c r="P9" i="2"/>
  <c r="S9" i="2"/>
  <c r="R9" i="2"/>
  <c r="Q16" i="2"/>
  <c r="R8" i="2"/>
  <c r="Q15" i="2"/>
  <c r="R14" i="2"/>
  <c r="Q14" i="2"/>
  <c r="P7" i="2"/>
  <c r="S8" i="2"/>
  <c r="S6" i="2"/>
</calcChain>
</file>

<file path=xl/connections.xml><?xml version="1.0" encoding="utf-8"?>
<connections xmlns="http://schemas.openxmlformats.org/spreadsheetml/2006/main">
  <connection id="1" name="100" type="6" refreshedVersion="5" background="1" saveData="1">
    <textPr codePage="850" sourceFile="C:\Users\geflx\Downloads\arroyo\0 0\1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0jobs0_1" type="6" refreshedVersion="5" background="1" saveData="1">
    <textPr codePage="850" sourceFile="C:\Users\geflx\Downloads\arroyo\0 1\100jobs0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100jobs1_0" type="6" refreshedVersion="5" background="1" saveData="1">
    <textPr codePage="850" sourceFile="C:\Users\geflx\Downloads\arroyo\1 0\100jobs1_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100jobs1_1" type="6" refreshedVersion="5" background="1" saveData="1">
    <textPr codePage="850" sourceFile="C:\Users\geflx\Downloads\arroyo\1 1\100jobs1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20" type="6" refreshedVersion="5" background="1" saveData="1">
    <textPr codePage="850" sourceFile="C:\Users\geflx\Downloads\arroyo\0 0\2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20jobs0_1" type="6" refreshedVersion="5" background="1" saveData="1">
    <textPr codePage="850" sourceFile="C:\Users\geflx\Downloads\arroyo\0 1\20jobs0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20jobs1_0" type="6" refreshedVersion="5" background="1" saveData="1">
    <textPr codePage="850" sourceFile="C:\Users\geflx\Downloads\arroyo\1 0\20jobs1_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20jobs1_1" type="6" refreshedVersion="5" background="1" saveData="1">
    <textPr codePage="850" sourceFile="C:\Users\geflx\Downloads\arroyo\1 1\20jobs1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50" type="6" refreshedVersion="5" background="1" saveData="1">
    <textPr codePage="850" sourceFile="C:\Users\geflx\Downloads\arroyo\0 0\5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50jobs0_1" type="6" refreshedVersion="5" background="1" saveData="1">
    <textPr codePage="850" sourceFile="C:\Users\geflx\Downloads\arroyo\0 1\50jobs0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50jobs1_0" type="6" refreshedVersion="5" background="1" saveData="1">
    <textPr codePage="850" sourceFile="C:\Users\geflx\Downloads\arroyo\1 0\50jobs1_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50jobs1_1" type="6" refreshedVersion="5" background="1" saveData="1">
    <textPr codePage="850" sourceFile="C:\Users\geflx\Downloads\arroyo\1 1\50jobs1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8" type="6" refreshedVersion="5" background="1" saveData="1">
    <textPr codePage="850" sourceFile="C:\Users\geflx\Downloads\arroyo\0 0\8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8jobs0_1" type="6" refreshedVersion="5" background="1" saveData="1">
    <textPr codePage="850" sourceFile="C:\Users\geflx\Downloads\arroyo\0 1\8jobs0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8jobs1_0" type="6" refreshedVersion="5" background="1" saveData="1">
    <textPr codePage="850" sourceFile="C:\Users\geflx\Downloads\arroyo\1 0\8jobs1_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8jobs1_1" type="6" refreshedVersion="5" background="1" saveData="1">
    <textPr codePage="850" sourceFile="C:\Users\geflx\Downloads\arroyo\1 1\8jobs1_1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<sst xmlns="http://schemas.openxmlformats.org/spreadsheetml/2006/main" count="145" uniqueCount="47">
  <si>
    <t>&lt;Cross, Mut&gt;</t>
  </si>
  <si>
    <t>&lt;0,0&gt;</t>
  </si>
  <si>
    <t>&lt;0,1&gt;</t>
  </si>
  <si>
    <t>&lt;1,0&gt;</t>
  </si>
  <si>
    <t>&lt;1,1&gt;</t>
  </si>
  <si>
    <t>Quick Test New_GA  (Mut: 0.50)</t>
  </si>
  <si>
    <t>Iter:500 , Pop: 50</t>
  </si>
  <si>
    <t>AG1</t>
  </si>
  <si>
    <t>Over</t>
  </si>
  <si>
    <t>AG2</t>
  </si>
  <si>
    <t>Time</t>
  </si>
  <si>
    <t>8 Jobs</t>
  </si>
  <si>
    <t>20 Jobs</t>
  </si>
  <si>
    <t>50 Jobs</t>
  </si>
  <si>
    <t>100 Jobs</t>
  </si>
  <si>
    <t>RPD GA1</t>
  </si>
  <si>
    <t>RPD GA2</t>
  </si>
  <si>
    <t>min GA1</t>
  </si>
  <si>
    <t>min GA2</t>
  </si>
  <si>
    <t>Average of RPD:</t>
  </si>
  <si>
    <t>8 jobs</t>
  </si>
  <si>
    <t>GA1</t>
  </si>
  <si>
    <t>GA2</t>
  </si>
  <si>
    <t>20 jobs</t>
  </si>
  <si>
    <t>50 jobs</t>
  </si>
  <si>
    <t>100 jobs</t>
  </si>
  <si>
    <t>&lt;0, 0&gt;</t>
  </si>
  <si>
    <t>&lt;0, 1&gt;</t>
  </si>
  <si>
    <t>&lt;1, 1&gt;</t>
  </si>
  <si>
    <t>&lt;1, 0&gt;</t>
  </si>
  <si>
    <t>pMut 0.1</t>
  </si>
  <si>
    <t>OV</t>
  </si>
  <si>
    <t>T(s)</t>
  </si>
  <si>
    <t>pMut 0.2</t>
  </si>
  <si>
    <t>pMut 0.3</t>
  </si>
  <si>
    <t>pMut 0.5</t>
  </si>
  <si>
    <t>nIter: 500 psize: 50</t>
  </si>
  <si>
    <t>min &lt;0,1&gt;</t>
  </si>
  <si>
    <t>min &lt;0,0&gt;</t>
  </si>
  <si>
    <t>min &lt;1,1&gt;</t>
  </si>
  <si>
    <t>min &lt;1,0&gt;</t>
  </si>
  <si>
    <t>Best min</t>
  </si>
  <si>
    <t>RPD Average: Parameter Combination Analysis</t>
  </si>
  <si>
    <t>AVG:</t>
  </si>
  <si>
    <t>RPD Average: probMut Analysis in &lt;1, 0&gt; combination</t>
  </si>
  <si>
    <t>RPD (ref: Best Min)</t>
  </si>
  <si>
    <t>RPD &lt;1, 0&gt; (ref: min&lt;1, 0&gt;)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</si>
</sst>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6">
    <font>
      <sz val="10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theme="1"/>
      <name val="Calibri"/>
    </font>
    <font>
      <b/>
      <sz val="14"/>
      <color theme="1"/>
      <name val="Roboto"/>
    </font>
    <font>
      <b/>
      <sz val="10"/>
      <color rgb="FF000000"/>
      <name val="Calibri"/>
    </font>
    <font>
      <sz val="10"/>
      <color rgb="FFBF9000"/>
      <name val="Calibri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u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5E8AC7"/>
        <bgColor rgb="FF5E8AC7"/>
      </patternFill>
    </fill>
    <fill>
      <patternFill patternType="solid">
        <fgColor rgb="FFAA55A1"/>
        <bgColor rgb="FFAA55A1"/>
      </patternFill>
    </fill>
    <fill>
      <patternFill patternType="solid">
        <fgColor rgb="FFD99116"/>
        <bgColor rgb="FFD99116"/>
      </patternFill>
    </fill>
    <fill>
      <patternFill patternType="solid">
        <fgColor rgb="FF89C765"/>
        <bgColor rgb="FF89C765"/>
      </patternFill>
    </fill>
    <fill>
      <patternFill patternType="solid">
        <fgColor rgb="FF65C295"/>
        <bgColor rgb="FF65C295"/>
      </patternFill>
    </fill>
    <fill>
      <patternFill patternType="solid">
        <fgColor rgb="FFFFF200"/>
        <bgColor rgb="FFFFF200"/>
      </patternFill>
    </fill>
    <fill>
      <patternFill patternType="solid">
        <fgColor rgb="FFF3715A"/>
        <bgColor rgb="FFF3715A"/>
      </patternFill>
    </fill>
    <fill>
      <patternFill patternType="solid">
        <fgColor rgb="FFBEE3D3"/>
        <bgColor rgb="FFBEE3D3"/>
      </patternFill>
    </fill>
    <fill>
      <patternFill patternType="solid">
        <fgColor rgb="FF8F93C7"/>
        <bgColor rgb="FF8F93C7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rgb="FF6D9EE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79747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hair">
        <color rgb="FF000000"/>
      </top>
      <bottom/>
      <diagonal/>
    </border>
    <border>
      <left/>
      <right style="thick">
        <color indexed="64"/>
      </right>
      <top style="hair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5" fillId="0" borderId="0" xfId="0" applyFont="1"/>
    <xf numFmtId="0" fontId="3" fillId="3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/>
    <xf numFmtId="0" fontId="2" fillId="0" borderId="2" xfId="0" applyFont="1" applyBorder="1" applyAlignment="1">
      <alignment horizontal="center"/>
    </xf>
    <xf numFmtId="164" fontId="3" fillId="8" borderId="3" xfId="0" applyNumberFormat="1" applyFont="1" applyFill="1" applyBorder="1" applyAlignment="1"/>
    <xf numFmtId="164" fontId="3" fillId="0" borderId="4" xfId="0" applyNumberFormat="1" applyFont="1" applyBorder="1" applyAlignment="1"/>
    <xf numFmtId="164" fontId="3" fillId="0" borderId="5" xfId="0" applyNumberFormat="1" applyFont="1" applyBorder="1" applyAlignment="1"/>
    <xf numFmtId="0" fontId="2" fillId="0" borderId="6" xfId="0" applyFont="1" applyBorder="1" applyAlignment="1">
      <alignment horizontal="center"/>
    </xf>
    <xf numFmtId="164" fontId="3" fillId="8" borderId="1" xfId="0" applyNumberFormat="1" applyFont="1" applyFill="1" applyBorder="1" applyAlignment="1"/>
    <xf numFmtId="164" fontId="3" fillId="0" borderId="0" xfId="0" applyNumberFormat="1" applyFont="1" applyAlignment="1"/>
    <xf numFmtId="164" fontId="3" fillId="0" borderId="7" xfId="0" applyNumberFormat="1" applyFont="1" applyBorder="1" applyAlignment="1"/>
    <xf numFmtId="0" fontId="2" fillId="0" borderId="8" xfId="0" applyFont="1" applyBorder="1" applyAlignment="1">
      <alignment horizontal="center"/>
    </xf>
    <xf numFmtId="164" fontId="3" fillId="8" borderId="9" xfId="0" applyNumberFormat="1" applyFont="1" applyFill="1" applyBorder="1" applyAlignment="1"/>
    <xf numFmtId="164" fontId="3" fillId="0" borderId="10" xfId="0" applyNumberFormat="1" applyFont="1" applyBorder="1" applyAlignment="1"/>
    <xf numFmtId="164" fontId="3" fillId="0" borderId="11" xfId="0" applyNumberFormat="1" applyFont="1" applyBorder="1" applyAlignment="1"/>
    <xf numFmtId="0" fontId="2" fillId="0" borderId="12" xfId="0" applyFont="1" applyBorder="1" applyAlignment="1">
      <alignment horizontal="center"/>
    </xf>
    <xf numFmtId="164" fontId="3" fillId="0" borderId="13" xfId="0" applyNumberFormat="1" applyFont="1" applyBorder="1" applyAlignment="1"/>
    <xf numFmtId="164" fontId="0" fillId="8" borderId="14" xfId="0" applyNumberFormat="1" applyFont="1" applyFill="1" applyBorder="1" applyAlignment="1"/>
    <xf numFmtId="164" fontId="3" fillId="0" borderId="15" xfId="0" applyNumberFormat="1" applyFont="1" applyBorder="1" applyAlignment="1"/>
    <xf numFmtId="0" fontId="2" fillId="0" borderId="16" xfId="0" applyFont="1" applyBorder="1" applyAlignment="1">
      <alignment horizontal="center"/>
    </xf>
    <xf numFmtId="164" fontId="0" fillId="8" borderId="1" xfId="0" applyNumberFormat="1" applyFont="1" applyFill="1" applyBorder="1" applyAlignment="1"/>
    <xf numFmtId="164" fontId="3" fillId="0" borderId="17" xfId="0" applyNumberFormat="1" applyFont="1" applyBorder="1" applyAlignment="1"/>
    <xf numFmtId="0" fontId="2" fillId="0" borderId="18" xfId="0" applyFont="1" applyBorder="1" applyAlignment="1">
      <alignment horizontal="center"/>
    </xf>
    <xf numFmtId="164" fontId="3" fillId="0" borderId="19" xfId="0" applyNumberFormat="1" applyFont="1" applyBorder="1" applyAlignment="1"/>
    <xf numFmtId="164" fontId="0" fillId="8" borderId="20" xfId="0" applyNumberFormat="1" applyFont="1" applyFill="1" applyBorder="1" applyAlignment="1"/>
    <xf numFmtId="164" fontId="3" fillId="0" borderId="21" xfId="0" applyNumberFormat="1" applyFont="1" applyBorder="1" applyAlignment="1"/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/>
    <xf numFmtId="0" fontId="2" fillId="10" borderId="1" xfId="0" applyFont="1" applyFill="1" applyBorder="1" applyAlignment="1">
      <alignment horizontal="center"/>
    </xf>
    <xf numFmtId="0" fontId="3" fillId="10" borderId="1" xfId="0" applyFont="1" applyFill="1" applyBorder="1" applyAlignment="1"/>
    <xf numFmtId="0" fontId="2" fillId="11" borderId="1" xfId="0" applyFont="1" applyFill="1" applyBorder="1" applyAlignment="1">
      <alignment horizontal="center"/>
    </xf>
    <xf numFmtId="0" fontId="3" fillId="11" borderId="1" xfId="0" applyFont="1" applyFill="1" applyBorder="1" applyAlignment="1"/>
    <xf numFmtId="0" fontId="5" fillId="0" borderId="0" xfId="0" applyFont="1" applyAlignment="1">
      <alignment horizontal="center"/>
    </xf>
    <xf numFmtId="0" fontId="8" fillId="0" borderId="0" xfId="0" applyFont="1" applyAlignment="1"/>
    <xf numFmtId="0" fontId="0" fillId="0" borderId="0" xfId="0" applyFont="1" applyAlignment="1"/>
    <xf numFmtId="11" fontId="0" fillId="0" borderId="0" xfId="0" applyNumberFormat="1" applyFont="1" applyAlignment="1"/>
    <xf numFmtId="0" fontId="9" fillId="0" borderId="0" xfId="0" applyFont="1" applyAlignment="1"/>
    <xf numFmtId="11" fontId="9" fillId="0" borderId="0" xfId="0" applyNumberFormat="1" applyFont="1" applyAlignment="1"/>
    <xf numFmtId="0" fontId="0" fillId="0" borderId="0" xfId="0" applyFont="1" applyAlignment="1"/>
    <xf numFmtId="0" fontId="0" fillId="14" borderId="0" xfId="0" applyFont="1" applyFill="1" applyAlignment="1"/>
    <xf numFmtId="11" fontId="0" fillId="14" borderId="0" xfId="0" applyNumberFormat="1" applyFont="1" applyFill="1" applyAlignment="1"/>
    <xf numFmtId="11" fontId="11" fillId="14" borderId="0" xfId="0" applyNumberFormat="1" applyFont="1" applyFill="1" applyAlignment="1"/>
    <xf numFmtId="0" fontId="11" fillId="0" borderId="0" xfId="0" applyFont="1" applyAlignment="1"/>
    <xf numFmtId="164" fontId="3" fillId="0" borderId="1" xfId="0" applyNumberFormat="1" applyFont="1" applyFill="1" applyBorder="1" applyAlignment="1"/>
    <xf numFmtId="164" fontId="3" fillId="15" borderId="4" xfId="0" applyNumberFormat="1" applyFont="1" applyFill="1" applyBorder="1" applyAlignment="1"/>
    <xf numFmtId="0" fontId="2" fillId="0" borderId="1" xfId="0" applyFont="1" applyBorder="1" applyAlignment="1">
      <alignment horizontal="center"/>
    </xf>
    <xf numFmtId="164" fontId="3" fillId="0" borderId="4" xfId="0" applyNumberFormat="1" applyFont="1" applyFill="1" applyBorder="1" applyAlignment="1"/>
    <xf numFmtId="164" fontId="3" fillId="0" borderId="1" xfId="0" applyNumberFormat="1" applyFont="1" applyBorder="1" applyAlignment="1"/>
    <xf numFmtId="164" fontId="3" fillId="15" borderId="1" xfId="0" applyNumberFormat="1" applyFont="1" applyFill="1" applyBorder="1" applyAlignment="1"/>
    <xf numFmtId="0" fontId="0" fillId="0" borderId="25" xfId="0" applyFont="1" applyBorder="1" applyAlignment="1"/>
    <xf numFmtId="0" fontId="2" fillId="0" borderId="27" xfId="0" applyFont="1" applyBorder="1" applyAlignment="1">
      <alignment horizontal="center"/>
    </xf>
    <xf numFmtId="164" fontId="3" fillId="0" borderId="28" xfId="0" applyNumberFormat="1" applyFont="1" applyBorder="1" applyAlignment="1"/>
    <xf numFmtId="0" fontId="2" fillId="0" borderId="25" xfId="0" applyFont="1" applyBorder="1" applyAlignment="1">
      <alignment horizontal="center"/>
    </xf>
    <xf numFmtId="164" fontId="3" fillId="0" borderId="26" xfId="0" applyNumberFormat="1" applyFont="1" applyBorder="1" applyAlignment="1"/>
    <xf numFmtId="164" fontId="3" fillId="15" borderId="26" xfId="0" applyNumberFormat="1" applyFont="1" applyFill="1" applyBorder="1" applyAlignment="1"/>
    <xf numFmtId="0" fontId="2" fillId="0" borderId="29" xfId="0" applyFont="1" applyBorder="1" applyAlignment="1">
      <alignment horizontal="center"/>
    </xf>
    <xf numFmtId="164" fontId="3" fillId="15" borderId="30" xfId="0" applyNumberFormat="1" applyFont="1" applyFill="1" applyBorder="1" applyAlignment="1"/>
    <xf numFmtId="164" fontId="3" fillId="0" borderId="30" xfId="0" applyNumberFormat="1" applyFont="1" applyBorder="1" applyAlignment="1"/>
    <xf numFmtId="164" fontId="3" fillId="0" borderId="31" xfId="0" applyNumberFormat="1" applyFont="1" applyBorder="1" applyAlignment="1"/>
    <xf numFmtId="0" fontId="9" fillId="0" borderId="0" xfId="0" applyFont="1" applyAlignment="1">
      <alignment horizontal="center"/>
    </xf>
    <xf numFmtId="0" fontId="10" fillId="17" borderId="0" xfId="0" applyFont="1" applyFill="1" applyAlignment="1">
      <alignment horizontal="center"/>
    </xf>
    <xf numFmtId="0" fontId="0" fillId="0" borderId="1" xfId="0" applyFont="1" applyBorder="1" applyAlignment="1"/>
    <xf numFmtId="0" fontId="13" fillId="0" borderId="32" xfId="0" applyFont="1" applyBorder="1" applyAlignment="1"/>
    <xf numFmtId="49" fontId="5" fillId="18" borderId="36" xfId="0" applyNumberFormat="1" applyFont="1" applyFill="1" applyBorder="1" applyAlignment="1"/>
    <xf numFmtId="49" fontId="5" fillId="0" borderId="37" xfId="0" applyNumberFormat="1" applyFont="1" applyBorder="1" applyAlignment="1"/>
    <xf numFmtId="49" fontId="7" fillId="13" borderId="37" xfId="0" applyNumberFormat="1" applyFont="1" applyFill="1" applyBorder="1" applyAlignment="1"/>
    <xf numFmtId="49" fontId="5" fillId="18" borderId="37" xfId="0" applyNumberFormat="1" applyFont="1" applyFill="1" applyBorder="1" applyAlignment="1"/>
    <xf numFmtId="49" fontId="7" fillId="13" borderId="38" xfId="0" applyNumberFormat="1" applyFont="1" applyFill="1" applyBorder="1" applyAlignment="1"/>
    <xf numFmtId="0" fontId="5" fillId="18" borderId="36" xfId="0" applyFont="1" applyFill="1" applyBorder="1" applyAlignment="1"/>
    <xf numFmtId="0" fontId="5" fillId="0" borderId="37" xfId="0" applyFont="1" applyBorder="1" applyAlignment="1"/>
    <xf numFmtId="0" fontId="7" fillId="13" borderId="37" xfId="0" applyFont="1" applyFill="1" applyBorder="1" applyAlignment="1"/>
    <xf numFmtId="0" fontId="5" fillId="18" borderId="37" xfId="0" applyFont="1" applyFill="1" applyBorder="1" applyAlignment="1"/>
    <xf numFmtId="0" fontId="7" fillId="13" borderId="38" xfId="0" applyFont="1" applyFill="1" applyBorder="1" applyAlignment="1"/>
    <xf numFmtId="164" fontId="3" fillId="0" borderId="26" xfId="0" applyNumberFormat="1" applyFont="1" applyFill="1" applyBorder="1" applyAlignment="1"/>
    <xf numFmtId="164" fontId="3" fillId="0" borderId="30" xfId="0" applyNumberFormat="1" applyFont="1" applyFill="1" applyBorder="1" applyAlignment="1"/>
    <xf numFmtId="164" fontId="3" fillId="19" borderId="28" xfId="0" applyNumberFormat="1" applyFont="1" applyFill="1" applyBorder="1" applyAlignment="1"/>
    <xf numFmtId="164" fontId="3" fillId="19" borderId="1" xfId="0" applyNumberFormat="1" applyFont="1" applyFill="1" applyBorder="1" applyAlignment="1"/>
    <xf numFmtId="164" fontId="3" fillId="19" borderId="26" xfId="0" applyNumberFormat="1" applyFont="1" applyFill="1" applyBorder="1" applyAlignment="1"/>
    <xf numFmtId="164" fontId="3" fillId="19" borderId="31" xfId="0" applyNumberFormat="1" applyFont="1" applyFill="1" applyBorder="1" applyAlignment="1"/>
    <xf numFmtId="0" fontId="14" fillId="21" borderId="1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0" fillId="0" borderId="26" xfId="0" applyFont="1" applyBorder="1" applyAlignment="1"/>
    <xf numFmtId="0" fontId="12" fillId="0" borderId="29" xfId="0" applyFont="1" applyFill="1" applyBorder="1" applyAlignment="1">
      <alignment horizontal="center"/>
    </xf>
    <xf numFmtId="164" fontId="0" fillId="0" borderId="30" xfId="0" applyNumberFormat="1" applyFont="1" applyBorder="1" applyAlignment="1"/>
    <xf numFmtId="164" fontId="15" fillId="20" borderId="31" xfId="0" applyNumberFormat="1" applyFont="1" applyFill="1" applyBorder="1" applyAlignment="1"/>
    <xf numFmtId="0" fontId="12" fillId="0" borderId="39" xfId="0" applyFont="1" applyFill="1" applyBorder="1" applyAlignment="1">
      <alignment horizontal="center"/>
    </xf>
    <xf numFmtId="0" fontId="2" fillId="15" borderId="36" xfId="0" applyFont="1" applyFill="1" applyBorder="1" applyAlignment="1">
      <alignment horizontal="center"/>
    </xf>
    <xf numFmtId="0" fontId="2" fillId="15" borderId="37" xfId="0" applyFont="1" applyFill="1" applyBorder="1" applyAlignment="1">
      <alignment horizontal="center"/>
    </xf>
    <xf numFmtId="0" fontId="12" fillId="15" borderId="37" xfId="0" applyFont="1" applyFill="1" applyBorder="1" applyAlignment="1">
      <alignment horizontal="center"/>
    </xf>
    <xf numFmtId="0" fontId="12" fillId="15" borderId="38" xfId="0" applyFont="1" applyFill="1" applyBorder="1" applyAlignment="1">
      <alignment horizontal="center"/>
    </xf>
    <xf numFmtId="0" fontId="13" fillId="19" borderId="36" xfId="0" applyFont="1" applyFill="1" applyBorder="1" applyAlignment="1">
      <alignment horizontal="center"/>
    </xf>
    <xf numFmtId="0" fontId="13" fillId="19" borderId="37" xfId="0" applyFont="1" applyFill="1" applyBorder="1" applyAlignment="1">
      <alignment horizontal="center"/>
    </xf>
    <xf numFmtId="0" fontId="13" fillId="19" borderId="38" xfId="0" applyFont="1" applyFill="1" applyBorder="1" applyAlignment="1">
      <alignment horizontal="center"/>
    </xf>
    <xf numFmtId="164" fontId="15" fillId="22" borderId="31" xfId="0" applyNumberFormat="1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49" fontId="6" fillId="12" borderId="33" xfId="0" applyNumberFormat="1" applyFont="1" applyFill="1" applyBorder="1" applyAlignment="1">
      <alignment horizontal="center"/>
    </xf>
    <xf numFmtId="0" fontId="0" fillId="0" borderId="34" xfId="0" applyFont="1" applyBorder="1" applyAlignment="1"/>
    <xf numFmtId="0" fontId="0" fillId="0" borderId="35" xfId="0" applyFont="1" applyBorder="1" applyAlignment="1"/>
    <xf numFmtId="0" fontId="6" fillId="12" borderId="33" xfId="0" applyFont="1" applyFill="1" applyBorder="1" applyAlignment="1">
      <alignment horizontal="center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0" fillId="0" borderId="23" xfId="0" applyFont="1" applyBorder="1" applyAlignment="1"/>
    <xf numFmtId="0" fontId="0" fillId="0" borderId="2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9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50jobs0_1" connectionId="10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0jobs1_0" connectionId="7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50jobs1_1" connectionId="1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100jobs0_1" connectionId="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100jobs1_0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20jobs1_1" connectionId="8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100" connectionId="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jobs0_1" connectionId="14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8jobs1_0" connectionId="15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8" connectionId="13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50jobs1_0" connectionId="11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50" connectionId="9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100jobs1_1" connectionId="4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8jobs1_1" connectionId="16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20" connectionId="5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20jobs0_1" connectionId="6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/>
  </sheetViews>
  <sheetFormatPr defaultColWidth="14.42578125" defaultRowHeight="15" customHeight="1"/>
  <cols>
    <col min="1" max="1" width="15.42578125" customWidth="1"/>
    <col min="2" max="2" width="9.5703125" customWidth="1"/>
    <col min="3" max="3" width="7" customWidth="1"/>
    <col min="4" max="4" width="9.7109375" customWidth="1"/>
    <col min="5" max="5" width="7" customWidth="1"/>
    <col min="6" max="6" width="11.42578125" customWidth="1"/>
    <col min="7" max="7" width="9.28515625" customWidth="1"/>
    <col min="8" max="8" width="7.5703125" customWidth="1"/>
    <col min="9" max="9" width="9.140625" customWidth="1"/>
    <col min="10" max="10" width="8" customWidth="1"/>
    <col min="11" max="11" width="11.42578125" customWidth="1"/>
    <col min="12" max="12" width="9" customWidth="1"/>
    <col min="13" max="13" width="8" customWidth="1"/>
    <col min="14" max="14" width="8.85546875" customWidth="1"/>
    <col min="15" max="15" width="6.85546875" customWidth="1"/>
    <col min="16" max="16" width="11.42578125" customWidth="1"/>
    <col min="17" max="17" width="8.140625" customWidth="1"/>
    <col min="18" max="18" width="6.85546875" customWidth="1"/>
    <col min="19" max="19" width="8.42578125" customWidth="1"/>
    <col min="20" max="20" width="7.42578125" customWidth="1"/>
    <col min="21" max="24" width="11.42578125" customWidth="1"/>
    <col min="25" max="26" width="8.7109375" customWidth="1"/>
  </cols>
  <sheetData>
    <row r="1" spans="1:24" ht="12.75" customHeight="1">
      <c r="A1" s="1" t="s">
        <v>0</v>
      </c>
      <c r="B1" s="107" t="s">
        <v>1</v>
      </c>
      <c r="C1" s="108"/>
      <c r="D1" s="108"/>
      <c r="E1" s="108"/>
      <c r="F1" s="2"/>
      <c r="G1" s="107" t="s">
        <v>2</v>
      </c>
      <c r="H1" s="108"/>
      <c r="I1" s="108"/>
      <c r="J1" s="108"/>
      <c r="K1" s="2"/>
      <c r="L1" s="107" t="s">
        <v>3</v>
      </c>
      <c r="M1" s="108"/>
      <c r="N1" s="108"/>
      <c r="O1" s="108"/>
      <c r="P1" s="2"/>
      <c r="Q1" s="107" t="s">
        <v>4</v>
      </c>
      <c r="R1" s="108"/>
      <c r="S1" s="108"/>
      <c r="T1" s="108"/>
      <c r="V1" s="109" t="s">
        <v>5</v>
      </c>
      <c r="W1" s="108"/>
      <c r="X1" s="108"/>
    </row>
    <row r="2" spans="1:24" ht="12.75" customHeight="1">
      <c r="A2" s="3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/>
      <c r="G2" s="2" t="s">
        <v>7</v>
      </c>
      <c r="H2" s="2" t="s">
        <v>8</v>
      </c>
      <c r="I2" s="2" t="s">
        <v>9</v>
      </c>
      <c r="J2" s="2" t="s">
        <v>8</v>
      </c>
      <c r="K2" s="2"/>
      <c r="L2" s="2" t="s">
        <v>7</v>
      </c>
      <c r="M2" s="2" t="s">
        <v>8</v>
      </c>
      <c r="N2" s="2" t="s">
        <v>9</v>
      </c>
      <c r="O2" s="2" t="s">
        <v>8</v>
      </c>
      <c r="P2" s="2"/>
      <c r="Q2" s="2" t="s">
        <v>7</v>
      </c>
      <c r="R2" s="2" t="s">
        <v>8</v>
      </c>
      <c r="S2" s="2" t="s">
        <v>9</v>
      </c>
      <c r="T2" s="2" t="s">
        <v>8</v>
      </c>
      <c r="V2" s="2" t="s">
        <v>3</v>
      </c>
      <c r="W2" s="2" t="s">
        <v>8</v>
      </c>
      <c r="X2" s="2" t="s">
        <v>10</v>
      </c>
    </row>
    <row r="3" spans="1:24" ht="12.75" customHeight="1">
      <c r="A3" s="4" t="s">
        <v>11</v>
      </c>
      <c r="B3" s="5">
        <v>11423.2</v>
      </c>
      <c r="C3" s="5">
        <v>0</v>
      </c>
      <c r="D3" s="5">
        <v>13861.6</v>
      </c>
      <c r="E3" s="5">
        <v>27</v>
      </c>
      <c r="G3" s="5">
        <v>11645.6</v>
      </c>
      <c r="H3" s="5">
        <v>0</v>
      </c>
      <c r="I3" s="5">
        <v>11316.2</v>
      </c>
      <c r="J3" s="5">
        <v>0</v>
      </c>
      <c r="L3" s="5">
        <v>12069</v>
      </c>
      <c r="M3" s="5">
        <v>6</v>
      </c>
      <c r="N3" s="5">
        <v>13861.6</v>
      </c>
      <c r="O3" s="5">
        <v>27</v>
      </c>
      <c r="Q3" s="5">
        <v>12110.9</v>
      </c>
      <c r="R3" s="5">
        <v>0</v>
      </c>
      <c r="S3" s="5">
        <v>11532.1</v>
      </c>
      <c r="T3" s="5">
        <v>0</v>
      </c>
      <c r="V3" s="5">
        <v>11161.6</v>
      </c>
      <c r="W3" s="5">
        <v>0</v>
      </c>
      <c r="X3" s="5">
        <v>0</v>
      </c>
    </row>
    <row r="4" spans="1:24" ht="12.75" customHeight="1">
      <c r="A4" s="6"/>
      <c r="B4" s="5">
        <v>10583.1</v>
      </c>
      <c r="C4" s="5">
        <v>0</v>
      </c>
      <c r="D4" s="5">
        <v>9568.9</v>
      </c>
      <c r="E4" s="5">
        <v>0</v>
      </c>
      <c r="G4" s="5">
        <v>10514.1</v>
      </c>
      <c r="H4" s="5">
        <v>0</v>
      </c>
      <c r="I4" s="5">
        <v>10708.3</v>
      </c>
      <c r="J4" s="5">
        <v>0</v>
      </c>
      <c r="L4" s="5">
        <v>12461.2</v>
      </c>
      <c r="M4" s="5">
        <v>20</v>
      </c>
      <c r="N4" s="5">
        <v>10212.799999999999</v>
      </c>
      <c r="O4" s="5">
        <v>0</v>
      </c>
      <c r="Q4" s="5">
        <v>16394</v>
      </c>
      <c r="R4" s="5">
        <v>48</v>
      </c>
      <c r="S4" s="5">
        <v>12390.5</v>
      </c>
      <c r="T4" s="5">
        <v>6</v>
      </c>
      <c r="V4" s="5">
        <v>9568.9</v>
      </c>
      <c r="W4" s="5">
        <v>0</v>
      </c>
      <c r="X4" s="5">
        <v>1</v>
      </c>
    </row>
    <row r="5" spans="1:24" ht="12.75" customHeight="1">
      <c r="A5" s="6"/>
      <c r="B5" s="5">
        <v>11437.1</v>
      </c>
      <c r="C5" s="5">
        <v>8</v>
      </c>
      <c r="D5" s="5">
        <v>10987</v>
      </c>
      <c r="E5" s="5">
        <v>3</v>
      </c>
      <c r="G5" s="5">
        <v>11019.9</v>
      </c>
      <c r="H5" s="5">
        <v>0</v>
      </c>
      <c r="I5" s="5">
        <v>11437.1</v>
      </c>
      <c r="J5" s="5">
        <v>8</v>
      </c>
      <c r="L5" s="5">
        <v>10749.9</v>
      </c>
      <c r="M5" s="5">
        <v>0</v>
      </c>
      <c r="N5" s="5">
        <v>10937.1</v>
      </c>
      <c r="O5" s="5">
        <v>3</v>
      </c>
      <c r="Q5" s="5">
        <v>11820.4</v>
      </c>
      <c r="R5" s="5">
        <v>0</v>
      </c>
      <c r="S5" s="5">
        <v>11750.9</v>
      </c>
      <c r="T5" s="5">
        <v>0</v>
      </c>
      <c r="V5" s="5">
        <v>10637.1</v>
      </c>
      <c r="W5" s="5">
        <v>0</v>
      </c>
      <c r="X5" s="5">
        <v>0</v>
      </c>
    </row>
    <row r="6" spans="1:24" ht="12.75" customHeight="1">
      <c r="A6" s="6"/>
      <c r="B6" s="5">
        <v>13346.7</v>
      </c>
      <c r="C6" s="5">
        <v>19</v>
      </c>
      <c r="D6" s="5">
        <v>11778.4</v>
      </c>
      <c r="E6" s="5">
        <v>0</v>
      </c>
      <c r="G6" s="5">
        <v>15046.3</v>
      </c>
      <c r="H6" s="5">
        <v>21</v>
      </c>
      <c r="I6" s="5">
        <v>11446.7</v>
      </c>
      <c r="J6" s="5">
        <v>0</v>
      </c>
      <c r="L6" s="5">
        <v>12657.5</v>
      </c>
      <c r="M6" s="5">
        <v>0</v>
      </c>
      <c r="N6" s="5">
        <v>13346.7</v>
      </c>
      <c r="O6" s="5">
        <v>19</v>
      </c>
      <c r="Q6" s="5">
        <v>11948.7</v>
      </c>
      <c r="R6" s="5">
        <v>0</v>
      </c>
      <c r="S6" s="5">
        <v>13406.2</v>
      </c>
      <c r="T6" s="5">
        <v>8</v>
      </c>
      <c r="V6" s="5">
        <v>11778.4</v>
      </c>
      <c r="W6" s="5">
        <v>0</v>
      </c>
      <c r="X6" s="5">
        <v>0</v>
      </c>
    </row>
    <row r="7" spans="1:24" ht="12.75" customHeight="1">
      <c r="A7" s="6"/>
      <c r="B7" s="5">
        <v>7342.4</v>
      </c>
      <c r="C7" s="5">
        <v>0</v>
      </c>
      <c r="D7" s="5">
        <v>6766.4</v>
      </c>
      <c r="E7" s="5">
        <v>0</v>
      </c>
      <c r="G7" s="5">
        <v>9043.4</v>
      </c>
      <c r="H7" s="5">
        <v>17</v>
      </c>
      <c r="I7" s="5">
        <v>8423.9</v>
      </c>
      <c r="J7" s="5">
        <v>17</v>
      </c>
      <c r="L7" s="5">
        <v>8973.2000000000007</v>
      </c>
      <c r="M7" s="5">
        <v>17</v>
      </c>
      <c r="N7" s="5">
        <v>6723.9</v>
      </c>
      <c r="O7" s="5">
        <v>0</v>
      </c>
      <c r="Q7" s="5">
        <v>8059.9</v>
      </c>
      <c r="R7" s="5">
        <v>2</v>
      </c>
      <c r="S7" s="5">
        <v>10825.3</v>
      </c>
      <c r="T7" s="5">
        <v>26</v>
      </c>
      <c r="V7" s="5">
        <v>6723.9</v>
      </c>
      <c r="W7" s="5">
        <v>0</v>
      </c>
      <c r="X7" s="5">
        <v>0</v>
      </c>
    </row>
    <row r="8" spans="1:24" ht="12.75" customHeight="1">
      <c r="A8" s="6"/>
      <c r="B8" s="5">
        <v>7085</v>
      </c>
      <c r="C8" s="5">
        <v>0</v>
      </c>
      <c r="D8" s="5">
        <v>6140.1</v>
      </c>
      <c r="E8" s="5">
        <v>0</v>
      </c>
      <c r="G8" s="5">
        <v>6760.4</v>
      </c>
      <c r="H8" s="5">
        <v>0</v>
      </c>
      <c r="I8" s="5">
        <v>6760.4</v>
      </c>
      <c r="J8" s="5">
        <v>0</v>
      </c>
      <c r="L8" s="5">
        <v>8674.6</v>
      </c>
      <c r="M8" s="5">
        <v>22</v>
      </c>
      <c r="N8" s="5">
        <v>6140.1</v>
      </c>
      <c r="O8" s="5">
        <v>0</v>
      </c>
      <c r="Q8" s="5">
        <v>10503.8</v>
      </c>
      <c r="R8" s="5">
        <v>34</v>
      </c>
      <c r="S8" s="5">
        <v>9420.1</v>
      </c>
      <c r="T8" s="5">
        <v>22</v>
      </c>
      <c r="V8" s="5">
        <v>6140.1</v>
      </c>
      <c r="W8" s="5">
        <v>0</v>
      </c>
      <c r="X8" s="5">
        <v>0</v>
      </c>
    </row>
    <row r="9" spans="1:24" ht="12.75" customHeight="1">
      <c r="A9" s="6"/>
      <c r="B9" s="5">
        <v>10887</v>
      </c>
      <c r="C9" s="5">
        <v>0</v>
      </c>
      <c r="D9" s="5">
        <v>10536.4</v>
      </c>
      <c r="E9" s="5">
        <v>0</v>
      </c>
      <c r="G9" s="5">
        <v>10579.8</v>
      </c>
      <c r="H9" s="5">
        <v>0</v>
      </c>
      <c r="I9" s="5">
        <v>9986.9</v>
      </c>
      <c r="J9" s="5">
        <v>0</v>
      </c>
      <c r="L9" s="5">
        <v>10860</v>
      </c>
      <c r="M9" s="5">
        <v>0</v>
      </c>
      <c r="N9" s="5">
        <v>9986.9</v>
      </c>
      <c r="O9" s="5">
        <v>0</v>
      </c>
      <c r="Q9" s="5">
        <v>10536.4</v>
      </c>
      <c r="R9" s="5">
        <v>0</v>
      </c>
      <c r="S9" s="5">
        <v>10657</v>
      </c>
      <c r="T9" s="5">
        <v>0</v>
      </c>
      <c r="V9" s="5">
        <v>10657</v>
      </c>
      <c r="W9" s="5">
        <v>0</v>
      </c>
      <c r="X9" s="5">
        <v>0</v>
      </c>
    </row>
    <row r="10" spans="1:24" ht="12.75" customHeight="1">
      <c r="A10" s="6"/>
      <c r="B10" s="5">
        <v>11455.3</v>
      </c>
      <c r="C10" s="5">
        <v>0</v>
      </c>
      <c r="D10" s="5">
        <v>10293.6</v>
      </c>
      <c r="E10" s="5">
        <v>1</v>
      </c>
      <c r="G10" s="5">
        <v>10641</v>
      </c>
      <c r="H10" s="5">
        <v>1</v>
      </c>
      <c r="I10" s="5">
        <v>17173</v>
      </c>
      <c r="J10" s="5">
        <v>55</v>
      </c>
      <c r="L10" s="5">
        <v>12741</v>
      </c>
      <c r="M10" s="5">
        <v>22</v>
      </c>
      <c r="N10" s="5">
        <v>12484</v>
      </c>
      <c r="O10" s="5">
        <v>17</v>
      </c>
      <c r="Q10" s="5">
        <v>18477.400000000001</v>
      </c>
      <c r="R10" s="5">
        <v>57</v>
      </c>
      <c r="S10" s="5">
        <v>12484.5</v>
      </c>
      <c r="T10" s="5">
        <v>17</v>
      </c>
      <c r="V10" s="5">
        <v>10784</v>
      </c>
      <c r="W10" s="5">
        <v>0</v>
      </c>
      <c r="X10" s="5">
        <v>1</v>
      </c>
    </row>
    <row r="11" spans="1:24" ht="12.75" customHeight="1">
      <c r="A11" s="6"/>
      <c r="B11" s="5">
        <v>13226.3</v>
      </c>
      <c r="C11" s="5">
        <v>22</v>
      </c>
      <c r="D11" s="5">
        <v>10912.5</v>
      </c>
      <c r="E11" s="5">
        <v>11</v>
      </c>
      <c r="G11" s="5">
        <v>11187</v>
      </c>
      <c r="H11" s="5">
        <v>0</v>
      </c>
      <c r="I11" s="5">
        <v>10494.4</v>
      </c>
      <c r="J11" s="5">
        <v>0</v>
      </c>
      <c r="L11" s="5">
        <v>11558.5</v>
      </c>
      <c r="M11" s="5">
        <v>16</v>
      </c>
      <c r="N11" s="5">
        <v>12481.7</v>
      </c>
      <c r="O11" s="5">
        <v>22</v>
      </c>
      <c r="Q11" s="5">
        <v>11873.4</v>
      </c>
      <c r="R11" s="5">
        <v>0</v>
      </c>
      <c r="S11" s="5">
        <v>11945.5</v>
      </c>
      <c r="T11" s="5">
        <v>9</v>
      </c>
      <c r="V11" s="5">
        <v>9813.9</v>
      </c>
      <c r="W11" s="5">
        <v>0</v>
      </c>
      <c r="X11" s="5">
        <v>0</v>
      </c>
    </row>
    <row r="12" spans="1:24" ht="12.75" customHeight="1">
      <c r="A12" s="6"/>
      <c r="B12" s="5">
        <v>8434.5</v>
      </c>
      <c r="C12" s="5">
        <v>0</v>
      </c>
      <c r="D12" s="5">
        <v>9561.1</v>
      </c>
      <c r="E12" s="5">
        <v>15</v>
      </c>
      <c r="G12" s="5">
        <v>8258.7000000000007</v>
      </c>
      <c r="H12" s="5">
        <v>0</v>
      </c>
      <c r="I12" s="5">
        <v>7865.7</v>
      </c>
      <c r="J12" s="5">
        <v>2</v>
      </c>
      <c r="L12" s="5">
        <v>9057</v>
      </c>
      <c r="M12" s="5">
        <v>10</v>
      </c>
      <c r="N12" s="5">
        <v>7665.7</v>
      </c>
      <c r="O12" s="5">
        <v>0</v>
      </c>
      <c r="Q12" s="5">
        <v>8533.6</v>
      </c>
      <c r="R12" s="5">
        <v>0</v>
      </c>
      <c r="S12" s="5">
        <v>9563.2000000000007</v>
      </c>
      <c r="T12" s="5">
        <v>0</v>
      </c>
      <c r="V12" s="5">
        <v>7665.7</v>
      </c>
      <c r="W12" s="5">
        <v>0</v>
      </c>
      <c r="X12" s="5">
        <v>0</v>
      </c>
    </row>
    <row r="13" spans="1:24" ht="12.75" customHeight="1">
      <c r="A13" s="6"/>
      <c r="B13" s="5">
        <v>6247.5</v>
      </c>
      <c r="C13" s="5">
        <v>4</v>
      </c>
      <c r="D13" s="5">
        <v>6096.2</v>
      </c>
      <c r="E13" s="5">
        <v>3</v>
      </c>
      <c r="G13" s="5">
        <v>6605.8</v>
      </c>
      <c r="H13" s="5">
        <v>0</v>
      </c>
      <c r="I13" s="5">
        <v>6247.5</v>
      </c>
      <c r="J13" s="5">
        <v>4</v>
      </c>
      <c r="L13" s="5">
        <v>5576.6</v>
      </c>
      <c r="M13" s="5">
        <v>1</v>
      </c>
      <c r="N13" s="5">
        <v>6196.2</v>
      </c>
      <c r="O13" s="5">
        <v>4</v>
      </c>
      <c r="Q13" s="5">
        <v>7880.3</v>
      </c>
      <c r="R13" s="5">
        <v>1</v>
      </c>
      <c r="S13" s="5">
        <v>7813.1</v>
      </c>
      <c r="T13" s="5">
        <v>0</v>
      </c>
      <c r="V13" s="5">
        <v>5576.6</v>
      </c>
      <c r="W13" s="5">
        <v>1</v>
      </c>
      <c r="X13" s="5">
        <v>0</v>
      </c>
    </row>
    <row r="14" spans="1:24" ht="12.75" customHeight="1">
      <c r="A14" s="6"/>
      <c r="B14" s="5">
        <v>11567</v>
      </c>
      <c r="C14" s="5">
        <v>34</v>
      </c>
      <c r="D14" s="5">
        <v>8981.9</v>
      </c>
      <c r="E14" s="5">
        <v>0</v>
      </c>
      <c r="G14" s="5">
        <v>11567</v>
      </c>
      <c r="H14" s="5">
        <v>34</v>
      </c>
      <c r="I14" s="5">
        <v>11721.6</v>
      </c>
      <c r="J14" s="5">
        <v>36</v>
      </c>
      <c r="L14" s="5">
        <v>11915.8</v>
      </c>
      <c r="M14" s="5">
        <v>36</v>
      </c>
      <c r="N14" s="5">
        <v>11196.2</v>
      </c>
      <c r="O14" s="5">
        <v>34</v>
      </c>
      <c r="Q14" s="5">
        <v>15220.7</v>
      </c>
      <c r="R14" s="5">
        <v>56</v>
      </c>
      <c r="S14" s="5">
        <v>12448.2</v>
      </c>
      <c r="T14" s="5">
        <v>16</v>
      </c>
      <c r="V14" s="5">
        <v>8846.9</v>
      </c>
      <c r="W14" s="5">
        <v>0</v>
      </c>
      <c r="X14" s="5">
        <v>0</v>
      </c>
    </row>
    <row r="15" spans="1:24" ht="12.75" customHeight="1">
      <c r="A15" s="6"/>
      <c r="B15" s="5">
        <v>10313.1</v>
      </c>
      <c r="C15" s="5">
        <v>0</v>
      </c>
      <c r="D15" s="5">
        <v>9704.7000000000007</v>
      </c>
      <c r="E15" s="5">
        <v>0</v>
      </c>
      <c r="G15" s="5">
        <v>10105</v>
      </c>
      <c r="H15" s="5">
        <v>0</v>
      </c>
      <c r="I15" s="5">
        <v>9704.7000000000007</v>
      </c>
      <c r="J15" s="5">
        <v>0</v>
      </c>
      <c r="L15" s="5">
        <v>10558.5</v>
      </c>
      <c r="M15" s="5">
        <v>0</v>
      </c>
      <c r="N15" s="5">
        <v>9727.2000000000007</v>
      </c>
      <c r="O15" s="5">
        <v>0</v>
      </c>
      <c r="Q15" s="5">
        <v>10930.8</v>
      </c>
      <c r="R15" s="5">
        <v>0</v>
      </c>
      <c r="S15" s="5">
        <v>11869.4</v>
      </c>
      <c r="T15" s="5">
        <v>0</v>
      </c>
      <c r="V15" s="5">
        <v>9979.6</v>
      </c>
      <c r="W15" s="5">
        <v>0</v>
      </c>
      <c r="X15" s="5">
        <v>0</v>
      </c>
    </row>
    <row r="16" spans="1:24" ht="12.75" customHeight="1">
      <c r="A16" s="6"/>
      <c r="B16" s="5">
        <v>14578.8</v>
      </c>
      <c r="C16" s="5">
        <v>63</v>
      </c>
      <c r="D16" s="5">
        <v>14150.7</v>
      </c>
      <c r="E16" s="5">
        <v>63</v>
      </c>
      <c r="G16" s="5">
        <v>14838.2</v>
      </c>
      <c r="H16" s="5">
        <v>63</v>
      </c>
      <c r="I16" s="5">
        <v>14150.7</v>
      </c>
      <c r="J16" s="5">
        <v>63</v>
      </c>
      <c r="L16" s="5">
        <v>9695.5</v>
      </c>
      <c r="M16" s="5">
        <v>13</v>
      </c>
      <c r="N16" s="5">
        <v>13850.7</v>
      </c>
      <c r="O16" s="5">
        <v>60</v>
      </c>
      <c r="Q16" s="5">
        <v>14997.4</v>
      </c>
      <c r="R16" s="5">
        <v>66</v>
      </c>
      <c r="S16" s="5">
        <v>10032.200000000001</v>
      </c>
      <c r="T16" s="5">
        <v>3</v>
      </c>
      <c r="V16" s="5">
        <v>8289.5</v>
      </c>
      <c r="W16" s="5">
        <v>0</v>
      </c>
      <c r="X16" s="5">
        <v>1</v>
      </c>
    </row>
    <row r="17" spans="1:24" ht="12.75" customHeight="1">
      <c r="A17" s="6"/>
      <c r="B17" s="5">
        <v>10702.2</v>
      </c>
      <c r="C17" s="5">
        <v>9</v>
      </c>
      <c r="D17" s="5">
        <v>11173.5</v>
      </c>
      <c r="E17" s="5">
        <v>18</v>
      </c>
      <c r="G17" s="5">
        <v>12178.8</v>
      </c>
      <c r="H17" s="5">
        <v>18</v>
      </c>
      <c r="I17" s="5">
        <v>12604.1</v>
      </c>
      <c r="J17" s="5">
        <v>27</v>
      </c>
      <c r="L17" s="5">
        <v>11726.1</v>
      </c>
      <c r="M17" s="5">
        <v>18</v>
      </c>
      <c r="N17" s="5">
        <v>12173.5</v>
      </c>
      <c r="O17" s="5">
        <v>28</v>
      </c>
      <c r="Q17" s="5">
        <v>11690.7</v>
      </c>
      <c r="R17" s="5">
        <v>10</v>
      </c>
      <c r="S17" s="5">
        <v>11429.1</v>
      </c>
      <c r="T17" s="5">
        <v>0</v>
      </c>
      <c r="V17" s="5">
        <v>9887.6</v>
      </c>
      <c r="W17" s="5">
        <v>0</v>
      </c>
      <c r="X17" s="5">
        <v>0</v>
      </c>
    </row>
    <row r="18" spans="1:24" ht="12.75" customHeight="1">
      <c r="A18" s="6"/>
      <c r="B18" s="5">
        <v>8231.7999999999993</v>
      </c>
      <c r="C18" s="5">
        <v>0</v>
      </c>
      <c r="D18" s="5">
        <v>8455.6</v>
      </c>
      <c r="E18" s="5">
        <v>0</v>
      </c>
      <c r="G18" s="5">
        <v>7720.7</v>
      </c>
      <c r="H18" s="5">
        <v>0</v>
      </c>
      <c r="I18" s="5">
        <v>8466</v>
      </c>
      <c r="J18" s="5">
        <v>0</v>
      </c>
      <c r="L18" s="5">
        <v>8231.7999999999993</v>
      </c>
      <c r="M18" s="5">
        <v>0</v>
      </c>
      <c r="N18" s="5">
        <v>7675.2</v>
      </c>
      <c r="O18" s="5">
        <v>0</v>
      </c>
      <c r="Q18" s="5">
        <v>9054.7000000000007</v>
      </c>
      <c r="R18" s="5">
        <v>0</v>
      </c>
      <c r="S18" s="5">
        <v>9471.2999999999993</v>
      </c>
      <c r="T18" s="5">
        <v>0</v>
      </c>
      <c r="V18" s="5">
        <v>7695</v>
      </c>
      <c r="W18" s="5">
        <v>0</v>
      </c>
      <c r="X18" s="5">
        <v>0</v>
      </c>
    </row>
    <row r="19" spans="1:24" ht="12.75" customHeight="1">
      <c r="A19" s="6"/>
      <c r="B19" s="5">
        <v>8384.2000000000007</v>
      </c>
      <c r="C19" s="5">
        <v>0</v>
      </c>
      <c r="D19" s="5">
        <v>8257.6</v>
      </c>
      <c r="E19" s="5">
        <v>0</v>
      </c>
      <c r="G19" s="5">
        <v>8384.2000000000007</v>
      </c>
      <c r="H19" s="5">
        <v>0</v>
      </c>
      <c r="I19" s="5">
        <v>8613.5</v>
      </c>
      <c r="J19" s="5">
        <v>0</v>
      </c>
      <c r="L19" s="5">
        <v>9199.9</v>
      </c>
      <c r="M19" s="5">
        <v>0</v>
      </c>
      <c r="N19" s="5">
        <v>7957.6</v>
      </c>
      <c r="O19" s="5">
        <v>0</v>
      </c>
      <c r="Q19" s="5">
        <v>8839</v>
      </c>
      <c r="R19" s="5">
        <v>0</v>
      </c>
      <c r="S19" s="5">
        <v>7957.6</v>
      </c>
      <c r="T19" s="5">
        <v>0</v>
      </c>
      <c r="V19" s="5">
        <v>7825.4</v>
      </c>
      <c r="W19" s="5">
        <v>0</v>
      </c>
      <c r="X19" s="5">
        <v>0</v>
      </c>
    </row>
    <row r="20" spans="1:24" ht="12.75" customHeight="1">
      <c r="A20" s="6"/>
      <c r="B20" s="5">
        <v>7023</v>
      </c>
      <c r="C20" s="5">
        <v>0</v>
      </c>
      <c r="D20" s="5">
        <v>6727.7</v>
      </c>
      <c r="E20" s="5">
        <v>0</v>
      </c>
      <c r="G20" s="5">
        <v>6680.5</v>
      </c>
      <c r="H20" s="5">
        <v>0</v>
      </c>
      <c r="I20" s="5">
        <v>6558.7</v>
      </c>
      <c r="J20" s="5">
        <v>0</v>
      </c>
      <c r="L20" s="5">
        <v>7084</v>
      </c>
      <c r="M20" s="5">
        <v>0</v>
      </c>
      <c r="N20" s="5">
        <v>6727.7</v>
      </c>
      <c r="O20" s="5">
        <v>0</v>
      </c>
      <c r="Q20" s="5">
        <v>7534.5</v>
      </c>
      <c r="R20" s="5">
        <v>0</v>
      </c>
      <c r="S20" s="5">
        <v>6877.8</v>
      </c>
      <c r="T20" s="5">
        <v>0</v>
      </c>
      <c r="V20" s="5">
        <v>6558.7</v>
      </c>
      <c r="W20" s="5">
        <v>0</v>
      </c>
      <c r="X20" s="5">
        <v>0</v>
      </c>
    </row>
    <row r="21" spans="1:24" ht="12.75" customHeight="1">
      <c r="A21" s="6"/>
      <c r="B21" s="5">
        <v>7160.7</v>
      </c>
      <c r="C21" s="5">
        <v>0</v>
      </c>
      <c r="D21" s="5">
        <v>6740.7</v>
      </c>
      <c r="E21" s="5">
        <v>0</v>
      </c>
      <c r="G21" s="5">
        <v>7774.5</v>
      </c>
      <c r="H21" s="5">
        <v>0</v>
      </c>
      <c r="I21" s="5">
        <v>6620.1</v>
      </c>
      <c r="J21" s="5">
        <v>0</v>
      </c>
      <c r="L21" s="5">
        <v>7947.7</v>
      </c>
      <c r="M21" s="5">
        <v>0</v>
      </c>
      <c r="N21" s="5">
        <v>6740.7</v>
      </c>
      <c r="O21" s="5">
        <v>0</v>
      </c>
      <c r="Q21" s="5">
        <v>6656.8</v>
      </c>
      <c r="R21" s="5">
        <v>0</v>
      </c>
      <c r="S21" s="5">
        <v>7066.6</v>
      </c>
      <c r="T21" s="5">
        <v>0</v>
      </c>
      <c r="V21" s="5">
        <v>6620.1</v>
      </c>
      <c r="W21" s="5">
        <v>0</v>
      </c>
      <c r="X21" s="5">
        <v>0</v>
      </c>
    </row>
    <row r="22" spans="1:24" ht="12.75" customHeight="1">
      <c r="A22" s="6"/>
      <c r="B22" s="5">
        <v>6429.6</v>
      </c>
      <c r="C22" s="5">
        <v>0</v>
      </c>
      <c r="D22" s="5">
        <v>6088.5</v>
      </c>
      <c r="E22" s="5">
        <v>0</v>
      </c>
      <c r="G22" s="5">
        <v>6383.8</v>
      </c>
      <c r="H22" s="5">
        <v>0</v>
      </c>
      <c r="I22" s="5">
        <v>6724.4</v>
      </c>
      <c r="J22" s="5">
        <v>0</v>
      </c>
      <c r="L22" s="5">
        <v>7606.9</v>
      </c>
      <c r="M22" s="5">
        <v>16</v>
      </c>
      <c r="N22" s="5">
        <v>5444.4</v>
      </c>
      <c r="O22" s="5">
        <v>0</v>
      </c>
      <c r="Q22" s="5">
        <v>6542.2</v>
      </c>
      <c r="R22" s="5">
        <v>0</v>
      </c>
      <c r="S22" s="5">
        <v>6778.1</v>
      </c>
      <c r="T22" s="5">
        <v>3</v>
      </c>
      <c r="V22" s="5">
        <v>5584.6</v>
      </c>
      <c r="W22" s="5">
        <v>0</v>
      </c>
      <c r="X22" s="5">
        <v>1</v>
      </c>
    </row>
    <row r="23" spans="1:24" ht="12.75" customHeight="1">
      <c r="A23" s="6"/>
      <c r="B23" s="5">
        <v>11564.6</v>
      </c>
      <c r="C23" s="5">
        <v>25</v>
      </c>
      <c r="D23" s="5">
        <v>14109</v>
      </c>
      <c r="E23" s="5">
        <v>63</v>
      </c>
      <c r="G23" s="5">
        <v>8696</v>
      </c>
      <c r="H23" s="5">
        <v>0</v>
      </c>
      <c r="I23" s="5">
        <v>14109</v>
      </c>
      <c r="J23" s="5">
        <v>63</v>
      </c>
      <c r="L23" s="5">
        <v>8849.2000000000007</v>
      </c>
      <c r="M23" s="5">
        <v>0</v>
      </c>
      <c r="N23" s="5">
        <v>9257.2000000000007</v>
      </c>
      <c r="O23" s="5">
        <v>8</v>
      </c>
      <c r="Q23" s="5">
        <v>10171.6</v>
      </c>
      <c r="R23" s="5">
        <v>6</v>
      </c>
      <c r="S23" s="5">
        <v>8767.2999999999993</v>
      </c>
      <c r="T23" s="5">
        <v>0</v>
      </c>
      <c r="V23" s="5">
        <v>8137.8</v>
      </c>
      <c r="W23" s="5">
        <v>0</v>
      </c>
      <c r="X23" s="5">
        <v>0</v>
      </c>
    </row>
    <row r="24" spans="1:24" ht="12.75" customHeight="1">
      <c r="A24" s="6"/>
      <c r="B24" s="5">
        <v>10618.2</v>
      </c>
      <c r="C24" s="5">
        <v>15</v>
      </c>
      <c r="D24" s="5">
        <v>14569.7</v>
      </c>
      <c r="E24" s="5">
        <v>59</v>
      </c>
      <c r="G24" s="5">
        <v>10581.8</v>
      </c>
      <c r="H24" s="5">
        <v>10</v>
      </c>
      <c r="I24" s="5">
        <v>10618.2</v>
      </c>
      <c r="J24" s="5">
        <v>15</v>
      </c>
      <c r="L24" s="5">
        <v>14222.8</v>
      </c>
      <c r="M24" s="5">
        <v>44</v>
      </c>
      <c r="N24" s="5">
        <v>10792.5</v>
      </c>
      <c r="O24" s="5">
        <v>19</v>
      </c>
      <c r="Q24" s="5">
        <v>10673.8</v>
      </c>
      <c r="R24" s="5">
        <v>15</v>
      </c>
      <c r="S24" s="5">
        <v>9914.2000000000007</v>
      </c>
      <c r="T24" s="5">
        <v>0</v>
      </c>
      <c r="V24" s="5">
        <v>14569.7</v>
      </c>
      <c r="W24" s="5">
        <v>59</v>
      </c>
      <c r="X24" s="5">
        <v>0</v>
      </c>
    </row>
    <row r="25" spans="1:24" ht="12.75" customHeight="1">
      <c r="A25" s="6"/>
      <c r="B25" s="5">
        <v>9433.6</v>
      </c>
      <c r="C25" s="5">
        <v>0</v>
      </c>
      <c r="D25" s="5">
        <v>14551.4</v>
      </c>
      <c r="E25" s="5">
        <v>49</v>
      </c>
      <c r="G25" s="5">
        <v>10333.799999999999</v>
      </c>
      <c r="H25" s="5">
        <v>0</v>
      </c>
      <c r="I25" s="5">
        <v>15459.6</v>
      </c>
      <c r="J25" s="5">
        <v>56</v>
      </c>
      <c r="L25" s="5">
        <v>9315.1</v>
      </c>
      <c r="M25" s="5">
        <v>0</v>
      </c>
      <c r="N25" s="5">
        <v>8667.9</v>
      </c>
      <c r="O25" s="5">
        <v>0</v>
      </c>
      <c r="Q25" s="5">
        <v>10249</v>
      </c>
      <c r="R25" s="5">
        <v>0</v>
      </c>
      <c r="S25" s="5">
        <v>13015.1</v>
      </c>
      <c r="T25" s="5">
        <v>34</v>
      </c>
      <c r="V25" s="5">
        <v>8667.9</v>
      </c>
      <c r="W25" s="5">
        <v>0</v>
      </c>
      <c r="X25" s="5">
        <v>0</v>
      </c>
    </row>
    <row r="26" spans="1:24" ht="12.75" customHeight="1">
      <c r="A26" s="6"/>
      <c r="B26" s="5">
        <v>11555</v>
      </c>
      <c r="C26" s="5">
        <v>0</v>
      </c>
      <c r="D26" s="5">
        <v>11304.2</v>
      </c>
      <c r="E26" s="5">
        <v>0</v>
      </c>
      <c r="G26" s="5">
        <v>13097.2</v>
      </c>
      <c r="H26" s="5">
        <v>0</v>
      </c>
      <c r="I26" s="5">
        <v>11535.4</v>
      </c>
      <c r="J26" s="5">
        <v>0</v>
      </c>
      <c r="L26" s="5">
        <v>11098.4</v>
      </c>
      <c r="M26" s="5">
        <v>0</v>
      </c>
      <c r="N26" s="5">
        <v>10881.6</v>
      </c>
      <c r="O26" s="5">
        <v>0</v>
      </c>
      <c r="Q26" s="5">
        <v>11535.4</v>
      </c>
      <c r="R26" s="5">
        <v>0</v>
      </c>
      <c r="S26" s="5">
        <v>13086.4</v>
      </c>
      <c r="T26" s="5">
        <v>0</v>
      </c>
      <c r="V26" s="5">
        <v>10881.6</v>
      </c>
      <c r="W26" s="5">
        <v>0</v>
      </c>
      <c r="X26" s="5">
        <v>0</v>
      </c>
    </row>
    <row r="27" spans="1:24" ht="12.75" customHeight="1">
      <c r="A27" s="6"/>
      <c r="B27" s="5">
        <v>9400.2000000000007</v>
      </c>
      <c r="C27" s="5">
        <v>0</v>
      </c>
      <c r="D27" s="5">
        <v>8778.4</v>
      </c>
      <c r="E27" s="5">
        <v>0</v>
      </c>
      <c r="G27" s="5">
        <v>9509.5</v>
      </c>
      <c r="H27" s="5">
        <v>0</v>
      </c>
      <c r="I27" s="5">
        <v>8778.4</v>
      </c>
      <c r="J27" s="5">
        <v>0</v>
      </c>
      <c r="L27" s="5">
        <v>9798.2000000000007</v>
      </c>
      <c r="M27" s="5">
        <v>0</v>
      </c>
      <c r="N27" s="5">
        <v>8918</v>
      </c>
      <c r="O27" s="5">
        <v>0</v>
      </c>
      <c r="Q27" s="5">
        <v>13538.4</v>
      </c>
      <c r="R27" s="5">
        <v>35</v>
      </c>
      <c r="S27" s="5">
        <v>15656.8</v>
      </c>
      <c r="T27" s="5">
        <v>60</v>
      </c>
      <c r="V27" s="5">
        <v>8778.4</v>
      </c>
      <c r="W27" s="5">
        <v>0</v>
      </c>
      <c r="X27" s="5">
        <v>1</v>
      </c>
    </row>
    <row r="28" spans="1:24" ht="12.75" customHeight="1">
      <c r="A28" s="6"/>
      <c r="B28" s="5">
        <v>8429.2999999999993</v>
      </c>
      <c r="C28" s="5">
        <v>7</v>
      </c>
      <c r="D28" s="5">
        <v>7390.8</v>
      </c>
      <c r="E28" s="5">
        <v>0</v>
      </c>
      <c r="G28" s="5">
        <v>8570.7000000000007</v>
      </c>
      <c r="H28" s="5">
        <v>7</v>
      </c>
      <c r="I28" s="5">
        <v>7703.4</v>
      </c>
      <c r="J28" s="5">
        <v>7</v>
      </c>
      <c r="L28" s="5">
        <v>8804.2000000000007</v>
      </c>
      <c r="M28" s="5">
        <v>7</v>
      </c>
      <c r="N28" s="5">
        <v>7903.6</v>
      </c>
      <c r="O28" s="5">
        <v>6</v>
      </c>
      <c r="Q28" s="5">
        <v>7931.7</v>
      </c>
      <c r="R28" s="5">
        <v>0</v>
      </c>
      <c r="S28" s="5">
        <v>8689.1</v>
      </c>
      <c r="T28" s="5">
        <v>7</v>
      </c>
      <c r="V28" s="5">
        <v>10591.3</v>
      </c>
      <c r="W28" s="5">
        <v>30</v>
      </c>
      <c r="X28" s="5">
        <v>0</v>
      </c>
    </row>
    <row r="29" spans="1:24" ht="12.75" customHeight="1">
      <c r="A29" s="6"/>
      <c r="B29" s="5">
        <v>11035.1</v>
      </c>
      <c r="C29" s="5">
        <v>0</v>
      </c>
      <c r="D29" s="5">
        <v>10550.9</v>
      </c>
      <c r="E29" s="5">
        <v>0</v>
      </c>
      <c r="G29" s="5">
        <v>14186.1</v>
      </c>
      <c r="H29" s="5">
        <v>32</v>
      </c>
      <c r="I29" s="5">
        <v>11522.2</v>
      </c>
      <c r="J29" s="5">
        <v>0</v>
      </c>
      <c r="L29" s="5">
        <v>10634.6</v>
      </c>
      <c r="M29" s="5">
        <v>0</v>
      </c>
      <c r="N29" s="5">
        <v>10432.700000000001</v>
      </c>
      <c r="O29" s="5">
        <v>0</v>
      </c>
      <c r="Q29" s="5">
        <v>11638.2</v>
      </c>
      <c r="R29" s="5">
        <v>0</v>
      </c>
      <c r="S29" s="5">
        <v>11552.5</v>
      </c>
      <c r="T29" s="5">
        <v>0</v>
      </c>
      <c r="V29" s="5">
        <v>10483.1</v>
      </c>
      <c r="W29" s="5">
        <v>0</v>
      </c>
      <c r="X29" s="5">
        <v>0</v>
      </c>
    </row>
    <row r="30" spans="1:24" ht="12.75" customHeight="1">
      <c r="A30" s="6"/>
      <c r="B30" s="5">
        <v>9372.7999999999993</v>
      </c>
      <c r="C30" s="5">
        <v>16</v>
      </c>
      <c r="D30" s="5">
        <v>7740.3</v>
      </c>
      <c r="E30" s="5">
        <v>5</v>
      </c>
      <c r="G30" s="5">
        <v>8022.3</v>
      </c>
      <c r="H30" s="5">
        <v>0</v>
      </c>
      <c r="I30" s="5">
        <v>7740.3</v>
      </c>
      <c r="J30" s="5">
        <v>5</v>
      </c>
      <c r="L30" s="5">
        <v>7894.3</v>
      </c>
      <c r="M30" s="5">
        <v>0</v>
      </c>
      <c r="N30" s="5">
        <v>7240.3</v>
      </c>
      <c r="O30" s="5">
        <v>0</v>
      </c>
      <c r="Q30" s="5">
        <v>10693.5</v>
      </c>
      <c r="R30" s="5">
        <v>25</v>
      </c>
      <c r="S30" s="5">
        <v>9280.6</v>
      </c>
      <c r="T30" s="5">
        <v>8</v>
      </c>
      <c r="V30" s="5">
        <v>7256.6</v>
      </c>
      <c r="W30" s="5">
        <v>0</v>
      </c>
      <c r="X30" s="5">
        <v>0</v>
      </c>
    </row>
    <row r="31" spans="1:24" ht="12.75" customHeight="1">
      <c r="A31" s="6"/>
      <c r="B31" s="5">
        <v>11574</v>
      </c>
      <c r="C31" s="5">
        <v>27</v>
      </c>
      <c r="D31" s="5">
        <v>9010.6</v>
      </c>
      <c r="E31" s="5">
        <v>0</v>
      </c>
      <c r="G31" s="5">
        <v>9024.9</v>
      </c>
      <c r="H31" s="5">
        <v>0</v>
      </c>
      <c r="I31" s="5">
        <v>9352.6</v>
      </c>
      <c r="J31" s="5">
        <v>0</v>
      </c>
      <c r="L31" s="5">
        <v>13740.3</v>
      </c>
      <c r="M31" s="5">
        <v>48</v>
      </c>
      <c r="N31" s="5">
        <v>14532.3</v>
      </c>
      <c r="O31" s="5">
        <v>57</v>
      </c>
      <c r="Q31" s="5">
        <v>9144.7000000000007</v>
      </c>
      <c r="R31" s="5">
        <v>0</v>
      </c>
      <c r="S31" s="5">
        <v>10503.4</v>
      </c>
      <c r="T31" s="5">
        <v>8</v>
      </c>
      <c r="V31" s="5">
        <v>8805.6</v>
      </c>
      <c r="W31" s="5">
        <v>0</v>
      </c>
      <c r="X31" s="5">
        <v>1</v>
      </c>
    </row>
    <row r="32" spans="1:24" ht="12.75" customHeight="1">
      <c r="A32" s="6"/>
      <c r="B32" s="5">
        <v>9979.7000000000007</v>
      </c>
      <c r="C32" s="5">
        <v>0</v>
      </c>
      <c r="D32" s="5">
        <v>8953.2000000000007</v>
      </c>
      <c r="E32" s="5">
        <v>0</v>
      </c>
      <c r="G32" s="5">
        <v>12601.5</v>
      </c>
      <c r="H32" s="5">
        <v>27</v>
      </c>
      <c r="I32" s="5">
        <v>10027.200000000001</v>
      </c>
      <c r="J32" s="5">
        <v>0</v>
      </c>
      <c r="L32" s="5">
        <v>9272.7000000000007</v>
      </c>
      <c r="M32" s="5">
        <v>0</v>
      </c>
      <c r="N32" s="5">
        <v>9131.5</v>
      </c>
      <c r="O32" s="5">
        <v>0</v>
      </c>
      <c r="Q32" s="5">
        <v>10312.299999999999</v>
      </c>
      <c r="R32" s="5">
        <v>0</v>
      </c>
      <c r="S32" s="5">
        <v>9717.2999999999993</v>
      </c>
      <c r="T32" s="5">
        <v>0</v>
      </c>
      <c r="V32" s="5">
        <v>9022.9</v>
      </c>
      <c r="W32" s="5">
        <v>0</v>
      </c>
      <c r="X32" s="5">
        <v>0</v>
      </c>
    </row>
    <row r="33" spans="1:24" ht="12.75" customHeight="1">
      <c r="A33" s="6"/>
      <c r="B33" s="5">
        <v>11536.8</v>
      </c>
      <c r="C33" s="5">
        <v>0</v>
      </c>
      <c r="D33" s="5">
        <v>11003.2</v>
      </c>
      <c r="E33" s="5">
        <v>0</v>
      </c>
      <c r="G33" s="5">
        <v>15758.2</v>
      </c>
      <c r="H33" s="5">
        <v>44</v>
      </c>
      <c r="I33" s="5">
        <v>11003.2</v>
      </c>
      <c r="J33" s="5">
        <v>0</v>
      </c>
      <c r="L33" s="5">
        <v>11349.4</v>
      </c>
      <c r="M33" s="5">
        <v>2</v>
      </c>
      <c r="N33" s="5">
        <v>10604.4</v>
      </c>
      <c r="O33" s="5">
        <v>0</v>
      </c>
      <c r="Q33" s="5">
        <v>11558</v>
      </c>
      <c r="R33" s="5">
        <v>0</v>
      </c>
      <c r="S33" s="5">
        <v>12558.6</v>
      </c>
      <c r="T33" s="5">
        <v>0</v>
      </c>
      <c r="V33" s="5">
        <v>10558.2</v>
      </c>
      <c r="W33" s="5">
        <v>0</v>
      </c>
      <c r="X33" s="5">
        <v>0</v>
      </c>
    </row>
    <row r="34" spans="1:24" ht="12.75" customHeight="1">
      <c r="A34" s="6"/>
      <c r="B34" s="5">
        <v>9781.2999999999993</v>
      </c>
      <c r="C34" s="5">
        <v>0</v>
      </c>
      <c r="D34" s="5">
        <v>9008.5</v>
      </c>
      <c r="E34" s="5">
        <v>0</v>
      </c>
      <c r="G34" s="5">
        <v>9667.5</v>
      </c>
      <c r="H34" s="5">
        <v>0</v>
      </c>
      <c r="I34" s="5">
        <v>10240.5</v>
      </c>
      <c r="J34" s="5">
        <v>0</v>
      </c>
      <c r="L34" s="5">
        <v>9769.5</v>
      </c>
      <c r="M34" s="5">
        <v>0</v>
      </c>
      <c r="N34" s="5">
        <v>9156.9</v>
      </c>
      <c r="O34" s="5">
        <v>0</v>
      </c>
      <c r="Q34" s="5">
        <v>9979.2999999999993</v>
      </c>
      <c r="R34" s="5">
        <v>0</v>
      </c>
      <c r="S34" s="5">
        <v>9905.7999999999993</v>
      </c>
      <c r="T34" s="5">
        <v>0</v>
      </c>
      <c r="V34" s="5">
        <v>9478.7999999999993</v>
      </c>
      <c r="W34" s="5">
        <v>0</v>
      </c>
      <c r="X34" s="5">
        <v>0</v>
      </c>
    </row>
    <row r="35" spans="1:24" ht="12.75" customHeight="1">
      <c r="A35" s="6"/>
      <c r="B35" s="5">
        <v>7371.5</v>
      </c>
      <c r="C35" s="5">
        <v>0</v>
      </c>
      <c r="D35" s="5">
        <v>7333.5</v>
      </c>
      <c r="E35" s="5">
        <v>0</v>
      </c>
      <c r="G35" s="5">
        <v>7333.5</v>
      </c>
      <c r="H35" s="5">
        <v>0</v>
      </c>
      <c r="I35" s="5">
        <v>7333.5</v>
      </c>
      <c r="J35" s="5">
        <v>0</v>
      </c>
      <c r="L35" s="5">
        <v>8924.9</v>
      </c>
      <c r="M35" s="5">
        <v>0</v>
      </c>
      <c r="N35" s="5">
        <v>7333.5</v>
      </c>
      <c r="O35" s="5">
        <v>0</v>
      </c>
      <c r="Q35" s="5">
        <v>8800.5</v>
      </c>
      <c r="R35" s="5">
        <v>0</v>
      </c>
      <c r="S35" s="5">
        <v>8091.7</v>
      </c>
      <c r="T35" s="5">
        <v>0</v>
      </c>
      <c r="V35" s="5">
        <v>8091.7</v>
      </c>
      <c r="W35" s="5">
        <v>0</v>
      </c>
      <c r="X35" s="5">
        <v>1</v>
      </c>
    </row>
    <row r="36" spans="1:24" ht="12.75" customHeight="1">
      <c r="A36" s="6"/>
      <c r="B36" s="5">
        <v>14231.8</v>
      </c>
      <c r="C36" s="5">
        <v>23</v>
      </c>
      <c r="D36" s="5">
        <v>11288.7</v>
      </c>
      <c r="E36" s="5">
        <v>0</v>
      </c>
      <c r="G36" s="5">
        <v>11691.1</v>
      </c>
      <c r="H36" s="5">
        <v>0</v>
      </c>
      <c r="I36" s="5">
        <v>10666.2</v>
      </c>
      <c r="J36" s="5">
        <v>0</v>
      </c>
      <c r="L36" s="5">
        <v>10964.3</v>
      </c>
      <c r="M36" s="5">
        <v>0</v>
      </c>
      <c r="N36" s="5">
        <v>10561.9</v>
      </c>
      <c r="O36" s="5">
        <v>0</v>
      </c>
      <c r="Q36" s="5">
        <v>14481.2</v>
      </c>
      <c r="R36" s="5">
        <v>8</v>
      </c>
      <c r="S36" s="5">
        <v>12672.7</v>
      </c>
      <c r="T36" s="5">
        <v>0</v>
      </c>
      <c r="V36" s="5">
        <v>10561.9</v>
      </c>
      <c r="W36" s="5">
        <v>0</v>
      </c>
      <c r="X36" s="5">
        <v>0</v>
      </c>
    </row>
    <row r="37" spans="1:24" ht="12.75" customHeight="1">
      <c r="A37" s="6"/>
      <c r="B37" s="5">
        <v>10982.1</v>
      </c>
      <c r="C37" s="5">
        <v>0</v>
      </c>
      <c r="D37" s="5">
        <v>10350.4</v>
      </c>
      <c r="E37" s="5">
        <v>0</v>
      </c>
      <c r="G37" s="5">
        <v>10687.2</v>
      </c>
      <c r="H37" s="5">
        <v>0</v>
      </c>
      <c r="I37" s="5">
        <v>10820</v>
      </c>
      <c r="J37" s="5">
        <v>0</v>
      </c>
      <c r="L37" s="5">
        <v>10845.5</v>
      </c>
      <c r="M37" s="5">
        <v>0</v>
      </c>
      <c r="N37" s="5">
        <v>10350.4</v>
      </c>
      <c r="O37" s="5">
        <v>0</v>
      </c>
      <c r="Q37" s="5">
        <v>10952.3</v>
      </c>
      <c r="R37" s="5">
        <v>0</v>
      </c>
      <c r="S37" s="5">
        <v>11373.5</v>
      </c>
      <c r="T37" s="5">
        <v>0</v>
      </c>
      <c r="V37" s="5">
        <v>10350.4</v>
      </c>
      <c r="W37" s="5">
        <v>0</v>
      </c>
      <c r="X37" s="5">
        <v>0</v>
      </c>
    </row>
    <row r="38" spans="1:24" ht="12.75" customHeight="1">
      <c r="A38" s="6"/>
      <c r="B38" s="5">
        <v>8557.2000000000007</v>
      </c>
      <c r="C38" s="5">
        <v>0</v>
      </c>
      <c r="D38" s="5">
        <v>9735.7000000000007</v>
      </c>
      <c r="E38" s="5">
        <v>14</v>
      </c>
      <c r="G38" s="5">
        <v>9005.2999999999993</v>
      </c>
      <c r="H38" s="5">
        <v>0</v>
      </c>
      <c r="I38" s="5">
        <v>8331.2000000000007</v>
      </c>
      <c r="J38" s="5">
        <v>0</v>
      </c>
      <c r="L38" s="5">
        <v>8614.5</v>
      </c>
      <c r="M38" s="5">
        <v>0</v>
      </c>
      <c r="N38" s="5">
        <v>8182.6</v>
      </c>
      <c r="O38" s="5">
        <v>0</v>
      </c>
      <c r="Q38" s="5">
        <v>8822.1</v>
      </c>
      <c r="R38" s="5">
        <v>0</v>
      </c>
      <c r="S38" s="5">
        <v>8577.2999999999993</v>
      </c>
      <c r="T38" s="5">
        <v>0</v>
      </c>
      <c r="V38" s="5">
        <v>9359.6</v>
      </c>
      <c r="W38" s="5">
        <v>14</v>
      </c>
      <c r="X38" s="5">
        <v>0</v>
      </c>
    </row>
    <row r="39" spans="1:24" ht="12.75" customHeight="1">
      <c r="A39" s="6"/>
      <c r="B39" s="5">
        <v>11699.8</v>
      </c>
      <c r="C39" s="5">
        <v>0</v>
      </c>
      <c r="D39" s="5">
        <v>11415.1</v>
      </c>
      <c r="E39" s="5">
        <v>0</v>
      </c>
      <c r="G39" s="5">
        <v>11709.5</v>
      </c>
      <c r="H39" s="5">
        <v>0</v>
      </c>
      <c r="I39" s="5">
        <v>11415.1</v>
      </c>
      <c r="J39" s="5">
        <v>0</v>
      </c>
      <c r="L39" s="5">
        <v>11599.2</v>
      </c>
      <c r="M39" s="5">
        <v>0</v>
      </c>
      <c r="N39" s="5">
        <v>11258.6</v>
      </c>
      <c r="O39" s="5">
        <v>0</v>
      </c>
      <c r="Q39" s="5">
        <v>11692.8</v>
      </c>
      <c r="R39" s="5">
        <v>0</v>
      </c>
      <c r="S39" s="5">
        <v>11415.1</v>
      </c>
      <c r="T39" s="5">
        <v>0</v>
      </c>
      <c r="V39" s="5">
        <v>11252.7</v>
      </c>
      <c r="W39" s="5">
        <v>0</v>
      </c>
      <c r="X39" s="5">
        <v>0</v>
      </c>
    </row>
    <row r="40" spans="1:24" ht="12.75" customHeight="1">
      <c r="A40" s="6"/>
      <c r="B40" s="5">
        <v>8490.4</v>
      </c>
      <c r="C40" s="5">
        <v>0</v>
      </c>
      <c r="D40" s="5">
        <v>8562.9</v>
      </c>
      <c r="E40" s="5">
        <v>0</v>
      </c>
      <c r="G40" s="5">
        <v>9356.2999999999993</v>
      </c>
      <c r="H40" s="5">
        <v>0</v>
      </c>
      <c r="I40" s="5">
        <v>7619.4</v>
      </c>
      <c r="J40" s="5">
        <v>0</v>
      </c>
      <c r="L40" s="5">
        <v>8532</v>
      </c>
      <c r="M40" s="5">
        <v>0</v>
      </c>
      <c r="N40" s="5">
        <v>7619.4</v>
      </c>
      <c r="O40" s="5">
        <v>0</v>
      </c>
      <c r="Q40" s="5">
        <v>8702.9</v>
      </c>
      <c r="R40" s="5">
        <v>0</v>
      </c>
      <c r="S40" s="5">
        <v>9405.2999999999993</v>
      </c>
      <c r="T40" s="5">
        <v>0</v>
      </c>
      <c r="V40" s="5">
        <v>7619.4</v>
      </c>
      <c r="W40" s="5">
        <v>0</v>
      </c>
      <c r="X40" s="5">
        <v>0</v>
      </c>
    </row>
    <row r="41" spans="1:24" ht="12.75" customHeight="1">
      <c r="A41" s="6"/>
      <c r="B41" s="5">
        <v>7766.7</v>
      </c>
      <c r="C41" s="5">
        <v>0</v>
      </c>
      <c r="D41" s="5">
        <v>7910.2</v>
      </c>
      <c r="E41" s="5">
        <v>0</v>
      </c>
      <c r="G41" s="5">
        <v>8697.7999999999993</v>
      </c>
      <c r="H41" s="5">
        <v>0</v>
      </c>
      <c r="I41" s="5">
        <v>8049.8</v>
      </c>
      <c r="J41" s="5">
        <v>4</v>
      </c>
      <c r="L41" s="5">
        <v>8165.7</v>
      </c>
      <c r="M41" s="5">
        <v>0</v>
      </c>
      <c r="N41" s="5">
        <v>7612.1</v>
      </c>
      <c r="O41" s="5">
        <v>0</v>
      </c>
      <c r="Q41" s="5">
        <v>11449.7</v>
      </c>
      <c r="R41" s="5">
        <v>23</v>
      </c>
      <c r="S41" s="5">
        <v>8241.2999999999993</v>
      </c>
      <c r="T41" s="5">
        <v>0</v>
      </c>
      <c r="V41" s="5">
        <v>7612.1</v>
      </c>
      <c r="W41" s="5">
        <v>0</v>
      </c>
      <c r="X41" s="5">
        <v>1</v>
      </c>
    </row>
    <row r="42" spans="1:24" ht="12.75" customHeight="1">
      <c r="A42" s="6"/>
      <c r="B42" s="5">
        <v>6571.9</v>
      </c>
      <c r="C42" s="5">
        <v>0</v>
      </c>
      <c r="D42" s="5">
        <v>6874.7</v>
      </c>
      <c r="E42" s="5">
        <v>0</v>
      </c>
      <c r="G42" s="5">
        <v>6934.3</v>
      </c>
      <c r="H42" s="5">
        <v>0</v>
      </c>
      <c r="I42" s="5">
        <v>6150.3</v>
      </c>
      <c r="J42" s="5">
        <v>0</v>
      </c>
      <c r="L42" s="5">
        <v>6460.7</v>
      </c>
      <c r="M42" s="5">
        <v>0</v>
      </c>
      <c r="N42" s="5">
        <v>6318.2</v>
      </c>
      <c r="O42" s="5">
        <v>0</v>
      </c>
      <c r="Q42" s="5">
        <v>6754.9</v>
      </c>
      <c r="R42" s="5">
        <v>0</v>
      </c>
      <c r="S42" s="5">
        <v>6754.9</v>
      </c>
      <c r="T42" s="5">
        <v>0</v>
      </c>
      <c r="V42" s="5">
        <v>6397.6</v>
      </c>
      <c r="W42" s="5">
        <v>0</v>
      </c>
      <c r="X42" s="5">
        <v>0</v>
      </c>
    </row>
    <row r="43" spans="1:24" ht="12.75" customHeight="1">
      <c r="A43" s="6"/>
      <c r="B43" s="5">
        <v>8943.4</v>
      </c>
      <c r="C43" s="5">
        <v>0</v>
      </c>
      <c r="D43" s="5">
        <v>8494.2999999999993</v>
      </c>
      <c r="E43" s="5">
        <v>0</v>
      </c>
      <c r="G43" s="5">
        <v>9229.7000000000007</v>
      </c>
      <c r="H43" s="5">
        <v>0</v>
      </c>
      <c r="I43" s="5">
        <v>8943.2999999999993</v>
      </c>
      <c r="J43" s="5">
        <v>0</v>
      </c>
      <c r="L43" s="5">
        <v>8724.4</v>
      </c>
      <c r="M43" s="5">
        <v>0</v>
      </c>
      <c r="N43" s="5">
        <v>8494.2999999999993</v>
      </c>
      <c r="O43" s="5">
        <v>0</v>
      </c>
      <c r="Q43" s="5">
        <v>9778.7999999999993</v>
      </c>
      <c r="R43" s="5">
        <v>0</v>
      </c>
      <c r="S43" s="5">
        <v>10394.6</v>
      </c>
      <c r="T43" s="5">
        <v>0</v>
      </c>
      <c r="V43" s="5">
        <v>8494.2999999999993</v>
      </c>
      <c r="W43" s="5">
        <v>0</v>
      </c>
      <c r="X43" s="5">
        <v>0</v>
      </c>
    </row>
    <row r="44" spans="1:24" ht="12.75" customHeight="1">
      <c r="A44" s="6"/>
      <c r="B44" s="5">
        <v>9892.2999999999993</v>
      </c>
      <c r="C44" s="5">
        <v>0</v>
      </c>
      <c r="D44" s="5">
        <v>9605.2000000000007</v>
      </c>
      <c r="E44" s="5">
        <v>0</v>
      </c>
      <c r="G44" s="5">
        <v>9655</v>
      </c>
      <c r="H44" s="5">
        <v>0</v>
      </c>
      <c r="I44" s="5">
        <v>10214</v>
      </c>
      <c r="J44" s="5">
        <v>0</v>
      </c>
      <c r="L44" s="5">
        <v>9855.4</v>
      </c>
      <c r="M44" s="5">
        <v>0</v>
      </c>
      <c r="N44" s="5">
        <v>9605.2000000000007</v>
      </c>
      <c r="O44" s="5">
        <v>0</v>
      </c>
      <c r="Q44" s="5">
        <v>9605.2000000000007</v>
      </c>
      <c r="R44" s="5">
        <v>0</v>
      </c>
      <c r="S44" s="5">
        <v>10340</v>
      </c>
      <c r="T44" s="5">
        <v>0</v>
      </c>
      <c r="V44" s="5">
        <v>9640.9</v>
      </c>
      <c r="W44" s="5">
        <v>0</v>
      </c>
      <c r="X44" s="5">
        <v>0</v>
      </c>
    </row>
    <row r="45" spans="1:24" ht="12.75" customHeight="1">
      <c r="A45" s="6"/>
      <c r="B45" s="5">
        <v>9778.7000000000007</v>
      </c>
      <c r="C45" s="5">
        <v>0</v>
      </c>
      <c r="D45" s="5">
        <v>9777.1</v>
      </c>
      <c r="E45" s="5">
        <v>0</v>
      </c>
      <c r="G45" s="5">
        <v>10307.1</v>
      </c>
      <c r="H45" s="5">
        <v>6</v>
      </c>
      <c r="I45" s="5">
        <v>15045.6</v>
      </c>
      <c r="J45" s="5">
        <v>50</v>
      </c>
      <c r="L45" s="5">
        <v>10130.5</v>
      </c>
      <c r="M45" s="5">
        <v>0</v>
      </c>
      <c r="N45" s="5">
        <v>11246.3</v>
      </c>
      <c r="O45" s="5">
        <v>19</v>
      </c>
      <c r="Q45" s="5">
        <v>9346.2999999999993</v>
      </c>
      <c r="R45" s="5">
        <v>0</v>
      </c>
      <c r="S45" s="5">
        <v>10389.5</v>
      </c>
      <c r="T45" s="5">
        <v>0</v>
      </c>
      <c r="V45" s="5">
        <v>9346.2999999999993</v>
      </c>
      <c r="W45" s="5">
        <v>0</v>
      </c>
      <c r="X45" s="5">
        <v>0</v>
      </c>
    </row>
    <row r="46" spans="1:24" ht="12.75" customHeight="1">
      <c r="A46" s="6"/>
      <c r="B46" s="5">
        <v>9206</v>
      </c>
      <c r="C46" s="5">
        <v>16</v>
      </c>
      <c r="D46" s="5">
        <v>7351.7</v>
      </c>
      <c r="E46" s="5">
        <v>0</v>
      </c>
      <c r="G46" s="5">
        <v>11065.7</v>
      </c>
      <c r="H46" s="5">
        <v>35</v>
      </c>
      <c r="I46" s="5">
        <v>7126.5</v>
      </c>
      <c r="J46" s="5">
        <v>0</v>
      </c>
      <c r="L46" s="5">
        <v>10652.2</v>
      </c>
      <c r="M46" s="5">
        <v>35</v>
      </c>
      <c r="N46" s="5">
        <v>7126.5</v>
      </c>
      <c r="O46" s="5">
        <v>0</v>
      </c>
      <c r="Q46" s="5">
        <v>9805.4</v>
      </c>
      <c r="R46" s="5">
        <v>14</v>
      </c>
      <c r="S46" s="5">
        <v>8076</v>
      </c>
      <c r="T46" s="5">
        <v>0</v>
      </c>
      <c r="V46" s="5">
        <v>7126.5</v>
      </c>
      <c r="W46" s="5">
        <v>0</v>
      </c>
      <c r="X46" s="5">
        <v>0</v>
      </c>
    </row>
    <row r="47" spans="1:24" ht="12.75" customHeight="1">
      <c r="A47" s="6"/>
      <c r="B47" s="5">
        <v>10843.1</v>
      </c>
      <c r="C47" s="5">
        <v>14</v>
      </c>
      <c r="D47" s="5">
        <v>8815.5</v>
      </c>
      <c r="E47" s="5">
        <v>0</v>
      </c>
      <c r="G47" s="5">
        <v>9261</v>
      </c>
      <c r="H47" s="5">
        <v>0</v>
      </c>
      <c r="I47" s="5">
        <v>9011</v>
      </c>
      <c r="J47" s="5">
        <v>0</v>
      </c>
      <c r="L47" s="5">
        <v>9261</v>
      </c>
      <c r="M47" s="5">
        <v>0</v>
      </c>
      <c r="N47" s="5">
        <v>8815.5</v>
      </c>
      <c r="O47" s="5">
        <v>0</v>
      </c>
      <c r="Q47" s="5">
        <v>9345.9</v>
      </c>
      <c r="R47" s="5">
        <v>0</v>
      </c>
      <c r="S47" s="5">
        <v>11522</v>
      </c>
      <c r="T47" s="5">
        <v>0</v>
      </c>
      <c r="V47" s="5">
        <v>9837.4</v>
      </c>
      <c r="W47" s="5">
        <v>14</v>
      </c>
      <c r="X47" s="5">
        <v>1</v>
      </c>
    </row>
    <row r="48" spans="1:24" ht="12.75" customHeight="1">
      <c r="A48" s="6"/>
      <c r="B48" s="5">
        <v>7972.2</v>
      </c>
      <c r="C48" s="5">
        <v>0</v>
      </c>
      <c r="D48" s="5">
        <v>7634.4</v>
      </c>
      <c r="E48" s="5">
        <v>0</v>
      </c>
      <c r="G48" s="5">
        <v>8750.1</v>
      </c>
      <c r="H48" s="5">
        <v>0</v>
      </c>
      <c r="I48" s="5">
        <v>8133.1</v>
      </c>
      <c r="J48" s="5">
        <v>0</v>
      </c>
      <c r="L48" s="5">
        <v>8766.2000000000007</v>
      </c>
      <c r="M48" s="5">
        <v>0</v>
      </c>
      <c r="N48" s="5">
        <v>7622.6</v>
      </c>
      <c r="O48" s="5">
        <v>0</v>
      </c>
      <c r="Q48" s="5">
        <v>9247</v>
      </c>
      <c r="R48" s="5">
        <v>0</v>
      </c>
      <c r="S48" s="5">
        <v>8633.6</v>
      </c>
      <c r="T48" s="5">
        <v>0</v>
      </c>
      <c r="V48" s="5">
        <v>7622.6</v>
      </c>
      <c r="W48" s="5">
        <v>0</v>
      </c>
      <c r="X48" s="5">
        <v>0</v>
      </c>
    </row>
    <row r="49" spans="1:24" ht="12.75" customHeight="1">
      <c r="A49" s="6"/>
      <c r="B49" s="5">
        <v>11318.9</v>
      </c>
      <c r="C49" s="5">
        <v>25</v>
      </c>
      <c r="D49" s="5">
        <v>8877.1</v>
      </c>
      <c r="E49" s="5">
        <v>2</v>
      </c>
      <c r="G49" s="5">
        <v>7917.5</v>
      </c>
      <c r="H49" s="5">
        <v>2</v>
      </c>
      <c r="I49" s="5">
        <v>7914.3</v>
      </c>
      <c r="J49" s="5">
        <v>2</v>
      </c>
      <c r="L49" s="5">
        <v>8151.7</v>
      </c>
      <c r="M49" s="5">
        <v>0</v>
      </c>
      <c r="N49" s="5">
        <v>7914.3</v>
      </c>
      <c r="O49" s="5">
        <v>2</v>
      </c>
      <c r="Q49" s="5">
        <v>7914.3</v>
      </c>
      <c r="R49" s="5">
        <v>2</v>
      </c>
      <c r="S49" s="5">
        <v>10616.5</v>
      </c>
      <c r="T49" s="5">
        <v>4</v>
      </c>
      <c r="V49" s="5">
        <v>8351.7000000000007</v>
      </c>
      <c r="W49" s="5">
        <v>2</v>
      </c>
      <c r="X49" s="5">
        <v>0</v>
      </c>
    </row>
    <row r="50" spans="1:24" ht="12.75" customHeight="1">
      <c r="A50" s="6"/>
      <c r="B50" s="5">
        <v>6992.5</v>
      </c>
      <c r="C50" s="5">
        <v>0</v>
      </c>
      <c r="D50" s="5">
        <v>6572.9</v>
      </c>
      <c r="E50" s="5">
        <v>0</v>
      </c>
      <c r="G50" s="5">
        <v>6788.5</v>
      </c>
      <c r="H50" s="5">
        <v>0</v>
      </c>
      <c r="I50" s="5">
        <v>6470.8</v>
      </c>
      <c r="J50" s="5">
        <v>0</v>
      </c>
      <c r="L50" s="5">
        <v>6249.1</v>
      </c>
      <c r="M50" s="5">
        <v>0</v>
      </c>
      <c r="N50" s="5">
        <v>6140.7</v>
      </c>
      <c r="O50" s="5">
        <v>0</v>
      </c>
      <c r="Q50" s="5">
        <v>8088.4</v>
      </c>
      <c r="R50" s="5">
        <v>0</v>
      </c>
      <c r="S50" s="5">
        <v>7005.6</v>
      </c>
      <c r="T50" s="5">
        <v>0</v>
      </c>
      <c r="V50" s="5">
        <v>6140.7</v>
      </c>
      <c r="W50" s="5">
        <v>0</v>
      </c>
      <c r="X50" s="5">
        <v>0</v>
      </c>
    </row>
    <row r="51" spans="1:24" ht="12.75" customHeight="1">
      <c r="A51" s="6"/>
      <c r="B51" s="5">
        <v>9378.1</v>
      </c>
      <c r="C51" s="5">
        <v>0</v>
      </c>
      <c r="D51" s="5">
        <v>9378.1</v>
      </c>
      <c r="E51" s="5">
        <v>0</v>
      </c>
      <c r="G51" s="5">
        <v>10804.3</v>
      </c>
      <c r="H51" s="5">
        <v>0</v>
      </c>
      <c r="I51" s="5">
        <v>9326.1</v>
      </c>
      <c r="J51" s="5">
        <v>0</v>
      </c>
      <c r="L51" s="5">
        <v>10164.4</v>
      </c>
      <c r="M51" s="5">
        <v>0</v>
      </c>
      <c r="N51" s="5">
        <v>9510.7000000000007</v>
      </c>
      <c r="O51" s="5">
        <v>0</v>
      </c>
      <c r="Q51" s="5">
        <v>10783</v>
      </c>
      <c r="R51" s="5">
        <v>0</v>
      </c>
      <c r="S51" s="5">
        <v>10682.8</v>
      </c>
      <c r="T51" s="5">
        <v>0</v>
      </c>
      <c r="V51" s="5">
        <v>9510.7000000000007</v>
      </c>
      <c r="W51" s="5">
        <v>0</v>
      </c>
      <c r="X51" s="5">
        <v>0</v>
      </c>
    </row>
    <row r="52" spans="1:24" ht="12.75" customHeight="1">
      <c r="A52" s="6"/>
      <c r="B52" s="5">
        <v>7093.6</v>
      </c>
      <c r="C52" s="5">
        <v>0</v>
      </c>
      <c r="D52" s="5">
        <v>7114.7</v>
      </c>
      <c r="E52" s="5">
        <v>0</v>
      </c>
      <c r="G52" s="5">
        <v>7881.8</v>
      </c>
      <c r="H52" s="5">
        <v>0</v>
      </c>
      <c r="I52" s="5">
        <v>7339.1</v>
      </c>
      <c r="J52" s="5">
        <v>0</v>
      </c>
      <c r="L52" s="5">
        <v>7114.7</v>
      </c>
      <c r="M52" s="5">
        <v>0</v>
      </c>
      <c r="N52" s="5">
        <v>6925.3</v>
      </c>
      <c r="O52" s="5">
        <v>0</v>
      </c>
      <c r="Q52" s="5">
        <v>7880.5</v>
      </c>
      <c r="R52" s="5">
        <v>0</v>
      </c>
      <c r="S52" s="5">
        <v>6983.9</v>
      </c>
      <c r="T52" s="5">
        <v>0</v>
      </c>
      <c r="V52" s="5">
        <v>6925.3</v>
      </c>
      <c r="W52" s="5">
        <v>0</v>
      </c>
      <c r="X52" s="5">
        <v>1</v>
      </c>
    </row>
    <row r="53" spans="1:24" ht="12.75" customHeight="1">
      <c r="A53" s="6"/>
      <c r="B53" s="5">
        <v>9510</v>
      </c>
      <c r="C53" s="5">
        <v>0</v>
      </c>
      <c r="D53" s="5">
        <v>9364.9</v>
      </c>
      <c r="E53" s="5">
        <v>0</v>
      </c>
      <c r="G53" s="5">
        <v>10039.9</v>
      </c>
      <c r="H53" s="5">
        <v>0</v>
      </c>
      <c r="I53" s="5">
        <v>9892.7000000000007</v>
      </c>
      <c r="J53" s="5">
        <v>0</v>
      </c>
      <c r="L53" s="5">
        <v>11302.8</v>
      </c>
      <c r="M53" s="5">
        <v>0</v>
      </c>
      <c r="N53" s="5">
        <v>10133.799999999999</v>
      </c>
      <c r="O53" s="5">
        <v>0</v>
      </c>
      <c r="Q53" s="5">
        <v>10413.9</v>
      </c>
      <c r="R53" s="5">
        <v>0</v>
      </c>
      <c r="S53" s="5">
        <v>10626.9</v>
      </c>
      <c r="T53" s="5">
        <v>0</v>
      </c>
      <c r="V53" s="5">
        <v>9333.2999999999993</v>
      </c>
      <c r="W53" s="5">
        <v>0</v>
      </c>
      <c r="X53" s="5">
        <v>0</v>
      </c>
    </row>
    <row r="54" spans="1:24" ht="12.75" customHeight="1">
      <c r="A54" s="6"/>
      <c r="B54" s="5">
        <v>10293.799999999999</v>
      </c>
      <c r="C54" s="5">
        <v>0</v>
      </c>
      <c r="D54" s="5">
        <v>9887.7999999999993</v>
      </c>
      <c r="E54" s="5">
        <v>0</v>
      </c>
      <c r="G54" s="5">
        <v>10274.4</v>
      </c>
      <c r="H54" s="5">
        <v>0</v>
      </c>
      <c r="I54" s="5">
        <v>11605.1</v>
      </c>
      <c r="J54" s="5">
        <v>12</v>
      </c>
      <c r="L54" s="5">
        <v>12221.7</v>
      </c>
      <c r="M54" s="5">
        <v>19</v>
      </c>
      <c r="N54" s="5">
        <v>9771.7000000000007</v>
      </c>
      <c r="O54" s="5">
        <v>0</v>
      </c>
      <c r="Q54" s="5">
        <v>11026.7</v>
      </c>
      <c r="R54" s="5">
        <v>0</v>
      </c>
      <c r="S54" s="5">
        <v>10643.1</v>
      </c>
      <c r="T54" s="5">
        <v>0</v>
      </c>
      <c r="V54" s="5">
        <v>9771.7000000000007</v>
      </c>
      <c r="W54" s="5">
        <v>0</v>
      </c>
      <c r="X54" s="5">
        <v>0</v>
      </c>
    </row>
    <row r="55" spans="1:24" ht="12.75" customHeight="1">
      <c r="A55" s="6"/>
      <c r="B55" s="5">
        <v>7925.1</v>
      </c>
      <c r="C55" s="5">
        <v>0</v>
      </c>
      <c r="D55" s="5">
        <v>7644</v>
      </c>
      <c r="E55" s="5">
        <v>0</v>
      </c>
      <c r="G55" s="5">
        <v>8019</v>
      </c>
      <c r="H55" s="5">
        <v>0</v>
      </c>
      <c r="I55" s="5">
        <v>7916.4</v>
      </c>
      <c r="J55" s="5">
        <v>0</v>
      </c>
      <c r="L55" s="5">
        <v>8468.7999999999993</v>
      </c>
      <c r="M55" s="5">
        <v>0</v>
      </c>
      <c r="N55" s="5">
        <v>7467.1</v>
      </c>
      <c r="O55" s="5">
        <v>0</v>
      </c>
      <c r="Q55" s="5">
        <v>8121.5</v>
      </c>
      <c r="R55" s="5">
        <v>0</v>
      </c>
      <c r="S55" s="5">
        <v>7644</v>
      </c>
      <c r="T55" s="5">
        <v>0</v>
      </c>
      <c r="V55" s="5">
        <v>7467.1</v>
      </c>
      <c r="W55" s="5">
        <v>0</v>
      </c>
      <c r="X55" s="5">
        <v>0</v>
      </c>
    </row>
    <row r="56" spans="1:24" ht="12.75" customHeight="1">
      <c r="A56" s="6"/>
      <c r="B56" s="5">
        <v>10793.5</v>
      </c>
      <c r="C56" s="5">
        <v>0</v>
      </c>
      <c r="D56" s="5">
        <v>10793.5</v>
      </c>
      <c r="E56" s="5">
        <v>0</v>
      </c>
      <c r="G56" s="5">
        <v>12017.2</v>
      </c>
      <c r="H56" s="5">
        <v>0</v>
      </c>
      <c r="I56" s="5">
        <v>11161.6</v>
      </c>
      <c r="J56" s="5">
        <v>0</v>
      </c>
      <c r="L56" s="5">
        <v>12435.8</v>
      </c>
      <c r="M56" s="5">
        <v>0</v>
      </c>
      <c r="N56" s="5">
        <v>11334</v>
      </c>
      <c r="O56" s="5">
        <v>0</v>
      </c>
      <c r="Q56" s="5">
        <v>14176</v>
      </c>
      <c r="R56" s="5">
        <v>15</v>
      </c>
      <c r="S56" s="5">
        <v>11649.4</v>
      </c>
      <c r="T56" s="5">
        <v>0</v>
      </c>
      <c r="V56" s="5">
        <v>10780.7</v>
      </c>
      <c r="W56" s="5">
        <v>0</v>
      </c>
      <c r="X56" s="5">
        <v>0</v>
      </c>
    </row>
    <row r="57" spans="1:24" ht="12.75" customHeight="1">
      <c r="A57" s="6"/>
      <c r="B57" s="5">
        <v>8272.2000000000007</v>
      </c>
      <c r="C57" s="5">
        <v>0</v>
      </c>
      <c r="D57" s="5">
        <v>7837.2</v>
      </c>
      <c r="E57" s="5">
        <v>0</v>
      </c>
      <c r="G57" s="5">
        <v>9089.7000000000007</v>
      </c>
      <c r="H57" s="5">
        <v>0</v>
      </c>
      <c r="I57" s="5">
        <v>9179.5</v>
      </c>
      <c r="J57" s="5">
        <v>0</v>
      </c>
      <c r="L57" s="5">
        <v>8940.4</v>
      </c>
      <c r="M57" s="5">
        <v>0</v>
      </c>
      <c r="N57" s="5">
        <v>7719</v>
      </c>
      <c r="O57" s="5">
        <v>0</v>
      </c>
      <c r="Q57" s="5">
        <v>8855.9</v>
      </c>
      <c r="R57" s="5">
        <v>0</v>
      </c>
      <c r="S57" s="5">
        <v>9405.9</v>
      </c>
      <c r="T57" s="5">
        <v>0</v>
      </c>
      <c r="V57" s="5">
        <v>7719</v>
      </c>
      <c r="W57" s="5">
        <v>0</v>
      </c>
      <c r="X57" s="5">
        <v>0</v>
      </c>
    </row>
    <row r="58" spans="1:24" ht="12.75" customHeight="1">
      <c r="A58" s="6"/>
      <c r="B58" s="5">
        <v>12119</v>
      </c>
      <c r="C58" s="5">
        <v>14</v>
      </c>
      <c r="D58" s="5">
        <v>10185.9</v>
      </c>
      <c r="E58" s="5">
        <v>0</v>
      </c>
      <c r="G58" s="5">
        <v>10484.700000000001</v>
      </c>
      <c r="H58" s="5">
        <v>0</v>
      </c>
      <c r="I58" s="5">
        <v>10329.5</v>
      </c>
      <c r="J58" s="5">
        <v>0</v>
      </c>
      <c r="L58" s="5">
        <v>10185.9</v>
      </c>
      <c r="M58" s="5">
        <v>0</v>
      </c>
      <c r="N58" s="5">
        <v>10185.9</v>
      </c>
      <c r="O58" s="5">
        <v>0</v>
      </c>
      <c r="Q58" s="5">
        <v>10757.1</v>
      </c>
      <c r="R58" s="5">
        <v>0</v>
      </c>
      <c r="S58" s="5">
        <v>10185.9</v>
      </c>
      <c r="T58" s="5">
        <v>0</v>
      </c>
      <c r="V58" s="5">
        <v>10201</v>
      </c>
      <c r="W58" s="5">
        <v>0</v>
      </c>
      <c r="X58" s="5">
        <v>0</v>
      </c>
    </row>
    <row r="59" spans="1:24" ht="12.75" customHeight="1">
      <c r="A59" s="6"/>
      <c r="B59" s="5">
        <v>10421.200000000001</v>
      </c>
      <c r="C59" s="5">
        <v>0</v>
      </c>
      <c r="D59" s="5">
        <v>10346.4</v>
      </c>
      <c r="E59" s="5">
        <v>0</v>
      </c>
      <c r="G59" s="5">
        <v>10346.4</v>
      </c>
      <c r="H59" s="5">
        <v>0</v>
      </c>
      <c r="I59" s="5">
        <v>11507.5</v>
      </c>
      <c r="J59" s="5">
        <v>0</v>
      </c>
      <c r="L59" s="5">
        <v>10947.7</v>
      </c>
      <c r="M59" s="5">
        <v>0</v>
      </c>
      <c r="N59" s="5">
        <v>10346.4</v>
      </c>
      <c r="O59" s="5">
        <v>0</v>
      </c>
      <c r="Q59" s="5">
        <v>10695.4</v>
      </c>
      <c r="R59" s="5">
        <v>0</v>
      </c>
      <c r="S59" s="5">
        <v>11877.2</v>
      </c>
      <c r="T59" s="5">
        <v>0</v>
      </c>
      <c r="V59" s="5">
        <v>10346.4</v>
      </c>
      <c r="W59" s="5">
        <v>0</v>
      </c>
      <c r="X59" s="5">
        <v>1</v>
      </c>
    </row>
    <row r="60" spans="1:24" ht="12.75" customHeight="1">
      <c r="A60" s="6"/>
      <c r="B60" s="5">
        <v>11521.4</v>
      </c>
      <c r="C60" s="5">
        <v>0</v>
      </c>
      <c r="D60" s="5">
        <v>11521.4</v>
      </c>
      <c r="E60" s="5">
        <v>0</v>
      </c>
      <c r="G60" s="5">
        <v>11713</v>
      </c>
      <c r="H60" s="5">
        <v>0</v>
      </c>
      <c r="I60" s="5">
        <v>12137.2</v>
      </c>
      <c r="J60" s="5">
        <v>0</v>
      </c>
      <c r="L60" s="5">
        <v>21517.200000000001</v>
      </c>
      <c r="M60" s="5">
        <v>100</v>
      </c>
      <c r="N60" s="5">
        <v>13221.4</v>
      </c>
      <c r="O60" s="5">
        <v>17</v>
      </c>
      <c r="Q60" s="5">
        <v>20257.400000000001</v>
      </c>
      <c r="R60" s="5">
        <v>75</v>
      </c>
      <c r="S60" s="5">
        <v>17848.3</v>
      </c>
      <c r="T60" s="5">
        <v>48</v>
      </c>
      <c r="V60" s="5">
        <v>11779.7</v>
      </c>
      <c r="W60" s="5">
        <v>0</v>
      </c>
      <c r="X60" s="5">
        <v>0</v>
      </c>
    </row>
    <row r="61" spans="1:24" ht="12.75" customHeight="1">
      <c r="A61" s="6"/>
      <c r="B61" s="5">
        <v>11522</v>
      </c>
      <c r="C61" s="5">
        <v>0</v>
      </c>
      <c r="D61" s="5">
        <v>10980.9</v>
      </c>
      <c r="E61" s="5">
        <v>0</v>
      </c>
      <c r="G61" s="5">
        <v>11198.8</v>
      </c>
      <c r="H61" s="5">
        <v>0</v>
      </c>
      <c r="I61" s="5">
        <v>11456.3</v>
      </c>
      <c r="J61" s="5">
        <v>0</v>
      </c>
      <c r="L61" s="5">
        <v>11622.5</v>
      </c>
      <c r="M61" s="5">
        <v>0</v>
      </c>
      <c r="N61" s="5">
        <v>10980.9</v>
      </c>
      <c r="O61" s="5">
        <v>0</v>
      </c>
      <c r="Q61" s="5">
        <v>11251.7</v>
      </c>
      <c r="R61" s="5">
        <v>0</v>
      </c>
      <c r="S61" s="5">
        <v>12039.7</v>
      </c>
      <c r="T61" s="5">
        <v>0</v>
      </c>
      <c r="V61" s="5">
        <v>10980.9</v>
      </c>
      <c r="W61" s="5">
        <v>0</v>
      </c>
      <c r="X61" s="5">
        <v>0</v>
      </c>
    </row>
    <row r="62" spans="1:24" ht="12.75" customHeight="1">
      <c r="A62" s="6"/>
      <c r="B62" s="5">
        <v>13099.4</v>
      </c>
      <c r="C62" s="5">
        <v>0</v>
      </c>
      <c r="D62" s="5">
        <v>13225.5</v>
      </c>
      <c r="E62" s="5">
        <v>0</v>
      </c>
      <c r="G62" s="5">
        <v>13337.8</v>
      </c>
      <c r="H62" s="5">
        <v>0</v>
      </c>
      <c r="I62" s="5">
        <v>12951.5</v>
      </c>
      <c r="J62" s="5">
        <v>0</v>
      </c>
      <c r="L62" s="5">
        <v>13103.2</v>
      </c>
      <c r="M62" s="5">
        <v>0</v>
      </c>
      <c r="N62" s="5">
        <v>13116.1</v>
      </c>
      <c r="O62" s="5">
        <v>0</v>
      </c>
      <c r="Q62" s="5">
        <v>13982.9</v>
      </c>
      <c r="R62" s="5">
        <v>0</v>
      </c>
      <c r="S62" s="5">
        <v>14047.1</v>
      </c>
      <c r="T62" s="5">
        <v>0</v>
      </c>
      <c r="V62" s="5">
        <v>12951.5</v>
      </c>
      <c r="W62" s="5">
        <v>0</v>
      </c>
      <c r="X62" s="5">
        <v>0</v>
      </c>
    </row>
    <row r="63" spans="1:24" ht="12.75" customHeight="1">
      <c r="A63" s="6"/>
      <c r="B63" s="5">
        <v>10754.8</v>
      </c>
      <c r="C63" s="5">
        <v>0</v>
      </c>
      <c r="D63" s="5">
        <v>9880.9</v>
      </c>
      <c r="E63" s="5">
        <v>0</v>
      </c>
      <c r="G63" s="5">
        <v>10528.6</v>
      </c>
      <c r="H63" s="5">
        <v>0</v>
      </c>
      <c r="I63" s="5">
        <v>9965.7999999999993</v>
      </c>
      <c r="J63" s="5">
        <v>0</v>
      </c>
      <c r="L63" s="5">
        <v>10165.799999999999</v>
      </c>
      <c r="M63" s="5">
        <v>2</v>
      </c>
      <c r="N63" s="5">
        <v>10533</v>
      </c>
      <c r="O63" s="5">
        <v>2</v>
      </c>
      <c r="Q63" s="5">
        <v>12478.2</v>
      </c>
      <c r="R63" s="5">
        <v>7</v>
      </c>
      <c r="S63" s="5">
        <v>10466.200000000001</v>
      </c>
      <c r="T63" s="5">
        <v>0</v>
      </c>
      <c r="V63" s="5">
        <v>10080.9</v>
      </c>
      <c r="W63" s="5">
        <v>2</v>
      </c>
      <c r="X63" s="5">
        <v>0</v>
      </c>
    </row>
    <row r="64" spans="1:24" ht="12.75" customHeight="1">
      <c r="A64" s="6"/>
      <c r="B64" s="5">
        <v>13437.6</v>
      </c>
      <c r="C64" s="5">
        <v>0</v>
      </c>
      <c r="D64" s="5">
        <v>13069.8</v>
      </c>
      <c r="E64" s="5">
        <v>7</v>
      </c>
      <c r="G64" s="5">
        <v>13024.1</v>
      </c>
      <c r="H64" s="5">
        <v>0</v>
      </c>
      <c r="I64" s="5">
        <v>12857.3</v>
      </c>
      <c r="J64" s="5">
        <v>0</v>
      </c>
      <c r="L64" s="5">
        <v>13069.8</v>
      </c>
      <c r="M64" s="5">
        <v>7</v>
      </c>
      <c r="N64" s="5">
        <v>12274</v>
      </c>
      <c r="O64" s="5">
        <v>0</v>
      </c>
      <c r="Q64" s="5">
        <v>14221.2</v>
      </c>
      <c r="R64" s="5">
        <v>2</v>
      </c>
      <c r="S64" s="5">
        <v>13153.2</v>
      </c>
      <c r="T64" s="5">
        <v>0</v>
      </c>
      <c r="V64" s="5">
        <v>12666.4</v>
      </c>
      <c r="W64" s="5">
        <v>0</v>
      </c>
      <c r="X64" s="5">
        <v>0</v>
      </c>
    </row>
    <row r="65" spans="1:24" ht="12.75" customHeight="1">
      <c r="A65" s="6"/>
      <c r="B65" s="5">
        <v>11095.7</v>
      </c>
      <c r="C65" s="5">
        <v>0</v>
      </c>
      <c r="D65" s="5">
        <v>11082.9</v>
      </c>
      <c r="E65" s="5">
        <v>0</v>
      </c>
      <c r="G65" s="5">
        <v>11809.2</v>
      </c>
      <c r="H65" s="5">
        <v>0</v>
      </c>
      <c r="I65" s="5">
        <v>11443.8</v>
      </c>
      <c r="J65" s="5">
        <v>0</v>
      </c>
      <c r="L65" s="5">
        <v>11796.4</v>
      </c>
      <c r="M65" s="5">
        <v>0</v>
      </c>
      <c r="N65" s="5">
        <v>11017.5</v>
      </c>
      <c r="O65" s="5">
        <v>0</v>
      </c>
      <c r="Q65" s="5">
        <v>11801.5</v>
      </c>
      <c r="R65" s="5">
        <v>0</v>
      </c>
      <c r="S65" s="5">
        <v>12719.3</v>
      </c>
      <c r="T65" s="5">
        <v>0</v>
      </c>
      <c r="V65" s="5">
        <v>11017.5</v>
      </c>
      <c r="W65" s="5">
        <v>0</v>
      </c>
      <c r="X65" s="5">
        <v>1</v>
      </c>
    </row>
    <row r="66" spans="1:24" ht="12.75" customHeight="1">
      <c r="A66" s="6"/>
      <c r="B66" s="5">
        <v>9386.5</v>
      </c>
      <c r="C66" s="5">
        <v>0</v>
      </c>
      <c r="D66" s="5">
        <v>9386.5</v>
      </c>
      <c r="E66" s="5">
        <v>0</v>
      </c>
      <c r="G66" s="5">
        <v>9813.5</v>
      </c>
      <c r="H66" s="5">
        <v>0</v>
      </c>
      <c r="I66" s="5">
        <v>9386.5</v>
      </c>
      <c r="J66" s="5">
        <v>0</v>
      </c>
      <c r="L66" s="5">
        <v>10694.8</v>
      </c>
      <c r="M66" s="5">
        <v>0</v>
      </c>
      <c r="N66" s="5">
        <v>9975.2000000000007</v>
      </c>
      <c r="O66" s="5">
        <v>0</v>
      </c>
      <c r="Q66" s="5">
        <v>9908.2000000000007</v>
      </c>
      <c r="R66" s="5">
        <v>0</v>
      </c>
      <c r="S66" s="5">
        <v>11133.8</v>
      </c>
      <c r="T66" s="5">
        <v>0</v>
      </c>
      <c r="V66" s="5">
        <v>9386.5</v>
      </c>
      <c r="W66" s="5">
        <v>0</v>
      </c>
      <c r="X66" s="5">
        <v>0</v>
      </c>
    </row>
    <row r="67" spans="1:24" ht="12.75" customHeight="1">
      <c r="A67" s="6"/>
      <c r="B67" s="5">
        <v>12505.3</v>
      </c>
      <c r="C67" s="5">
        <v>0</v>
      </c>
      <c r="D67" s="5">
        <v>12113.7</v>
      </c>
      <c r="E67" s="5">
        <v>0</v>
      </c>
      <c r="G67" s="5">
        <v>12601.9</v>
      </c>
      <c r="H67" s="5">
        <v>0</v>
      </c>
      <c r="I67" s="5">
        <v>12601.9</v>
      </c>
      <c r="J67" s="5">
        <v>0</v>
      </c>
      <c r="L67" s="5">
        <v>12520.3</v>
      </c>
      <c r="M67" s="5">
        <v>0</v>
      </c>
      <c r="N67" s="5">
        <v>12113.7</v>
      </c>
      <c r="O67" s="5">
        <v>0</v>
      </c>
      <c r="Q67" s="5">
        <v>13211.1</v>
      </c>
      <c r="R67" s="5">
        <v>0</v>
      </c>
      <c r="S67" s="5">
        <v>12941.5</v>
      </c>
      <c r="T67" s="5">
        <v>0</v>
      </c>
      <c r="V67" s="5">
        <v>12736.6</v>
      </c>
      <c r="W67" s="5">
        <v>0</v>
      </c>
      <c r="X67" s="5">
        <v>0</v>
      </c>
    </row>
    <row r="68" spans="1:24" ht="12.75" customHeight="1">
      <c r="A68" s="6"/>
      <c r="B68" s="5">
        <v>10196.1</v>
      </c>
      <c r="C68" s="5">
        <v>0</v>
      </c>
      <c r="D68" s="5">
        <v>10196.1</v>
      </c>
      <c r="E68" s="5">
        <v>0</v>
      </c>
      <c r="G68" s="5">
        <v>10387.299999999999</v>
      </c>
      <c r="H68" s="5">
        <v>0</v>
      </c>
      <c r="I68" s="5">
        <v>10173.299999999999</v>
      </c>
      <c r="J68" s="5">
        <v>0</v>
      </c>
      <c r="L68" s="5">
        <v>10181</v>
      </c>
      <c r="M68" s="5">
        <v>0</v>
      </c>
      <c r="N68" s="5">
        <v>9255.2999999999993</v>
      </c>
      <c r="O68" s="5">
        <v>0</v>
      </c>
      <c r="Q68" s="5">
        <v>10218.299999999999</v>
      </c>
      <c r="R68" s="5">
        <v>0</v>
      </c>
      <c r="S68" s="5">
        <v>10361.200000000001</v>
      </c>
      <c r="T68" s="5">
        <v>0</v>
      </c>
      <c r="V68" s="5">
        <v>9255.2999999999993</v>
      </c>
      <c r="W68" s="5">
        <v>0</v>
      </c>
      <c r="X68" s="5">
        <v>0</v>
      </c>
    </row>
    <row r="69" spans="1:24" ht="12.75" customHeight="1">
      <c r="A69" s="6"/>
      <c r="B69" s="5">
        <v>9652.7000000000007</v>
      </c>
      <c r="C69" s="5">
        <v>0</v>
      </c>
      <c r="D69" s="5">
        <v>9652.7000000000007</v>
      </c>
      <c r="E69" s="5">
        <v>0</v>
      </c>
      <c r="G69" s="5">
        <v>9943.1</v>
      </c>
      <c r="H69" s="5">
        <v>0</v>
      </c>
      <c r="I69" s="5">
        <v>10241.4</v>
      </c>
      <c r="J69" s="5">
        <v>0</v>
      </c>
      <c r="L69" s="5">
        <v>10245.5</v>
      </c>
      <c r="M69" s="5">
        <v>0</v>
      </c>
      <c r="N69" s="5">
        <v>9607.7999999999993</v>
      </c>
      <c r="O69" s="5">
        <v>0</v>
      </c>
      <c r="Q69" s="5">
        <v>10569.1</v>
      </c>
      <c r="R69" s="5">
        <v>0</v>
      </c>
      <c r="S69" s="5">
        <v>10172.200000000001</v>
      </c>
      <c r="T69" s="5">
        <v>0</v>
      </c>
      <c r="V69" s="5">
        <v>9620.5</v>
      </c>
      <c r="W69" s="5">
        <v>0</v>
      </c>
      <c r="X69" s="5">
        <v>0</v>
      </c>
    </row>
    <row r="70" spans="1:24" ht="12.75" customHeight="1">
      <c r="A70" s="6"/>
      <c r="B70" s="5">
        <v>10834.5</v>
      </c>
      <c r="C70" s="5">
        <v>0</v>
      </c>
      <c r="D70" s="5">
        <v>10362.799999999999</v>
      </c>
      <c r="E70" s="5">
        <v>0</v>
      </c>
      <c r="G70" s="5">
        <v>10938</v>
      </c>
      <c r="H70" s="5">
        <v>0</v>
      </c>
      <c r="I70" s="5">
        <v>11037</v>
      </c>
      <c r="J70" s="5">
        <v>0</v>
      </c>
      <c r="L70" s="5">
        <v>10791.2</v>
      </c>
      <c r="M70" s="5">
        <v>0</v>
      </c>
      <c r="N70" s="5">
        <v>10362.799999999999</v>
      </c>
      <c r="O70" s="5">
        <v>0</v>
      </c>
      <c r="Q70" s="5">
        <v>11020.2</v>
      </c>
      <c r="R70" s="5">
        <v>0</v>
      </c>
      <c r="S70" s="5">
        <v>11833.4</v>
      </c>
      <c r="T70" s="5">
        <v>0</v>
      </c>
      <c r="V70" s="5">
        <v>10362.799999999999</v>
      </c>
      <c r="W70" s="5">
        <v>0</v>
      </c>
      <c r="X70" s="5">
        <v>0</v>
      </c>
    </row>
    <row r="71" spans="1:24" ht="12.75" customHeight="1">
      <c r="A71" s="6"/>
      <c r="B71" s="5">
        <v>13403.9</v>
      </c>
      <c r="C71" s="5">
        <v>0</v>
      </c>
      <c r="D71" s="5">
        <v>11923.6</v>
      </c>
      <c r="E71" s="5">
        <v>0</v>
      </c>
      <c r="G71" s="5">
        <v>13694.4</v>
      </c>
      <c r="H71" s="5">
        <v>10</v>
      </c>
      <c r="I71" s="5">
        <v>12819.1</v>
      </c>
      <c r="J71" s="5">
        <v>0</v>
      </c>
      <c r="L71" s="5">
        <v>12585.9</v>
      </c>
      <c r="M71" s="5">
        <v>0</v>
      </c>
      <c r="N71" s="5">
        <v>11923.6</v>
      </c>
      <c r="O71" s="5">
        <v>0</v>
      </c>
      <c r="Q71" s="5">
        <v>14133.3</v>
      </c>
      <c r="R71" s="5">
        <v>0</v>
      </c>
      <c r="S71" s="5">
        <v>11923.6</v>
      </c>
      <c r="T71" s="5">
        <v>0</v>
      </c>
      <c r="V71" s="5">
        <v>11923.6</v>
      </c>
      <c r="W71" s="5">
        <v>0</v>
      </c>
      <c r="X71" s="5">
        <v>1</v>
      </c>
    </row>
    <row r="72" spans="1:24" ht="12.75" customHeight="1">
      <c r="A72" s="6"/>
      <c r="B72" s="5">
        <v>6966.1</v>
      </c>
      <c r="C72" s="5">
        <v>0</v>
      </c>
      <c r="D72" s="5">
        <v>5805</v>
      </c>
      <c r="E72" s="5">
        <v>0</v>
      </c>
      <c r="G72" s="5">
        <v>7052.9</v>
      </c>
      <c r="H72" s="5">
        <v>0</v>
      </c>
      <c r="I72" s="5">
        <v>6121.2</v>
      </c>
      <c r="J72" s="5">
        <v>0</v>
      </c>
      <c r="L72" s="5">
        <v>7308.8</v>
      </c>
      <c r="M72" s="5">
        <v>0</v>
      </c>
      <c r="N72" s="5">
        <v>5805</v>
      </c>
      <c r="O72" s="5">
        <v>0</v>
      </c>
      <c r="Q72" s="5">
        <v>6261.2</v>
      </c>
      <c r="R72" s="5">
        <v>0</v>
      </c>
      <c r="S72" s="5">
        <v>7897.8</v>
      </c>
      <c r="T72" s="5">
        <v>0</v>
      </c>
      <c r="V72" s="5">
        <v>5805</v>
      </c>
      <c r="W72" s="5">
        <v>0</v>
      </c>
      <c r="X72" s="5">
        <v>0</v>
      </c>
    </row>
    <row r="73" spans="1:24" ht="12.75" customHeight="1">
      <c r="A73" s="6"/>
      <c r="B73" s="5">
        <v>10483.200000000001</v>
      </c>
      <c r="C73" s="5">
        <v>0</v>
      </c>
      <c r="D73" s="5">
        <v>10816.8</v>
      </c>
      <c r="E73" s="5">
        <v>0</v>
      </c>
      <c r="G73" s="5">
        <v>10493.6</v>
      </c>
      <c r="H73" s="5">
        <v>0</v>
      </c>
      <c r="I73" s="5">
        <v>10327.799999999999</v>
      </c>
      <c r="J73" s="5">
        <v>0</v>
      </c>
      <c r="L73" s="5">
        <v>11677.5</v>
      </c>
      <c r="M73" s="5">
        <v>0</v>
      </c>
      <c r="N73" s="5">
        <v>10327.799999999999</v>
      </c>
      <c r="O73" s="5">
        <v>0</v>
      </c>
      <c r="Q73" s="5">
        <v>11660.3</v>
      </c>
      <c r="R73" s="5">
        <v>0</v>
      </c>
      <c r="S73" s="5">
        <v>12801.2</v>
      </c>
      <c r="T73" s="5">
        <v>0</v>
      </c>
      <c r="V73" s="5">
        <v>10327.799999999999</v>
      </c>
      <c r="W73" s="5">
        <v>0</v>
      </c>
      <c r="X73" s="5">
        <v>0</v>
      </c>
    </row>
    <row r="74" spans="1:24" ht="12.75" customHeight="1">
      <c r="A74" s="6"/>
      <c r="B74" s="5">
        <v>10357.700000000001</v>
      </c>
      <c r="C74" s="5">
        <v>0</v>
      </c>
      <c r="D74" s="5">
        <v>9604.7000000000007</v>
      </c>
      <c r="E74" s="5">
        <v>0</v>
      </c>
      <c r="G74" s="5">
        <v>10161.700000000001</v>
      </c>
      <c r="H74" s="5">
        <v>0</v>
      </c>
      <c r="I74" s="5">
        <v>9848.7999999999993</v>
      </c>
      <c r="J74" s="5">
        <v>0</v>
      </c>
      <c r="L74" s="5">
        <v>10057.6</v>
      </c>
      <c r="M74" s="5">
        <v>0</v>
      </c>
      <c r="N74" s="5">
        <v>9581.6</v>
      </c>
      <c r="O74" s="5">
        <v>0</v>
      </c>
      <c r="Q74" s="5">
        <v>9137</v>
      </c>
      <c r="R74" s="5">
        <v>0</v>
      </c>
      <c r="S74" s="5">
        <v>11620.5</v>
      </c>
      <c r="T74" s="5">
        <v>0</v>
      </c>
      <c r="V74" s="5">
        <v>9137</v>
      </c>
      <c r="W74" s="5">
        <v>0</v>
      </c>
      <c r="X74" s="5">
        <v>0</v>
      </c>
    </row>
    <row r="75" spans="1:24" ht="12.75" customHeight="1">
      <c r="A75" s="6"/>
      <c r="B75" s="5">
        <v>7543.7</v>
      </c>
      <c r="C75" s="5">
        <v>0</v>
      </c>
      <c r="D75" s="5">
        <v>6473.3</v>
      </c>
      <c r="E75" s="5">
        <v>0</v>
      </c>
      <c r="G75" s="5">
        <v>7065.9</v>
      </c>
      <c r="H75" s="5">
        <v>0</v>
      </c>
      <c r="I75" s="5">
        <v>6473.3</v>
      </c>
      <c r="J75" s="5">
        <v>0</v>
      </c>
      <c r="L75" s="5">
        <v>7415.8</v>
      </c>
      <c r="M75" s="5">
        <v>0</v>
      </c>
      <c r="N75" s="5">
        <v>8701.1</v>
      </c>
      <c r="O75" s="5">
        <v>24</v>
      </c>
      <c r="Q75" s="5">
        <v>9598.6</v>
      </c>
      <c r="R75" s="5">
        <v>24</v>
      </c>
      <c r="S75" s="5">
        <v>9748.4</v>
      </c>
      <c r="T75" s="5">
        <v>26</v>
      </c>
      <c r="V75" s="5">
        <v>6716.5</v>
      </c>
      <c r="W75" s="5">
        <v>0</v>
      </c>
      <c r="X75" s="5">
        <v>0</v>
      </c>
    </row>
    <row r="76" spans="1:24" ht="12.75" customHeight="1">
      <c r="A76" s="6"/>
      <c r="B76" s="5">
        <v>15347.7</v>
      </c>
      <c r="C76" s="5">
        <v>43</v>
      </c>
      <c r="D76" s="5">
        <v>11008.3</v>
      </c>
      <c r="E76" s="5">
        <v>0</v>
      </c>
      <c r="G76" s="5">
        <v>10770.9</v>
      </c>
      <c r="H76" s="5">
        <v>0</v>
      </c>
      <c r="I76" s="5">
        <v>10483.4</v>
      </c>
      <c r="J76" s="5">
        <v>0</v>
      </c>
      <c r="L76" s="5">
        <v>11464.5</v>
      </c>
      <c r="M76" s="5">
        <v>0</v>
      </c>
      <c r="N76" s="5">
        <v>12983.4</v>
      </c>
      <c r="O76" s="5">
        <v>25</v>
      </c>
      <c r="Q76" s="5">
        <v>13101.4</v>
      </c>
      <c r="R76" s="5">
        <v>10</v>
      </c>
      <c r="S76" s="5">
        <v>15351.8</v>
      </c>
      <c r="T76" s="5">
        <v>34</v>
      </c>
      <c r="V76" s="5">
        <v>10875.4</v>
      </c>
      <c r="W76" s="5">
        <v>0</v>
      </c>
      <c r="X76" s="5">
        <v>0</v>
      </c>
    </row>
    <row r="77" spans="1:24" ht="12.75" customHeight="1">
      <c r="A77" s="6"/>
      <c r="B77" s="5">
        <v>7756.6</v>
      </c>
      <c r="C77" s="5">
        <v>0</v>
      </c>
      <c r="D77" s="5">
        <v>6754.9</v>
      </c>
      <c r="E77" s="5">
        <v>0</v>
      </c>
      <c r="G77" s="5">
        <v>7495.6</v>
      </c>
      <c r="H77" s="5">
        <v>0</v>
      </c>
      <c r="I77" s="5">
        <v>8035.3</v>
      </c>
      <c r="J77" s="5">
        <v>9</v>
      </c>
      <c r="L77" s="5">
        <v>6825.1</v>
      </c>
      <c r="M77" s="5">
        <v>0</v>
      </c>
      <c r="N77" s="5">
        <v>6623.4</v>
      </c>
      <c r="O77" s="5">
        <v>0</v>
      </c>
      <c r="Q77" s="5">
        <v>7836</v>
      </c>
      <c r="R77" s="5">
        <v>0</v>
      </c>
      <c r="S77" s="5">
        <v>7945.5</v>
      </c>
      <c r="T77" s="5">
        <v>0</v>
      </c>
      <c r="V77" s="5">
        <v>7307.1</v>
      </c>
      <c r="W77" s="5">
        <v>0</v>
      </c>
      <c r="X77" s="5">
        <v>1</v>
      </c>
    </row>
    <row r="78" spans="1:24" ht="12.75" customHeight="1">
      <c r="A78" s="6"/>
      <c r="B78" s="5">
        <v>13209.7</v>
      </c>
      <c r="C78" s="5">
        <v>13</v>
      </c>
      <c r="D78" s="5">
        <v>13647.1</v>
      </c>
      <c r="E78" s="5">
        <v>25</v>
      </c>
      <c r="G78" s="5">
        <v>12175.2</v>
      </c>
      <c r="H78" s="5">
        <v>5</v>
      </c>
      <c r="I78" s="5">
        <v>15148.8</v>
      </c>
      <c r="J78" s="5">
        <v>27</v>
      </c>
      <c r="L78" s="5">
        <v>13959.3</v>
      </c>
      <c r="M78" s="5">
        <v>23</v>
      </c>
      <c r="N78" s="5">
        <v>12247.1</v>
      </c>
      <c r="O78" s="5">
        <v>11</v>
      </c>
      <c r="Q78" s="5">
        <v>12703.8</v>
      </c>
      <c r="R78" s="5">
        <v>0</v>
      </c>
      <c r="S78" s="5">
        <v>12555.4</v>
      </c>
      <c r="T78" s="5">
        <v>2</v>
      </c>
      <c r="V78" s="5">
        <v>12855.3</v>
      </c>
      <c r="W78" s="5">
        <v>11</v>
      </c>
      <c r="X78" s="5">
        <v>0</v>
      </c>
    </row>
    <row r="79" spans="1:24" ht="12.75" customHeight="1">
      <c r="A79" s="6"/>
      <c r="B79" s="5">
        <v>6655</v>
      </c>
      <c r="C79" s="5">
        <v>0</v>
      </c>
      <c r="D79" s="5">
        <v>6655</v>
      </c>
      <c r="E79" s="5">
        <v>0</v>
      </c>
      <c r="G79" s="5">
        <v>7723.2</v>
      </c>
      <c r="H79" s="5">
        <v>2</v>
      </c>
      <c r="I79" s="5">
        <v>7416</v>
      </c>
      <c r="J79" s="5">
        <v>0</v>
      </c>
      <c r="L79" s="5">
        <v>7583</v>
      </c>
      <c r="M79" s="5">
        <v>0</v>
      </c>
      <c r="N79" s="5">
        <v>7294</v>
      </c>
      <c r="O79" s="5">
        <v>2</v>
      </c>
      <c r="Q79" s="5">
        <v>8523</v>
      </c>
      <c r="R79" s="5">
        <v>0</v>
      </c>
      <c r="S79" s="5">
        <v>8798.7999999999993</v>
      </c>
      <c r="T79" s="5">
        <v>4</v>
      </c>
      <c r="V79" s="5">
        <v>6655</v>
      </c>
      <c r="W79" s="5">
        <v>0</v>
      </c>
      <c r="X79" s="5">
        <v>0</v>
      </c>
    </row>
    <row r="80" spans="1:24" ht="12.75" customHeight="1">
      <c r="A80" s="6"/>
      <c r="B80" s="5">
        <v>8431.2000000000007</v>
      </c>
      <c r="C80" s="5">
        <v>0</v>
      </c>
      <c r="D80" s="5">
        <v>8247.7999999999993</v>
      </c>
      <c r="E80" s="5">
        <v>0</v>
      </c>
      <c r="G80" s="5">
        <v>10832</v>
      </c>
      <c r="H80" s="5">
        <v>16</v>
      </c>
      <c r="I80" s="5">
        <v>8247.7999999999993</v>
      </c>
      <c r="J80" s="5">
        <v>0</v>
      </c>
      <c r="L80" s="5">
        <v>8517.7999999999993</v>
      </c>
      <c r="M80" s="5">
        <v>0</v>
      </c>
      <c r="N80" s="5">
        <v>8097.1</v>
      </c>
      <c r="O80" s="5">
        <v>0</v>
      </c>
      <c r="Q80" s="5">
        <v>8476.2000000000007</v>
      </c>
      <c r="R80" s="5">
        <v>0</v>
      </c>
      <c r="S80" s="5">
        <v>8517.7999999999993</v>
      </c>
      <c r="T80" s="5">
        <v>0</v>
      </c>
      <c r="V80" s="5">
        <v>8864.5</v>
      </c>
      <c r="W80" s="5">
        <v>7</v>
      </c>
      <c r="X80" s="5">
        <v>0</v>
      </c>
    </row>
    <row r="81" spans="1:24" ht="12.75" customHeight="1">
      <c r="A81" s="6"/>
      <c r="B81" s="5">
        <v>9997.4</v>
      </c>
      <c r="C81" s="5">
        <v>3</v>
      </c>
      <c r="D81" s="5">
        <v>9409.4</v>
      </c>
      <c r="E81" s="5">
        <v>6</v>
      </c>
      <c r="G81" s="5">
        <v>9262.7000000000007</v>
      </c>
      <c r="H81" s="5">
        <v>2</v>
      </c>
      <c r="I81" s="5">
        <v>9005.2999999999993</v>
      </c>
      <c r="J81" s="5">
        <v>0</v>
      </c>
      <c r="L81" s="5">
        <v>9859.2999999999993</v>
      </c>
      <c r="M81" s="5">
        <v>0</v>
      </c>
      <c r="N81" s="5">
        <v>9146.7999999999993</v>
      </c>
      <c r="O81" s="5">
        <v>3</v>
      </c>
      <c r="Q81" s="5">
        <v>9826.7999999999993</v>
      </c>
      <c r="R81" s="5">
        <v>0</v>
      </c>
      <c r="S81" s="5">
        <v>10721.1</v>
      </c>
      <c r="T81" s="5">
        <v>0</v>
      </c>
      <c r="V81" s="5">
        <v>8882.6</v>
      </c>
      <c r="W81" s="5">
        <v>0</v>
      </c>
      <c r="X81" s="5">
        <v>0</v>
      </c>
    </row>
    <row r="82" spans="1:24" ht="12.75" customHeight="1">
      <c r="A82" s="6"/>
      <c r="B82" s="5">
        <v>11016.6</v>
      </c>
      <c r="C82" s="5">
        <v>0</v>
      </c>
      <c r="D82" s="5">
        <v>11004.2</v>
      </c>
      <c r="E82" s="5">
        <v>0</v>
      </c>
      <c r="G82" s="5">
        <v>11287.3</v>
      </c>
      <c r="H82" s="5">
        <v>0</v>
      </c>
      <c r="I82" s="5">
        <v>14673.3</v>
      </c>
      <c r="J82" s="5">
        <v>36</v>
      </c>
      <c r="L82" s="5">
        <v>11455.2</v>
      </c>
      <c r="M82" s="5">
        <v>3</v>
      </c>
      <c r="N82" s="5">
        <v>11323.4</v>
      </c>
      <c r="O82" s="5">
        <v>6</v>
      </c>
      <c r="Q82" s="5">
        <v>10989.1</v>
      </c>
      <c r="R82" s="5">
        <v>0</v>
      </c>
      <c r="S82" s="5">
        <v>14039.9</v>
      </c>
      <c r="T82" s="5">
        <v>22</v>
      </c>
      <c r="V82" s="5">
        <v>10822.2</v>
      </c>
      <c r="W82" s="5">
        <v>0</v>
      </c>
      <c r="X82" s="5">
        <v>0</v>
      </c>
    </row>
    <row r="83" spans="1:24" ht="12.75" customHeight="1">
      <c r="A83" s="6"/>
      <c r="B83" s="5">
        <v>10934.3</v>
      </c>
      <c r="C83" s="5">
        <v>4</v>
      </c>
      <c r="D83" s="5">
        <v>9035.7999999999993</v>
      </c>
      <c r="E83" s="5">
        <v>0</v>
      </c>
      <c r="G83" s="5">
        <v>10168</v>
      </c>
      <c r="H83" s="5">
        <v>0</v>
      </c>
      <c r="I83" s="5">
        <v>10286.700000000001</v>
      </c>
      <c r="J83" s="5">
        <v>0</v>
      </c>
      <c r="L83" s="5">
        <v>8995.7999999999993</v>
      </c>
      <c r="M83" s="5">
        <v>0</v>
      </c>
      <c r="N83" s="5">
        <v>10008.6</v>
      </c>
      <c r="O83" s="5">
        <v>4</v>
      </c>
      <c r="Q83" s="5">
        <v>10990.7</v>
      </c>
      <c r="R83" s="5">
        <v>0</v>
      </c>
      <c r="S83" s="5">
        <v>11577</v>
      </c>
      <c r="T83" s="5">
        <v>0</v>
      </c>
      <c r="V83" s="5">
        <v>9035.7999999999993</v>
      </c>
      <c r="W83" s="5">
        <v>0</v>
      </c>
      <c r="X83" s="5">
        <v>1</v>
      </c>
    </row>
    <row r="84" spans="1:24" ht="12.75" customHeight="1">
      <c r="A84" s="6"/>
      <c r="B84" s="5">
        <v>7374.1</v>
      </c>
      <c r="C84" s="5">
        <v>2</v>
      </c>
      <c r="D84" s="5">
        <v>7158.6</v>
      </c>
      <c r="E84" s="5">
        <v>0</v>
      </c>
      <c r="G84" s="5">
        <v>8465.2999999999993</v>
      </c>
      <c r="H84" s="5">
        <v>12</v>
      </c>
      <c r="I84" s="5">
        <v>8603.2999999999993</v>
      </c>
      <c r="J84" s="5">
        <v>12</v>
      </c>
      <c r="L84" s="5">
        <v>8638.2999999999993</v>
      </c>
      <c r="M84" s="5">
        <v>12</v>
      </c>
      <c r="N84" s="5">
        <v>7245.9</v>
      </c>
      <c r="O84" s="5">
        <v>0</v>
      </c>
      <c r="Q84" s="5">
        <v>7859.7</v>
      </c>
      <c r="R84" s="5">
        <v>0</v>
      </c>
      <c r="S84" s="5">
        <v>10267.4</v>
      </c>
      <c r="T84" s="5">
        <v>20</v>
      </c>
      <c r="V84" s="5">
        <v>7139.2</v>
      </c>
      <c r="W84" s="5">
        <v>0</v>
      </c>
      <c r="X84" s="5">
        <v>0</v>
      </c>
    </row>
    <row r="85" spans="1:24" ht="12.75" customHeight="1">
      <c r="A85" s="6"/>
      <c r="B85" s="5">
        <v>15157</v>
      </c>
      <c r="C85" s="5">
        <v>29</v>
      </c>
      <c r="D85" s="5">
        <v>14122.1</v>
      </c>
      <c r="E85" s="5">
        <v>37</v>
      </c>
      <c r="G85" s="5">
        <v>11858</v>
      </c>
      <c r="H85" s="5">
        <v>0</v>
      </c>
      <c r="I85" s="5">
        <v>12786.1</v>
      </c>
      <c r="J85" s="5">
        <v>25</v>
      </c>
      <c r="L85" s="5">
        <v>11392.8</v>
      </c>
      <c r="M85" s="5">
        <v>0</v>
      </c>
      <c r="N85" s="5">
        <v>10860.9</v>
      </c>
      <c r="O85" s="5">
        <v>0</v>
      </c>
      <c r="Q85" s="5">
        <v>12482.4</v>
      </c>
      <c r="R85" s="5">
        <v>0</v>
      </c>
      <c r="S85" s="5">
        <v>13011.5</v>
      </c>
      <c r="T85" s="5">
        <v>0</v>
      </c>
      <c r="V85" s="5">
        <v>10711.2</v>
      </c>
      <c r="W85" s="5">
        <v>0</v>
      </c>
      <c r="X85" s="5">
        <v>0</v>
      </c>
    </row>
    <row r="86" spans="1:24" ht="12.75" customHeight="1">
      <c r="A86" s="6"/>
      <c r="B86" s="5">
        <v>9139.1</v>
      </c>
      <c r="C86" s="5">
        <v>0</v>
      </c>
      <c r="D86" s="5">
        <v>9449</v>
      </c>
      <c r="E86" s="5">
        <v>0</v>
      </c>
      <c r="G86" s="5">
        <v>9139.1</v>
      </c>
      <c r="H86" s="5">
        <v>0</v>
      </c>
      <c r="I86" s="5">
        <v>9688.5</v>
      </c>
      <c r="J86" s="5">
        <v>6</v>
      </c>
      <c r="L86" s="5">
        <v>9756.1</v>
      </c>
      <c r="M86" s="5">
        <v>2</v>
      </c>
      <c r="N86" s="5">
        <v>10530</v>
      </c>
      <c r="O86" s="5">
        <v>10</v>
      </c>
      <c r="Q86" s="5">
        <v>12836.5</v>
      </c>
      <c r="R86" s="5">
        <v>22</v>
      </c>
      <c r="S86" s="5">
        <v>10244.5</v>
      </c>
      <c r="T86" s="5">
        <v>0</v>
      </c>
      <c r="V86" s="5">
        <v>9088.5</v>
      </c>
      <c r="W86" s="5">
        <v>0</v>
      </c>
      <c r="X86" s="5">
        <v>0</v>
      </c>
    </row>
    <row r="87" spans="1:24" ht="12.75" customHeight="1">
      <c r="A87" s="6"/>
      <c r="B87" s="5">
        <v>10500.4</v>
      </c>
      <c r="C87" s="5">
        <v>0</v>
      </c>
      <c r="D87" s="5">
        <v>13258.2</v>
      </c>
      <c r="E87" s="5">
        <v>31</v>
      </c>
      <c r="G87" s="5">
        <v>10729.7</v>
      </c>
      <c r="H87" s="5">
        <v>0</v>
      </c>
      <c r="I87" s="5">
        <v>12890.2</v>
      </c>
      <c r="J87" s="5">
        <v>24</v>
      </c>
      <c r="L87" s="5">
        <v>10412.799999999999</v>
      </c>
      <c r="M87" s="5">
        <v>0</v>
      </c>
      <c r="N87" s="5">
        <v>14896.1</v>
      </c>
      <c r="O87" s="5">
        <v>43</v>
      </c>
      <c r="Q87" s="5">
        <v>13296.1</v>
      </c>
      <c r="R87" s="5">
        <v>27</v>
      </c>
      <c r="S87" s="5">
        <v>14468.6</v>
      </c>
      <c r="T87" s="5">
        <v>38</v>
      </c>
      <c r="V87" s="5">
        <v>10353.700000000001</v>
      </c>
      <c r="W87" s="5">
        <v>0</v>
      </c>
      <c r="X87" s="5">
        <v>0</v>
      </c>
    </row>
    <row r="88" spans="1:24" ht="12.75" customHeight="1">
      <c r="A88" s="6"/>
      <c r="B88" s="5">
        <v>6345.3</v>
      </c>
      <c r="C88" s="5">
        <v>0</v>
      </c>
      <c r="D88" s="5">
        <v>6114.7</v>
      </c>
      <c r="E88" s="5">
        <v>0</v>
      </c>
      <c r="G88" s="5">
        <v>7814.6</v>
      </c>
      <c r="H88" s="5">
        <v>10</v>
      </c>
      <c r="I88" s="5">
        <v>6526.1</v>
      </c>
      <c r="J88" s="5">
        <v>4</v>
      </c>
      <c r="L88" s="5">
        <v>6372</v>
      </c>
      <c r="M88" s="5">
        <v>0</v>
      </c>
      <c r="N88" s="5">
        <v>6548.8</v>
      </c>
      <c r="O88" s="5">
        <v>3</v>
      </c>
      <c r="Q88" s="5">
        <v>7039.5</v>
      </c>
      <c r="R88" s="5">
        <v>0</v>
      </c>
      <c r="S88" s="5">
        <v>6574.8</v>
      </c>
      <c r="T88" s="5">
        <v>0</v>
      </c>
      <c r="V88" s="5">
        <v>6287.8</v>
      </c>
      <c r="W88" s="5">
        <v>1</v>
      </c>
      <c r="X88" s="5">
        <v>1</v>
      </c>
    </row>
    <row r="89" spans="1:24" ht="12.75" customHeight="1">
      <c r="A89" s="6"/>
      <c r="B89" s="5">
        <v>10189.700000000001</v>
      </c>
      <c r="C89" s="5">
        <v>0</v>
      </c>
      <c r="D89" s="5">
        <v>9853</v>
      </c>
      <c r="E89" s="5">
        <v>0</v>
      </c>
      <c r="G89" s="5">
        <v>10501.2</v>
      </c>
      <c r="H89" s="5">
        <v>0</v>
      </c>
      <c r="I89" s="5">
        <v>9853</v>
      </c>
      <c r="J89" s="5">
        <v>0</v>
      </c>
      <c r="L89" s="5">
        <v>10529.2</v>
      </c>
      <c r="M89" s="5">
        <v>0</v>
      </c>
      <c r="N89" s="5">
        <v>9853</v>
      </c>
      <c r="O89" s="5">
        <v>0</v>
      </c>
      <c r="Q89" s="5">
        <v>14052.1</v>
      </c>
      <c r="R89" s="5">
        <v>31</v>
      </c>
      <c r="S89" s="5">
        <v>10973.5</v>
      </c>
      <c r="T89" s="5">
        <v>0</v>
      </c>
      <c r="V89" s="5">
        <v>10388.4</v>
      </c>
      <c r="W89" s="5">
        <v>0</v>
      </c>
      <c r="X89" s="5">
        <v>0</v>
      </c>
    </row>
    <row r="90" spans="1:24" ht="12.75" customHeight="1">
      <c r="A90" s="6"/>
      <c r="B90" s="5">
        <v>8115.7</v>
      </c>
      <c r="C90" s="5">
        <v>0</v>
      </c>
      <c r="D90" s="5">
        <v>7199.7</v>
      </c>
      <c r="E90" s="5">
        <v>0</v>
      </c>
      <c r="G90" s="5">
        <v>8205.1</v>
      </c>
      <c r="H90" s="5">
        <v>0</v>
      </c>
      <c r="I90" s="5">
        <v>7199.7</v>
      </c>
      <c r="J90" s="5">
        <v>0</v>
      </c>
      <c r="L90" s="5">
        <v>8218.5</v>
      </c>
      <c r="M90" s="5">
        <v>0</v>
      </c>
      <c r="N90" s="5">
        <v>7199.7</v>
      </c>
      <c r="O90" s="5">
        <v>0</v>
      </c>
      <c r="Q90" s="5">
        <v>10111.700000000001</v>
      </c>
      <c r="R90" s="5">
        <v>0</v>
      </c>
      <c r="S90" s="5">
        <v>10536.8</v>
      </c>
      <c r="T90" s="5">
        <v>0</v>
      </c>
      <c r="V90" s="5">
        <v>7411.2</v>
      </c>
      <c r="W90" s="5">
        <v>0</v>
      </c>
      <c r="X90" s="5">
        <v>0</v>
      </c>
    </row>
    <row r="91" spans="1:24" ht="12.75" customHeight="1">
      <c r="A91" s="6"/>
      <c r="B91" s="5">
        <v>10603.1</v>
      </c>
      <c r="C91" s="5">
        <v>0</v>
      </c>
      <c r="D91" s="5">
        <v>10406.1</v>
      </c>
      <c r="E91" s="5">
        <v>0</v>
      </c>
      <c r="G91" s="5">
        <v>10805.5</v>
      </c>
      <c r="H91" s="5">
        <v>0</v>
      </c>
      <c r="I91" s="5">
        <v>10406.1</v>
      </c>
      <c r="J91" s="5">
        <v>0</v>
      </c>
      <c r="L91" s="5">
        <v>11205.9</v>
      </c>
      <c r="M91" s="5">
        <v>0</v>
      </c>
      <c r="N91" s="5">
        <v>10406.1</v>
      </c>
      <c r="O91" s="5">
        <v>0</v>
      </c>
      <c r="Q91" s="5">
        <v>11929.9</v>
      </c>
      <c r="R91" s="5">
        <v>0</v>
      </c>
      <c r="S91" s="5">
        <v>12205.1</v>
      </c>
      <c r="T91" s="5">
        <v>0</v>
      </c>
      <c r="V91" s="5">
        <v>10406.1</v>
      </c>
      <c r="W91" s="5">
        <v>0</v>
      </c>
      <c r="X91" s="5">
        <v>0</v>
      </c>
    </row>
    <row r="92" spans="1:24" ht="12.75" customHeight="1">
      <c r="A92" s="6"/>
      <c r="B92" s="5">
        <v>9920.6</v>
      </c>
      <c r="C92" s="5">
        <v>0</v>
      </c>
      <c r="D92" s="5">
        <v>9144.7000000000007</v>
      </c>
      <c r="E92" s="5">
        <v>0</v>
      </c>
      <c r="G92" s="5">
        <v>11140.1</v>
      </c>
      <c r="H92" s="5">
        <v>13</v>
      </c>
      <c r="I92" s="5">
        <v>12680.3</v>
      </c>
      <c r="J92" s="5">
        <v>23</v>
      </c>
      <c r="L92" s="5">
        <v>12395.9</v>
      </c>
      <c r="M92" s="5">
        <v>24</v>
      </c>
      <c r="N92" s="5">
        <v>8923.1</v>
      </c>
      <c r="O92" s="5">
        <v>0</v>
      </c>
      <c r="Q92" s="5">
        <v>10510.7</v>
      </c>
      <c r="R92" s="5">
        <v>0</v>
      </c>
      <c r="S92" s="5">
        <v>18285.7</v>
      </c>
      <c r="T92" s="5">
        <v>62</v>
      </c>
      <c r="V92" s="5">
        <v>9353.6</v>
      </c>
      <c r="W92" s="5">
        <v>0</v>
      </c>
      <c r="X92" s="5">
        <v>0</v>
      </c>
    </row>
    <row r="93" spans="1:24" ht="12.75" customHeight="1">
      <c r="A93" s="6"/>
      <c r="B93" s="5">
        <v>8118.6</v>
      </c>
      <c r="C93" s="5">
        <v>0</v>
      </c>
      <c r="D93" s="5">
        <v>7973.9</v>
      </c>
      <c r="E93" s="5">
        <v>0</v>
      </c>
      <c r="G93" s="5">
        <v>9008.2999999999993</v>
      </c>
      <c r="H93" s="5">
        <v>0</v>
      </c>
      <c r="I93" s="5">
        <v>8509.7000000000007</v>
      </c>
      <c r="J93" s="5">
        <v>0</v>
      </c>
      <c r="L93" s="5">
        <v>7728.8</v>
      </c>
      <c r="M93" s="5">
        <v>0</v>
      </c>
      <c r="N93" s="5">
        <v>7568.6</v>
      </c>
      <c r="O93" s="5">
        <v>0</v>
      </c>
      <c r="Q93" s="5">
        <v>9197.2999999999993</v>
      </c>
      <c r="R93" s="5">
        <v>0</v>
      </c>
      <c r="S93" s="5">
        <v>8453.2000000000007</v>
      </c>
      <c r="T93" s="5">
        <v>0</v>
      </c>
      <c r="V93" s="5">
        <v>7568.6</v>
      </c>
      <c r="W93" s="5">
        <v>0</v>
      </c>
      <c r="X93" s="5">
        <v>0</v>
      </c>
    </row>
    <row r="94" spans="1:24" ht="12.75" customHeight="1">
      <c r="A94" s="6"/>
      <c r="B94" s="5">
        <v>9712.5</v>
      </c>
      <c r="C94" s="5">
        <v>0</v>
      </c>
      <c r="D94" s="5">
        <v>9650.2000000000007</v>
      </c>
      <c r="E94" s="5">
        <v>0</v>
      </c>
      <c r="G94" s="5">
        <v>10075.1</v>
      </c>
      <c r="H94" s="5">
        <v>0</v>
      </c>
      <c r="I94" s="5">
        <v>9650.2000000000007</v>
      </c>
      <c r="J94" s="5">
        <v>0</v>
      </c>
      <c r="L94" s="5">
        <v>10075.1</v>
      </c>
      <c r="M94" s="5">
        <v>0</v>
      </c>
      <c r="N94" s="5">
        <v>10024.799999999999</v>
      </c>
      <c r="O94" s="5">
        <v>0</v>
      </c>
      <c r="Q94" s="5">
        <v>11739.9</v>
      </c>
      <c r="R94" s="5">
        <v>0</v>
      </c>
      <c r="S94" s="5">
        <v>10838.5</v>
      </c>
      <c r="T94" s="5">
        <v>0</v>
      </c>
      <c r="V94" s="5">
        <v>9712.5</v>
      </c>
      <c r="W94" s="5">
        <v>0</v>
      </c>
      <c r="X94" s="5">
        <v>1</v>
      </c>
    </row>
    <row r="95" spans="1:24" ht="12.75" customHeight="1">
      <c r="A95" s="6"/>
      <c r="B95" s="5">
        <v>11691.5</v>
      </c>
      <c r="C95" s="5">
        <v>32</v>
      </c>
      <c r="D95" s="5">
        <v>11609.4</v>
      </c>
      <c r="E95" s="5">
        <v>28</v>
      </c>
      <c r="G95" s="5">
        <v>11904.3</v>
      </c>
      <c r="H95" s="5">
        <v>29</v>
      </c>
      <c r="I95" s="5">
        <v>11102.9</v>
      </c>
      <c r="J95" s="5">
        <v>28</v>
      </c>
      <c r="L95" s="5">
        <v>11480.7</v>
      </c>
      <c r="M95" s="5">
        <v>29</v>
      </c>
      <c r="N95" s="5">
        <v>11316.1</v>
      </c>
      <c r="O95" s="5">
        <v>29</v>
      </c>
      <c r="Q95" s="5">
        <v>10463</v>
      </c>
      <c r="R95" s="5">
        <v>0</v>
      </c>
      <c r="S95" s="5">
        <v>10015.799999999999</v>
      </c>
      <c r="T95" s="5">
        <v>0</v>
      </c>
      <c r="V95" s="5">
        <v>10140.700000000001</v>
      </c>
      <c r="W95" s="5">
        <v>18</v>
      </c>
      <c r="X95" s="5">
        <v>0</v>
      </c>
    </row>
    <row r="96" spans="1:24" ht="12.75" customHeight="1">
      <c r="A96" s="6"/>
      <c r="B96" s="5">
        <v>9162.4</v>
      </c>
      <c r="C96" s="5">
        <v>11</v>
      </c>
      <c r="D96" s="5">
        <v>6932.9</v>
      </c>
      <c r="E96" s="5">
        <v>0</v>
      </c>
      <c r="G96" s="5">
        <v>8425.1</v>
      </c>
      <c r="H96" s="5">
        <v>0</v>
      </c>
      <c r="I96" s="5">
        <v>8229.7999999999993</v>
      </c>
      <c r="J96" s="5">
        <v>9</v>
      </c>
      <c r="L96" s="5">
        <v>9820.6</v>
      </c>
      <c r="M96" s="5">
        <v>16</v>
      </c>
      <c r="N96" s="5">
        <v>6885.5</v>
      </c>
      <c r="O96" s="5">
        <v>0</v>
      </c>
      <c r="Q96" s="5">
        <v>8944.4</v>
      </c>
      <c r="R96" s="5">
        <v>0</v>
      </c>
      <c r="S96" s="5">
        <v>8531.2999999999993</v>
      </c>
      <c r="T96" s="5">
        <v>0</v>
      </c>
      <c r="V96" s="5">
        <v>7018</v>
      </c>
      <c r="W96" s="5">
        <v>0</v>
      </c>
      <c r="X96" s="5">
        <v>0</v>
      </c>
    </row>
    <row r="97" spans="1:24" ht="12.75" customHeight="1">
      <c r="A97" s="6"/>
      <c r="B97" s="5">
        <v>13479</v>
      </c>
      <c r="C97" s="5">
        <v>0</v>
      </c>
      <c r="D97" s="5">
        <v>18976.900000000001</v>
      </c>
      <c r="E97" s="5">
        <v>57</v>
      </c>
      <c r="G97" s="5">
        <v>13636.1</v>
      </c>
      <c r="H97" s="5">
        <v>0</v>
      </c>
      <c r="I97" s="5">
        <v>20308</v>
      </c>
      <c r="J97" s="5">
        <v>71</v>
      </c>
      <c r="L97" s="5">
        <v>13583.6</v>
      </c>
      <c r="M97" s="5">
        <v>0</v>
      </c>
      <c r="N97" s="5">
        <v>14230.6</v>
      </c>
      <c r="O97" s="5">
        <v>13</v>
      </c>
      <c r="Q97" s="5">
        <v>13838.1</v>
      </c>
      <c r="R97" s="5">
        <v>0</v>
      </c>
      <c r="S97" s="5">
        <v>14445.3</v>
      </c>
      <c r="T97" s="5">
        <v>0</v>
      </c>
      <c r="V97" s="5">
        <v>13028.5</v>
      </c>
      <c r="W97" s="5">
        <v>0</v>
      </c>
      <c r="X97" s="5">
        <v>0</v>
      </c>
    </row>
    <row r="98" spans="1:24" ht="12.75" customHeight="1">
      <c r="A98" s="6"/>
      <c r="B98" s="5">
        <v>9673.7000000000007</v>
      </c>
      <c r="C98" s="5">
        <v>0</v>
      </c>
      <c r="D98" s="5">
        <v>9018</v>
      </c>
      <c r="E98" s="5">
        <v>0</v>
      </c>
      <c r="G98" s="5">
        <v>9813.2000000000007</v>
      </c>
      <c r="H98" s="5">
        <v>0</v>
      </c>
      <c r="I98" s="5">
        <v>9169.7000000000007</v>
      </c>
      <c r="J98" s="5">
        <v>0</v>
      </c>
      <c r="L98" s="5">
        <v>9576.2999999999993</v>
      </c>
      <c r="M98" s="5">
        <v>0</v>
      </c>
      <c r="N98" s="5">
        <v>9169.7000000000007</v>
      </c>
      <c r="O98" s="5">
        <v>0</v>
      </c>
      <c r="Q98" s="5">
        <v>11734.4</v>
      </c>
      <c r="R98" s="5">
        <v>11</v>
      </c>
      <c r="S98" s="5">
        <v>13348</v>
      </c>
      <c r="T98" s="5">
        <v>19</v>
      </c>
      <c r="V98" s="5">
        <v>9179.2000000000007</v>
      </c>
      <c r="W98" s="5">
        <v>0</v>
      </c>
      <c r="X98" s="5">
        <v>0</v>
      </c>
    </row>
    <row r="99" spans="1:24" ht="12.75" customHeight="1">
      <c r="A99" s="6"/>
      <c r="B99" s="5">
        <v>8992.2999999999993</v>
      </c>
      <c r="C99" s="5">
        <v>0</v>
      </c>
      <c r="D99" s="5">
        <v>8804.2999999999993</v>
      </c>
      <c r="E99" s="5">
        <v>0</v>
      </c>
      <c r="G99" s="5">
        <v>9326.9</v>
      </c>
      <c r="H99" s="5">
        <v>0</v>
      </c>
      <c r="I99" s="5">
        <v>9423.2000000000007</v>
      </c>
      <c r="J99" s="5">
        <v>0</v>
      </c>
      <c r="L99" s="5">
        <v>9710.2999999999993</v>
      </c>
      <c r="M99" s="5">
        <v>0</v>
      </c>
      <c r="N99" s="5">
        <v>8610.7999999999993</v>
      </c>
      <c r="O99" s="5">
        <v>0</v>
      </c>
      <c r="Q99" s="5">
        <v>10182.200000000001</v>
      </c>
      <c r="R99" s="5">
        <v>0</v>
      </c>
      <c r="S99" s="5">
        <v>9995.2000000000007</v>
      </c>
      <c r="T99" s="5">
        <v>0</v>
      </c>
      <c r="V99" s="5">
        <v>9245.2999999999993</v>
      </c>
      <c r="W99" s="5">
        <v>0</v>
      </c>
      <c r="X99" s="5">
        <v>1</v>
      </c>
    </row>
    <row r="100" spans="1:24" ht="12.75" customHeight="1">
      <c r="A100" s="6"/>
      <c r="B100" s="5">
        <v>10242.200000000001</v>
      </c>
      <c r="C100" s="5">
        <v>0</v>
      </c>
      <c r="D100" s="5">
        <v>9183.7000000000007</v>
      </c>
      <c r="E100" s="5">
        <v>0</v>
      </c>
      <c r="G100" s="5">
        <v>9989.9</v>
      </c>
      <c r="H100" s="5">
        <v>0</v>
      </c>
      <c r="I100" s="5">
        <v>9183.7000000000007</v>
      </c>
      <c r="J100" s="5">
        <v>0</v>
      </c>
      <c r="L100" s="5">
        <v>9183.7000000000007</v>
      </c>
      <c r="M100" s="5">
        <v>0</v>
      </c>
      <c r="N100" s="5">
        <v>9871.7000000000007</v>
      </c>
      <c r="O100" s="5">
        <v>0</v>
      </c>
      <c r="Q100" s="5">
        <v>11754.7</v>
      </c>
      <c r="R100" s="5">
        <v>0</v>
      </c>
      <c r="S100" s="5">
        <v>11465.2</v>
      </c>
      <c r="T100" s="5">
        <v>0</v>
      </c>
      <c r="V100" s="5">
        <v>9183.7000000000007</v>
      </c>
      <c r="W100" s="5">
        <v>0</v>
      </c>
      <c r="X100" s="5">
        <v>0</v>
      </c>
    </row>
    <row r="101" spans="1:24" ht="12.75" customHeight="1">
      <c r="A101" s="6"/>
      <c r="B101" s="5">
        <v>8532.5</v>
      </c>
      <c r="C101" s="5">
        <v>0</v>
      </c>
      <c r="D101" s="5">
        <v>8223.2999999999993</v>
      </c>
      <c r="E101" s="5">
        <v>0</v>
      </c>
      <c r="G101" s="5">
        <v>7907.2</v>
      </c>
      <c r="H101" s="5">
        <v>0</v>
      </c>
      <c r="I101" s="5">
        <v>9324.7000000000007</v>
      </c>
      <c r="J101" s="5">
        <v>10</v>
      </c>
      <c r="L101" s="5">
        <v>8373.9</v>
      </c>
      <c r="M101" s="5">
        <v>0</v>
      </c>
      <c r="N101" s="5">
        <v>7651.4</v>
      </c>
      <c r="O101" s="5">
        <v>0</v>
      </c>
      <c r="Q101" s="5">
        <v>8272.7000000000007</v>
      </c>
      <c r="R101" s="5">
        <v>0</v>
      </c>
      <c r="S101" s="5">
        <v>7651.4</v>
      </c>
      <c r="T101" s="5">
        <v>0</v>
      </c>
      <c r="V101" s="5">
        <v>7651.4</v>
      </c>
      <c r="W101" s="5">
        <v>0</v>
      </c>
      <c r="X101" s="5">
        <v>0</v>
      </c>
    </row>
    <row r="102" spans="1:24" ht="12.75" customHeight="1">
      <c r="A102" s="6"/>
      <c r="B102" s="5">
        <v>10135.6</v>
      </c>
      <c r="C102" s="5">
        <v>0</v>
      </c>
      <c r="D102" s="5">
        <v>10283.799999999999</v>
      </c>
      <c r="E102" s="5">
        <v>0</v>
      </c>
      <c r="G102" s="5">
        <v>10882.6</v>
      </c>
      <c r="H102" s="5">
        <v>2</v>
      </c>
      <c r="I102" s="5">
        <v>12768</v>
      </c>
      <c r="J102" s="5">
        <v>26</v>
      </c>
      <c r="L102" s="5">
        <v>12652</v>
      </c>
      <c r="M102" s="5">
        <v>25</v>
      </c>
      <c r="N102" s="5">
        <v>12768</v>
      </c>
      <c r="O102" s="5">
        <v>26</v>
      </c>
      <c r="Q102" s="5">
        <v>11183.9</v>
      </c>
      <c r="R102" s="5">
        <v>2</v>
      </c>
      <c r="S102" s="5">
        <v>11298.6</v>
      </c>
      <c r="T102" s="5">
        <v>0</v>
      </c>
      <c r="V102" s="5">
        <v>10079.6</v>
      </c>
      <c r="W102" s="5">
        <v>0</v>
      </c>
      <c r="X102" s="5">
        <v>0</v>
      </c>
    </row>
    <row r="103" spans="1:24" ht="12.75" customHeight="1">
      <c r="A103" s="6"/>
      <c r="B103" s="5">
        <v>10685.1</v>
      </c>
      <c r="C103" s="5">
        <v>0</v>
      </c>
      <c r="D103" s="5">
        <v>10331.299999999999</v>
      </c>
      <c r="E103" s="5">
        <v>0</v>
      </c>
      <c r="G103" s="5">
        <v>10437.6</v>
      </c>
      <c r="H103" s="5">
        <v>0</v>
      </c>
      <c r="I103" s="5">
        <v>10405.200000000001</v>
      </c>
      <c r="J103" s="5">
        <v>0</v>
      </c>
      <c r="L103" s="5">
        <v>10718.2</v>
      </c>
      <c r="M103" s="5">
        <v>0</v>
      </c>
      <c r="N103" s="5">
        <v>10072.299999999999</v>
      </c>
      <c r="O103" s="5">
        <v>0</v>
      </c>
      <c r="Q103" s="5">
        <v>10835.2</v>
      </c>
      <c r="R103" s="5">
        <v>0</v>
      </c>
      <c r="S103" s="5">
        <v>10904.6</v>
      </c>
      <c r="T103" s="5">
        <v>0</v>
      </c>
      <c r="V103" s="5">
        <v>10072.299999999999</v>
      </c>
      <c r="W103" s="5">
        <v>0</v>
      </c>
      <c r="X103" s="5">
        <v>0</v>
      </c>
    </row>
    <row r="104" spans="1:24" ht="12.75" customHeight="1">
      <c r="A104" s="6"/>
      <c r="B104" s="5">
        <v>9080.5</v>
      </c>
      <c r="C104" s="5">
        <v>0</v>
      </c>
      <c r="D104" s="5">
        <v>9461.2000000000007</v>
      </c>
      <c r="E104" s="5">
        <v>0</v>
      </c>
      <c r="G104" s="5">
        <v>9639.5</v>
      </c>
      <c r="H104" s="5">
        <v>0</v>
      </c>
      <c r="I104" s="5">
        <v>8725.6</v>
      </c>
      <c r="J104" s="5">
        <v>0</v>
      </c>
      <c r="L104" s="5">
        <v>9895.2999999999993</v>
      </c>
      <c r="M104" s="5">
        <v>0</v>
      </c>
      <c r="N104" s="5">
        <v>9296.2999999999993</v>
      </c>
      <c r="O104" s="5">
        <v>0</v>
      </c>
      <c r="Q104" s="5">
        <v>10208.1</v>
      </c>
      <c r="R104" s="5">
        <v>0</v>
      </c>
      <c r="S104" s="5">
        <v>11632</v>
      </c>
      <c r="T104" s="5">
        <v>0</v>
      </c>
      <c r="V104" s="5">
        <v>9296.2999999999993</v>
      </c>
      <c r="W104" s="5">
        <v>0</v>
      </c>
      <c r="X104" s="5">
        <v>0</v>
      </c>
    </row>
    <row r="105" spans="1:24" ht="12.75" customHeight="1">
      <c r="A105" s="6"/>
      <c r="B105" s="5">
        <v>12269.3</v>
      </c>
      <c r="C105" s="5">
        <v>0</v>
      </c>
      <c r="D105" s="5">
        <v>11582.7</v>
      </c>
      <c r="E105" s="5">
        <v>0</v>
      </c>
      <c r="G105" s="5">
        <v>12319.6</v>
      </c>
      <c r="H105" s="5">
        <v>0</v>
      </c>
      <c r="I105" s="5">
        <v>11745.1</v>
      </c>
      <c r="J105" s="5">
        <v>0</v>
      </c>
      <c r="L105" s="5">
        <v>12740.9</v>
      </c>
      <c r="M105" s="5">
        <v>0</v>
      </c>
      <c r="N105" s="5">
        <v>11783.6</v>
      </c>
      <c r="O105" s="5">
        <v>0</v>
      </c>
      <c r="Q105" s="5">
        <v>13183.8</v>
      </c>
      <c r="R105" s="5">
        <v>0</v>
      </c>
      <c r="S105" s="5">
        <v>13187.2</v>
      </c>
      <c r="T105" s="5">
        <v>0</v>
      </c>
      <c r="V105" s="5">
        <v>10996.8</v>
      </c>
      <c r="W105" s="5">
        <v>0</v>
      </c>
      <c r="X105" s="5">
        <v>1</v>
      </c>
    </row>
    <row r="106" spans="1:24" ht="12.75" customHeight="1">
      <c r="A106" s="6"/>
      <c r="B106" s="5">
        <v>8908.7000000000007</v>
      </c>
      <c r="C106" s="5">
        <v>0</v>
      </c>
      <c r="D106" s="5">
        <v>8152.1</v>
      </c>
      <c r="E106" s="5">
        <v>0</v>
      </c>
      <c r="G106" s="5">
        <v>9133.2000000000007</v>
      </c>
      <c r="H106" s="5">
        <v>0</v>
      </c>
      <c r="I106" s="5">
        <v>9168.4</v>
      </c>
      <c r="J106" s="5">
        <v>0</v>
      </c>
      <c r="L106" s="5">
        <v>8869</v>
      </c>
      <c r="M106" s="5">
        <v>0</v>
      </c>
      <c r="N106" s="5">
        <v>8624</v>
      </c>
      <c r="O106" s="5">
        <v>0</v>
      </c>
      <c r="Q106" s="5">
        <v>9676.7000000000007</v>
      </c>
      <c r="R106" s="5">
        <v>0</v>
      </c>
      <c r="S106" s="5">
        <v>8985.4</v>
      </c>
      <c r="T106" s="5">
        <v>0</v>
      </c>
      <c r="V106" s="5">
        <v>8131</v>
      </c>
      <c r="W106" s="5">
        <v>0</v>
      </c>
      <c r="X106" s="5">
        <v>0</v>
      </c>
    </row>
    <row r="107" spans="1:24" ht="12.75" customHeight="1">
      <c r="A107" s="6"/>
      <c r="B107" s="5">
        <v>10410</v>
      </c>
      <c r="C107" s="5">
        <v>0</v>
      </c>
      <c r="D107" s="5">
        <v>10138</v>
      </c>
      <c r="E107" s="5">
        <v>0</v>
      </c>
      <c r="G107" s="5">
        <v>10580.2</v>
      </c>
      <c r="H107" s="5">
        <v>0</v>
      </c>
      <c r="I107" s="5">
        <v>10489.8</v>
      </c>
      <c r="J107" s="5">
        <v>0</v>
      </c>
      <c r="L107" s="5">
        <v>9780.5</v>
      </c>
      <c r="M107" s="5">
        <v>0</v>
      </c>
      <c r="N107" s="5">
        <v>10138</v>
      </c>
      <c r="O107" s="5">
        <v>0</v>
      </c>
      <c r="Q107" s="5">
        <v>11296.3</v>
      </c>
      <c r="R107" s="5">
        <v>0</v>
      </c>
      <c r="S107" s="5">
        <v>10766.2</v>
      </c>
      <c r="T107" s="5">
        <v>0</v>
      </c>
      <c r="V107" s="5">
        <v>10138</v>
      </c>
      <c r="W107" s="5">
        <v>0</v>
      </c>
      <c r="X107" s="5">
        <v>0</v>
      </c>
    </row>
    <row r="108" spans="1:24" ht="12.75" customHeight="1">
      <c r="A108" s="6"/>
      <c r="B108" s="5">
        <v>12785.6</v>
      </c>
      <c r="C108" s="5">
        <v>0</v>
      </c>
      <c r="D108" s="5">
        <v>11824.7</v>
      </c>
      <c r="E108" s="5">
        <v>0</v>
      </c>
      <c r="G108" s="5">
        <v>12649.1</v>
      </c>
      <c r="H108" s="5">
        <v>0</v>
      </c>
      <c r="I108" s="5">
        <v>11818.3</v>
      </c>
      <c r="J108" s="5">
        <v>0</v>
      </c>
      <c r="L108" s="5">
        <v>13052.2</v>
      </c>
      <c r="M108" s="5">
        <v>0</v>
      </c>
      <c r="N108" s="5">
        <v>13182.4</v>
      </c>
      <c r="O108" s="5">
        <v>0</v>
      </c>
      <c r="Q108" s="5">
        <v>12843.5</v>
      </c>
      <c r="R108" s="5">
        <v>0</v>
      </c>
      <c r="S108" s="5">
        <v>13744.9</v>
      </c>
      <c r="T108" s="5">
        <v>0</v>
      </c>
      <c r="V108" s="5">
        <v>12175.6</v>
      </c>
      <c r="W108" s="5">
        <v>0</v>
      </c>
      <c r="X108" s="5">
        <v>0</v>
      </c>
    </row>
    <row r="109" spans="1:24" ht="12.75" customHeight="1">
      <c r="A109" s="6"/>
      <c r="B109" s="5">
        <v>11450.6</v>
      </c>
      <c r="C109" s="5">
        <v>0</v>
      </c>
      <c r="D109" s="5">
        <v>11450.6</v>
      </c>
      <c r="E109" s="5">
        <v>0</v>
      </c>
      <c r="G109" s="5">
        <v>11954.1</v>
      </c>
      <c r="H109" s="5">
        <v>0</v>
      </c>
      <c r="I109" s="5">
        <v>11163.2</v>
      </c>
      <c r="J109" s="5">
        <v>0</v>
      </c>
      <c r="L109" s="5">
        <v>11942.6</v>
      </c>
      <c r="M109" s="5">
        <v>0</v>
      </c>
      <c r="N109" s="5">
        <v>11675.8</v>
      </c>
      <c r="O109" s="5">
        <v>0</v>
      </c>
      <c r="Q109" s="5">
        <v>11865.3</v>
      </c>
      <c r="R109" s="5">
        <v>0</v>
      </c>
      <c r="S109" s="5">
        <v>14904</v>
      </c>
      <c r="T109" s="5">
        <v>16</v>
      </c>
      <c r="V109" s="5">
        <v>11262.8</v>
      </c>
      <c r="W109" s="5">
        <v>0</v>
      </c>
      <c r="X109" s="5">
        <v>0</v>
      </c>
    </row>
    <row r="110" spans="1:24" ht="12.75" customHeight="1">
      <c r="A110" s="6"/>
      <c r="B110" s="5">
        <v>15616.7</v>
      </c>
      <c r="C110" s="5">
        <v>6</v>
      </c>
      <c r="D110" s="5">
        <v>18938.900000000001</v>
      </c>
      <c r="E110" s="5">
        <v>43</v>
      </c>
      <c r="G110" s="5">
        <v>14007.1</v>
      </c>
      <c r="H110" s="5">
        <v>0</v>
      </c>
      <c r="I110" s="5">
        <v>15455.7</v>
      </c>
      <c r="J110" s="5">
        <v>0</v>
      </c>
      <c r="L110" s="5">
        <v>14578.9</v>
      </c>
      <c r="M110" s="5">
        <v>0</v>
      </c>
      <c r="N110" s="5">
        <v>13520.6</v>
      </c>
      <c r="O110" s="5">
        <v>0</v>
      </c>
      <c r="Q110" s="5">
        <v>18938.900000000001</v>
      </c>
      <c r="R110" s="5">
        <v>43</v>
      </c>
      <c r="S110" s="5">
        <v>15784.5</v>
      </c>
      <c r="T110" s="5">
        <v>0</v>
      </c>
      <c r="V110" s="5">
        <v>13520.6</v>
      </c>
      <c r="W110" s="5">
        <v>0</v>
      </c>
      <c r="X110" s="5">
        <v>0</v>
      </c>
    </row>
    <row r="111" spans="1:24" ht="12.75" customHeight="1">
      <c r="A111" s="6"/>
      <c r="B111" s="5">
        <v>8777.7000000000007</v>
      </c>
      <c r="C111" s="5">
        <v>0</v>
      </c>
      <c r="D111" s="5">
        <v>8658.5</v>
      </c>
      <c r="E111" s="5">
        <v>0</v>
      </c>
      <c r="G111" s="5">
        <v>8475.2999999999993</v>
      </c>
      <c r="H111" s="5">
        <v>0</v>
      </c>
      <c r="I111" s="5">
        <v>8312.9</v>
      </c>
      <c r="J111" s="5">
        <v>0</v>
      </c>
      <c r="L111" s="5">
        <v>8637.2999999999993</v>
      </c>
      <c r="M111" s="5">
        <v>0</v>
      </c>
      <c r="N111" s="5">
        <v>8475.2999999999993</v>
      </c>
      <c r="O111" s="5">
        <v>0</v>
      </c>
      <c r="Q111" s="5">
        <v>8708.9</v>
      </c>
      <c r="R111" s="5">
        <v>0</v>
      </c>
      <c r="S111" s="5">
        <v>10903.4</v>
      </c>
      <c r="T111" s="5">
        <v>0</v>
      </c>
      <c r="V111" s="5">
        <v>8475.2999999999993</v>
      </c>
      <c r="W111" s="5">
        <v>0</v>
      </c>
      <c r="X111" s="5">
        <v>1</v>
      </c>
    </row>
    <row r="112" spans="1:24" ht="12.75" customHeight="1">
      <c r="A112" s="6"/>
      <c r="B112" s="5">
        <v>9598.6</v>
      </c>
      <c r="C112" s="5">
        <v>0</v>
      </c>
      <c r="D112" s="5">
        <v>9234.4</v>
      </c>
      <c r="E112" s="5">
        <v>0</v>
      </c>
      <c r="G112" s="5">
        <v>9715.2000000000007</v>
      </c>
      <c r="H112" s="5">
        <v>0</v>
      </c>
      <c r="I112" s="5">
        <v>9329.9</v>
      </c>
      <c r="J112" s="5">
        <v>0</v>
      </c>
      <c r="L112" s="5">
        <v>9233.7999999999993</v>
      </c>
      <c r="M112" s="5">
        <v>0</v>
      </c>
      <c r="N112" s="5">
        <v>9123.4</v>
      </c>
      <c r="O112" s="5">
        <v>0</v>
      </c>
      <c r="Q112" s="5">
        <v>9233.7999999999993</v>
      </c>
      <c r="R112" s="5">
        <v>0</v>
      </c>
      <c r="S112" s="5">
        <v>10438.799999999999</v>
      </c>
      <c r="T112" s="5">
        <v>0</v>
      </c>
      <c r="V112" s="5">
        <v>9329.9</v>
      </c>
      <c r="W112" s="5">
        <v>0</v>
      </c>
      <c r="X112" s="5">
        <v>0</v>
      </c>
    </row>
    <row r="113" spans="1:24" ht="12.75" customHeight="1">
      <c r="A113" s="6"/>
      <c r="B113" s="5">
        <v>10111.9</v>
      </c>
      <c r="C113" s="5">
        <v>0</v>
      </c>
      <c r="D113" s="5">
        <v>9648</v>
      </c>
      <c r="E113" s="5">
        <v>0</v>
      </c>
      <c r="G113" s="5">
        <v>9392</v>
      </c>
      <c r="H113" s="5">
        <v>0</v>
      </c>
      <c r="I113" s="5">
        <v>10136.4</v>
      </c>
      <c r="J113" s="5">
        <v>10</v>
      </c>
      <c r="L113" s="5">
        <v>12201.7</v>
      </c>
      <c r="M113" s="5">
        <v>27</v>
      </c>
      <c r="N113" s="5">
        <v>12436.4</v>
      </c>
      <c r="O113" s="5">
        <v>33</v>
      </c>
      <c r="Q113" s="5">
        <v>10071.799999999999</v>
      </c>
      <c r="R113" s="5">
        <v>0</v>
      </c>
      <c r="S113" s="5">
        <v>11798.5</v>
      </c>
      <c r="T113" s="5">
        <v>0</v>
      </c>
      <c r="V113" s="5">
        <v>9392</v>
      </c>
      <c r="W113" s="5">
        <v>0</v>
      </c>
      <c r="X113" s="5">
        <v>0</v>
      </c>
    </row>
    <row r="114" spans="1:24" ht="12.75" customHeight="1">
      <c r="A114" s="6"/>
      <c r="B114" s="5">
        <v>10091</v>
      </c>
      <c r="C114" s="5">
        <v>0</v>
      </c>
      <c r="D114" s="5">
        <v>9324.5</v>
      </c>
      <c r="E114" s="5">
        <v>0</v>
      </c>
      <c r="G114" s="5">
        <v>10341.299999999999</v>
      </c>
      <c r="H114" s="5">
        <v>0</v>
      </c>
      <c r="I114" s="5">
        <v>9614.1</v>
      </c>
      <c r="J114" s="5">
        <v>0</v>
      </c>
      <c r="L114" s="5">
        <v>9975.7000000000007</v>
      </c>
      <c r="M114" s="5">
        <v>0</v>
      </c>
      <c r="N114" s="5">
        <v>9957.7999999999993</v>
      </c>
      <c r="O114" s="5">
        <v>0</v>
      </c>
      <c r="Q114" s="5">
        <v>11025.8</v>
      </c>
      <c r="R114" s="5">
        <v>0</v>
      </c>
      <c r="S114" s="5">
        <v>11217.3</v>
      </c>
      <c r="T114" s="5">
        <v>0</v>
      </c>
      <c r="V114" s="5">
        <v>10016.799999999999</v>
      </c>
      <c r="W114" s="5">
        <v>0</v>
      </c>
      <c r="X114" s="5">
        <v>0</v>
      </c>
    </row>
    <row r="115" spans="1:24" ht="12.75" customHeight="1">
      <c r="A115" s="6"/>
      <c r="B115" s="5">
        <v>14590.3</v>
      </c>
      <c r="C115" s="5">
        <v>0</v>
      </c>
      <c r="D115" s="5">
        <v>14848.1</v>
      </c>
      <c r="E115" s="5">
        <v>0</v>
      </c>
      <c r="G115" s="5">
        <v>15425.3</v>
      </c>
      <c r="H115" s="5">
        <v>0</v>
      </c>
      <c r="I115" s="5">
        <v>15015.9</v>
      </c>
      <c r="J115" s="5">
        <v>0</v>
      </c>
      <c r="L115" s="5">
        <v>16188.5</v>
      </c>
      <c r="M115" s="5">
        <v>0</v>
      </c>
      <c r="N115" s="5">
        <v>14433.1</v>
      </c>
      <c r="O115" s="5">
        <v>0</v>
      </c>
      <c r="Q115" s="5">
        <v>15997.3</v>
      </c>
      <c r="R115" s="5">
        <v>0</v>
      </c>
      <c r="S115" s="5">
        <v>14860.1</v>
      </c>
      <c r="T115" s="5">
        <v>0</v>
      </c>
      <c r="V115" s="5">
        <v>14433.1</v>
      </c>
      <c r="W115" s="5">
        <v>0</v>
      </c>
      <c r="X115" s="5">
        <v>0</v>
      </c>
    </row>
    <row r="116" spans="1:24" ht="12.75" customHeight="1">
      <c r="A116" s="6"/>
      <c r="B116" s="5">
        <v>11239.8</v>
      </c>
      <c r="C116" s="5">
        <v>0</v>
      </c>
      <c r="D116" s="5">
        <v>11032.9</v>
      </c>
      <c r="E116" s="5">
        <v>0</v>
      </c>
      <c r="G116" s="5">
        <v>11456.8</v>
      </c>
      <c r="H116" s="5">
        <v>0</v>
      </c>
      <c r="I116" s="5">
        <v>11792.7</v>
      </c>
      <c r="J116" s="5">
        <v>0</v>
      </c>
      <c r="L116" s="5">
        <v>12059.3</v>
      </c>
      <c r="M116" s="5">
        <v>0</v>
      </c>
      <c r="N116" s="5">
        <v>12190.4</v>
      </c>
      <c r="O116" s="5">
        <v>0</v>
      </c>
      <c r="Q116" s="5">
        <v>12727.4</v>
      </c>
      <c r="R116" s="5">
        <v>0</v>
      </c>
      <c r="S116" s="5">
        <v>12799.8</v>
      </c>
      <c r="T116" s="5">
        <v>7</v>
      </c>
      <c r="V116" s="5">
        <v>12038.5</v>
      </c>
      <c r="W116" s="5">
        <v>0</v>
      </c>
      <c r="X116" s="5">
        <v>1</v>
      </c>
    </row>
    <row r="117" spans="1:24" ht="12.75" customHeight="1">
      <c r="A117" s="6"/>
      <c r="B117" s="5">
        <v>13416.4</v>
      </c>
      <c r="C117" s="5">
        <v>41</v>
      </c>
      <c r="D117" s="5">
        <v>8675.2000000000007</v>
      </c>
      <c r="E117" s="5">
        <v>0</v>
      </c>
      <c r="G117" s="5">
        <v>9616.6</v>
      </c>
      <c r="H117" s="5">
        <v>0</v>
      </c>
      <c r="I117" s="5">
        <v>8675.2000000000007</v>
      </c>
      <c r="J117" s="5">
        <v>0</v>
      </c>
      <c r="L117" s="5">
        <v>9518.6</v>
      </c>
      <c r="M117" s="5">
        <v>0</v>
      </c>
      <c r="N117" s="5">
        <v>11556.2</v>
      </c>
      <c r="O117" s="5">
        <v>26</v>
      </c>
      <c r="Q117" s="5">
        <v>9334</v>
      </c>
      <c r="R117" s="5">
        <v>1</v>
      </c>
      <c r="S117" s="5">
        <v>10416.1</v>
      </c>
      <c r="T117" s="5">
        <v>0</v>
      </c>
      <c r="V117" s="5">
        <v>8580.5</v>
      </c>
      <c r="W117" s="5">
        <v>0</v>
      </c>
      <c r="X117" s="5">
        <v>0</v>
      </c>
    </row>
    <row r="118" spans="1:24" ht="12.75" customHeight="1">
      <c r="A118" s="6"/>
      <c r="B118" s="5">
        <v>10149.200000000001</v>
      </c>
      <c r="C118" s="5">
        <v>0</v>
      </c>
      <c r="D118" s="5">
        <v>9798.9</v>
      </c>
      <c r="E118" s="5">
        <v>0</v>
      </c>
      <c r="G118" s="5">
        <v>9885.2999999999993</v>
      </c>
      <c r="H118" s="5">
        <v>0</v>
      </c>
      <c r="I118" s="5">
        <v>10174.799999999999</v>
      </c>
      <c r="J118" s="5">
        <v>0</v>
      </c>
      <c r="L118" s="5">
        <v>9839.9</v>
      </c>
      <c r="M118" s="5">
        <v>0</v>
      </c>
      <c r="N118" s="5">
        <v>9563.9</v>
      </c>
      <c r="O118" s="5">
        <v>0</v>
      </c>
      <c r="Q118" s="5">
        <v>10782.7</v>
      </c>
      <c r="R118" s="5">
        <v>0</v>
      </c>
      <c r="S118" s="5">
        <v>10351.200000000001</v>
      </c>
      <c r="T118" s="5">
        <v>0</v>
      </c>
      <c r="V118" s="5">
        <v>9923.7999999999993</v>
      </c>
      <c r="W118" s="5">
        <v>0</v>
      </c>
      <c r="X118" s="5">
        <v>0</v>
      </c>
    </row>
    <row r="119" spans="1:24" ht="12.75" customHeight="1">
      <c r="A119" s="6"/>
      <c r="B119" s="5">
        <v>8982.7999999999993</v>
      </c>
      <c r="C119" s="5">
        <v>0</v>
      </c>
      <c r="D119" s="5">
        <v>7998.4</v>
      </c>
      <c r="E119" s="5">
        <v>0</v>
      </c>
      <c r="G119" s="5">
        <v>8230.4</v>
      </c>
      <c r="H119" s="5">
        <v>0</v>
      </c>
      <c r="I119" s="5">
        <v>7998.4</v>
      </c>
      <c r="J119" s="5">
        <v>0</v>
      </c>
      <c r="L119" s="5">
        <v>8652.2000000000007</v>
      </c>
      <c r="M119" s="5">
        <v>0</v>
      </c>
      <c r="N119" s="5">
        <v>7998.4</v>
      </c>
      <c r="O119" s="5">
        <v>0</v>
      </c>
      <c r="Q119" s="5">
        <v>8687.2999999999993</v>
      </c>
      <c r="R119" s="5">
        <v>0</v>
      </c>
      <c r="S119" s="5">
        <v>11122.6</v>
      </c>
      <c r="T119" s="5">
        <v>19</v>
      </c>
      <c r="V119" s="5">
        <v>7953.3</v>
      </c>
      <c r="W119" s="5">
        <v>0</v>
      </c>
      <c r="X119" s="5">
        <v>0</v>
      </c>
    </row>
    <row r="120" spans="1:24" ht="12.75" customHeight="1">
      <c r="A120" s="6"/>
      <c r="B120" s="5">
        <v>13643.3</v>
      </c>
      <c r="C120" s="5">
        <v>0</v>
      </c>
      <c r="D120" s="5">
        <v>19146.3</v>
      </c>
      <c r="E120" s="5">
        <v>57</v>
      </c>
      <c r="G120" s="5">
        <v>16190.5</v>
      </c>
      <c r="H120" s="5">
        <v>19</v>
      </c>
      <c r="I120" s="5">
        <v>13519.4</v>
      </c>
      <c r="J120" s="5">
        <v>0</v>
      </c>
      <c r="L120" s="5">
        <v>13783.9</v>
      </c>
      <c r="M120" s="5">
        <v>0</v>
      </c>
      <c r="N120" s="5">
        <v>13554.3</v>
      </c>
      <c r="O120" s="5">
        <v>0</v>
      </c>
      <c r="Q120" s="5">
        <v>15066.1</v>
      </c>
      <c r="R120" s="5">
        <v>0</v>
      </c>
      <c r="S120" s="5">
        <v>14326.4</v>
      </c>
      <c r="T120" s="5">
        <v>0</v>
      </c>
      <c r="V120" s="5">
        <v>13612.7</v>
      </c>
      <c r="W120" s="5">
        <v>0</v>
      </c>
      <c r="X120" s="5">
        <v>0</v>
      </c>
    </row>
    <row r="121" spans="1:24" ht="12.75" customHeight="1">
      <c r="A121" s="6"/>
      <c r="B121" s="5">
        <v>10053</v>
      </c>
      <c r="C121" s="5">
        <v>0</v>
      </c>
      <c r="D121" s="5">
        <v>9413.1</v>
      </c>
      <c r="E121" s="5">
        <v>0</v>
      </c>
      <c r="G121" s="5">
        <v>9965.7999999999993</v>
      </c>
      <c r="H121" s="5">
        <v>0</v>
      </c>
      <c r="I121" s="5">
        <v>9653.6</v>
      </c>
      <c r="J121" s="5">
        <v>0</v>
      </c>
      <c r="L121" s="5">
        <v>9950.1</v>
      </c>
      <c r="M121" s="5">
        <v>0</v>
      </c>
      <c r="N121" s="5">
        <v>9439.2000000000007</v>
      </c>
      <c r="O121" s="5">
        <v>0</v>
      </c>
      <c r="Q121" s="5">
        <v>11179.1</v>
      </c>
      <c r="R121" s="5">
        <v>0</v>
      </c>
      <c r="S121" s="5">
        <v>10206.200000000001</v>
      </c>
      <c r="T121" s="5">
        <v>0</v>
      </c>
      <c r="V121" s="5">
        <v>9439.2000000000007</v>
      </c>
      <c r="W121" s="5">
        <v>0</v>
      </c>
      <c r="X121" s="5">
        <v>0</v>
      </c>
    </row>
    <row r="122" spans="1:24" ht="12.75" customHeight="1">
      <c r="A122" s="6"/>
      <c r="B122" s="5">
        <v>11908.2</v>
      </c>
      <c r="C122" s="5">
        <v>0</v>
      </c>
      <c r="D122" s="5">
        <v>11888</v>
      </c>
      <c r="E122" s="5">
        <v>0</v>
      </c>
      <c r="G122" s="5">
        <v>11694.6</v>
      </c>
      <c r="H122" s="5">
        <v>0</v>
      </c>
      <c r="I122" s="5">
        <v>12059.4</v>
      </c>
      <c r="J122" s="5">
        <v>0</v>
      </c>
      <c r="L122" s="5">
        <v>12041</v>
      </c>
      <c r="M122" s="5">
        <v>0</v>
      </c>
      <c r="N122" s="5">
        <v>11435.8</v>
      </c>
      <c r="O122" s="5">
        <v>0</v>
      </c>
      <c r="Q122" s="5">
        <v>12833</v>
      </c>
      <c r="R122" s="5">
        <v>0</v>
      </c>
      <c r="S122" s="5">
        <v>11435.8</v>
      </c>
      <c r="T122" s="5">
        <v>0</v>
      </c>
      <c r="V122" s="5">
        <v>11435.8</v>
      </c>
      <c r="W122" s="5">
        <v>0</v>
      </c>
      <c r="X122" s="5">
        <v>1</v>
      </c>
    </row>
    <row r="123" spans="1:24" ht="12.75" customHeight="1">
      <c r="A123" s="6"/>
      <c r="B123" s="5">
        <v>8802.7999999999993</v>
      </c>
      <c r="C123" s="5">
        <v>0</v>
      </c>
      <c r="D123" s="5">
        <v>8378</v>
      </c>
      <c r="E123" s="5">
        <v>0</v>
      </c>
      <c r="G123" s="5">
        <v>9089.4</v>
      </c>
      <c r="H123" s="5">
        <v>0</v>
      </c>
      <c r="I123" s="5">
        <v>8867.1</v>
      </c>
      <c r="J123" s="5">
        <v>0</v>
      </c>
      <c r="L123" s="5">
        <v>8826.4</v>
      </c>
      <c r="M123" s="5">
        <v>0</v>
      </c>
      <c r="N123" s="5">
        <v>7803.5</v>
      </c>
      <c r="O123" s="5">
        <v>0</v>
      </c>
      <c r="Q123" s="5">
        <v>9238.5</v>
      </c>
      <c r="R123" s="5">
        <v>0</v>
      </c>
      <c r="S123" s="5">
        <v>8895</v>
      </c>
      <c r="T123" s="5">
        <v>0</v>
      </c>
      <c r="V123" s="5">
        <v>8992.6</v>
      </c>
      <c r="W123" s="5">
        <v>0</v>
      </c>
      <c r="X123" s="5">
        <v>0</v>
      </c>
    </row>
    <row r="124" spans="1:24" ht="12.75" customHeight="1">
      <c r="A124" s="6"/>
      <c r="B124" s="5">
        <v>12256.1</v>
      </c>
      <c r="C124" s="5">
        <v>9</v>
      </c>
      <c r="D124" s="5">
        <v>12031.8</v>
      </c>
      <c r="E124" s="5">
        <v>18</v>
      </c>
      <c r="G124" s="5">
        <v>11443.4</v>
      </c>
      <c r="H124" s="5">
        <v>9</v>
      </c>
      <c r="I124" s="5">
        <v>12898.2</v>
      </c>
      <c r="J124" s="5">
        <v>18</v>
      </c>
      <c r="L124" s="5">
        <v>14521</v>
      </c>
      <c r="M124" s="5">
        <v>32</v>
      </c>
      <c r="N124" s="5">
        <v>11131.8</v>
      </c>
      <c r="O124" s="5">
        <v>9</v>
      </c>
      <c r="Q124" s="5">
        <v>11556.9</v>
      </c>
      <c r="R124" s="5">
        <v>0</v>
      </c>
      <c r="S124" s="5">
        <v>13657.4</v>
      </c>
      <c r="T124" s="5">
        <v>12</v>
      </c>
      <c r="V124" s="5">
        <v>12195.9</v>
      </c>
      <c r="W124" s="5">
        <v>9</v>
      </c>
      <c r="X124" s="5">
        <v>0</v>
      </c>
    </row>
    <row r="125" spans="1:24" ht="12.75" customHeight="1">
      <c r="A125" s="6"/>
      <c r="B125" s="5">
        <v>7024.2</v>
      </c>
      <c r="C125" s="5">
        <v>0</v>
      </c>
      <c r="D125" s="5">
        <v>7024.2</v>
      </c>
      <c r="E125" s="5">
        <v>0</v>
      </c>
      <c r="G125" s="5">
        <v>7950.7</v>
      </c>
      <c r="H125" s="5">
        <v>0</v>
      </c>
      <c r="I125" s="5">
        <v>7024.2</v>
      </c>
      <c r="J125" s="5">
        <v>0</v>
      </c>
      <c r="L125" s="5">
        <v>8265.4</v>
      </c>
      <c r="M125" s="5">
        <v>0</v>
      </c>
      <c r="N125" s="5">
        <v>7024.2</v>
      </c>
      <c r="O125" s="5">
        <v>0</v>
      </c>
      <c r="Q125" s="5">
        <v>9154.9</v>
      </c>
      <c r="R125" s="5">
        <v>0</v>
      </c>
      <c r="S125" s="5">
        <v>8624.5</v>
      </c>
      <c r="T125" s="5">
        <v>0</v>
      </c>
      <c r="V125" s="5">
        <v>7024.2</v>
      </c>
      <c r="W125" s="5">
        <v>0</v>
      </c>
      <c r="X125" s="5">
        <v>0</v>
      </c>
    </row>
    <row r="126" spans="1:24" ht="12.75" customHeight="1">
      <c r="A126" s="6"/>
      <c r="B126" s="5">
        <v>12039.2</v>
      </c>
      <c r="C126" s="5">
        <v>25</v>
      </c>
      <c r="D126" s="5">
        <v>12975.4</v>
      </c>
      <c r="E126" s="5">
        <v>25</v>
      </c>
      <c r="G126" s="5">
        <v>11636.6</v>
      </c>
      <c r="H126" s="5">
        <v>5</v>
      </c>
      <c r="I126" s="5">
        <v>13299.8</v>
      </c>
      <c r="J126" s="5">
        <v>25</v>
      </c>
      <c r="L126" s="5">
        <v>12932.4</v>
      </c>
      <c r="M126" s="5">
        <v>22</v>
      </c>
      <c r="N126" s="5">
        <v>10039.200000000001</v>
      </c>
      <c r="O126" s="5">
        <v>5</v>
      </c>
      <c r="Q126" s="5">
        <v>12594.7</v>
      </c>
      <c r="R126" s="5">
        <v>0</v>
      </c>
      <c r="S126" s="5">
        <v>11494.3</v>
      </c>
      <c r="T126" s="5">
        <v>0</v>
      </c>
      <c r="V126" s="5">
        <v>10839.2</v>
      </c>
      <c r="W126" s="5">
        <v>13</v>
      </c>
      <c r="X126" s="5">
        <v>0</v>
      </c>
    </row>
    <row r="127" spans="1:24" ht="12.75" customHeight="1">
      <c r="A127" s="6"/>
      <c r="B127" s="5">
        <v>8645.1</v>
      </c>
      <c r="C127" s="5">
        <v>0</v>
      </c>
      <c r="D127" s="5">
        <v>7902.8</v>
      </c>
      <c r="E127" s="5">
        <v>0</v>
      </c>
      <c r="G127" s="5">
        <v>8512.4</v>
      </c>
      <c r="H127" s="5">
        <v>0</v>
      </c>
      <c r="I127" s="5">
        <v>7787.4</v>
      </c>
      <c r="J127" s="5">
        <v>0</v>
      </c>
      <c r="L127" s="5">
        <v>8075.8</v>
      </c>
      <c r="M127" s="5">
        <v>0</v>
      </c>
      <c r="N127" s="5">
        <v>7802.8</v>
      </c>
      <c r="O127" s="5">
        <v>0</v>
      </c>
      <c r="Q127" s="5">
        <v>8471.7999999999993</v>
      </c>
      <c r="R127" s="5">
        <v>0</v>
      </c>
      <c r="S127" s="5">
        <v>9231.2999999999993</v>
      </c>
      <c r="T127" s="5">
        <v>0</v>
      </c>
      <c r="V127" s="5">
        <v>7802.8</v>
      </c>
      <c r="W127" s="5">
        <v>0</v>
      </c>
      <c r="X127" s="5">
        <v>1</v>
      </c>
    </row>
    <row r="128" spans="1:24" ht="12.75" customHeight="1">
      <c r="A128" s="6"/>
      <c r="B128" s="5">
        <v>10857</v>
      </c>
      <c r="C128" s="5">
        <v>0</v>
      </c>
      <c r="D128" s="5">
        <v>10366.200000000001</v>
      </c>
      <c r="E128" s="5">
        <v>0</v>
      </c>
      <c r="G128" s="5">
        <v>10366.200000000001</v>
      </c>
      <c r="H128" s="5">
        <v>0</v>
      </c>
      <c r="I128" s="5">
        <v>9487.6</v>
      </c>
      <c r="J128" s="5">
        <v>0</v>
      </c>
      <c r="L128" s="5">
        <v>11460.3</v>
      </c>
      <c r="M128" s="5">
        <v>0</v>
      </c>
      <c r="N128" s="5">
        <v>9487.6</v>
      </c>
      <c r="O128" s="5">
        <v>0</v>
      </c>
      <c r="Q128" s="5">
        <v>12136.2</v>
      </c>
      <c r="R128" s="5">
        <v>0</v>
      </c>
      <c r="S128" s="5">
        <v>11450.5</v>
      </c>
      <c r="T128" s="5">
        <v>0</v>
      </c>
      <c r="V128" s="5">
        <v>10089.9</v>
      </c>
      <c r="W128" s="5">
        <v>0</v>
      </c>
      <c r="X128" s="5">
        <v>0</v>
      </c>
    </row>
    <row r="129" spans="1:24" ht="12.75" customHeight="1">
      <c r="A129" s="6"/>
      <c r="B129" s="5">
        <v>11396.8</v>
      </c>
      <c r="C129" s="5">
        <v>0</v>
      </c>
      <c r="D129" s="5">
        <v>11448.3</v>
      </c>
      <c r="E129" s="5">
        <v>0</v>
      </c>
      <c r="G129" s="5">
        <v>12231.6</v>
      </c>
      <c r="H129" s="5">
        <v>0</v>
      </c>
      <c r="I129" s="5">
        <v>11334.8</v>
      </c>
      <c r="J129" s="5">
        <v>0</v>
      </c>
      <c r="L129" s="5">
        <v>12366.8</v>
      </c>
      <c r="M129" s="5">
        <v>0</v>
      </c>
      <c r="N129" s="5">
        <v>11334.8</v>
      </c>
      <c r="O129" s="5">
        <v>0</v>
      </c>
      <c r="Q129" s="5">
        <v>13465</v>
      </c>
      <c r="R129" s="5">
        <v>0</v>
      </c>
      <c r="S129" s="5">
        <v>13598.7</v>
      </c>
      <c r="T129" s="5">
        <v>0</v>
      </c>
      <c r="V129" s="5">
        <v>11448.3</v>
      </c>
      <c r="W129" s="5">
        <v>0</v>
      </c>
      <c r="X129" s="5">
        <v>0</v>
      </c>
    </row>
    <row r="130" spans="1:24" ht="12.75" customHeight="1">
      <c r="A130" s="6"/>
      <c r="B130" s="5">
        <v>12350.1</v>
      </c>
      <c r="C130" s="5">
        <v>0</v>
      </c>
      <c r="D130" s="5">
        <v>11915.9</v>
      </c>
      <c r="E130" s="5">
        <v>0</v>
      </c>
      <c r="G130" s="5">
        <v>12350.1</v>
      </c>
      <c r="H130" s="5">
        <v>0</v>
      </c>
      <c r="I130" s="5">
        <v>13174.8</v>
      </c>
      <c r="J130" s="5">
        <v>0</v>
      </c>
      <c r="L130" s="5">
        <v>12462.8</v>
      </c>
      <c r="M130" s="5">
        <v>0</v>
      </c>
      <c r="N130" s="5">
        <v>13100</v>
      </c>
      <c r="O130" s="5">
        <v>0</v>
      </c>
      <c r="Q130" s="5">
        <v>13141.6</v>
      </c>
      <c r="R130" s="5">
        <v>0</v>
      </c>
      <c r="S130" s="5">
        <v>12650</v>
      </c>
      <c r="T130" s="5">
        <v>0</v>
      </c>
      <c r="V130" s="5">
        <v>12288.8</v>
      </c>
      <c r="W130" s="5">
        <v>0</v>
      </c>
      <c r="X130" s="5">
        <v>0</v>
      </c>
    </row>
    <row r="131" spans="1:24" ht="12.75" customHeight="1">
      <c r="A131" s="6"/>
      <c r="B131" s="5">
        <v>13682.2</v>
      </c>
      <c r="C131" s="5">
        <v>0</v>
      </c>
      <c r="D131" s="5">
        <v>13227.1</v>
      </c>
      <c r="E131" s="5">
        <v>0</v>
      </c>
      <c r="G131" s="5">
        <v>13918.9</v>
      </c>
      <c r="H131" s="5">
        <v>0</v>
      </c>
      <c r="I131" s="5">
        <v>14239.2</v>
      </c>
      <c r="J131" s="5">
        <v>0</v>
      </c>
      <c r="L131" s="5">
        <v>14022.9</v>
      </c>
      <c r="M131" s="5">
        <v>0</v>
      </c>
      <c r="N131" s="5">
        <v>12335.2</v>
      </c>
      <c r="O131" s="5">
        <v>0</v>
      </c>
      <c r="Q131" s="5">
        <v>14075.7</v>
      </c>
      <c r="R131" s="5">
        <v>0</v>
      </c>
      <c r="S131" s="5">
        <v>14191.5</v>
      </c>
      <c r="T131" s="5">
        <v>0</v>
      </c>
      <c r="V131" s="5">
        <v>14123.2</v>
      </c>
      <c r="W131" s="5">
        <v>0</v>
      </c>
      <c r="X131" s="5">
        <v>0</v>
      </c>
    </row>
    <row r="132" spans="1:24" ht="12.75" customHeight="1">
      <c r="A132" s="6"/>
      <c r="B132" s="5">
        <v>10399.700000000001</v>
      </c>
      <c r="C132" s="5">
        <v>0</v>
      </c>
      <c r="D132" s="5">
        <v>10133.799999999999</v>
      </c>
      <c r="E132" s="5">
        <v>0</v>
      </c>
      <c r="G132" s="5">
        <v>11518.2</v>
      </c>
      <c r="H132" s="5">
        <v>2</v>
      </c>
      <c r="I132" s="5">
        <v>10487.4</v>
      </c>
      <c r="J132" s="5">
        <v>0</v>
      </c>
      <c r="L132" s="5">
        <v>11763.4</v>
      </c>
      <c r="M132" s="5">
        <v>0</v>
      </c>
      <c r="N132" s="5">
        <v>9803.7000000000007</v>
      </c>
      <c r="O132" s="5">
        <v>0</v>
      </c>
      <c r="Q132" s="5">
        <v>10994</v>
      </c>
      <c r="R132" s="5">
        <v>0</v>
      </c>
      <c r="S132" s="5">
        <v>11018.2</v>
      </c>
      <c r="T132" s="5">
        <v>0</v>
      </c>
      <c r="V132" s="5">
        <v>9803.7000000000007</v>
      </c>
      <c r="W132" s="5">
        <v>0</v>
      </c>
      <c r="X132" s="5">
        <v>1</v>
      </c>
    </row>
    <row r="133" spans="1:24" ht="12.75" customHeight="1">
      <c r="A133" s="6"/>
      <c r="B133" s="5">
        <v>11753.9</v>
      </c>
      <c r="C133" s="5">
        <v>0</v>
      </c>
      <c r="D133" s="5">
        <v>11675.9</v>
      </c>
      <c r="E133" s="5">
        <v>0</v>
      </c>
      <c r="G133" s="5">
        <v>12379.5</v>
      </c>
      <c r="H133" s="5">
        <v>0</v>
      </c>
      <c r="I133" s="5">
        <v>12263.5</v>
      </c>
      <c r="J133" s="5">
        <v>3</v>
      </c>
      <c r="L133" s="5">
        <v>11900.5</v>
      </c>
      <c r="M133" s="5">
        <v>0</v>
      </c>
      <c r="N133" s="5">
        <v>11675.9</v>
      </c>
      <c r="O133" s="5">
        <v>0</v>
      </c>
      <c r="Q133" s="5">
        <v>11260.9</v>
      </c>
      <c r="R133" s="5">
        <v>0</v>
      </c>
      <c r="S133" s="5">
        <v>12931.1</v>
      </c>
      <c r="T133" s="5">
        <v>0</v>
      </c>
      <c r="V133" s="5">
        <v>11775.9</v>
      </c>
      <c r="W133" s="5">
        <v>1</v>
      </c>
      <c r="X133" s="5">
        <v>0</v>
      </c>
    </row>
    <row r="134" spans="1:24" ht="12.75" customHeight="1">
      <c r="A134" s="6"/>
      <c r="B134" s="5">
        <v>10807.1</v>
      </c>
      <c r="C134" s="5">
        <v>0</v>
      </c>
      <c r="D134" s="5">
        <v>10507.1</v>
      </c>
      <c r="E134" s="5">
        <v>2</v>
      </c>
      <c r="G134" s="5">
        <v>13353.8</v>
      </c>
      <c r="H134" s="5">
        <v>22</v>
      </c>
      <c r="I134" s="5">
        <v>11286.7</v>
      </c>
      <c r="J134" s="5">
        <v>0</v>
      </c>
      <c r="L134" s="5">
        <v>11667.2</v>
      </c>
      <c r="M134" s="5">
        <v>7</v>
      </c>
      <c r="N134" s="5">
        <v>11229.3</v>
      </c>
      <c r="O134" s="5">
        <v>0</v>
      </c>
      <c r="Q134" s="5">
        <v>12029</v>
      </c>
      <c r="R134" s="5">
        <v>0</v>
      </c>
      <c r="S134" s="5">
        <v>12323.5</v>
      </c>
      <c r="T134" s="5">
        <v>0</v>
      </c>
      <c r="V134" s="5">
        <v>10553.3</v>
      </c>
      <c r="W134" s="5">
        <v>0</v>
      </c>
      <c r="X134" s="5">
        <v>0</v>
      </c>
    </row>
    <row r="135" spans="1:24" ht="12.75" customHeight="1">
      <c r="A135" s="6"/>
      <c r="B135" s="5">
        <v>9186</v>
      </c>
      <c r="C135" s="5">
        <v>0</v>
      </c>
      <c r="D135" s="5">
        <v>9186</v>
      </c>
      <c r="E135" s="5">
        <v>0</v>
      </c>
      <c r="G135" s="5">
        <v>9633.7000000000007</v>
      </c>
      <c r="H135" s="5">
        <v>0</v>
      </c>
      <c r="I135" s="5">
        <v>9186</v>
      </c>
      <c r="J135" s="5">
        <v>0</v>
      </c>
      <c r="L135" s="5">
        <v>9345.1</v>
      </c>
      <c r="M135" s="5">
        <v>0</v>
      </c>
      <c r="N135" s="5">
        <v>9345.1</v>
      </c>
      <c r="O135" s="5">
        <v>0</v>
      </c>
      <c r="Q135" s="5">
        <v>10643.2</v>
      </c>
      <c r="R135" s="5">
        <v>0</v>
      </c>
      <c r="S135" s="5">
        <v>10116.5</v>
      </c>
      <c r="T135" s="5">
        <v>0</v>
      </c>
      <c r="V135" s="5">
        <v>9399.4</v>
      </c>
      <c r="W135" s="5">
        <v>0</v>
      </c>
      <c r="X135" s="5">
        <v>0</v>
      </c>
    </row>
    <row r="136" spans="1:24" ht="12.75" customHeight="1">
      <c r="A136" s="6"/>
      <c r="B136" s="5">
        <v>10954.7</v>
      </c>
      <c r="C136" s="5">
        <v>0</v>
      </c>
      <c r="D136" s="5">
        <v>10399.5</v>
      </c>
      <c r="E136" s="5">
        <v>0</v>
      </c>
      <c r="G136" s="5">
        <v>11096</v>
      </c>
      <c r="H136" s="5">
        <v>0</v>
      </c>
      <c r="I136" s="5">
        <v>11964.2</v>
      </c>
      <c r="J136" s="5">
        <v>0</v>
      </c>
      <c r="L136" s="5">
        <v>11723.1</v>
      </c>
      <c r="M136" s="5">
        <v>0</v>
      </c>
      <c r="N136" s="5">
        <v>10399.5</v>
      </c>
      <c r="O136" s="5">
        <v>0</v>
      </c>
      <c r="Q136" s="5">
        <v>12411.1</v>
      </c>
      <c r="R136" s="5">
        <v>0</v>
      </c>
      <c r="S136" s="5">
        <v>12335.7</v>
      </c>
      <c r="T136" s="5">
        <v>0</v>
      </c>
      <c r="V136" s="5">
        <v>10750.5</v>
      </c>
      <c r="W136" s="5">
        <v>0</v>
      </c>
      <c r="X136" s="5">
        <v>0</v>
      </c>
    </row>
    <row r="137" spans="1:24" ht="12.75" customHeight="1">
      <c r="A137" s="6"/>
      <c r="B137" s="5">
        <v>14028.4</v>
      </c>
      <c r="C137" s="5">
        <v>0</v>
      </c>
      <c r="D137" s="5">
        <v>13359</v>
      </c>
      <c r="E137" s="5">
        <v>0</v>
      </c>
      <c r="G137" s="5">
        <v>14142.8</v>
      </c>
      <c r="H137" s="5">
        <v>0</v>
      </c>
      <c r="I137" s="5">
        <v>13339.3</v>
      </c>
      <c r="J137" s="5">
        <v>0</v>
      </c>
      <c r="L137" s="5">
        <v>14257.2</v>
      </c>
      <c r="M137" s="5">
        <v>0</v>
      </c>
      <c r="N137" s="5">
        <v>13359</v>
      </c>
      <c r="O137" s="5">
        <v>0</v>
      </c>
      <c r="Q137" s="5">
        <v>13477.6</v>
      </c>
      <c r="R137" s="5">
        <v>0</v>
      </c>
      <c r="S137" s="5">
        <v>15734.8</v>
      </c>
      <c r="T137" s="5">
        <v>0</v>
      </c>
      <c r="V137" s="5">
        <v>13359</v>
      </c>
      <c r="W137" s="5">
        <v>0</v>
      </c>
      <c r="X137" s="5">
        <v>0</v>
      </c>
    </row>
    <row r="138" spans="1:24" ht="12.75" customHeight="1">
      <c r="A138" s="6"/>
      <c r="B138" s="5">
        <v>8351.9</v>
      </c>
      <c r="C138" s="5">
        <v>0</v>
      </c>
      <c r="D138" s="5">
        <v>8274.7999999999993</v>
      </c>
      <c r="E138" s="5">
        <v>0</v>
      </c>
      <c r="G138" s="5">
        <v>8965.9</v>
      </c>
      <c r="H138" s="5">
        <v>0</v>
      </c>
      <c r="I138" s="5">
        <v>7865.8</v>
      </c>
      <c r="J138" s="5">
        <v>0</v>
      </c>
      <c r="L138" s="5">
        <v>8351.9</v>
      </c>
      <c r="M138" s="5">
        <v>0</v>
      </c>
      <c r="N138" s="5">
        <v>7865.8</v>
      </c>
      <c r="O138" s="5">
        <v>0</v>
      </c>
      <c r="Q138" s="5">
        <v>9340.1</v>
      </c>
      <c r="R138" s="5">
        <v>0</v>
      </c>
      <c r="S138" s="5">
        <v>9335.5</v>
      </c>
      <c r="T138" s="5">
        <v>0</v>
      </c>
      <c r="V138" s="5">
        <v>8486.2000000000007</v>
      </c>
      <c r="W138" s="5">
        <v>0</v>
      </c>
      <c r="X138" s="5">
        <v>1</v>
      </c>
    </row>
    <row r="139" spans="1:24" ht="12.75" customHeight="1">
      <c r="A139" s="6"/>
      <c r="B139" s="5">
        <v>9090.5</v>
      </c>
      <c r="C139" s="5">
        <v>0</v>
      </c>
      <c r="D139" s="5">
        <v>8968.7000000000007</v>
      </c>
      <c r="E139" s="5">
        <v>0</v>
      </c>
      <c r="G139" s="5">
        <v>9142.5</v>
      </c>
      <c r="H139" s="5">
        <v>0</v>
      </c>
      <c r="I139" s="5">
        <v>10241.9</v>
      </c>
      <c r="J139" s="5">
        <v>0</v>
      </c>
      <c r="L139" s="5">
        <v>9005.5</v>
      </c>
      <c r="M139" s="5">
        <v>0</v>
      </c>
      <c r="N139" s="5">
        <v>9005.5</v>
      </c>
      <c r="O139" s="5">
        <v>0</v>
      </c>
      <c r="Q139" s="5">
        <v>11416.6</v>
      </c>
      <c r="R139" s="5">
        <v>0</v>
      </c>
      <c r="S139" s="5">
        <v>11071.5</v>
      </c>
      <c r="T139" s="5">
        <v>0</v>
      </c>
      <c r="V139" s="5">
        <v>8968.7000000000007</v>
      </c>
      <c r="W139" s="5">
        <v>0</v>
      </c>
      <c r="X139" s="5">
        <v>0</v>
      </c>
    </row>
    <row r="140" spans="1:24" ht="12.75" customHeight="1">
      <c r="A140" s="6"/>
      <c r="B140" s="5">
        <v>11942.9</v>
      </c>
      <c r="C140" s="5">
        <v>0</v>
      </c>
      <c r="D140" s="5">
        <v>10601.1</v>
      </c>
      <c r="E140" s="5">
        <v>0</v>
      </c>
      <c r="G140" s="5">
        <v>11348</v>
      </c>
      <c r="H140" s="5">
        <v>0</v>
      </c>
      <c r="I140" s="5">
        <v>11348</v>
      </c>
      <c r="J140" s="5">
        <v>0</v>
      </c>
      <c r="L140" s="5">
        <v>12932.5</v>
      </c>
      <c r="M140" s="5">
        <v>9</v>
      </c>
      <c r="N140" s="5">
        <v>10615.5</v>
      </c>
      <c r="O140" s="5">
        <v>0</v>
      </c>
      <c r="Q140" s="5">
        <v>12110.2</v>
      </c>
      <c r="R140" s="5">
        <v>0</v>
      </c>
      <c r="S140" s="5">
        <v>11660.9</v>
      </c>
      <c r="T140" s="5">
        <v>0</v>
      </c>
      <c r="V140" s="5">
        <v>10601.1</v>
      </c>
      <c r="W140" s="5">
        <v>0</v>
      </c>
      <c r="X140" s="5">
        <v>0</v>
      </c>
    </row>
    <row r="141" spans="1:24" ht="12.75" customHeight="1">
      <c r="A141" s="6"/>
      <c r="B141" s="5">
        <v>5524.5</v>
      </c>
      <c r="C141" s="5">
        <v>0</v>
      </c>
      <c r="D141" s="5">
        <v>6453.4</v>
      </c>
      <c r="E141" s="5">
        <v>11</v>
      </c>
      <c r="G141" s="5">
        <v>5538.7</v>
      </c>
      <c r="H141" s="5">
        <v>0</v>
      </c>
      <c r="I141" s="5">
        <v>8055.6</v>
      </c>
      <c r="J141" s="5">
        <v>32</v>
      </c>
      <c r="L141" s="5">
        <v>5925.2</v>
      </c>
      <c r="M141" s="5">
        <v>7</v>
      </c>
      <c r="N141" s="5">
        <v>6428</v>
      </c>
      <c r="O141" s="5">
        <v>12</v>
      </c>
      <c r="Q141" s="5">
        <v>5844.9</v>
      </c>
      <c r="R141" s="5">
        <v>2</v>
      </c>
      <c r="S141" s="5">
        <v>9659.9</v>
      </c>
      <c r="T141" s="5">
        <v>37</v>
      </c>
      <c r="V141" s="5">
        <v>6561</v>
      </c>
      <c r="W141" s="5">
        <v>11</v>
      </c>
      <c r="X141" s="5">
        <v>0</v>
      </c>
    </row>
    <row r="142" spans="1:24" ht="12.75" customHeight="1">
      <c r="A142" s="6"/>
      <c r="B142" s="5">
        <v>9548.6</v>
      </c>
      <c r="C142" s="5">
        <v>0</v>
      </c>
      <c r="D142" s="5">
        <v>9045.9</v>
      </c>
      <c r="E142" s="5">
        <v>0</v>
      </c>
      <c r="G142" s="5">
        <v>10093.9</v>
      </c>
      <c r="H142" s="5">
        <v>0</v>
      </c>
      <c r="I142" s="5">
        <v>8905.5</v>
      </c>
      <c r="J142" s="5">
        <v>0</v>
      </c>
      <c r="L142" s="5">
        <v>8905.5</v>
      </c>
      <c r="M142" s="5">
        <v>0</v>
      </c>
      <c r="N142" s="5">
        <v>9493.6</v>
      </c>
      <c r="O142" s="5">
        <v>0</v>
      </c>
      <c r="Q142" s="5">
        <v>10210.700000000001</v>
      </c>
      <c r="R142" s="5">
        <v>6</v>
      </c>
      <c r="S142" s="5">
        <v>10162.299999999999</v>
      </c>
      <c r="T142" s="5">
        <v>0</v>
      </c>
      <c r="V142" s="5">
        <v>8905.5</v>
      </c>
      <c r="W142" s="5">
        <v>0</v>
      </c>
      <c r="X142" s="5">
        <v>0</v>
      </c>
    </row>
    <row r="143" spans="1:24" ht="12.75" customHeight="1">
      <c r="A143" s="6"/>
      <c r="B143" s="5">
        <v>11843.9</v>
      </c>
      <c r="C143" s="5">
        <v>0</v>
      </c>
      <c r="D143" s="5">
        <v>10725.9</v>
      </c>
      <c r="E143" s="5">
        <v>0</v>
      </c>
      <c r="G143" s="5">
        <v>11582.3</v>
      </c>
      <c r="H143" s="5">
        <v>0</v>
      </c>
      <c r="I143" s="5">
        <v>10177.6</v>
      </c>
      <c r="J143" s="5">
        <v>0</v>
      </c>
      <c r="L143" s="5">
        <v>11507.8</v>
      </c>
      <c r="M143" s="5">
        <v>0</v>
      </c>
      <c r="N143" s="5">
        <v>11096.3</v>
      </c>
      <c r="O143" s="5">
        <v>0</v>
      </c>
      <c r="Q143" s="5">
        <v>11633</v>
      </c>
      <c r="R143" s="5">
        <v>0</v>
      </c>
      <c r="S143" s="5">
        <v>14338.8</v>
      </c>
      <c r="T143" s="5">
        <v>6</v>
      </c>
      <c r="V143" s="5">
        <v>11582.3</v>
      </c>
      <c r="W143" s="5">
        <v>0</v>
      </c>
      <c r="X143" s="5">
        <v>1</v>
      </c>
    </row>
    <row r="144" spans="1:24" ht="12.75" customHeight="1">
      <c r="A144" s="6"/>
      <c r="B144" s="5">
        <v>9500.6</v>
      </c>
      <c r="C144" s="5">
        <v>0</v>
      </c>
      <c r="D144" s="5">
        <v>9194.9</v>
      </c>
      <c r="E144" s="5">
        <v>0</v>
      </c>
      <c r="G144" s="5">
        <v>9643.2000000000007</v>
      </c>
      <c r="H144" s="5">
        <v>0</v>
      </c>
      <c r="I144" s="5">
        <v>8911.5</v>
      </c>
      <c r="J144" s="5">
        <v>0</v>
      </c>
      <c r="L144" s="5">
        <v>10090.1</v>
      </c>
      <c r="M144" s="5">
        <v>0</v>
      </c>
      <c r="N144" s="5">
        <v>9103.5</v>
      </c>
      <c r="O144" s="5">
        <v>0</v>
      </c>
      <c r="Q144" s="5">
        <v>9069.4</v>
      </c>
      <c r="R144" s="5">
        <v>0</v>
      </c>
      <c r="S144" s="5">
        <v>9902.5</v>
      </c>
      <c r="T144" s="5">
        <v>6</v>
      </c>
      <c r="V144" s="5">
        <v>8911.5</v>
      </c>
      <c r="W144" s="5">
        <v>0</v>
      </c>
      <c r="X144" s="5">
        <v>0</v>
      </c>
    </row>
    <row r="145" spans="1:24" ht="12.75" customHeight="1">
      <c r="A145" s="6"/>
      <c r="B145" s="5">
        <v>9937.5</v>
      </c>
      <c r="C145" s="5">
        <v>0</v>
      </c>
      <c r="D145" s="5">
        <v>9222.6</v>
      </c>
      <c r="E145" s="5">
        <v>0</v>
      </c>
      <c r="G145" s="5">
        <v>12706.5</v>
      </c>
      <c r="H145" s="5">
        <v>25</v>
      </c>
      <c r="I145" s="5">
        <v>9798</v>
      </c>
      <c r="J145" s="5">
        <v>0</v>
      </c>
      <c r="L145" s="5">
        <v>9990.7000000000007</v>
      </c>
      <c r="M145" s="5">
        <v>0</v>
      </c>
      <c r="N145" s="5">
        <v>9606.6</v>
      </c>
      <c r="O145" s="5">
        <v>0</v>
      </c>
      <c r="Q145" s="5">
        <v>11145.8</v>
      </c>
      <c r="R145" s="5">
        <v>4</v>
      </c>
      <c r="S145" s="5">
        <v>10691.8</v>
      </c>
      <c r="T145" s="5">
        <v>0</v>
      </c>
      <c r="V145" s="5">
        <v>9898</v>
      </c>
      <c r="W145" s="5">
        <v>1</v>
      </c>
      <c r="X145" s="5">
        <v>0</v>
      </c>
    </row>
    <row r="146" spans="1:24" ht="12.75" customHeight="1">
      <c r="A146" s="6"/>
      <c r="B146" s="5">
        <v>9889.7999999999993</v>
      </c>
      <c r="C146" s="5">
        <v>0</v>
      </c>
      <c r="D146" s="5">
        <v>9007.2999999999993</v>
      </c>
      <c r="E146" s="5">
        <v>0</v>
      </c>
      <c r="G146" s="5">
        <v>9324.7000000000007</v>
      </c>
      <c r="H146" s="5">
        <v>0</v>
      </c>
      <c r="I146" s="5">
        <v>9459.7000000000007</v>
      </c>
      <c r="J146" s="5">
        <v>0</v>
      </c>
      <c r="L146" s="5">
        <v>10727</v>
      </c>
      <c r="M146" s="5">
        <v>6</v>
      </c>
      <c r="N146" s="5">
        <v>9007.2999999999993</v>
      </c>
      <c r="O146" s="5">
        <v>0</v>
      </c>
      <c r="Q146" s="5">
        <v>12014.3</v>
      </c>
      <c r="R146" s="5">
        <v>0</v>
      </c>
      <c r="S146" s="5">
        <v>9504.2000000000007</v>
      </c>
      <c r="T146" s="5">
        <v>0</v>
      </c>
      <c r="V146" s="5">
        <v>9007.2999999999993</v>
      </c>
      <c r="W146" s="5">
        <v>0</v>
      </c>
      <c r="X146" s="5">
        <v>0</v>
      </c>
    </row>
    <row r="147" spans="1:24" ht="12.75" customHeight="1">
      <c r="A147" s="6"/>
      <c r="B147" s="5">
        <v>10885.3</v>
      </c>
      <c r="C147" s="5">
        <v>0</v>
      </c>
      <c r="D147" s="5">
        <v>10845.3</v>
      </c>
      <c r="E147" s="5">
        <v>0</v>
      </c>
      <c r="G147" s="5">
        <v>11320.5</v>
      </c>
      <c r="H147" s="5">
        <v>0</v>
      </c>
      <c r="I147" s="5">
        <v>11835.7</v>
      </c>
      <c r="J147" s="5">
        <v>15</v>
      </c>
      <c r="L147" s="5">
        <v>11552.5</v>
      </c>
      <c r="M147" s="5">
        <v>0</v>
      </c>
      <c r="N147" s="5">
        <v>10200.5</v>
      </c>
      <c r="O147" s="5">
        <v>0</v>
      </c>
      <c r="Q147" s="5">
        <v>11143.8</v>
      </c>
      <c r="R147" s="5">
        <v>0</v>
      </c>
      <c r="S147" s="5">
        <v>12045.7</v>
      </c>
      <c r="T147" s="5">
        <v>0</v>
      </c>
      <c r="V147" s="5">
        <v>10245.799999999999</v>
      </c>
      <c r="W147" s="5">
        <v>0</v>
      </c>
      <c r="X147" s="5">
        <v>0</v>
      </c>
    </row>
    <row r="148" spans="1:24" ht="12.75" customHeight="1">
      <c r="A148" s="6"/>
      <c r="B148" s="5">
        <v>9961.6</v>
      </c>
      <c r="C148" s="5">
        <v>0</v>
      </c>
      <c r="D148" s="5">
        <v>9693.9</v>
      </c>
      <c r="E148" s="5">
        <v>0</v>
      </c>
      <c r="G148" s="5">
        <v>9723.2999999999993</v>
      </c>
      <c r="H148" s="5">
        <v>0</v>
      </c>
      <c r="I148" s="5">
        <v>9206</v>
      </c>
      <c r="J148" s="5">
        <v>0</v>
      </c>
      <c r="L148" s="5">
        <v>9961.6</v>
      </c>
      <c r="M148" s="5">
        <v>0</v>
      </c>
      <c r="N148" s="5">
        <v>9693.9</v>
      </c>
      <c r="O148" s="5">
        <v>0</v>
      </c>
      <c r="Q148" s="5">
        <v>16623.5</v>
      </c>
      <c r="R148" s="5">
        <v>41</v>
      </c>
      <c r="S148" s="5">
        <v>12888.4</v>
      </c>
      <c r="T148" s="5">
        <v>0</v>
      </c>
      <c r="V148" s="5">
        <v>9693.9</v>
      </c>
      <c r="W148" s="5">
        <v>0</v>
      </c>
      <c r="X148" s="5">
        <v>1</v>
      </c>
    </row>
    <row r="149" spans="1:24" ht="12.75" customHeight="1">
      <c r="A149" s="6"/>
      <c r="B149" s="5">
        <v>7272.6</v>
      </c>
      <c r="C149" s="5">
        <v>1</v>
      </c>
      <c r="D149" s="5">
        <v>7220.2</v>
      </c>
      <c r="E149" s="5">
        <v>0</v>
      </c>
      <c r="G149" s="5">
        <v>8227.6</v>
      </c>
      <c r="H149" s="5">
        <v>0</v>
      </c>
      <c r="I149" s="5">
        <v>8168</v>
      </c>
      <c r="J149" s="5">
        <v>3</v>
      </c>
      <c r="L149" s="5">
        <v>8277.9</v>
      </c>
      <c r="M149" s="5">
        <v>0</v>
      </c>
      <c r="N149" s="5">
        <v>7172.6</v>
      </c>
      <c r="O149" s="5">
        <v>0</v>
      </c>
      <c r="Q149" s="5">
        <v>12326.5</v>
      </c>
      <c r="R149" s="5">
        <v>23</v>
      </c>
      <c r="S149" s="5">
        <v>10948.9</v>
      </c>
      <c r="T149" s="5">
        <v>16</v>
      </c>
      <c r="V149" s="5">
        <v>8002.9</v>
      </c>
      <c r="W149" s="5">
        <v>0</v>
      </c>
      <c r="X149" s="5">
        <v>0</v>
      </c>
    </row>
    <row r="150" spans="1:24" ht="12.75" customHeight="1">
      <c r="A150" s="6"/>
      <c r="B150" s="5">
        <v>8243.5</v>
      </c>
      <c r="C150" s="5">
        <v>0</v>
      </c>
      <c r="D150" s="5">
        <v>7685.5</v>
      </c>
      <c r="E150" s="5">
        <v>0</v>
      </c>
      <c r="G150" s="5">
        <v>8676.6</v>
      </c>
      <c r="H150" s="5">
        <v>5</v>
      </c>
      <c r="I150" s="5">
        <v>7939.7</v>
      </c>
      <c r="J150" s="5">
        <v>0</v>
      </c>
      <c r="L150" s="5">
        <v>8483.2000000000007</v>
      </c>
      <c r="M150" s="5">
        <v>0</v>
      </c>
      <c r="N150" s="5">
        <v>7685.5</v>
      </c>
      <c r="O150" s="5">
        <v>0</v>
      </c>
      <c r="Q150" s="5">
        <v>7917.3</v>
      </c>
      <c r="R150" s="5">
        <v>0</v>
      </c>
      <c r="S150" s="5">
        <v>7521.7</v>
      </c>
      <c r="T150" s="5">
        <v>0</v>
      </c>
      <c r="V150" s="5">
        <v>7685.5</v>
      </c>
      <c r="W150" s="5">
        <v>0</v>
      </c>
      <c r="X150" s="5">
        <v>0</v>
      </c>
    </row>
    <row r="151" spans="1:24" ht="12.75" customHeight="1">
      <c r="A151" s="6"/>
      <c r="B151" s="5">
        <v>9233.2999999999993</v>
      </c>
      <c r="C151" s="5">
        <v>0</v>
      </c>
      <c r="D151" s="5">
        <v>9121.6</v>
      </c>
      <c r="E151" s="5">
        <v>0</v>
      </c>
      <c r="G151" s="5">
        <v>9550.2999999999993</v>
      </c>
      <c r="H151" s="5">
        <v>0</v>
      </c>
      <c r="I151" s="5">
        <v>8783.6</v>
      </c>
      <c r="J151" s="5">
        <v>0</v>
      </c>
      <c r="L151" s="5">
        <v>8920.9</v>
      </c>
      <c r="M151" s="5">
        <v>0</v>
      </c>
      <c r="N151" s="5">
        <v>8783.6</v>
      </c>
      <c r="O151" s="5">
        <v>0</v>
      </c>
      <c r="Q151" s="5">
        <v>10680.3</v>
      </c>
      <c r="R151" s="5">
        <v>0</v>
      </c>
      <c r="S151" s="5">
        <v>11179.3</v>
      </c>
      <c r="T151" s="5">
        <v>0</v>
      </c>
      <c r="V151" s="5">
        <v>9848.5</v>
      </c>
      <c r="W151" s="5">
        <v>0</v>
      </c>
      <c r="X151" s="5">
        <v>0</v>
      </c>
    </row>
    <row r="152" spans="1:24" ht="12.75" customHeight="1">
      <c r="A152" s="6"/>
      <c r="B152" s="5">
        <v>11449.6</v>
      </c>
      <c r="C152" s="5">
        <v>0</v>
      </c>
      <c r="D152" s="5">
        <v>11967.2</v>
      </c>
      <c r="E152" s="5">
        <v>14</v>
      </c>
      <c r="G152" s="5">
        <v>12188.6</v>
      </c>
      <c r="H152" s="5">
        <v>0</v>
      </c>
      <c r="I152" s="5">
        <v>10510.8</v>
      </c>
      <c r="J152" s="5">
        <v>0</v>
      </c>
      <c r="L152" s="5">
        <v>11630.8</v>
      </c>
      <c r="M152" s="5">
        <v>0</v>
      </c>
      <c r="N152" s="5">
        <v>11583.2</v>
      </c>
      <c r="O152" s="5">
        <v>0</v>
      </c>
      <c r="Q152" s="5">
        <v>12503.2</v>
      </c>
      <c r="R152" s="5">
        <v>0</v>
      </c>
      <c r="S152" s="5">
        <v>13948.6</v>
      </c>
      <c r="T152" s="5">
        <v>0</v>
      </c>
      <c r="V152" s="5">
        <v>11421.2</v>
      </c>
      <c r="W152" s="5">
        <v>0</v>
      </c>
      <c r="X152" s="5">
        <v>0</v>
      </c>
    </row>
    <row r="153" spans="1:24" ht="12.75" customHeight="1">
      <c r="A153" s="6"/>
      <c r="B153" s="5">
        <v>12085.8</v>
      </c>
      <c r="C153" s="5">
        <v>18</v>
      </c>
      <c r="D153" s="5">
        <v>10173.799999999999</v>
      </c>
      <c r="E153" s="5">
        <v>0</v>
      </c>
      <c r="G153" s="5">
        <v>10618.7</v>
      </c>
      <c r="H153" s="5">
        <v>0</v>
      </c>
      <c r="I153" s="5">
        <v>10274.1</v>
      </c>
      <c r="J153" s="5">
        <v>0</v>
      </c>
      <c r="L153" s="5">
        <v>10623.8</v>
      </c>
      <c r="M153" s="5">
        <v>0</v>
      </c>
      <c r="N153" s="5">
        <v>10272.799999999999</v>
      </c>
      <c r="O153" s="5">
        <v>0</v>
      </c>
      <c r="Q153" s="5">
        <v>11421.2</v>
      </c>
      <c r="R153" s="5">
        <v>0</v>
      </c>
      <c r="S153" s="5">
        <v>11649.4</v>
      </c>
      <c r="T153" s="5">
        <v>0</v>
      </c>
      <c r="V153" s="5">
        <v>10346.6</v>
      </c>
      <c r="W153" s="5">
        <v>0</v>
      </c>
      <c r="X153" s="5">
        <v>0</v>
      </c>
    </row>
    <row r="154" spans="1:24" ht="12.75" customHeight="1">
      <c r="A154" s="6"/>
      <c r="B154" s="5">
        <v>10043.700000000001</v>
      </c>
      <c r="C154" s="5">
        <v>0</v>
      </c>
      <c r="D154" s="5">
        <v>9788.9</v>
      </c>
      <c r="E154" s="5">
        <v>0</v>
      </c>
      <c r="G154" s="5">
        <v>10465.200000000001</v>
      </c>
      <c r="H154" s="5">
        <v>0</v>
      </c>
      <c r="I154" s="5">
        <v>9295.6</v>
      </c>
      <c r="J154" s="5">
        <v>0</v>
      </c>
      <c r="L154" s="5">
        <v>10083.700000000001</v>
      </c>
      <c r="M154" s="5">
        <v>0</v>
      </c>
      <c r="N154" s="5">
        <v>9327.6</v>
      </c>
      <c r="O154" s="5">
        <v>0</v>
      </c>
      <c r="Q154" s="5">
        <v>10238.9</v>
      </c>
      <c r="R154" s="5">
        <v>0</v>
      </c>
      <c r="S154" s="5">
        <v>11455.8</v>
      </c>
      <c r="T154" s="5">
        <v>0</v>
      </c>
      <c r="V154" s="5">
        <v>9343.2000000000007</v>
      </c>
      <c r="W154" s="5">
        <v>0</v>
      </c>
      <c r="X154" s="5">
        <v>1</v>
      </c>
    </row>
    <row r="155" spans="1:24" ht="12.75" customHeight="1">
      <c r="A155" s="6"/>
      <c r="B155" s="5">
        <v>9338.5</v>
      </c>
      <c r="C155" s="5">
        <v>12</v>
      </c>
      <c r="D155" s="5">
        <v>8106.6</v>
      </c>
      <c r="E155" s="5">
        <v>1</v>
      </c>
      <c r="G155" s="5">
        <v>8672.4</v>
      </c>
      <c r="H155" s="5">
        <v>0</v>
      </c>
      <c r="I155" s="5">
        <v>8576.5</v>
      </c>
      <c r="J155" s="5">
        <v>0</v>
      </c>
      <c r="L155" s="5">
        <v>8616.4</v>
      </c>
      <c r="M155" s="5">
        <v>0</v>
      </c>
      <c r="N155" s="5">
        <v>8607.2000000000007</v>
      </c>
      <c r="O155" s="5">
        <v>0</v>
      </c>
      <c r="Q155" s="5">
        <v>8319.2000000000007</v>
      </c>
      <c r="R155" s="5">
        <v>0</v>
      </c>
      <c r="S155" s="5">
        <v>8333.5</v>
      </c>
      <c r="T155" s="5">
        <v>0</v>
      </c>
      <c r="V155" s="5">
        <v>8088.1</v>
      </c>
      <c r="W155" s="5">
        <v>0</v>
      </c>
      <c r="X155" s="5">
        <v>0</v>
      </c>
    </row>
    <row r="156" spans="1:24" ht="12.75" customHeight="1">
      <c r="A156" s="6"/>
      <c r="B156" s="5">
        <v>15397.9</v>
      </c>
      <c r="C156" s="5">
        <v>27</v>
      </c>
      <c r="D156" s="5">
        <v>13418.7</v>
      </c>
      <c r="E156" s="5">
        <v>12</v>
      </c>
      <c r="G156" s="5">
        <v>12460.6</v>
      </c>
      <c r="H156" s="5">
        <v>0</v>
      </c>
      <c r="I156" s="5">
        <v>13574.7</v>
      </c>
      <c r="J156" s="5">
        <v>13</v>
      </c>
      <c r="L156" s="5">
        <v>15977.6</v>
      </c>
      <c r="M156" s="5">
        <v>35</v>
      </c>
      <c r="N156" s="5">
        <v>13754.3</v>
      </c>
      <c r="O156" s="5">
        <v>13</v>
      </c>
      <c r="Q156" s="5">
        <v>13025.3</v>
      </c>
      <c r="R156" s="5">
        <v>3</v>
      </c>
      <c r="S156" s="5">
        <v>13189.2</v>
      </c>
      <c r="T156" s="5">
        <v>0</v>
      </c>
      <c r="V156" s="5">
        <v>12925.9</v>
      </c>
      <c r="W156" s="5">
        <v>0</v>
      </c>
      <c r="X156" s="5">
        <v>0</v>
      </c>
    </row>
    <row r="157" spans="1:24" ht="12.75" customHeight="1">
      <c r="A157" s="6"/>
      <c r="B157" s="5">
        <v>9089</v>
      </c>
      <c r="C157" s="5">
        <v>0</v>
      </c>
      <c r="D157" s="5">
        <v>8618.2999999999993</v>
      </c>
      <c r="E157" s="5">
        <v>0</v>
      </c>
      <c r="G157" s="5">
        <v>9586.6</v>
      </c>
      <c r="H157" s="5">
        <v>0</v>
      </c>
      <c r="I157" s="5">
        <v>8698.1</v>
      </c>
      <c r="J157" s="5">
        <v>0</v>
      </c>
      <c r="L157" s="5">
        <v>9010</v>
      </c>
      <c r="M157" s="5">
        <v>0</v>
      </c>
      <c r="N157" s="5">
        <v>9325.7000000000007</v>
      </c>
      <c r="O157" s="5">
        <v>0</v>
      </c>
      <c r="Q157" s="5">
        <v>9889.1</v>
      </c>
      <c r="R157" s="5">
        <v>0</v>
      </c>
      <c r="S157" s="5">
        <v>15554.8</v>
      </c>
      <c r="T157" s="5">
        <v>56</v>
      </c>
      <c r="V157" s="5">
        <v>9277.7999999999993</v>
      </c>
      <c r="W157" s="5">
        <v>0</v>
      </c>
      <c r="X157" s="5">
        <v>0</v>
      </c>
    </row>
    <row r="158" spans="1:24" ht="12.75" customHeight="1">
      <c r="A158" s="6"/>
      <c r="B158" s="5">
        <v>14503.7</v>
      </c>
      <c r="C158" s="5">
        <v>0</v>
      </c>
      <c r="D158" s="5">
        <v>14563.9</v>
      </c>
      <c r="E158" s="5">
        <v>0</v>
      </c>
      <c r="G158" s="5">
        <v>18142.099999999999</v>
      </c>
      <c r="H158" s="5">
        <v>29</v>
      </c>
      <c r="I158" s="5">
        <v>15120.6</v>
      </c>
      <c r="J158" s="5">
        <v>0</v>
      </c>
      <c r="L158" s="5">
        <v>15328.3</v>
      </c>
      <c r="M158" s="5">
        <v>0</v>
      </c>
      <c r="N158" s="5">
        <v>14563.9</v>
      </c>
      <c r="O158" s="5">
        <v>0</v>
      </c>
      <c r="Q158" s="5">
        <v>17473.5</v>
      </c>
      <c r="R158" s="5">
        <v>14</v>
      </c>
      <c r="S158" s="5">
        <v>17585</v>
      </c>
      <c r="T158" s="5">
        <v>16</v>
      </c>
      <c r="V158" s="5">
        <v>14563.9</v>
      </c>
      <c r="W158" s="5">
        <v>0</v>
      </c>
      <c r="X158" s="5">
        <v>0</v>
      </c>
    </row>
    <row r="159" spans="1:24" ht="12.75" customHeight="1">
      <c r="A159" s="6"/>
      <c r="B159" s="5">
        <v>10955.2</v>
      </c>
      <c r="C159" s="5">
        <v>0</v>
      </c>
      <c r="D159" s="5">
        <v>10655.4</v>
      </c>
      <c r="E159" s="5">
        <v>0</v>
      </c>
      <c r="G159" s="5">
        <v>10754.7</v>
      </c>
      <c r="H159" s="5">
        <v>0</v>
      </c>
      <c r="I159" s="5">
        <v>10655.4</v>
      </c>
      <c r="J159" s="5">
        <v>0</v>
      </c>
      <c r="L159" s="5">
        <v>13113.3</v>
      </c>
      <c r="M159" s="5">
        <v>15</v>
      </c>
      <c r="N159" s="5">
        <v>10655.4</v>
      </c>
      <c r="O159" s="5">
        <v>0</v>
      </c>
      <c r="Q159" s="5">
        <v>11849.5</v>
      </c>
      <c r="R159" s="5">
        <v>0</v>
      </c>
      <c r="S159" s="5">
        <v>10773.4</v>
      </c>
      <c r="T159" s="5">
        <v>0</v>
      </c>
      <c r="V159" s="5">
        <v>10655.4</v>
      </c>
      <c r="W159" s="5">
        <v>0</v>
      </c>
      <c r="X159" s="5">
        <v>1</v>
      </c>
    </row>
    <row r="160" spans="1:24" ht="12.75" customHeight="1">
      <c r="A160" s="6"/>
      <c r="B160" s="5">
        <v>10311.299999999999</v>
      </c>
      <c r="C160" s="5">
        <v>3</v>
      </c>
      <c r="D160" s="5">
        <v>10128.299999999999</v>
      </c>
      <c r="E160" s="5">
        <v>3</v>
      </c>
      <c r="G160" s="5">
        <v>10555.2</v>
      </c>
      <c r="H160" s="5">
        <v>2</v>
      </c>
      <c r="I160" s="5">
        <v>10537.3</v>
      </c>
      <c r="J160" s="5">
        <v>0</v>
      </c>
      <c r="L160" s="5">
        <v>10411.299999999999</v>
      </c>
      <c r="M160" s="5">
        <v>0</v>
      </c>
      <c r="N160" s="5">
        <v>10526.9</v>
      </c>
      <c r="O160" s="5">
        <v>3</v>
      </c>
      <c r="Q160" s="5">
        <v>14872.9</v>
      </c>
      <c r="R160" s="5">
        <v>41</v>
      </c>
      <c r="S160" s="5">
        <v>10463.5</v>
      </c>
      <c r="T160" s="5">
        <v>2</v>
      </c>
      <c r="V160" s="5">
        <v>10044.299999999999</v>
      </c>
      <c r="W160" s="5">
        <v>2</v>
      </c>
      <c r="X160" s="5">
        <v>0</v>
      </c>
    </row>
    <row r="161" spans="1:24" ht="12.75" customHeight="1">
      <c r="A161" s="6"/>
      <c r="B161" s="5">
        <v>10925.5</v>
      </c>
      <c r="C161" s="5">
        <v>6</v>
      </c>
      <c r="D161" s="5">
        <v>10129.299999999999</v>
      </c>
      <c r="E161" s="5">
        <v>6</v>
      </c>
      <c r="G161" s="5">
        <v>11121.3</v>
      </c>
      <c r="H161" s="5">
        <v>6</v>
      </c>
      <c r="I161" s="5">
        <v>9529.2999999999993</v>
      </c>
      <c r="J161" s="5">
        <v>0</v>
      </c>
      <c r="L161" s="5">
        <v>10521.3</v>
      </c>
      <c r="M161" s="5">
        <v>0</v>
      </c>
      <c r="N161" s="5">
        <v>12382.9</v>
      </c>
      <c r="O161" s="5">
        <v>27</v>
      </c>
      <c r="Q161" s="5">
        <v>13530.8</v>
      </c>
      <c r="R161" s="5">
        <v>17</v>
      </c>
      <c r="S161" s="5">
        <v>17552.599999999999</v>
      </c>
      <c r="T161" s="5">
        <v>47</v>
      </c>
      <c r="V161" s="5">
        <v>9473.2999999999993</v>
      </c>
      <c r="W161" s="5">
        <v>0</v>
      </c>
      <c r="X161" s="5">
        <v>0</v>
      </c>
    </row>
    <row r="162" spans="1:24" ht="12.75" customHeight="1">
      <c r="A162" s="6"/>
      <c r="B162" s="5">
        <v>11674.9</v>
      </c>
      <c r="C162" s="5">
        <v>0</v>
      </c>
      <c r="D162" s="5">
        <v>11468</v>
      </c>
      <c r="E162" s="5">
        <v>4</v>
      </c>
      <c r="G162" s="5">
        <v>11392.3</v>
      </c>
      <c r="H162" s="5">
        <v>0</v>
      </c>
      <c r="I162" s="5">
        <v>10898.1</v>
      </c>
      <c r="J162" s="5">
        <v>0</v>
      </c>
      <c r="L162" s="5">
        <v>11189.4</v>
      </c>
      <c r="M162" s="5">
        <v>0</v>
      </c>
      <c r="N162" s="5">
        <v>10882.8</v>
      </c>
      <c r="O162" s="5">
        <v>0</v>
      </c>
      <c r="Q162" s="5">
        <v>11883.1</v>
      </c>
      <c r="R162" s="5">
        <v>0</v>
      </c>
      <c r="S162" s="5">
        <v>12604.4</v>
      </c>
      <c r="T162" s="5">
        <v>0</v>
      </c>
      <c r="V162" s="5">
        <v>11295.4</v>
      </c>
      <c r="W162" s="5">
        <v>0</v>
      </c>
      <c r="X162" s="5">
        <v>0</v>
      </c>
    </row>
    <row r="163" spans="1:24" ht="12.75" customHeight="1">
      <c r="A163" s="6"/>
      <c r="B163" s="5">
        <v>9006</v>
      </c>
      <c r="C163" s="5">
        <v>3</v>
      </c>
      <c r="D163" s="5">
        <v>9916.9</v>
      </c>
      <c r="E163" s="5">
        <v>10</v>
      </c>
      <c r="G163" s="5">
        <v>8975.6</v>
      </c>
      <c r="H163" s="5">
        <v>2</v>
      </c>
      <c r="I163" s="5">
        <v>9985.6</v>
      </c>
      <c r="J163" s="5">
        <v>10</v>
      </c>
      <c r="L163" s="5">
        <v>9205.2000000000007</v>
      </c>
      <c r="M163" s="5">
        <v>1</v>
      </c>
      <c r="N163" s="5">
        <v>8774</v>
      </c>
      <c r="O163" s="5">
        <v>1</v>
      </c>
      <c r="Q163" s="5">
        <v>9431.6</v>
      </c>
      <c r="R163" s="5">
        <v>2</v>
      </c>
      <c r="S163" s="5">
        <v>10067.5</v>
      </c>
      <c r="T163" s="5">
        <v>0</v>
      </c>
      <c r="V163" s="5">
        <v>8974</v>
      </c>
      <c r="W163" s="5">
        <v>3</v>
      </c>
      <c r="X163" s="5">
        <v>0</v>
      </c>
    </row>
    <row r="164" spans="1:24" ht="12.75" customHeight="1">
      <c r="A164" s="6"/>
      <c r="B164" s="5">
        <v>12318.1</v>
      </c>
      <c r="C164" s="5">
        <v>6</v>
      </c>
      <c r="D164" s="5">
        <v>11303.7</v>
      </c>
      <c r="E164" s="5">
        <v>0</v>
      </c>
      <c r="G164" s="5">
        <v>11892.7</v>
      </c>
      <c r="H164" s="5">
        <v>0</v>
      </c>
      <c r="I164" s="5">
        <v>11753.3</v>
      </c>
      <c r="J164" s="5">
        <v>0</v>
      </c>
      <c r="L164" s="5">
        <v>12198.9</v>
      </c>
      <c r="M164" s="5">
        <v>0</v>
      </c>
      <c r="N164" s="5">
        <v>12280.1</v>
      </c>
      <c r="O164" s="5">
        <v>6</v>
      </c>
      <c r="Q164" s="5">
        <v>12238.6</v>
      </c>
      <c r="R164" s="5">
        <v>0</v>
      </c>
      <c r="S164" s="5">
        <v>12802.5</v>
      </c>
      <c r="T164" s="5">
        <v>6</v>
      </c>
      <c r="V164" s="5">
        <v>11215.9</v>
      </c>
      <c r="W164" s="5">
        <v>0</v>
      </c>
      <c r="X164" s="5">
        <v>1</v>
      </c>
    </row>
    <row r="165" spans="1:24" ht="12.75" customHeight="1">
      <c r="A165" s="6"/>
      <c r="B165" s="5">
        <v>10166.4</v>
      </c>
      <c r="C165" s="5">
        <v>0</v>
      </c>
      <c r="D165" s="5">
        <v>9460.1</v>
      </c>
      <c r="E165" s="5">
        <v>0</v>
      </c>
      <c r="G165" s="5">
        <v>9694.2000000000007</v>
      </c>
      <c r="H165" s="5">
        <v>0</v>
      </c>
      <c r="I165" s="5">
        <v>10460.4</v>
      </c>
      <c r="J165" s="5">
        <v>0</v>
      </c>
      <c r="L165" s="5">
        <v>9597.2999999999993</v>
      </c>
      <c r="M165" s="5">
        <v>0</v>
      </c>
      <c r="N165" s="5">
        <v>9473.7999999999993</v>
      </c>
      <c r="O165" s="5">
        <v>0</v>
      </c>
      <c r="Q165" s="5">
        <v>12103.2</v>
      </c>
      <c r="R165" s="5">
        <v>0</v>
      </c>
      <c r="S165" s="5">
        <v>11758.3</v>
      </c>
      <c r="T165" s="5">
        <v>0</v>
      </c>
      <c r="V165" s="5">
        <v>9473.7999999999993</v>
      </c>
      <c r="W165" s="5">
        <v>0</v>
      </c>
      <c r="X165" s="5">
        <v>0</v>
      </c>
    </row>
    <row r="166" spans="1:24" ht="12.75" customHeight="1">
      <c r="A166" s="6"/>
      <c r="B166" s="5">
        <v>10728</v>
      </c>
      <c r="C166" s="5">
        <v>0</v>
      </c>
      <c r="D166" s="5">
        <v>10142.799999999999</v>
      </c>
      <c r="E166" s="5">
        <v>0</v>
      </c>
      <c r="G166" s="5">
        <v>10729.9</v>
      </c>
      <c r="H166" s="5">
        <v>0</v>
      </c>
      <c r="I166" s="5">
        <v>9965.1</v>
      </c>
      <c r="J166" s="5">
        <v>0</v>
      </c>
      <c r="L166" s="5">
        <v>11106.9</v>
      </c>
      <c r="M166" s="5">
        <v>0</v>
      </c>
      <c r="N166" s="5">
        <v>9967</v>
      </c>
      <c r="O166" s="5">
        <v>0</v>
      </c>
      <c r="Q166" s="5">
        <v>10470</v>
      </c>
      <c r="R166" s="5">
        <v>0</v>
      </c>
      <c r="S166" s="5">
        <v>11993.7</v>
      </c>
      <c r="T166" s="5">
        <v>0</v>
      </c>
      <c r="V166" s="5">
        <v>9991</v>
      </c>
      <c r="W166" s="5">
        <v>0</v>
      </c>
      <c r="X166" s="5">
        <v>0</v>
      </c>
    </row>
    <row r="167" spans="1:24" ht="12.75" customHeight="1">
      <c r="A167" s="6"/>
      <c r="B167" s="5">
        <v>8575.2000000000007</v>
      </c>
      <c r="C167" s="5">
        <v>0</v>
      </c>
      <c r="D167" s="5">
        <v>8794.9</v>
      </c>
      <c r="E167" s="5">
        <v>0</v>
      </c>
      <c r="G167" s="5">
        <v>8559.2000000000007</v>
      </c>
      <c r="H167" s="5">
        <v>0</v>
      </c>
      <c r="I167" s="5">
        <v>8393.4</v>
      </c>
      <c r="J167" s="5">
        <v>1</v>
      </c>
      <c r="L167" s="5">
        <v>8786.9</v>
      </c>
      <c r="M167" s="5">
        <v>0</v>
      </c>
      <c r="N167" s="5">
        <v>8418</v>
      </c>
      <c r="O167" s="5">
        <v>0</v>
      </c>
      <c r="Q167" s="5">
        <v>9297.5</v>
      </c>
      <c r="R167" s="5">
        <v>0</v>
      </c>
      <c r="S167" s="5">
        <v>10550.2</v>
      </c>
      <c r="T167" s="5">
        <v>0</v>
      </c>
      <c r="V167" s="5">
        <v>8880.5</v>
      </c>
      <c r="W167" s="5">
        <v>0</v>
      </c>
      <c r="X167" s="5">
        <v>0</v>
      </c>
    </row>
    <row r="168" spans="1:24" ht="12.75" customHeight="1">
      <c r="A168" s="6"/>
      <c r="B168" s="5">
        <v>10177</v>
      </c>
      <c r="C168" s="5">
        <v>0</v>
      </c>
      <c r="D168" s="5">
        <v>10024</v>
      </c>
      <c r="E168" s="5">
        <v>0</v>
      </c>
      <c r="G168" s="5">
        <v>10051</v>
      </c>
      <c r="H168" s="5">
        <v>0</v>
      </c>
      <c r="I168" s="5">
        <v>9474</v>
      </c>
      <c r="J168" s="5">
        <v>0</v>
      </c>
      <c r="L168" s="5">
        <v>9498</v>
      </c>
      <c r="M168" s="5">
        <v>0</v>
      </c>
      <c r="N168" s="5">
        <v>9506</v>
      </c>
      <c r="O168" s="5">
        <v>0</v>
      </c>
      <c r="Q168" s="5">
        <v>11854.6</v>
      </c>
      <c r="R168" s="5">
        <v>0</v>
      </c>
      <c r="S168" s="5">
        <v>12297</v>
      </c>
      <c r="T168" s="5">
        <v>0</v>
      </c>
      <c r="V168" s="5">
        <v>10338</v>
      </c>
      <c r="W168" s="5">
        <v>0</v>
      </c>
      <c r="X168" s="5">
        <v>0</v>
      </c>
    </row>
    <row r="169" spans="1:24" ht="12.75" customHeight="1">
      <c r="A169" s="6"/>
      <c r="B169" s="5">
        <v>8232.5</v>
      </c>
      <c r="C169" s="5">
        <v>0</v>
      </c>
      <c r="D169" s="5">
        <v>8614.1</v>
      </c>
      <c r="E169" s="5">
        <v>0</v>
      </c>
      <c r="G169" s="5">
        <v>8112.7</v>
      </c>
      <c r="H169" s="5">
        <v>0</v>
      </c>
      <c r="I169" s="5">
        <v>8204.7000000000007</v>
      </c>
      <c r="J169" s="5">
        <v>1</v>
      </c>
      <c r="L169" s="5">
        <v>11770.7</v>
      </c>
      <c r="M169" s="5">
        <v>32</v>
      </c>
      <c r="N169" s="5">
        <v>8356.5</v>
      </c>
      <c r="O169" s="5">
        <v>1</v>
      </c>
      <c r="Q169" s="5">
        <v>9017.7000000000007</v>
      </c>
      <c r="R169" s="5">
        <v>0</v>
      </c>
      <c r="S169" s="5">
        <v>8892.5</v>
      </c>
      <c r="T169" s="5">
        <v>1</v>
      </c>
      <c r="V169" s="5">
        <v>8160.7</v>
      </c>
      <c r="W169" s="5">
        <v>0</v>
      </c>
      <c r="X169" s="5">
        <v>1</v>
      </c>
    </row>
    <row r="170" spans="1:24" ht="12.75" customHeight="1">
      <c r="A170" s="6"/>
      <c r="B170" s="5">
        <v>13374</v>
      </c>
      <c r="C170" s="5">
        <v>0</v>
      </c>
      <c r="D170" s="5">
        <v>12795.4</v>
      </c>
      <c r="E170" s="5">
        <v>0</v>
      </c>
      <c r="G170" s="5">
        <v>13148.3</v>
      </c>
      <c r="H170" s="5">
        <v>0</v>
      </c>
      <c r="I170" s="5">
        <v>11994.8</v>
      </c>
      <c r="J170" s="5">
        <v>0</v>
      </c>
      <c r="L170" s="5">
        <v>12862.9</v>
      </c>
      <c r="M170" s="5">
        <v>0</v>
      </c>
      <c r="N170" s="5">
        <v>12726.8</v>
      </c>
      <c r="O170" s="5">
        <v>0</v>
      </c>
      <c r="Q170" s="5">
        <v>13507.9</v>
      </c>
      <c r="R170" s="5">
        <v>0</v>
      </c>
      <c r="S170" s="5">
        <v>15286.4</v>
      </c>
      <c r="T170" s="5">
        <v>0</v>
      </c>
      <c r="V170" s="5">
        <v>12630.8</v>
      </c>
      <c r="W170" s="5">
        <v>0</v>
      </c>
      <c r="X170" s="5">
        <v>0</v>
      </c>
    </row>
    <row r="171" spans="1:24" ht="12.75" customHeight="1">
      <c r="A171" s="6"/>
      <c r="B171" s="5">
        <v>9829.4</v>
      </c>
      <c r="C171" s="5">
        <v>0</v>
      </c>
      <c r="D171" s="5">
        <v>10096.5</v>
      </c>
      <c r="E171" s="5">
        <v>0</v>
      </c>
      <c r="G171" s="5">
        <v>9876</v>
      </c>
      <c r="H171" s="5">
        <v>0</v>
      </c>
      <c r="I171" s="5">
        <v>9215</v>
      </c>
      <c r="J171" s="5">
        <v>0</v>
      </c>
      <c r="L171" s="5">
        <v>9550.7000000000007</v>
      </c>
      <c r="M171" s="5">
        <v>0</v>
      </c>
      <c r="N171" s="5">
        <v>9697.6</v>
      </c>
      <c r="O171" s="5">
        <v>0</v>
      </c>
      <c r="Q171" s="5">
        <v>11028.1</v>
      </c>
      <c r="R171" s="5">
        <v>0</v>
      </c>
      <c r="S171" s="5">
        <v>10712.9</v>
      </c>
      <c r="T171" s="5">
        <v>0</v>
      </c>
      <c r="V171" s="5">
        <v>9550.7000000000007</v>
      </c>
      <c r="W171" s="5">
        <v>0</v>
      </c>
      <c r="X171" s="5">
        <v>0</v>
      </c>
    </row>
    <row r="172" spans="1:24" ht="12.75" customHeight="1">
      <c r="A172" s="6"/>
      <c r="B172" s="5">
        <v>12842.5</v>
      </c>
      <c r="C172" s="5">
        <v>0</v>
      </c>
      <c r="D172" s="5">
        <v>13977.6</v>
      </c>
      <c r="E172" s="5">
        <v>27</v>
      </c>
      <c r="G172" s="5">
        <v>15597.8</v>
      </c>
      <c r="H172" s="5">
        <v>22</v>
      </c>
      <c r="I172" s="5">
        <v>13977.6</v>
      </c>
      <c r="J172" s="5">
        <v>27</v>
      </c>
      <c r="L172" s="5">
        <v>15211.8</v>
      </c>
      <c r="M172" s="5">
        <v>27</v>
      </c>
      <c r="N172" s="5">
        <v>14582.7</v>
      </c>
      <c r="O172" s="5">
        <v>9</v>
      </c>
      <c r="Q172" s="5">
        <v>13718.2</v>
      </c>
      <c r="R172" s="5">
        <v>0</v>
      </c>
      <c r="S172" s="5">
        <v>15134.7</v>
      </c>
      <c r="T172" s="5">
        <v>13</v>
      </c>
      <c r="V172" s="5">
        <v>12248.3</v>
      </c>
      <c r="W172" s="5">
        <v>0</v>
      </c>
      <c r="X172" s="5">
        <v>0</v>
      </c>
    </row>
    <row r="173" spans="1:24" ht="12.75" customHeight="1">
      <c r="A173" s="6"/>
      <c r="B173" s="5">
        <v>14288.2</v>
      </c>
      <c r="C173" s="5">
        <v>0</v>
      </c>
      <c r="D173" s="5">
        <v>14288.2</v>
      </c>
      <c r="E173" s="5">
        <v>0</v>
      </c>
      <c r="G173" s="5">
        <v>14644.7</v>
      </c>
      <c r="H173" s="5">
        <v>0</v>
      </c>
      <c r="I173" s="5">
        <v>15351.6</v>
      </c>
      <c r="J173" s="5">
        <v>9</v>
      </c>
      <c r="L173" s="5">
        <v>14452.2</v>
      </c>
      <c r="M173" s="5">
        <v>0</v>
      </c>
      <c r="N173" s="5">
        <v>14288.2</v>
      </c>
      <c r="O173" s="5">
        <v>0</v>
      </c>
      <c r="Q173" s="5">
        <v>15401.9</v>
      </c>
      <c r="R173" s="5">
        <v>0</v>
      </c>
      <c r="S173" s="5">
        <v>15275.4</v>
      </c>
      <c r="T173" s="5">
        <v>0</v>
      </c>
      <c r="V173" s="5">
        <v>14159.6</v>
      </c>
      <c r="W173" s="5">
        <v>0</v>
      </c>
      <c r="X173" s="5">
        <v>0</v>
      </c>
    </row>
    <row r="174" spans="1:24" ht="12.75" customHeight="1">
      <c r="A174" s="6"/>
      <c r="B174" s="5">
        <v>7655.4</v>
      </c>
      <c r="C174" s="5">
        <v>0</v>
      </c>
      <c r="D174" s="5">
        <v>7869.4</v>
      </c>
      <c r="E174" s="5">
        <v>0</v>
      </c>
      <c r="G174" s="5">
        <v>8131.4</v>
      </c>
      <c r="H174" s="5">
        <v>0</v>
      </c>
      <c r="I174" s="5">
        <v>9053</v>
      </c>
      <c r="J174" s="5">
        <v>11</v>
      </c>
      <c r="L174" s="5">
        <v>8042.6</v>
      </c>
      <c r="M174" s="5">
        <v>0</v>
      </c>
      <c r="N174" s="5">
        <v>7869.4</v>
      </c>
      <c r="O174" s="5">
        <v>0</v>
      </c>
      <c r="Q174" s="5">
        <v>10283.799999999999</v>
      </c>
      <c r="R174" s="5">
        <v>10</v>
      </c>
      <c r="S174" s="5">
        <v>8888.9</v>
      </c>
      <c r="T174" s="5">
        <v>0</v>
      </c>
      <c r="V174" s="5">
        <v>7642.4</v>
      </c>
      <c r="W174" s="5">
        <v>0</v>
      </c>
      <c r="X174" s="5">
        <v>0</v>
      </c>
    </row>
    <row r="175" spans="1:24" ht="12.75" customHeight="1">
      <c r="A175" s="6"/>
      <c r="B175" s="5">
        <v>10547.9</v>
      </c>
      <c r="C175" s="5">
        <v>0</v>
      </c>
      <c r="D175" s="5">
        <v>10450.5</v>
      </c>
      <c r="E175" s="5">
        <v>0</v>
      </c>
      <c r="G175" s="5">
        <v>11860.6</v>
      </c>
      <c r="H175" s="5">
        <v>12</v>
      </c>
      <c r="I175" s="5">
        <v>9657.4</v>
      </c>
      <c r="J175" s="5">
        <v>0</v>
      </c>
      <c r="L175" s="5">
        <v>10574.2</v>
      </c>
      <c r="M175" s="5">
        <v>0</v>
      </c>
      <c r="N175" s="5">
        <v>10387.700000000001</v>
      </c>
      <c r="O175" s="5">
        <v>0</v>
      </c>
      <c r="Q175" s="5">
        <v>17573.8</v>
      </c>
      <c r="R175" s="5">
        <v>70</v>
      </c>
      <c r="S175" s="5">
        <v>11361.5</v>
      </c>
      <c r="T175" s="5">
        <v>0</v>
      </c>
      <c r="V175" s="5">
        <v>10298.799999999999</v>
      </c>
      <c r="W175" s="5">
        <v>0</v>
      </c>
      <c r="X175" s="5">
        <v>1</v>
      </c>
    </row>
    <row r="176" spans="1:24" ht="12.75" customHeight="1">
      <c r="A176" s="6"/>
      <c r="B176" s="5">
        <v>10088.5</v>
      </c>
      <c r="C176" s="5">
        <v>0</v>
      </c>
      <c r="D176" s="5">
        <v>12906.7</v>
      </c>
      <c r="E176" s="5">
        <v>27</v>
      </c>
      <c r="G176" s="5">
        <v>12582.6</v>
      </c>
      <c r="H176" s="5">
        <v>27</v>
      </c>
      <c r="I176" s="5">
        <v>13342.8</v>
      </c>
      <c r="J176" s="5">
        <v>36</v>
      </c>
      <c r="L176" s="5">
        <v>12680.4</v>
      </c>
      <c r="M176" s="5">
        <v>17</v>
      </c>
      <c r="N176" s="5">
        <v>12386.2</v>
      </c>
      <c r="O176" s="5">
        <v>27</v>
      </c>
      <c r="Q176" s="5">
        <v>12180.2</v>
      </c>
      <c r="R176" s="5">
        <v>14</v>
      </c>
      <c r="S176" s="5">
        <v>10706.4</v>
      </c>
      <c r="T176" s="5">
        <v>0</v>
      </c>
      <c r="V176" s="5">
        <v>10309.799999999999</v>
      </c>
      <c r="W176" s="5">
        <v>0</v>
      </c>
      <c r="X176" s="5">
        <v>0</v>
      </c>
    </row>
    <row r="177" spans="1:24" ht="12.75" customHeight="1">
      <c r="A177" s="6"/>
      <c r="B177" s="5">
        <v>8203.7999999999993</v>
      </c>
      <c r="C177" s="5">
        <v>0</v>
      </c>
      <c r="D177" s="5">
        <v>8512.5</v>
      </c>
      <c r="E177" s="5">
        <v>0</v>
      </c>
      <c r="G177" s="5">
        <v>10505.2</v>
      </c>
      <c r="H177" s="5">
        <v>16</v>
      </c>
      <c r="I177" s="5">
        <v>8171.8</v>
      </c>
      <c r="J177" s="5">
        <v>0</v>
      </c>
      <c r="L177" s="5">
        <v>9280.2999999999993</v>
      </c>
      <c r="M177" s="5">
        <v>0</v>
      </c>
      <c r="N177" s="5">
        <v>8163.8</v>
      </c>
      <c r="O177" s="5">
        <v>0</v>
      </c>
      <c r="Q177" s="5">
        <v>10708.6</v>
      </c>
      <c r="R177" s="5">
        <v>15</v>
      </c>
      <c r="S177" s="5">
        <v>10237.200000000001</v>
      </c>
      <c r="T177" s="5">
        <v>0</v>
      </c>
      <c r="V177" s="5">
        <v>8200.5</v>
      </c>
      <c r="W177" s="5">
        <v>0</v>
      </c>
      <c r="X177" s="5">
        <v>0</v>
      </c>
    </row>
    <row r="178" spans="1:24" ht="12.75" customHeight="1">
      <c r="A178" s="6"/>
      <c r="B178" s="5">
        <v>12128.6</v>
      </c>
      <c r="C178" s="5">
        <v>13</v>
      </c>
      <c r="D178" s="5">
        <v>11648.1</v>
      </c>
      <c r="E178" s="5">
        <v>8</v>
      </c>
      <c r="G178" s="5">
        <v>13124.1</v>
      </c>
      <c r="H178" s="5">
        <v>22</v>
      </c>
      <c r="I178" s="5">
        <v>17035.400000000001</v>
      </c>
      <c r="J178" s="5">
        <v>55</v>
      </c>
      <c r="L178" s="5">
        <v>11612.8</v>
      </c>
      <c r="M178" s="5">
        <v>11</v>
      </c>
      <c r="N178" s="5">
        <v>10683</v>
      </c>
      <c r="O178" s="5">
        <v>0</v>
      </c>
      <c r="Q178" s="5">
        <v>12544.3</v>
      </c>
      <c r="R178" s="5">
        <v>14</v>
      </c>
      <c r="S178" s="5">
        <v>11268.8</v>
      </c>
      <c r="T178" s="5">
        <v>0</v>
      </c>
      <c r="V178" s="5">
        <v>10848.1</v>
      </c>
      <c r="W178" s="5">
        <v>0</v>
      </c>
      <c r="X178" s="5">
        <v>0</v>
      </c>
    </row>
    <row r="179" spans="1:24" ht="12.75" customHeight="1">
      <c r="A179" s="6"/>
      <c r="B179" s="5">
        <v>10391.700000000001</v>
      </c>
      <c r="C179" s="5">
        <v>4</v>
      </c>
      <c r="D179" s="5">
        <v>9402.9</v>
      </c>
      <c r="E179" s="5">
        <v>2</v>
      </c>
      <c r="G179" s="5">
        <v>9769.5</v>
      </c>
      <c r="H179" s="5">
        <v>0</v>
      </c>
      <c r="I179" s="5">
        <v>9386.9</v>
      </c>
      <c r="J179" s="5">
        <v>2</v>
      </c>
      <c r="L179" s="5">
        <v>9806.2999999999993</v>
      </c>
      <c r="M179" s="5">
        <v>0</v>
      </c>
      <c r="N179" s="5">
        <v>10969</v>
      </c>
      <c r="O179" s="5">
        <v>15</v>
      </c>
      <c r="Q179" s="5">
        <v>9880.7999999999993</v>
      </c>
      <c r="R179" s="5">
        <v>0</v>
      </c>
      <c r="S179" s="5">
        <v>9843.7999999999993</v>
      </c>
      <c r="T179" s="5">
        <v>0</v>
      </c>
      <c r="V179" s="5">
        <v>9333.2999999999993</v>
      </c>
      <c r="W179" s="5">
        <v>0</v>
      </c>
      <c r="X179" s="5">
        <v>0</v>
      </c>
    </row>
    <row r="180" spans="1:24" ht="12.75" customHeight="1">
      <c r="A180" s="6"/>
      <c r="B180" s="5">
        <v>9721</v>
      </c>
      <c r="C180" s="5">
        <v>0</v>
      </c>
      <c r="D180" s="5">
        <v>9721.5</v>
      </c>
      <c r="E180" s="5">
        <v>0</v>
      </c>
      <c r="G180" s="5">
        <v>10206.1</v>
      </c>
      <c r="H180" s="5">
        <v>0</v>
      </c>
      <c r="I180" s="5">
        <v>9428</v>
      </c>
      <c r="J180" s="5">
        <v>0</v>
      </c>
      <c r="L180" s="5">
        <v>10468</v>
      </c>
      <c r="M180" s="5">
        <v>0</v>
      </c>
      <c r="N180" s="5">
        <v>9486.7000000000007</v>
      </c>
      <c r="O180" s="5">
        <v>0</v>
      </c>
      <c r="Q180" s="5">
        <v>9971.2000000000007</v>
      </c>
      <c r="R180" s="5">
        <v>0</v>
      </c>
      <c r="S180" s="5">
        <v>9471.2000000000007</v>
      </c>
      <c r="T180" s="5">
        <v>0</v>
      </c>
      <c r="V180" s="5">
        <v>9468.5</v>
      </c>
      <c r="W180" s="5">
        <v>0</v>
      </c>
      <c r="X180" s="5">
        <v>1</v>
      </c>
    </row>
    <row r="181" spans="1:24" ht="12.75" customHeight="1">
      <c r="A181" s="6"/>
      <c r="B181" s="5">
        <v>12921.6</v>
      </c>
      <c r="C181" s="5">
        <v>0</v>
      </c>
      <c r="D181" s="5">
        <v>12762</v>
      </c>
      <c r="E181" s="5">
        <v>0</v>
      </c>
      <c r="G181" s="5">
        <v>13407.3</v>
      </c>
      <c r="H181" s="5">
        <v>0</v>
      </c>
      <c r="I181" s="5">
        <v>11907.6</v>
      </c>
      <c r="J181" s="5">
        <v>1</v>
      </c>
      <c r="L181" s="5">
        <v>13447.7</v>
      </c>
      <c r="M181" s="5">
        <v>0</v>
      </c>
      <c r="N181" s="5">
        <v>12524.3</v>
      </c>
      <c r="O181" s="5">
        <v>0</v>
      </c>
      <c r="Q181" s="5">
        <v>14112.5</v>
      </c>
      <c r="R181" s="5">
        <v>0</v>
      </c>
      <c r="S181" s="5">
        <v>15548.7</v>
      </c>
      <c r="T181" s="5">
        <v>0</v>
      </c>
      <c r="V181" s="5">
        <v>11708.2</v>
      </c>
      <c r="W181" s="5">
        <v>0</v>
      </c>
      <c r="X181" s="5">
        <v>0</v>
      </c>
    </row>
    <row r="182" spans="1:24" ht="12.75" customHeight="1">
      <c r="A182" s="6"/>
      <c r="B182" s="5">
        <v>8611.7000000000007</v>
      </c>
      <c r="C182" s="5">
        <v>0</v>
      </c>
      <c r="D182" s="5">
        <v>8635.9</v>
      </c>
      <c r="E182" s="5">
        <v>0</v>
      </c>
      <c r="G182" s="5">
        <v>9310.7000000000007</v>
      </c>
      <c r="H182" s="5">
        <v>0</v>
      </c>
      <c r="I182" s="5">
        <v>9552.2999999999993</v>
      </c>
      <c r="J182" s="5">
        <v>0</v>
      </c>
      <c r="L182" s="5">
        <v>9007.6</v>
      </c>
      <c r="M182" s="5">
        <v>0</v>
      </c>
      <c r="N182" s="5">
        <v>8755.2999999999993</v>
      </c>
      <c r="O182" s="5">
        <v>0</v>
      </c>
      <c r="Q182" s="5">
        <v>10567.1</v>
      </c>
      <c r="R182" s="5">
        <v>0</v>
      </c>
      <c r="S182" s="5">
        <v>10237.200000000001</v>
      </c>
      <c r="T182" s="5">
        <v>5</v>
      </c>
      <c r="V182" s="5">
        <v>8627.9</v>
      </c>
      <c r="W182" s="5">
        <v>0</v>
      </c>
      <c r="X182" s="5">
        <v>0</v>
      </c>
    </row>
    <row r="183" spans="1:24" ht="12.75" customHeight="1">
      <c r="A183" s="6"/>
      <c r="B183" s="5">
        <v>9619.7000000000007</v>
      </c>
      <c r="C183" s="5">
        <v>0</v>
      </c>
      <c r="D183" s="5">
        <v>9101.1</v>
      </c>
      <c r="E183" s="5">
        <v>0</v>
      </c>
      <c r="G183" s="5">
        <v>9417.2999999999993</v>
      </c>
      <c r="H183" s="5">
        <v>0</v>
      </c>
      <c r="I183" s="5">
        <v>9440.7999999999993</v>
      </c>
      <c r="J183" s="5">
        <v>0</v>
      </c>
      <c r="L183" s="5">
        <v>9791.1</v>
      </c>
      <c r="M183" s="5">
        <v>0</v>
      </c>
      <c r="N183" s="5">
        <v>9283.6</v>
      </c>
      <c r="O183" s="5">
        <v>0</v>
      </c>
      <c r="Q183" s="5">
        <v>9588.7000000000007</v>
      </c>
      <c r="R183" s="5">
        <v>0</v>
      </c>
      <c r="S183" s="5">
        <v>10751.1</v>
      </c>
      <c r="T183" s="5">
        <v>0</v>
      </c>
      <c r="V183" s="5">
        <v>9101.1</v>
      </c>
      <c r="W183" s="5">
        <v>0</v>
      </c>
      <c r="X183" s="5">
        <v>0</v>
      </c>
    </row>
    <row r="184" spans="1:24" ht="12.75" customHeight="1">
      <c r="A184" s="6"/>
      <c r="B184" s="5">
        <v>14181.5</v>
      </c>
      <c r="C184" s="5">
        <v>0</v>
      </c>
      <c r="D184" s="5">
        <v>13333.9</v>
      </c>
      <c r="E184" s="5">
        <v>0</v>
      </c>
      <c r="G184" s="5">
        <v>14407.5</v>
      </c>
      <c r="H184" s="5">
        <v>0</v>
      </c>
      <c r="I184" s="5">
        <v>13333.9</v>
      </c>
      <c r="J184" s="5">
        <v>0</v>
      </c>
      <c r="L184" s="5">
        <v>14032.9</v>
      </c>
      <c r="M184" s="5">
        <v>0</v>
      </c>
      <c r="N184" s="5">
        <v>13572.5</v>
      </c>
      <c r="O184" s="5">
        <v>0</v>
      </c>
      <c r="Q184" s="5">
        <v>14489.7</v>
      </c>
      <c r="R184" s="5">
        <v>0</v>
      </c>
      <c r="S184" s="5">
        <v>14441.8</v>
      </c>
      <c r="T184" s="5">
        <v>0</v>
      </c>
      <c r="V184" s="5">
        <v>13333.9</v>
      </c>
      <c r="W184" s="5">
        <v>0</v>
      </c>
      <c r="X184" s="5">
        <v>0</v>
      </c>
    </row>
    <row r="185" spans="1:24" ht="12.75" customHeight="1">
      <c r="A185" s="6"/>
      <c r="B185" s="5">
        <v>12307.8</v>
      </c>
      <c r="C185" s="5">
        <v>0</v>
      </c>
      <c r="D185" s="5">
        <v>12186.6</v>
      </c>
      <c r="E185" s="5">
        <v>0</v>
      </c>
      <c r="G185" s="5">
        <v>16171.4</v>
      </c>
      <c r="H185" s="5">
        <v>35</v>
      </c>
      <c r="I185" s="5">
        <v>15337</v>
      </c>
      <c r="J185" s="5">
        <v>36</v>
      </c>
      <c r="L185" s="5">
        <v>13047.6</v>
      </c>
      <c r="M185" s="5">
        <v>0</v>
      </c>
      <c r="N185" s="5">
        <v>12209.9</v>
      </c>
      <c r="O185" s="5">
        <v>0</v>
      </c>
      <c r="Q185" s="5">
        <v>13845.6</v>
      </c>
      <c r="R185" s="5">
        <v>0</v>
      </c>
      <c r="S185" s="5">
        <v>16611.2</v>
      </c>
      <c r="T185" s="5">
        <v>24</v>
      </c>
      <c r="V185" s="5">
        <v>12073.9</v>
      </c>
      <c r="W185" s="5">
        <v>0</v>
      </c>
      <c r="X185" s="5">
        <v>1</v>
      </c>
    </row>
    <row r="186" spans="1:24" ht="12.75" customHeight="1">
      <c r="A186" s="6"/>
      <c r="B186" s="5">
        <v>14386.5</v>
      </c>
      <c r="C186" s="5">
        <v>33</v>
      </c>
      <c r="D186" s="5">
        <v>10431.9</v>
      </c>
      <c r="E186" s="5">
        <v>0</v>
      </c>
      <c r="G186" s="5">
        <v>11221.1</v>
      </c>
      <c r="H186" s="5">
        <v>0</v>
      </c>
      <c r="I186" s="5">
        <v>9902.2999999999993</v>
      </c>
      <c r="J186" s="5">
        <v>0</v>
      </c>
      <c r="L186" s="5">
        <v>11539.2</v>
      </c>
      <c r="M186" s="5">
        <v>0</v>
      </c>
      <c r="N186" s="5">
        <v>10768.3</v>
      </c>
      <c r="O186" s="5">
        <v>0</v>
      </c>
      <c r="Q186" s="5">
        <v>13286.7</v>
      </c>
      <c r="R186" s="5">
        <v>5</v>
      </c>
      <c r="S186" s="5">
        <v>12941.1</v>
      </c>
      <c r="T186" s="5">
        <v>0</v>
      </c>
      <c r="V186" s="5">
        <v>10062.299999999999</v>
      </c>
      <c r="W186" s="5">
        <v>0</v>
      </c>
      <c r="X186" s="5">
        <v>0</v>
      </c>
    </row>
    <row r="187" spans="1:24" ht="12.75" customHeight="1">
      <c r="A187" s="6"/>
      <c r="B187" s="5">
        <v>10681.6</v>
      </c>
      <c r="C187" s="5">
        <v>0</v>
      </c>
      <c r="D187" s="5">
        <v>12129.4</v>
      </c>
      <c r="E187" s="5">
        <v>19</v>
      </c>
      <c r="G187" s="5">
        <v>13017.2</v>
      </c>
      <c r="H187" s="5">
        <v>22</v>
      </c>
      <c r="I187" s="5">
        <v>10144.4</v>
      </c>
      <c r="J187" s="5">
        <v>0</v>
      </c>
      <c r="L187" s="5">
        <v>11056.6</v>
      </c>
      <c r="M187" s="5">
        <v>0</v>
      </c>
      <c r="N187" s="5">
        <v>11629.4</v>
      </c>
      <c r="O187" s="5">
        <v>14</v>
      </c>
      <c r="Q187" s="5">
        <v>12006.7</v>
      </c>
      <c r="R187" s="5">
        <v>0</v>
      </c>
      <c r="S187" s="5">
        <v>11316.4</v>
      </c>
      <c r="T187" s="5">
        <v>0</v>
      </c>
      <c r="V187" s="5">
        <v>10548.8</v>
      </c>
      <c r="W187" s="5">
        <v>5</v>
      </c>
      <c r="X187" s="5">
        <v>0</v>
      </c>
    </row>
    <row r="188" spans="1:24" ht="12.75" customHeight="1">
      <c r="A188" s="6"/>
      <c r="B188" s="5">
        <v>12743.6</v>
      </c>
      <c r="C188" s="5">
        <v>0</v>
      </c>
      <c r="D188" s="5">
        <v>13354.2</v>
      </c>
      <c r="E188" s="5">
        <v>13</v>
      </c>
      <c r="G188" s="5">
        <v>13783.9</v>
      </c>
      <c r="H188" s="5">
        <v>15</v>
      </c>
      <c r="I188" s="5">
        <v>13202.2</v>
      </c>
      <c r="J188" s="5">
        <v>15</v>
      </c>
      <c r="L188" s="5">
        <v>12552.6</v>
      </c>
      <c r="M188" s="5">
        <v>0</v>
      </c>
      <c r="N188" s="5">
        <v>11909.7</v>
      </c>
      <c r="O188" s="5">
        <v>0</v>
      </c>
      <c r="Q188" s="5">
        <v>13678.2</v>
      </c>
      <c r="R188" s="5">
        <v>0</v>
      </c>
      <c r="S188" s="5">
        <v>13148.5</v>
      </c>
      <c r="T188" s="5">
        <v>0</v>
      </c>
      <c r="V188" s="5">
        <v>11909.7</v>
      </c>
      <c r="W188" s="5">
        <v>0</v>
      </c>
      <c r="X188" s="5">
        <v>0</v>
      </c>
    </row>
    <row r="189" spans="1:24" ht="12.75" customHeight="1">
      <c r="A189" s="6"/>
      <c r="B189" s="5">
        <v>11461.5</v>
      </c>
      <c r="C189" s="5">
        <v>3</v>
      </c>
      <c r="D189" s="5">
        <v>12032.1</v>
      </c>
      <c r="E189" s="5">
        <v>7</v>
      </c>
      <c r="G189" s="5">
        <v>12485.7</v>
      </c>
      <c r="H189" s="5">
        <v>0</v>
      </c>
      <c r="I189" s="5">
        <v>11593</v>
      </c>
      <c r="J189" s="5">
        <v>0</v>
      </c>
      <c r="L189" s="5">
        <v>11673</v>
      </c>
      <c r="M189" s="5">
        <v>0</v>
      </c>
      <c r="N189" s="5">
        <v>11217.5</v>
      </c>
      <c r="O189" s="5">
        <v>0</v>
      </c>
      <c r="Q189" s="5">
        <v>13280.8</v>
      </c>
      <c r="R189" s="5">
        <v>0</v>
      </c>
      <c r="S189" s="5">
        <v>12120.9</v>
      </c>
      <c r="T189" s="5">
        <v>4</v>
      </c>
      <c r="V189" s="5">
        <v>11753.1</v>
      </c>
      <c r="W189" s="5">
        <v>0</v>
      </c>
      <c r="X189" s="5">
        <v>0</v>
      </c>
    </row>
    <row r="190" spans="1:24" ht="12.75" customHeight="1">
      <c r="A190" s="6"/>
      <c r="B190" s="5">
        <v>9937.9</v>
      </c>
      <c r="C190" s="5">
        <v>0</v>
      </c>
      <c r="D190" s="5">
        <v>9627.5</v>
      </c>
      <c r="E190" s="5">
        <v>0</v>
      </c>
      <c r="G190" s="5">
        <v>11295.3</v>
      </c>
      <c r="H190" s="5">
        <v>14</v>
      </c>
      <c r="I190" s="5">
        <v>10149.799999999999</v>
      </c>
      <c r="J190" s="5">
        <v>0</v>
      </c>
      <c r="L190" s="5">
        <v>11244</v>
      </c>
      <c r="M190" s="5">
        <v>0</v>
      </c>
      <c r="N190" s="5">
        <v>9721</v>
      </c>
      <c r="O190" s="5">
        <v>0</v>
      </c>
      <c r="Q190" s="5">
        <v>11613.3</v>
      </c>
      <c r="R190" s="5">
        <v>0</v>
      </c>
      <c r="S190" s="5">
        <v>11778.1</v>
      </c>
      <c r="T190" s="5">
        <v>0</v>
      </c>
      <c r="V190" s="5">
        <v>9909</v>
      </c>
      <c r="W190" s="5">
        <v>0</v>
      </c>
      <c r="X190" s="5">
        <v>1</v>
      </c>
    </row>
    <row r="191" spans="1:24" ht="12.75" customHeight="1">
      <c r="A191" s="6"/>
      <c r="B191" s="5">
        <v>12493.8</v>
      </c>
      <c r="C191" s="5">
        <v>0</v>
      </c>
      <c r="D191" s="5">
        <v>10909.7</v>
      </c>
      <c r="E191" s="5">
        <v>0</v>
      </c>
      <c r="G191" s="5">
        <v>11462.7</v>
      </c>
      <c r="H191" s="5">
        <v>0</v>
      </c>
      <c r="I191" s="5">
        <v>11186.4</v>
      </c>
      <c r="J191" s="5">
        <v>0</v>
      </c>
      <c r="L191" s="5">
        <v>11717.9</v>
      </c>
      <c r="M191" s="5">
        <v>0</v>
      </c>
      <c r="N191" s="5">
        <v>11730.2</v>
      </c>
      <c r="O191" s="5">
        <v>0</v>
      </c>
      <c r="Q191" s="5">
        <v>12954.6</v>
      </c>
      <c r="R191" s="5">
        <v>4</v>
      </c>
      <c r="S191" s="5">
        <v>11623.7</v>
      </c>
      <c r="T191" s="5">
        <v>0</v>
      </c>
      <c r="V191" s="5">
        <v>11730.2</v>
      </c>
      <c r="W191" s="5">
        <v>0</v>
      </c>
      <c r="X191" s="5">
        <v>0</v>
      </c>
    </row>
    <row r="192" spans="1:24" ht="12.75" customHeight="1">
      <c r="A192" s="6"/>
      <c r="B192" s="5">
        <v>11171.6</v>
      </c>
      <c r="C192" s="5">
        <v>5</v>
      </c>
      <c r="D192" s="5">
        <v>10173.5</v>
      </c>
      <c r="E192" s="5">
        <v>0</v>
      </c>
      <c r="G192" s="5">
        <v>10117</v>
      </c>
      <c r="H192" s="5">
        <v>0</v>
      </c>
      <c r="I192" s="5">
        <v>9757.6</v>
      </c>
      <c r="J192" s="5">
        <v>0</v>
      </c>
      <c r="L192" s="5">
        <v>10207.9</v>
      </c>
      <c r="M192" s="5">
        <v>0</v>
      </c>
      <c r="N192" s="5">
        <v>9832.6</v>
      </c>
      <c r="O192" s="5">
        <v>0</v>
      </c>
      <c r="Q192" s="5">
        <v>10288.5</v>
      </c>
      <c r="R192" s="5">
        <v>0</v>
      </c>
      <c r="S192" s="5">
        <v>11827.6</v>
      </c>
      <c r="T192" s="5">
        <v>0</v>
      </c>
      <c r="V192" s="5">
        <v>10597.2</v>
      </c>
      <c r="W192" s="5">
        <v>0</v>
      </c>
      <c r="X192" s="5">
        <v>0</v>
      </c>
    </row>
    <row r="193" spans="1:24" ht="12.75" customHeight="1">
      <c r="A193" s="6"/>
      <c r="B193" s="5">
        <v>9045.4</v>
      </c>
      <c r="C193" s="5">
        <v>0</v>
      </c>
      <c r="D193" s="5">
        <v>9035.7999999999993</v>
      </c>
      <c r="E193" s="5">
        <v>0</v>
      </c>
      <c r="G193" s="5">
        <v>9863.7999999999993</v>
      </c>
      <c r="H193" s="5">
        <v>0</v>
      </c>
      <c r="I193" s="5">
        <v>9035.7999999999993</v>
      </c>
      <c r="J193" s="5">
        <v>0</v>
      </c>
      <c r="L193" s="5">
        <v>9948.6</v>
      </c>
      <c r="M193" s="5">
        <v>0</v>
      </c>
      <c r="N193" s="5">
        <v>9172.6</v>
      </c>
      <c r="O193" s="5">
        <v>0</v>
      </c>
      <c r="Q193" s="5">
        <v>9960.2000000000007</v>
      </c>
      <c r="R193" s="5">
        <v>0</v>
      </c>
      <c r="S193" s="5">
        <v>9675.2000000000007</v>
      </c>
      <c r="T193" s="5">
        <v>0</v>
      </c>
      <c r="V193" s="5">
        <v>9035.7999999999993</v>
      </c>
      <c r="W193" s="5">
        <v>0</v>
      </c>
      <c r="X193" s="5">
        <v>0</v>
      </c>
    </row>
    <row r="194" spans="1:24" ht="12.75" customHeight="1">
      <c r="A194" s="6"/>
      <c r="B194" s="5">
        <v>12462.6</v>
      </c>
      <c r="C194" s="5">
        <v>0</v>
      </c>
      <c r="D194" s="5">
        <v>12010.2</v>
      </c>
      <c r="E194" s="5">
        <v>0</v>
      </c>
      <c r="G194" s="5">
        <v>13524.8</v>
      </c>
      <c r="H194" s="5">
        <v>11</v>
      </c>
      <c r="I194" s="5">
        <v>12424.6</v>
      </c>
      <c r="J194" s="5">
        <v>0</v>
      </c>
      <c r="L194" s="5">
        <v>12883.6</v>
      </c>
      <c r="M194" s="5">
        <v>0</v>
      </c>
      <c r="N194" s="5">
        <v>11785.4</v>
      </c>
      <c r="O194" s="5">
        <v>0</v>
      </c>
      <c r="Q194" s="5">
        <v>13366.2</v>
      </c>
      <c r="R194" s="5">
        <v>0</v>
      </c>
      <c r="S194" s="5">
        <v>13340.5</v>
      </c>
      <c r="T194" s="5">
        <v>0</v>
      </c>
      <c r="V194" s="5">
        <v>12058.2</v>
      </c>
      <c r="W194" s="5">
        <v>0</v>
      </c>
      <c r="X194" s="5">
        <v>0</v>
      </c>
    </row>
    <row r="195" spans="1:24" ht="12.75" customHeight="1">
      <c r="A195" s="6"/>
      <c r="B195" s="5">
        <v>11257.8</v>
      </c>
      <c r="C195" s="5">
        <v>0</v>
      </c>
      <c r="D195" s="5">
        <v>11318.3</v>
      </c>
      <c r="E195" s="5">
        <v>0</v>
      </c>
      <c r="G195" s="5">
        <v>11122.1</v>
      </c>
      <c r="H195" s="5">
        <v>0</v>
      </c>
      <c r="I195" s="5">
        <v>10504.3</v>
      </c>
      <c r="J195" s="5">
        <v>0</v>
      </c>
      <c r="L195" s="5">
        <v>11442.1</v>
      </c>
      <c r="M195" s="5">
        <v>0</v>
      </c>
      <c r="N195" s="5">
        <v>11222.3</v>
      </c>
      <c r="O195" s="5">
        <v>0</v>
      </c>
      <c r="Q195" s="5">
        <v>13256.5</v>
      </c>
      <c r="R195" s="5">
        <v>18</v>
      </c>
      <c r="S195" s="5">
        <v>11657.3</v>
      </c>
      <c r="T195" s="5">
        <v>0</v>
      </c>
      <c r="V195" s="5">
        <v>11379.6</v>
      </c>
      <c r="W195" s="5">
        <v>0</v>
      </c>
      <c r="X195" s="5">
        <v>0</v>
      </c>
    </row>
    <row r="196" spans="1:24" ht="12.75" customHeight="1">
      <c r="A196" s="6"/>
      <c r="B196" s="5">
        <v>10493.1</v>
      </c>
      <c r="C196" s="5">
        <v>0</v>
      </c>
      <c r="D196" s="5">
        <v>10141.200000000001</v>
      </c>
      <c r="E196" s="5">
        <v>7</v>
      </c>
      <c r="G196" s="5">
        <v>10940.3</v>
      </c>
      <c r="H196" s="5">
        <v>0</v>
      </c>
      <c r="I196" s="5">
        <v>9657</v>
      </c>
      <c r="J196" s="5">
        <v>0</v>
      </c>
      <c r="L196" s="5">
        <v>9941</v>
      </c>
      <c r="M196" s="5">
        <v>0</v>
      </c>
      <c r="N196" s="5">
        <v>9756.9</v>
      </c>
      <c r="O196" s="5">
        <v>0</v>
      </c>
      <c r="Q196" s="5">
        <v>10444.6</v>
      </c>
      <c r="R196" s="5">
        <v>0</v>
      </c>
      <c r="S196" s="5">
        <v>12050.2</v>
      </c>
      <c r="T196" s="5">
        <v>0</v>
      </c>
      <c r="V196" s="5">
        <v>9697</v>
      </c>
      <c r="W196" s="5">
        <v>0</v>
      </c>
      <c r="X196" s="5">
        <v>1</v>
      </c>
    </row>
    <row r="197" spans="1:24" ht="12.75" customHeight="1">
      <c r="A197" s="6"/>
      <c r="B197" s="5">
        <v>10842.3</v>
      </c>
      <c r="C197" s="5">
        <v>2</v>
      </c>
      <c r="D197" s="5">
        <v>9999</v>
      </c>
      <c r="E197" s="5">
        <v>0</v>
      </c>
      <c r="G197" s="5">
        <v>10099.200000000001</v>
      </c>
      <c r="H197" s="5">
        <v>0</v>
      </c>
      <c r="I197" s="5">
        <v>9558.7999999999993</v>
      </c>
      <c r="J197" s="5">
        <v>0</v>
      </c>
      <c r="L197" s="5">
        <v>10732.7</v>
      </c>
      <c r="M197" s="5">
        <v>0</v>
      </c>
      <c r="N197" s="5">
        <v>9999</v>
      </c>
      <c r="O197" s="5">
        <v>0</v>
      </c>
      <c r="Q197" s="5">
        <v>10919.1</v>
      </c>
      <c r="R197" s="5">
        <v>0</v>
      </c>
      <c r="S197" s="5">
        <v>12834.4</v>
      </c>
      <c r="T197" s="5">
        <v>21</v>
      </c>
      <c r="V197" s="5">
        <v>9999</v>
      </c>
      <c r="W197" s="5">
        <v>0</v>
      </c>
      <c r="X197" s="5">
        <v>0</v>
      </c>
    </row>
    <row r="198" spans="1:24" ht="12.75" customHeight="1">
      <c r="A198" s="6"/>
      <c r="B198" s="5">
        <v>7717.8</v>
      </c>
      <c r="C198" s="5">
        <v>0</v>
      </c>
      <c r="D198" s="5">
        <v>7538.6</v>
      </c>
      <c r="E198" s="5">
        <v>0</v>
      </c>
      <c r="G198" s="5">
        <v>8420.5</v>
      </c>
      <c r="H198" s="5">
        <v>2</v>
      </c>
      <c r="I198" s="5">
        <v>7881.2</v>
      </c>
      <c r="J198" s="5">
        <v>0</v>
      </c>
      <c r="L198" s="5">
        <v>7793.1</v>
      </c>
      <c r="M198" s="5">
        <v>0</v>
      </c>
      <c r="N198" s="5">
        <v>7322.1</v>
      </c>
      <c r="O198" s="5">
        <v>0</v>
      </c>
      <c r="Q198" s="5">
        <v>7885.4</v>
      </c>
      <c r="R198" s="5">
        <v>0</v>
      </c>
      <c r="S198" s="5">
        <v>9173.7000000000007</v>
      </c>
      <c r="T198" s="5">
        <v>0</v>
      </c>
      <c r="V198" s="5">
        <v>7503.9</v>
      </c>
      <c r="W198" s="5">
        <v>0</v>
      </c>
      <c r="X198" s="5">
        <v>0</v>
      </c>
    </row>
    <row r="199" spans="1:24" ht="12.75" customHeight="1">
      <c r="A199" s="6"/>
      <c r="B199" s="5">
        <v>8278.5</v>
      </c>
      <c r="C199" s="5">
        <v>0</v>
      </c>
      <c r="D199" s="5">
        <v>7667.3</v>
      </c>
      <c r="E199" s="5">
        <v>0</v>
      </c>
      <c r="G199" s="5">
        <v>9020.1</v>
      </c>
      <c r="H199" s="5">
        <v>0</v>
      </c>
      <c r="I199" s="5">
        <v>7605.3</v>
      </c>
      <c r="J199" s="5">
        <v>0</v>
      </c>
      <c r="L199" s="5">
        <v>8737.7000000000007</v>
      </c>
      <c r="M199" s="5">
        <v>2</v>
      </c>
      <c r="N199" s="5">
        <v>7587.3</v>
      </c>
      <c r="O199" s="5">
        <v>0</v>
      </c>
      <c r="Q199" s="5">
        <v>7853.1</v>
      </c>
      <c r="R199" s="5">
        <v>0</v>
      </c>
      <c r="S199" s="5">
        <v>9729.1</v>
      </c>
      <c r="T199" s="5">
        <v>0</v>
      </c>
      <c r="V199" s="5">
        <v>7847.4</v>
      </c>
      <c r="W199" s="5">
        <v>0</v>
      </c>
      <c r="X199" s="5">
        <v>0</v>
      </c>
    </row>
    <row r="200" spans="1:24" ht="12.75" customHeight="1">
      <c r="A200" s="6"/>
      <c r="B200" s="5">
        <v>11135.9</v>
      </c>
      <c r="C200" s="5">
        <v>0</v>
      </c>
      <c r="D200" s="5">
        <v>10760.3</v>
      </c>
      <c r="E200" s="5">
        <v>0</v>
      </c>
      <c r="G200" s="5">
        <v>11461.1</v>
      </c>
      <c r="H200" s="5">
        <v>0</v>
      </c>
      <c r="I200" s="5">
        <v>12597.9</v>
      </c>
      <c r="J200" s="5">
        <v>6</v>
      </c>
      <c r="L200" s="5">
        <v>11532.1</v>
      </c>
      <c r="M200" s="5">
        <v>0</v>
      </c>
      <c r="N200" s="5">
        <v>11514.8</v>
      </c>
      <c r="O200" s="5">
        <v>0</v>
      </c>
      <c r="Q200" s="5">
        <v>11746.6</v>
      </c>
      <c r="R200" s="5">
        <v>0</v>
      </c>
      <c r="S200" s="5">
        <v>12199.9</v>
      </c>
      <c r="T200" s="5">
        <v>0</v>
      </c>
      <c r="V200" s="5">
        <v>10888.3</v>
      </c>
      <c r="W200" s="5">
        <v>0</v>
      </c>
      <c r="X200" s="5">
        <v>0</v>
      </c>
    </row>
    <row r="201" spans="1:24" ht="12.75" customHeight="1">
      <c r="A201" s="6"/>
      <c r="B201" s="5">
        <v>9910</v>
      </c>
      <c r="C201" s="5">
        <v>0</v>
      </c>
      <c r="D201" s="5">
        <v>9324.1</v>
      </c>
      <c r="E201" s="5">
        <v>5</v>
      </c>
      <c r="G201" s="5">
        <v>9474.1</v>
      </c>
      <c r="H201" s="5">
        <v>0</v>
      </c>
      <c r="I201" s="5">
        <v>9548.7000000000007</v>
      </c>
      <c r="J201" s="5">
        <v>0</v>
      </c>
      <c r="L201" s="5">
        <v>9219.7000000000007</v>
      </c>
      <c r="M201" s="5">
        <v>0</v>
      </c>
      <c r="N201" s="5">
        <v>9372.1</v>
      </c>
      <c r="O201" s="5">
        <v>0</v>
      </c>
      <c r="Q201" s="5">
        <v>10804.1</v>
      </c>
      <c r="R201" s="5">
        <v>0</v>
      </c>
      <c r="S201" s="5">
        <v>9733.2000000000007</v>
      </c>
      <c r="T201" s="5">
        <v>0</v>
      </c>
      <c r="V201" s="5">
        <v>9374.9</v>
      </c>
      <c r="W201" s="5">
        <v>0</v>
      </c>
      <c r="X201" s="5">
        <v>1</v>
      </c>
    </row>
    <row r="202" spans="1:24" ht="12.75" customHeight="1">
      <c r="A202" s="6"/>
      <c r="B202" s="5">
        <v>10295.700000000001</v>
      </c>
      <c r="C202" s="5">
        <v>0</v>
      </c>
      <c r="D202" s="5">
        <v>11779.5</v>
      </c>
      <c r="E202" s="5">
        <v>12</v>
      </c>
      <c r="G202" s="5">
        <v>11083.7</v>
      </c>
      <c r="H202" s="5">
        <v>0</v>
      </c>
      <c r="I202" s="5">
        <v>10287.700000000001</v>
      </c>
      <c r="J202" s="5">
        <v>0</v>
      </c>
      <c r="L202" s="5">
        <v>11041.7</v>
      </c>
      <c r="M202" s="5">
        <v>0</v>
      </c>
      <c r="N202" s="5">
        <v>10433.700000000001</v>
      </c>
      <c r="O202" s="5">
        <v>0</v>
      </c>
      <c r="Q202" s="5">
        <v>11183.9</v>
      </c>
      <c r="R202" s="5">
        <v>0</v>
      </c>
      <c r="S202" s="5">
        <v>10632.1</v>
      </c>
      <c r="T202" s="5">
        <v>0</v>
      </c>
      <c r="V202" s="5">
        <v>10295.700000000001</v>
      </c>
      <c r="W202" s="5">
        <v>0</v>
      </c>
      <c r="X202" s="5">
        <v>0</v>
      </c>
    </row>
    <row r="203" spans="1:24" ht="12.75" customHeight="1">
      <c r="A203" s="6"/>
      <c r="B203" s="5">
        <v>12715</v>
      </c>
      <c r="C203" s="5">
        <v>0</v>
      </c>
      <c r="D203" s="5">
        <v>12918.9</v>
      </c>
      <c r="E203" s="5">
        <v>0</v>
      </c>
      <c r="G203" s="5">
        <v>14249.1</v>
      </c>
      <c r="H203" s="5">
        <v>0</v>
      </c>
      <c r="I203" s="5">
        <v>11867.3</v>
      </c>
      <c r="J203" s="5">
        <v>0</v>
      </c>
      <c r="L203" s="5">
        <v>13027</v>
      </c>
      <c r="M203" s="5">
        <v>0</v>
      </c>
      <c r="N203" s="5">
        <v>12655.6</v>
      </c>
      <c r="O203" s="5">
        <v>0</v>
      </c>
      <c r="Q203" s="5">
        <v>13577.7</v>
      </c>
      <c r="R203" s="5">
        <v>0</v>
      </c>
      <c r="S203" s="5">
        <v>13771.7</v>
      </c>
      <c r="T203" s="5">
        <v>0</v>
      </c>
      <c r="V203" s="5">
        <v>12187.3</v>
      </c>
      <c r="W203" s="5">
        <v>0</v>
      </c>
      <c r="X203" s="5">
        <v>0</v>
      </c>
    </row>
    <row r="204" spans="1:24" ht="12.75" customHeight="1">
      <c r="A204" s="6"/>
      <c r="B204" s="5">
        <v>15735.2</v>
      </c>
      <c r="C204" s="5">
        <v>0</v>
      </c>
      <c r="D204" s="5">
        <v>15598.7</v>
      </c>
      <c r="E204" s="5">
        <v>0</v>
      </c>
      <c r="G204" s="5">
        <v>21542.799999999999</v>
      </c>
      <c r="H204" s="5">
        <v>42</v>
      </c>
      <c r="I204" s="5">
        <v>21079.3</v>
      </c>
      <c r="J204" s="5">
        <v>52</v>
      </c>
      <c r="L204" s="5">
        <v>16842.7</v>
      </c>
      <c r="M204" s="5">
        <v>0</v>
      </c>
      <c r="N204" s="5">
        <v>15515.8</v>
      </c>
      <c r="O204" s="5">
        <v>0</v>
      </c>
      <c r="Q204" s="5">
        <v>17817.400000000001</v>
      </c>
      <c r="R204" s="5">
        <v>11</v>
      </c>
      <c r="S204" s="5">
        <v>19098</v>
      </c>
      <c r="T204" s="5">
        <v>9</v>
      </c>
      <c r="V204" s="5">
        <v>15598.7</v>
      </c>
      <c r="W204" s="5">
        <v>0</v>
      </c>
      <c r="X204" s="5">
        <v>0</v>
      </c>
    </row>
    <row r="205" spans="1:24" ht="12.75" customHeight="1">
      <c r="A205" s="6"/>
      <c r="B205" s="5">
        <v>13837.6</v>
      </c>
      <c r="C205" s="5">
        <v>0</v>
      </c>
      <c r="D205" s="5">
        <v>13286</v>
      </c>
      <c r="E205" s="5">
        <v>0</v>
      </c>
      <c r="G205" s="5">
        <v>14237.6</v>
      </c>
      <c r="H205" s="5">
        <v>0</v>
      </c>
      <c r="I205" s="5">
        <v>12907.5</v>
      </c>
      <c r="J205" s="5">
        <v>0</v>
      </c>
      <c r="L205" s="5">
        <v>13581.3</v>
      </c>
      <c r="M205" s="5">
        <v>0</v>
      </c>
      <c r="N205" s="5">
        <v>13449.2</v>
      </c>
      <c r="O205" s="5">
        <v>0</v>
      </c>
      <c r="Q205" s="5">
        <v>14229.7</v>
      </c>
      <c r="R205" s="5">
        <v>0</v>
      </c>
      <c r="S205" s="5">
        <v>15736.1</v>
      </c>
      <c r="T205" s="5">
        <v>0</v>
      </c>
      <c r="V205" s="5">
        <v>13102</v>
      </c>
      <c r="W205" s="5">
        <v>0</v>
      </c>
      <c r="X205" s="5">
        <v>0</v>
      </c>
    </row>
    <row r="206" spans="1:24" ht="12.75" customHeight="1">
      <c r="A206" s="6"/>
      <c r="B206" s="5">
        <v>13067.6</v>
      </c>
      <c r="C206" s="5">
        <v>0</v>
      </c>
      <c r="D206" s="5">
        <v>12922.9</v>
      </c>
      <c r="E206" s="5">
        <v>0</v>
      </c>
      <c r="G206" s="5">
        <v>16826.099999999999</v>
      </c>
      <c r="H206" s="5">
        <v>27</v>
      </c>
      <c r="I206" s="5">
        <v>14910.9</v>
      </c>
      <c r="J206" s="5">
        <v>17</v>
      </c>
      <c r="L206" s="5">
        <v>13961.2</v>
      </c>
      <c r="M206" s="5">
        <v>0</v>
      </c>
      <c r="N206" s="5">
        <v>13759.9</v>
      </c>
      <c r="O206" s="5">
        <v>0</v>
      </c>
      <c r="Q206" s="5">
        <v>15343.2</v>
      </c>
      <c r="R206" s="5">
        <v>0</v>
      </c>
      <c r="S206" s="5">
        <v>13915.6</v>
      </c>
      <c r="T206" s="5">
        <v>0</v>
      </c>
      <c r="V206" s="5">
        <v>13759.9</v>
      </c>
      <c r="W206" s="5">
        <v>0</v>
      </c>
      <c r="X206" s="5">
        <v>0</v>
      </c>
    </row>
    <row r="207" spans="1:24" ht="12.75" customHeight="1">
      <c r="A207" s="6"/>
      <c r="B207" s="5">
        <v>11106.1</v>
      </c>
      <c r="C207" s="5">
        <v>0</v>
      </c>
      <c r="D207" s="5">
        <v>10458.5</v>
      </c>
      <c r="E207" s="5">
        <v>0</v>
      </c>
      <c r="G207" s="5">
        <v>10804.2</v>
      </c>
      <c r="H207" s="5">
        <v>0</v>
      </c>
      <c r="I207" s="5">
        <v>13147.8</v>
      </c>
      <c r="J207" s="5">
        <v>30</v>
      </c>
      <c r="L207" s="5">
        <v>13524.7</v>
      </c>
      <c r="M207" s="5">
        <v>23</v>
      </c>
      <c r="N207" s="5">
        <v>10148.200000000001</v>
      </c>
      <c r="O207" s="5">
        <v>0</v>
      </c>
      <c r="Q207" s="5">
        <v>11945.5</v>
      </c>
      <c r="R207" s="5">
        <v>0</v>
      </c>
      <c r="S207" s="5">
        <v>12140.3</v>
      </c>
      <c r="T207" s="5">
        <v>0</v>
      </c>
      <c r="V207" s="5">
        <v>10684.4</v>
      </c>
      <c r="W207" s="5">
        <v>0</v>
      </c>
      <c r="X207" s="5">
        <v>1</v>
      </c>
    </row>
    <row r="208" spans="1:24" ht="12.75" customHeight="1">
      <c r="A208" s="6"/>
      <c r="B208" s="5">
        <v>20248.5</v>
      </c>
      <c r="C208" s="5">
        <v>50</v>
      </c>
      <c r="D208" s="5">
        <v>13086.8</v>
      </c>
      <c r="E208" s="5">
        <v>0</v>
      </c>
      <c r="G208" s="5">
        <v>14706.6</v>
      </c>
      <c r="H208" s="5">
        <v>0</v>
      </c>
      <c r="I208" s="5">
        <v>14205.2</v>
      </c>
      <c r="J208" s="5">
        <v>0</v>
      </c>
      <c r="L208" s="5">
        <v>14101.1</v>
      </c>
      <c r="M208" s="5">
        <v>0</v>
      </c>
      <c r="N208" s="5">
        <v>13422.8</v>
      </c>
      <c r="O208" s="5">
        <v>0</v>
      </c>
      <c r="Q208" s="5">
        <v>15903.6</v>
      </c>
      <c r="R208" s="5">
        <v>0</v>
      </c>
      <c r="S208" s="5">
        <v>18704.599999999999</v>
      </c>
      <c r="T208" s="5">
        <v>38</v>
      </c>
      <c r="V208" s="5">
        <v>13086.8</v>
      </c>
      <c r="W208" s="5">
        <v>0</v>
      </c>
      <c r="X208" s="5">
        <v>0</v>
      </c>
    </row>
    <row r="209" spans="1:24" ht="12.75" customHeight="1">
      <c r="A209" s="6"/>
      <c r="B209" s="5">
        <v>10968.5</v>
      </c>
      <c r="C209" s="5">
        <v>4</v>
      </c>
      <c r="D209" s="5">
        <v>10188.299999999999</v>
      </c>
      <c r="E209" s="5">
        <v>0</v>
      </c>
      <c r="G209" s="5">
        <v>11118.3</v>
      </c>
      <c r="H209" s="5">
        <v>5</v>
      </c>
      <c r="I209" s="5">
        <v>10782.7</v>
      </c>
      <c r="J209" s="5">
        <v>0</v>
      </c>
      <c r="L209" s="5">
        <v>10863.5</v>
      </c>
      <c r="M209" s="5">
        <v>0</v>
      </c>
      <c r="N209" s="5">
        <v>10724.7</v>
      </c>
      <c r="O209" s="5">
        <v>0</v>
      </c>
      <c r="Q209" s="5">
        <v>11020.7</v>
      </c>
      <c r="R209" s="5">
        <v>0</v>
      </c>
      <c r="S209" s="5">
        <v>12948.3</v>
      </c>
      <c r="T209" s="5">
        <v>0</v>
      </c>
      <c r="V209" s="5">
        <v>10105.5</v>
      </c>
      <c r="W209" s="5">
        <v>0</v>
      </c>
      <c r="X209" s="5">
        <v>0</v>
      </c>
    </row>
    <row r="210" spans="1:24" ht="12.75" customHeight="1">
      <c r="A210" s="6"/>
      <c r="B210" s="5">
        <v>8624.9</v>
      </c>
      <c r="C210" s="5">
        <v>0</v>
      </c>
      <c r="D210" s="5">
        <v>8241.6</v>
      </c>
      <c r="E210" s="5">
        <v>0</v>
      </c>
      <c r="G210" s="5">
        <v>8752.9</v>
      </c>
      <c r="H210" s="5">
        <v>0</v>
      </c>
      <c r="I210" s="5">
        <v>8989.6</v>
      </c>
      <c r="J210" s="5">
        <v>9</v>
      </c>
      <c r="L210" s="5">
        <v>8819.5</v>
      </c>
      <c r="M210" s="5">
        <v>0</v>
      </c>
      <c r="N210" s="5">
        <v>8137.6</v>
      </c>
      <c r="O210" s="5">
        <v>0</v>
      </c>
      <c r="Q210" s="5">
        <v>8711.5</v>
      </c>
      <c r="R210" s="5">
        <v>0</v>
      </c>
      <c r="S210" s="5">
        <v>9548</v>
      </c>
      <c r="T210" s="5">
        <v>0</v>
      </c>
      <c r="V210" s="5">
        <v>7961.6</v>
      </c>
      <c r="W210" s="5">
        <v>0</v>
      </c>
      <c r="X210" s="5">
        <v>0</v>
      </c>
    </row>
    <row r="211" spans="1:24" ht="12.75" customHeight="1">
      <c r="A211" s="6"/>
      <c r="B211" s="5">
        <v>11323.8</v>
      </c>
      <c r="C211" s="5">
        <v>0</v>
      </c>
      <c r="D211" s="5">
        <v>11558.9</v>
      </c>
      <c r="E211" s="5">
        <v>0</v>
      </c>
      <c r="G211" s="5">
        <v>12186</v>
      </c>
      <c r="H211" s="5">
        <v>0</v>
      </c>
      <c r="I211" s="5">
        <v>11833.3</v>
      </c>
      <c r="J211" s="5">
        <v>0</v>
      </c>
      <c r="L211" s="5">
        <v>11430.1</v>
      </c>
      <c r="M211" s="5">
        <v>0</v>
      </c>
      <c r="N211" s="5">
        <v>11124.3</v>
      </c>
      <c r="O211" s="5">
        <v>0</v>
      </c>
      <c r="Q211" s="5">
        <v>13107.1</v>
      </c>
      <c r="R211" s="5">
        <v>0</v>
      </c>
      <c r="S211" s="5">
        <v>13336.3</v>
      </c>
      <c r="T211" s="5">
        <v>0</v>
      </c>
      <c r="V211" s="5">
        <v>10932.3</v>
      </c>
      <c r="W211" s="5">
        <v>0</v>
      </c>
      <c r="X211" s="5">
        <v>0</v>
      </c>
    </row>
    <row r="212" spans="1:24" ht="12.75" customHeight="1">
      <c r="A212" s="6"/>
      <c r="B212" s="5">
        <v>13415.8</v>
      </c>
      <c r="C212" s="5">
        <v>0</v>
      </c>
      <c r="D212" s="5">
        <v>13335.8</v>
      </c>
      <c r="E212" s="5">
        <v>10</v>
      </c>
      <c r="G212" s="5">
        <v>13074.6</v>
      </c>
      <c r="H212" s="5">
        <v>0</v>
      </c>
      <c r="I212" s="5">
        <v>12795</v>
      </c>
      <c r="J212" s="5">
        <v>0</v>
      </c>
      <c r="L212" s="5">
        <v>12553.2</v>
      </c>
      <c r="M212" s="5">
        <v>0</v>
      </c>
      <c r="N212" s="5">
        <v>12553.2</v>
      </c>
      <c r="O212" s="5">
        <v>0</v>
      </c>
      <c r="Q212" s="5">
        <v>13544.9</v>
      </c>
      <c r="R212" s="5">
        <v>0</v>
      </c>
      <c r="S212" s="5">
        <v>17090.8</v>
      </c>
      <c r="T212" s="5">
        <v>17</v>
      </c>
      <c r="V212" s="5">
        <v>12553.2</v>
      </c>
      <c r="W212" s="5">
        <v>0</v>
      </c>
      <c r="X212" s="5">
        <v>1</v>
      </c>
    </row>
    <row r="213" spans="1:24" ht="12.75" customHeight="1">
      <c r="A213" s="6"/>
      <c r="B213" s="5">
        <v>10417.9</v>
      </c>
      <c r="C213" s="5">
        <v>0</v>
      </c>
      <c r="D213" s="5">
        <v>9292.7000000000007</v>
      </c>
      <c r="E213" s="5">
        <v>0</v>
      </c>
      <c r="G213" s="5">
        <v>10306.6</v>
      </c>
      <c r="H213" s="5">
        <v>0</v>
      </c>
      <c r="I213" s="5">
        <v>10803.9</v>
      </c>
      <c r="J213" s="5">
        <v>0</v>
      </c>
      <c r="L213" s="5">
        <v>11984.3</v>
      </c>
      <c r="M213" s="5">
        <v>12</v>
      </c>
      <c r="N213" s="5">
        <v>10221.5</v>
      </c>
      <c r="O213" s="5">
        <v>0</v>
      </c>
      <c r="Q213" s="5">
        <v>11191.2</v>
      </c>
      <c r="R213" s="5">
        <v>0</v>
      </c>
      <c r="S213" s="5">
        <v>12098.1</v>
      </c>
      <c r="T213" s="5">
        <v>2</v>
      </c>
      <c r="V213" s="5">
        <v>9711.7000000000007</v>
      </c>
      <c r="W213" s="5">
        <v>0</v>
      </c>
      <c r="X213" s="5">
        <v>0</v>
      </c>
    </row>
    <row r="214" spans="1:24" ht="12.75" customHeight="1">
      <c r="A214" s="6"/>
      <c r="B214" s="5">
        <v>11505.8</v>
      </c>
      <c r="C214" s="5">
        <v>0</v>
      </c>
      <c r="D214" s="5">
        <v>11305.5</v>
      </c>
      <c r="E214" s="5">
        <v>0</v>
      </c>
      <c r="G214" s="5">
        <v>11338.4</v>
      </c>
      <c r="H214" s="5">
        <v>0</v>
      </c>
      <c r="I214" s="5">
        <v>11089.7</v>
      </c>
      <c r="J214" s="5">
        <v>0</v>
      </c>
      <c r="L214" s="5">
        <v>11965.2</v>
      </c>
      <c r="M214" s="5">
        <v>0</v>
      </c>
      <c r="N214" s="5">
        <v>10458.799999999999</v>
      </c>
      <c r="O214" s="5">
        <v>0</v>
      </c>
      <c r="Q214" s="5">
        <v>13064.3</v>
      </c>
      <c r="R214" s="5">
        <v>0</v>
      </c>
      <c r="S214" s="5">
        <v>13020</v>
      </c>
      <c r="T214" s="5">
        <v>0</v>
      </c>
      <c r="V214" s="5">
        <v>10995.6</v>
      </c>
      <c r="W214" s="5">
        <v>0</v>
      </c>
      <c r="X214" s="5">
        <v>0</v>
      </c>
    </row>
    <row r="215" spans="1:24" ht="12.75" customHeight="1">
      <c r="A215" s="6"/>
      <c r="B215" s="5">
        <v>13047.9</v>
      </c>
      <c r="C215" s="5">
        <v>0</v>
      </c>
      <c r="D215" s="5">
        <v>12138.5</v>
      </c>
      <c r="E215" s="5">
        <v>0</v>
      </c>
      <c r="G215" s="5">
        <v>12949.3</v>
      </c>
      <c r="H215" s="5">
        <v>0</v>
      </c>
      <c r="I215" s="5">
        <v>12808.9</v>
      </c>
      <c r="J215" s="5">
        <v>0</v>
      </c>
      <c r="L215" s="5">
        <v>12888.5</v>
      </c>
      <c r="M215" s="5">
        <v>0</v>
      </c>
      <c r="N215" s="5">
        <v>12106.5</v>
      </c>
      <c r="O215" s="5">
        <v>0</v>
      </c>
      <c r="Q215" s="5">
        <v>13235.8</v>
      </c>
      <c r="R215" s="5">
        <v>0</v>
      </c>
      <c r="S215" s="5">
        <v>12633.8</v>
      </c>
      <c r="T215" s="5">
        <v>0</v>
      </c>
      <c r="V215" s="5">
        <v>12888.5</v>
      </c>
      <c r="W215" s="5">
        <v>0</v>
      </c>
      <c r="X215" s="5">
        <v>0</v>
      </c>
    </row>
    <row r="216" spans="1:24" ht="12.75" customHeight="1">
      <c r="A216" s="6"/>
      <c r="B216" s="5">
        <v>10397.299999999999</v>
      </c>
      <c r="C216" s="5">
        <v>20</v>
      </c>
      <c r="D216" s="5">
        <v>10255.4</v>
      </c>
      <c r="E216" s="5">
        <v>18</v>
      </c>
      <c r="G216" s="5">
        <v>8852</v>
      </c>
      <c r="H216" s="5">
        <v>0</v>
      </c>
      <c r="I216" s="5">
        <v>8131</v>
      </c>
      <c r="J216" s="5">
        <v>0</v>
      </c>
      <c r="L216" s="5">
        <v>10255.4</v>
      </c>
      <c r="M216" s="5">
        <v>18</v>
      </c>
      <c r="N216" s="5">
        <v>10355.4</v>
      </c>
      <c r="O216" s="5">
        <v>19</v>
      </c>
      <c r="Q216" s="5">
        <v>8837.5</v>
      </c>
      <c r="R216" s="5">
        <v>0</v>
      </c>
      <c r="S216" s="5">
        <v>9450.5</v>
      </c>
      <c r="T216" s="5">
        <v>0</v>
      </c>
      <c r="V216" s="5">
        <v>8537.1</v>
      </c>
      <c r="W216" s="5">
        <v>0</v>
      </c>
      <c r="X216" s="5">
        <v>0</v>
      </c>
    </row>
    <row r="217" spans="1:24" ht="12.75" customHeight="1">
      <c r="A217" s="6"/>
      <c r="B217" s="5">
        <v>10736.7</v>
      </c>
      <c r="C217" s="5">
        <v>0</v>
      </c>
      <c r="D217" s="5">
        <v>9998.5</v>
      </c>
      <c r="E217" s="5">
        <v>0</v>
      </c>
      <c r="G217" s="5">
        <v>10103.799999999999</v>
      </c>
      <c r="H217" s="5">
        <v>0</v>
      </c>
      <c r="I217" s="5">
        <v>9128</v>
      </c>
      <c r="J217" s="5">
        <v>0</v>
      </c>
      <c r="L217" s="5">
        <v>10430.799999999999</v>
      </c>
      <c r="M217" s="5">
        <v>0</v>
      </c>
      <c r="N217" s="5">
        <v>9700.4</v>
      </c>
      <c r="O217" s="5">
        <v>0</v>
      </c>
      <c r="Q217" s="5">
        <v>10074.1</v>
      </c>
      <c r="R217" s="5">
        <v>0</v>
      </c>
      <c r="S217" s="5">
        <v>10674.4</v>
      </c>
      <c r="T217" s="5">
        <v>9</v>
      </c>
      <c r="V217" s="5">
        <v>9143.9</v>
      </c>
      <c r="W217" s="5">
        <v>0</v>
      </c>
      <c r="X217" s="5">
        <v>0</v>
      </c>
    </row>
    <row r="218" spans="1:24" ht="12.75" customHeight="1">
      <c r="A218" s="6"/>
      <c r="B218" s="5">
        <v>12671</v>
      </c>
      <c r="C218" s="5">
        <v>11</v>
      </c>
      <c r="D218" s="5">
        <v>12853.5</v>
      </c>
      <c r="E218" s="5">
        <v>24</v>
      </c>
      <c r="G218" s="5">
        <v>11448.9</v>
      </c>
      <c r="H218" s="5">
        <v>0</v>
      </c>
      <c r="I218" s="5">
        <v>14072.3</v>
      </c>
      <c r="J218" s="5">
        <v>24</v>
      </c>
      <c r="L218" s="5">
        <v>12048</v>
      </c>
      <c r="M218" s="5">
        <v>0</v>
      </c>
      <c r="N218" s="5">
        <v>11552.6</v>
      </c>
      <c r="O218" s="5">
        <v>0</v>
      </c>
      <c r="Q218" s="5">
        <v>14176.1</v>
      </c>
      <c r="R218" s="5">
        <v>0</v>
      </c>
      <c r="S218" s="5">
        <v>13179.5</v>
      </c>
      <c r="T218" s="5">
        <v>0</v>
      </c>
      <c r="V218" s="5">
        <v>11687.4</v>
      </c>
      <c r="W218" s="5">
        <v>0</v>
      </c>
      <c r="X218" s="5">
        <v>1</v>
      </c>
    </row>
    <row r="219" spans="1:24" ht="12.75" customHeight="1">
      <c r="A219" s="6"/>
      <c r="B219" s="5">
        <v>15734.4</v>
      </c>
      <c r="C219" s="5">
        <v>0</v>
      </c>
      <c r="D219" s="5">
        <v>15090.5</v>
      </c>
      <c r="E219" s="5">
        <v>0</v>
      </c>
      <c r="G219" s="5">
        <v>16297.8</v>
      </c>
      <c r="H219" s="5">
        <v>0</v>
      </c>
      <c r="I219" s="5">
        <v>17054.7</v>
      </c>
      <c r="J219" s="5">
        <v>20</v>
      </c>
      <c r="L219" s="5">
        <v>16082.4</v>
      </c>
      <c r="M219" s="5">
        <v>0</v>
      </c>
      <c r="N219" s="5">
        <v>16254.2</v>
      </c>
      <c r="O219" s="5">
        <v>0</v>
      </c>
      <c r="Q219" s="5">
        <v>17311.400000000001</v>
      </c>
      <c r="R219" s="5">
        <v>0</v>
      </c>
      <c r="S219" s="5">
        <v>16425</v>
      </c>
      <c r="T219" s="5">
        <v>0</v>
      </c>
      <c r="V219" s="5">
        <v>15090.5</v>
      </c>
      <c r="W219" s="5">
        <v>0</v>
      </c>
      <c r="X219" s="5">
        <v>0</v>
      </c>
    </row>
    <row r="220" spans="1:24" ht="12.75" customHeight="1">
      <c r="A220" s="6"/>
      <c r="B220" s="5">
        <v>13500.6</v>
      </c>
      <c r="C220" s="5">
        <v>0</v>
      </c>
      <c r="D220" s="5">
        <v>13500.6</v>
      </c>
      <c r="E220" s="5">
        <v>0</v>
      </c>
      <c r="G220" s="5">
        <v>13442.6</v>
      </c>
      <c r="H220" s="5">
        <v>0</v>
      </c>
      <c r="I220" s="5">
        <v>14453.6</v>
      </c>
      <c r="J220" s="5">
        <v>0</v>
      </c>
      <c r="L220" s="5">
        <v>13565.1</v>
      </c>
      <c r="M220" s="5">
        <v>0</v>
      </c>
      <c r="N220" s="5">
        <v>14059.9</v>
      </c>
      <c r="O220" s="5">
        <v>0</v>
      </c>
      <c r="Q220" s="5">
        <v>14147.2</v>
      </c>
      <c r="R220" s="5">
        <v>0</v>
      </c>
      <c r="S220" s="5">
        <v>15246.7</v>
      </c>
      <c r="T220" s="5">
        <v>0</v>
      </c>
      <c r="V220" s="5">
        <v>13245.9</v>
      </c>
      <c r="W220" s="5">
        <v>0</v>
      </c>
      <c r="X220" s="5">
        <v>0</v>
      </c>
    </row>
    <row r="221" spans="1:24" ht="12.75" customHeight="1">
      <c r="A221" s="6"/>
      <c r="B221" s="5">
        <v>11876.2</v>
      </c>
      <c r="C221" s="5">
        <v>0</v>
      </c>
      <c r="D221" s="5">
        <v>11699</v>
      </c>
      <c r="E221" s="5">
        <v>0</v>
      </c>
      <c r="G221" s="5">
        <v>12940.8</v>
      </c>
      <c r="H221" s="5">
        <v>0</v>
      </c>
      <c r="I221" s="5">
        <v>11430.6</v>
      </c>
      <c r="J221" s="5">
        <v>3</v>
      </c>
      <c r="L221" s="5">
        <v>11351.7</v>
      </c>
      <c r="M221" s="5">
        <v>0</v>
      </c>
      <c r="N221" s="5">
        <v>11699</v>
      </c>
      <c r="O221" s="5">
        <v>0</v>
      </c>
      <c r="Q221" s="5">
        <v>12241.7</v>
      </c>
      <c r="R221" s="5">
        <v>0</v>
      </c>
      <c r="S221" s="5">
        <v>13214.2</v>
      </c>
      <c r="T221" s="5">
        <v>0</v>
      </c>
      <c r="V221" s="5">
        <v>12256.2</v>
      </c>
      <c r="W221" s="5">
        <v>0</v>
      </c>
      <c r="X221" s="5">
        <v>0</v>
      </c>
    </row>
    <row r="222" spans="1:24" ht="12.75" customHeight="1">
      <c r="A222" s="6"/>
      <c r="B222" s="5">
        <v>14210.4</v>
      </c>
      <c r="C222" s="5">
        <v>26</v>
      </c>
      <c r="D222" s="5">
        <v>10844.6</v>
      </c>
      <c r="E222" s="5">
        <v>0</v>
      </c>
      <c r="G222" s="5">
        <v>10966.2</v>
      </c>
      <c r="H222" s="5">
        <v>0</v>
      </c>
      <c r="I222" s="5">
        <v>10554.2</v>
      </c>
      <c r="J222" s="5">
        <v>0</v>
      </c>
      <c r="L222" s="5">
        <v>10977.2</v>
      </c>
      <c r="M222" s="5">
        <v>0</v>
      </c>
      <c r="N222" s="5">
        <v>10468.6</v>
      </c>
      <c r="O222" s="5">
        <v>0</v>
      </c>
      <c r="Q222" s="5">
        <v>11460.7</v>
      </c>
      <c r="R222" s="5">
        <v>0</v>
      </c>
      <c r="S222" s="5">
        <v>11561.9</v>
      </c>
      <c r="T222" s="5">
        <v>0</v>
      </c>
      <c r="V222" s="5">
        <v>10898.2</v>
      </c>
      <c r="W222" s="5">
        <v>0</v>
      </c>
      <c r="X222" s="5">
        <v>0</v>
      </c>
    </row>
    <row r="223" spans="1:24" ht="12.75" customHeight="1">
      <c r="A223" s="6"/>
      <c r="B223" s="5">
        <v>11185</v>
      </c>
      <c r="C223" s="5">
        <v>0</v>
      </c>
      <c r="D223" s="5">
        <v>11014.7</v>
      </c>
      <c r="E223" s="5">
        <v>0</v>
      </c>
      <c r="G223" s="5">
        <v>11324.6</v>
      </c>
      <c r="H223" s="5">
        <v>0</v>
      </c>
      <c r="I223" s="5">
        <v>10702.7</v>
      </c>
      <c r="J223" s="5">
        <v>0</v>
      </c>
      <c r="L223" s="5">
        <v>11004.7</v>
      </c>
      <c r="M223" s="5">
        <v>0</v>
      </c>
      <c r="N223" s="5">
        <v>10869.2</v>
      </c>
      <c r="O223" s="5">
        <v>0</v>
      </c>
      <c r="Q223" s="5">
        <v>12996.6</v>
      </c>
      <c r="R223" s="5">
        <v>0</v>
      </c>
      <c r="S223" s="5">
        <v>12334.3</v>
      </c>
      <c r="T223" s="5">
        <v>0</v>
      </c>
      <c r="V223" s="5">
        <v>11551.6</v>
      </c>
      <c r="W223" s="5">
        <v>0</v>
      </c>
      <c r="X223" s="5">
        <v>1</v>
      </c>
    </row>
    <row r="224" spans="1:24" ht="12.75" customHeight="1">
      <c r="A224" s="6"/>
      <c r="B224" s="5">
        <v>10023.5</v>
      </c>
      <c r="C224" s="5">
        <v>0</v>
      </c>
      <c r="D224" s="5">
        <v>9663.9</v>
      </c>
      <c r="E224" s="5">
        <v>0</v>
      </c>
      <c r="G224" s="5">
        <v>10450.799999999999</v>
      </c>
      <c r="H224" s="5">
        <v>0</v>
      </c>
      <c r="I224" s="5">
        <v>10093.799999999999</v>
      </c>
      <c r="J224" s="5">
        <v>0</v>
      </c>
      <c r="L224" s="5">
        <v>10473.700000000001</v>
      </c>
      <c r="M224" s="5">
        <v>0</v>
      </c>
      <c r="N224" s="5">
        <v>10980.8</v>
      </c>
      <c r="O224" s="5">
        <v>9</v>
      </c>
      <c r="Q224" s="5">
        <v>10510.2</v>
      </c>
      <c r="R224" s="5">
        <v>0</v>
      </c>
      <c r="S224" s="5">
        <v>11988.2</v>
      </c>
      <c r="T224" s="5">
        <v>0</v>
      </c>
      <c r="V224" s="5">
        <v>9905.6</v>
      </c>
      <c r="W224" s="5">
        <v>0</v>
      </c>
      <c r="X224" s="5">
        <v>0</v>
      </c>
    </row>
    <row r="225" spans="1:24" ht="12.75" customHeight="1">
      <c r="A225" s="6"/>
      <c r="B225" s="5">
        <v>10099.1</v>
      </c>
      <c r="C225" s="5">
        <v>0</v>
      </c>
      <c r="D225" s="5">
        <v>9262.5</v>
      </c>
      <c r="E225" s="5">
        <v>0</v>
      </c>
      <c r="G225" s="5">
        <v>10076.6</v>
      </c>
      <c r="H225" s="5">
        <v>0</v>
      </c>
      <c r="I225" s="5">
        <v>9523.2000000000007</v>
      </c>
      <c r="J225" s="5">
        <v>6</v>
      </c>
      <c r="L225" s="5">
        <v>9833.1</v>
      </c>
      <c r="M225" s="5">
        <v>0</v>
      </c>
      <c r="N225" s="5">
        <v>9827.2999999999993</v>
      </c>
      <c r="O225" s="5">
        <v>0</v>
      </c>
      <c r="Q225" s="5">
        <v>9803.2999999999993</v>
      </c>
      <c r="R225" s="5">
        <v>0</v>
      </c>
      <c r="S225" s="5">
        <v>9699.2999999999993</v>
      </c>
      <c r="T225" s="5">
        <v>0</v>
      </c>
      <c r="V225" s="5">
        <v>9030.5</v>
      </c>
      <c r="W225" s="5">
        <v>0</v>
      </c>
      <c r="X225" s="5">
        <v>0</v>
      </c>
    </row>
    <row r="226" spans="1:24" ht="12.75" customHeight="1">
      <c r="A226" s="6"/>
      <c r="B226" s="5">
        <v>7554.2</v>
      </c>
      <c r="C226" s="5">
        <v>0</v>
      </c>
      <c r="D226" s="5">
        <v>7567.1</v>
      </c>
      <c r="E226" s="5">
        <v>0</v>
      </c>
      <c r="G226" s="5">
        <v>7852.4</v>
      </c>
      <c r="H226" s="5">
        <v>0</v>
      </c>
      <c r="I226" s="5">
        <v>8969.1</v>
      </c>
      <c r="J226" s="5">
        <v>7</v>
      </c>
      <c r="L226" s="5">
        <v>7685.2</v>
      </c>
      <c r="M226" s="5">
        <v>0</v>
      </c>
      <c r="N226" s="5">
        <v>7562.2</v>
      </c>
      <c r="O226" s="5">
        <v>0</v>
      </c>
      <c r="Q226" s="5">
        <v>8615.6</v>
      </c>
      <c r="R226" s="5">
        <v>0</v>
      </c>
      <c r="S226" s="5">
        <v>8815.2000000000007</v>
      </c>
      <c r="T226" s="5">
        <v>0</v>
      </c>
      <c r="V226" s="5">
        <v>7741.2</v>
      </c>
      <c r="W226" s="5">
        <v>0</v>
      </c>
      <c r="X226" s="5">
        <v>0</v>
      </c>
    </row>
    <row r="227" spans="1:24" ht="12.75" customHeight="1">
      <c r="A227" s="6"/>
      <c r="B227" s="5">
        <v>8020.1</v>
      </c>
      <c r="C227" s="5">
        <v>0</v>
      </c>
      <c r="D227" s="5">
        <v>7533.3</v>
      </c>
      <c r="E227" s="5">
        <v>0</v>
      </c>
      <c r="G227" s="5">
        <v>8811.5</v>
      </c>
      <c r="H227" s="5">
        <v>0</v>
      </c>
      <c r="I227" s="5">
        <v>7565.3</v>
      </c>
      <c r="J227" s="5">
        <v>0</v>
      </c>
      <c r="L227" s="5">
        <v>8462.4</v>
      </c>
      <c r="M227" s="5">
        <v>0</v>
      </c>
      <c r="N227" s="5">
        <v>8462.4</v>
      </c>
      <c r="O227" s="5">
        <v>0</v>
      </c>
      <c r="Q227" s="5">
        <v>9090.4</v>
      </c>
      <c r="R227" s="5">
        <v>0</v>
      </c>
      <c r="S227" s="5">
        <v>8789.7000000000007</v>
      </c>
      <c r="T227" s="5">
        <v>0</v>
      </c>
      <c r="V227" s="5">
        <v>8462.4</v>
      </c>
      <c r="W227" s="5">
        <v>0</v>
      </c>
      <c r="X227" s="5">
        <v>0</v>
      </c>
    </row>
    <row r="228" spans="1:24" ht="12.75" customHeight="1">
      <c r="A228" s="6"/>
      <c r="B228" s="5">
        <v>15093.1</v>
      </c>
      <c r="C228" s="5">
        <v>16</v>
      </c>
      <c r="D228" s="5">
        <v>12746.1</v>
      </c>
      <c r="E228" s="5">
        <v>0</v>
      </c>
      <c r="G228" s="5">
        <v>13599</v>
      </c>
      <c r="H228" s="5">
        <v>0</v>
      </c>
      <c r="I228" s="5">
        <v>15605.8</v>
      </c>
      <c r="J228" s="5">
        <v>21</v>
      </c>
      <c r="L228" s="5">
        <v>14083.8</v>
      </c>
      <c r="M228" s="5">
        <v>4</v>
      </c>
      <c r="N228" s="5">
        <v>13376.1</v>
      </c>
      <c r="O228" s="5">
        <v>0</v>
      </c>
      <c r="Q228" s="5">
        <v>14277.6</v>
      </c>
      <c r="R228" s="5">
        <v>0</v>
      </c>
      <c r="S228" s="5">
        <v>13770.4</v>
      </c>
      <c r="T228" s="5">
        <v>0</v>
      </c>
      <c r="V228" s="5">
        <v>13166.5</v>
      </c>
      <c r="W228" s="5">
        <v>0</v>
      </c>
      <c r="X228" s="5">
        <v>0</v>
      </c>
    </row>
    <row r="229" spans="1:24" ht="12.75" customHeight="1">
      <c r="A229" s="6"/>
      <c r="B229" s="5">
        <v>14438.2</v>
      </c>
      <c r="C229" s="5">
        <v>20</v>
      </c>
      <c r="D229" s="5">
        <v>14525.7</v>
      </c>
      <c r="E229" s="5">
        <v>21</v>
      </c>
      <c r="G229" s="5">
        <v>14430.2</v>
      </c>
      <c r="H229" s="5">
        <v>20</v>
      </c>
      <c r="I229" s="5">
        <v>13898.8</v>
      </c>
      <c r="J229" s="5">
        <v>15</v>
      </c>
      <c r="L229" s="5">
        <v>14353.5</v>
      </c>
      <c r="M229" s="5">
        <v>18</v>
      </c>
      <c r="N229" s="5">
        <v>13646.8</v>
      </c>
      <c r="O229" s="5">
        <v>20</v>
      </c>
      <c r="Q229" s="5">
        <v>12838.7</v>
      </c>
      <c r="R229" s="5">
        <v>0</v>
      </c>
      <c r="S229" s="5">
        <v>14983.7</v>
      </c>
      <c r="T229" s="5">
        <v>15</v>
      </c>
      <c r="V229" s="5">
        <v>14225.7</v>
      </c>
      <c r="W229" s="5">
        <v>18</v>
      </c>
      <c r="X229" s="5">
        <v>1</v>
      </c>
    </row>
    <row r="230" spans="1:24" ht="12.75" customHeight="1">
      <c r="A230" s="6"/>
      <c r="B230" s="5">
        <v>11900.1</v>
      </c>
      <c r="C230" s="5">
        <v>0</v>
      </c>
      <c r="D230" s="5">
        <v>11924.7</v>
      </c>
      <c r="E230" s="5">
        <v>0</v>
      </c>
      <c r="G230" s="5">
        <v>12667.4</v>
      </c>
      <c r="H230" s="5">
        <v>0</v>
      </c>
      <c r="I230" s="5">
        <v>11699.8</v>
      </c>
      <c r="J230" s="5">
        <v>0</v>
      </c>
      <c r="L230" s="5">
        <v>12248.7</v>
      </c>
      <c r="M230" s="5">
        <v>0</v>
      </c>
      <c r="N230" s="5">
        <v>11555.4</v>
      </c>
      <c r="O230" s="5">
        <v>0</v>
      </c>
      <c r="Q230" s="5">
        <v>13417.8</v>
      </c>
      <c r="R230" s="5">
        <v>0</v>
      </c>
      <c r="S230" s="5">
        <v>13403.9</v>
      </c>
      <c r="T230" s="5">
        <v>0</v>
      </c>
      <c r="V230" s="5">
        <v>11801.8</v>
      </c>
      <c r="W230" s="5">
        <v>0</v>
      </c>
      <c r="X230" s="5">
        <v>0</v>
      </c>
    </row>
    <row r="231" spans="1:24" ht="12.75" customHeight="1">
      <c r="A231" s="6"/>
      <c r="B231" s="5">
        <v>11837</v>
      </c>
      <c r="C231" s="5">
        <v>0</v>
      </c>
      <c r="D231" s="5">
        <v>12412.5</v>
      </c>
      <c r="E231" s="5">
        <v>8</v>
      </c>
      <c r="G231" s="5">
        <v>16727.7</v>
      </c>
      <c r="H231" s="5">
        <v>54</v>
      </c>
      <c r="I231" s="5">
        <v>12981.7</v>
      </c>
      <c r="J231" s="5">
        <v>10</v>
      </c>
      <c r="L231" s="5">
        <v>15382.7</v>
      </c>
      <c r="M231" s="5">
        <v>39</v>
      </c>
      <c r="N231" s="5">
        <v>11795.8</v>
      </c>
      <c r="O231" s="5">
        <v>0</v>
      </c>
      <c r="Q231" s="5">
        <v>13350.7</v>
      </c>
      <c r="R231" s="5">
        <v>7</v>
      </c>
      <c r="S231" s="5">
        <v>13301.5</v>
      </c>
      <c r="T231" s="5">
        <v>12</v>
      </c>
      <c r="V231" s="5">
        <v>11837</v>
      </c>
      <c r="W231" s="5">
        <v>0</v>
      </c>
      <c r="X231" s="5">
        <v>0</v>
      </c>
    </row>
    <row r="232" spans="1:24" ht="12.75" customHeight="1">
      <c r="A232" s="6"/>
      <c r="B232" s="5">
        <v>13778.6</v>
      </c>
      <c r="C232" s="5">
        <v>1</v>
      </c>
      <c r="D232" s="5">
        <v>13614.5</v>
      </c>
      <c r="E232" s="5">
        <v>0</v>
      </c>
      <c r="G232" s="5">
        <v>13372.6</v>
      </c>
      <c r="H232" s="5">
        <v>0</v>
      </c>
      <c r="I232" s="5">
        <v>12968.6</v>
      </c>
      <c r="J232" s="5">
        <v>0</v>
      </c>
      <c r="L232" s="5">
        <v>14773</v>
      </c>
      <c r="M232" s="5">
        <v>17</v>
      </c>
      <c r="N232" s="5">
        <v>12944.6</v>
      </c>
      <c r="O232" s="5">
        <v>0</v>
      </c>
      <c r="Q232" s="5">
        <v>14317.4</v>
      </c>
      <c r="R232" s="5">
        <v>0</v>
      </c>
      <c r="S232" s="5">
        <v>13858</v>
      </c>
      <c r="T232" s="5">
        <v>0</v>
      </c>
      <c r="V232" s="5">
        <v>12968.6</v>
      </c>
      <c r="W232" s="5">
        <v>0</v>
      </c>
      <c r="X232" s="5">
        <v>0</v>
      </c>
    </row>
    <row r="233" spans="1:24" ht="12.75" customHeight="1">
      <c r="A233" s="6"/>
      <c r="B233" s="5">
        <v>12301.3</v>
      </c>
      <c r="C233" s="5">
        <v>3</v>
      </c>
      <c r="D233" s="5">
        <v>12185.3</v>
      </c>
      <c r="E233" s="5">
        <v>2</v>
      </c>
      <c r="G233" s="5">
        <v>12301.3</v>
      </c>
      <c r="H233" s="5">
        <v>3</v>
      </c>
      <c r="I233" s="5">
        <v>13947.4</v>
      </c>
      <c r="J233" s="5">
        <v>10</v>
      </c>
      <c r="L233" s="5">
        <v>13210</v>
      </c>
      <c r="M233" s="5">
        <v>7</v>
      </c>
      <c r="N233" s="5">
        <v>12080.4</v>
      </c>
      <c r="O233" s="5">
        <v>0</v>
      </c>
      <c r="Q233" s="5">
        <v>13983.3</v>
      </c>
      <c r="R233" s="5">
        <v>0</v>
      </c>
      <c r="S233" s="5">
        <v>14826.4</v>
      </c>
      <c r="T233" s="5">
        <v>24</v>
      </c>
      <c r="V233" s="5">
        <v>12513.8</v>
      </c>
      <c r="W233" s="5">
        <v>0</v>
      </c>
      <c r="X233" s="5">
        <v>0</v>
      </c>
    </row>
    <row r="234" spans="1:24" ht="12.75" customHeight="1">
      <c r="A234" s="6"/>
      <c r="B234" s="5">
        <v>16373.7</v>
      </c>
      <c r="C234" s="5">
        <v>29</v>
      </c>
      <c r="D234" s="5">
        <v>16466.900000000001</v>
      </c>
      <c r="E234" s="5">
        <v>34</v>
      </c>
      <c r="G234" s="5">
        <v>14092.6</v>
      </c>
      <c r="H234" s="5">
        <v>0</v>
      </c>
      <c r="I234" s="5">
        <v>16281</v>
      </c>
      <c r="J234" s="5">
        <v>38</v>
      </c>
      <c r="L234" s="5">
        <v>16374.9</v>
      </c>
      <c r="M234" s="5">
        <v>33</v>
      </c>
      <c r="N234" s="5">
        <v>16874.900000000001</v>
      </c>
      <c r="O234" s="5">
        <v>38</v>
      </c>
      <c r="Q234" s="5">
        <v>17793.900000000001</v>
      </c>
      <c r="R234" s="5">
        <v>38</v>
      </c>
      <c r="S234" s="5">
        <v>14372.6</v>
      </c>
      <c r="T234" s="5">
        <v>0</v>
      </c>
      <c r="V234" s="5">
        <v>13166.7</v>
      </c>
      <c r="W234" s="5">
        <v>0</v>
      </c>
      <c r="X234" s="5">
        <v>1</v>
      </c>
    </row>
    <row r="235" spans="1:24" ht="12.75" customHeight="1">
      <c r="A235" s="6"/>
      <c r="B235" s="5">
        <v>10956.4</v>
      </c>
      <c r="C235" s="5">
        <v>0</v>
      </c>
      <c r="D235" s="5">
        <v>10850.4</v>
      </c>
      <c r="E235" s="5">
        <v>0</v>
      </c>
      <c r="G235" s="5">
        <v>12641.7</v>
      </c>
      <c r="H235" s="5">
        <v>10</v>
      </c>
      <c r="I235" s="5">
        <v>11907.9</v>
      </c>
      <c r="J235" s="5">
        <v>12</v>
      </c>
      <c r="L235" s="5">
        <v>13028.5</v>
      </c>
      <c r="M235" s="5">
        <v>11</v>
      </c>
      <c r="N235" s="5">
        <v>10906.4</v>
      </c>
      <c r="O235" s="5">
        <v>0</v>
      </c>
      <c r="Q235" s="5">
        <v>12059.6</v>
      </c>
      <c r="R235" s="5">
        <v>0</v>
      </c>
      <c r="S235" s="5">
        <v>12044.9</v>
      </c>
      <c r="T235" s="5">
        <v>0</v>
      </c>
      <c r="V235" s="5">
        <v>10858.4</v>
      </c>
      <c r="W235" s="5">
        <v>0</v>
      </c>
      <c r="X235" s="5">
        <v>0</v>
      </c>
    </row>
    <row r="236" spans="1:24" ht="12.75" customHeight="1">
      <c r="A236" s="6"/>
      <c r="B236" s="5">
        <v>14101</v>
      </c>
      <c r="C236" s="5">
        <v>0</v>
      </c>
      <c r="D236" s="5">
        <v>12834.3</v>
      </c>
      <c r="E236" s="5">
        <v>1</v>
      </c>
      <c r="G236" s="5">
        <v>14082.7</v>
      </c>
      <c r="H236" s="5">
        <v>0</v>
      </c>
      <c r="I236" s="5">
        <v>13096.5</v>
      </c>
      <c r="J236" s="5">
        <v>0</v>
      </c>
      <c r="L236" s="5">
        <v>13568.6</v>
      </c>
      <c r="M236" s="5">
        <v>0</v>
      </c>
      <c r="N236" s="5">
        <v>13793.2</v>
      </c>
      <c r="O236" s="5">
        <v>0</v>
      </c>
      <c r="Q236" s="5">
        <v>14134</v>
      </c>
      <c r="R236" s="5">
        <v>3</v>
      </c>
      <c r="S236" s="5">
        <v>15913.9</v>
      </c>
      <c r="T236" s="5">
        <v>18</v>
      </c>
      <c r="V236" s="5">
        <v>12631.8</v>
      </c>
      <c r="W236" s="5">
        <v>0</v>
      </c>
      <c r="X236" s="5">
        <v>0</v>
      </c>
    </row>
    <row r="237" spans="1:24" ht="12.75" customHeight="1">
      <c r="A237" s="6"/>
      <c r="B237" s="5">
        <v>10125.9</v>
      </c>
      <c r="C237" s="5">
        <v>0</v>
      </c>
      <c r="D237" s="5">
        <v>9452.6</v>
      </c>
      <c r="E237" s="5">
        <v>0</v>
      </c>
      <c r="G237" s="5">
        <v>10281.5</v>
      </c>
      <c r="H237" s="5">
        <v>0</v>
      </c>
      <c r="I237" s="5">
        <v>10772</v>
      </c>
      <c r="J237" s="5">
        <v>0</v>
      </c>
      <c r="L237" s="5">
        <v>10141.9</v>
      </c>
      <c r="M237" s="5">
        <v>0</v>
      </c>
      <c r="N237" s="5">
        <v>9119.4</v>
      </c>
      <c r="O237" s="5">
        <v>0</v>
      </c>
      <c r="Q237" s="5">
        <v>11482</v>
      </c>
      <c r="R237" s="5">
        <v>0</v>
      </c>
      <c r="S237" s="5">
        <v>10969.4</v>
      </c>
      <c r="T237" s="5">
        <v>0</v>
      </c>
      <c r="V237" s="5">
        <v>9151.4</v>
      </c>
      <c r="W237" s="5">
        <v>0</v>
      </c>
      <c r="X237" s="5">
        <v>0</v>
      </c>
    </row>
    <row r="238" spans="1:24" ht="12.75" customHeight="1">
      <c r="A238" s="6"/>
      <c r="B238" s="5">
        <v>13478.9</v>
      </c>
      <c r="C238" s="5">
        <v>0</v>
      </c>
      <c r="D238" s="5">
        <v>13705.4</v>
      </c>
      <c r="E238" s="5">
        <v>0</v>
      </c>
      <c r="G238" s="5">
        <v>14941</v>
      </c>
      <c r="H238" s="5">
        <v>0</v>
      </c>
      <c r="I238" s="5">
        <v>13769.4</v>
      </c>
      <c r="J238" s="5">
        <v>0</v>
      </c>
      <c r="L238" s="5">
        <v>13426.9</v>
      </c>
      <c r="M238" s="5">
        <v>0</v>
      </c>
      <c r="N238" s="5">
        <v>12974.6</v>
      </c>
      <c r="O238" s="5">
        <v>0</v>
      </c>
      <c r="Q238" s="5">
        <v>17500.3</v>
      </c>
      <c r="R238" s="5">
        <v>13</v>
      </c>
      <c r="S238" s="5">
        <v>16812.2</v>
      </c>
      <c r="T238" s="5">
        <v>12</v>
      </c>
      <c r="V238" s="5">
        <v>13038.6</v>
      </c>
      <c r="W238" s="5">
        <v>0</v>
      </c>
      <c r="X238" s="5">
        <v>0</v>
      </c>
    </row>
    <row r="239" spans="1:24" ht="12.75" customHeight="1">
      <c r="A239" s="6"/>
      <c r="B239" s="5">
        <v>9924.2000000000007</v>
      </c>
      <c r="C239" s="5">
        <v>0</v>
      </c>
      <c r="D239" s="5">
        <v>8593.7000000000007</v>
      </c>
      <c r="E239" s="5">
        <v>0</v>
      </c>
      <c r="G239" s="5">
        <v>9738</v>
      </c>
      <c r="H239" s="5">
        <v>0</v>
      </c>
      <c r="I239" s="5">
        <v>10296.799999999999</v>
      </c>
      <c r="J239" s="5">
        <v>0</v>
      </c>
      <c r="L239" s="5">
        <v>9869.1</v>
      </c>
      <c r="M239" s="5">
        <v>0</v>
      </c>
      <c r="N239" s="5">
        <v>9367.2999999999993</v>
      </c>
      <c r="O239" s="5">
        <v>0</v>
      </c>
      <c r="Q239" s="5">
        <v>9490.2000000000007</v>
      </c>
      <c r="R239" s="5">
        <v>0</v>
      </c>
      <c r="S239" s="5">
        <v>10268.5</v>
      </c>
      <c r="T239" s="5">
        <v>0</v>
      </c>
      <c r="V239" s="5">
        <v>9378.7999999999993</v>
      </c>
      <c r="W239" s="5">
        <v>0</v>
      </c>
      <c r="X239" s="5">
        <v>1</v>
      </c>
    </row>
    <row r="240" spans="1:24" ht="12.75" customHeight="1">
      <c r="A240" s="6"/>
      <c r="B240" s="5">
        <v>11757.3</v>
      </c>
      <c r="C240" s="5">
        <v>7</v>
      </c>
      <c r="D240" s="5">
        <v>10494.2</v>
      </c>
      <c r="E240" s="5">
        <v>0</v>
      </c>
      <c r="G240" s="5">
        <v>11222.2</v>
      </c>
      <c r="H240" s="5">
        <v>0</v>
      </c>
      <c r="I240" s="5">
        <v>10693.2</v>
      </c>
      <c r="J240" s="5">
        <v>0</v>
      </c>
      <c r="L240" s="5">
        <v>11668.7</v>
      </c>
      <c r="M240" s="5">
        <v>15</v>
      </c>
      <c r="N240" s="5">
        <v>10494.2</v>
      </c>
      <c r="O240" s="5">
        <v>0</v>
      </c>
      <c r="Q240" s="5">
        <v>11578.7</v>
      </c>
      <c r="R240" s="5">
        <v>0</v>
      </c>
      <c r="S240" s="5">
        <v>12083.9</v>
      </c>
      <c r="T240" s="5">
        <v>5</v>
      </c>
      <c r="V240" s="5">
        <v>10693.2</v>
      </c>
      <c r="W240" s="5">
        <v>0</v>
      </c>
      <c r="X240" s="5">
        <v>0</v>
      </c>
    </row>
    <row r="241" spans="1:24" ht="12.75" customHeight="1">
      <c r="A241" s="6"/>
      <c r="B241" s="5">
        <v>12443.8</v>
      </c>
      <c r="C241" s="5">
        <v>25</v>
      </c>
      <c r="D241" s="5">
        <v>12828.2</v>
      </c>
      <c r="E241" s="5">
        <v>27</v>
      </c>
      <c r="G241" s="5">
        <v>10447</v>
      </c>
      <c r="H241" s="5">
        <v>0</v>
      </c>
      <c r="I241" s="5">
        <v>10650.8</v>
      </c>
      <c r="J241" s="5">
        <v>0</v>
      </c>
      <c r="L241" s="5">
        <v>10137.700000000001</v>
      </c>
      <c r="M241" s="5">
        <v>0</v>
      </c>
      <c r="N241" s="5">
        <v>10064.5</v>
      </c>
      <c r="O241" s="5">
        <v>0</v>
      </c>
      <c r="Q241" s="5">
        <v>10924.5</v>
      </c>
      <c r="R241" s="5">
        <v>0</v>
      </c>
      <c r="S241" s="5">
        <v>10503.9</v>
      </c>
      <c r="T241" s="5">
        <v>0</v>
      </c>
      <c r="V241" s="5">
        <v>10064.5</v>
      </c>
      <c r="W241" s="5">
        <v>0</v>
      </c>
      <c r="X241" s="5">
        <v>0</v>
      </c>
    </row>
    <row r="242" spans="1:24" ht="12.75" customHeight="1">
      <c r="A242" s="6"/>
      <c r="B242" s="5">
        <v>15536.2</v>
      </c>
      <c r="C242" s="5">
        <v>18</v>
      </c>
      <c r="D242" s="5">
        <v>13137.8</v>
      </c>
      <c r="E242" s="5">
        <v>0</v>
      </c>
      <c r="G242" s="5">
        <v>13960.2</v>
      </c>
      <c r="H242" s="5">
        <v>0</v>
      </c>
      <c r="I242" s="5">
        <v>14284.2</v>
      </c>
      <c r="J242" s="5">
        <v>0</v>
      </c>
      <c r="L242" s="5">
        <v>16707.2</v>
      </c>
      <c r="M242" s="5">
        <v>26</v>
      </c>
      <c r="N242" s="5">
        <v>13544.1</v>
      </c>
      <c r="O242" s="5">
        <v>0</v>
      </c>
      <c r="Q242" s="5">
        <v>14523.6</v>
      </c>
      <c r="R242" s="5">
        <v>0</v>
      </c>
      <c r="S242" s="5">
        <v>16097.7</v>
      </c>
      <c r="T242" s="5">
        <v>11</v>
      </c>
      <c r="V242" s="5">
        <v>13137.8</v>
      </c>
      <c r="W242" s="5">
        <v>0</v>
      </c>
      <c r="X242" s="5">
        <v>0</v>
      </c>
    </row>
    <row r="243" spans="1:24" ht="12.75" customHeight="1">
      <c r="A243" s="6"/>
      <c r="B243" s="5">
        <v>10667.4</v>
      </c>
      <c r="C243" s="5">
        <v>0</v>
      </c>
      <c r="D243" s="5">
        <v>10863.8</v>
      </c>
      <c r="E243" s="5">
        <v>0</v>
      </c>
      <c r="G243" s="5">
        <v>11032.5</v>
      </c>
      <c r="H243" s="5">
        <v>0</v>
      </c>
      <c r="I243" s="5">
        <v>11024.5</v>
      </c>
      <c r="J243" s="5">
        <v>0</v>
      </c>
      <c r="L243" s="5">
        <v>11437.2</v>
      </c>
      <c r="M243" s="5">
        <v>0</v>
      </c>
      <c r="N243" s="5">
        <v>10863.8</v>
      </c>
      <c r="O243" s="5">
        <v>0</v>
      </c>
      <c r="Q243" s="5">
        <v>12967.7</v>
      </c>
      <c r="R243" s="5">
        <v>0</v>
      </c>
      <c r="S243" s="5">
        <v>12332.5</v>
      </c>
      <c r="T243" s="5">
        <v>0</v>
      </c>
      <c r="V243" s="5">
        <v>11024.5</v>
      </c>
      <c r="W243" s="5">
        <v>0</v>
      </c>
      <c r="X243" s="5">
        <v>0</v>
      </c>
    </row>
    <row r="244" spans="1:24" ht="12.75" customHeight="1">
      <c r="A244" s="6"/>
      <c r="B244" s="5">
        <v>9157.4</v>
      </c>
      <c r="C244" s="5">
        <v>0</v>
      </c>
      <c r="D244" s="5">
        <v>9208.9</v>
      </c>
      <c r="E244" s="5">
        <v>0</v>
      </c>
      <c r="G244" s="5">
        <v>13005.9</v>
      </c>
      <c r="H244" s="5">
        <v>41</v>
      </c>
      <c r="I244" s="5">
        <v>8481</v>
      </c>
      <c r="J244" s="5">
        <v>0</v>
      </c>
      <c r="L244" s="5">
        <v>9647.2999999999993</v>
      </c>
      <c r="M244" s="5">
        <v>0</v>
      </c>
      <c r="N244" s="5">
        <v>8465</v>
      </c>
      <c r="O244" s="5">
        <v>0</v>
      </c>
      <c r="Q244" s="5">
        <v>9595.2000000000007</v>
      </c>
      <c r="R244" s="5">
        <v>0</v>
      </c>
      <c r="S244" s="5">
        <v>10801.4</v>
      </c>
      <c r="T244" s="5">
        <v>0</v>
      </c>
      <c r="V244" s="5">
        <v>9454.4</v>
      </c>
      <c r="W244" s="5">
        <v>0</v>
      </c>
      <c r="X244" s="5">
        <v>1</v>
      </c>
    </row>
    <row r="245" spans="1:24" ht="12.75" customHeight="1">
      <c r="A245" s="6"/>
      <c r="B245" s="5">
        <v>10396.299999999999</v>
      </c>
      <c r="C245" s="5">
        <v>0</v>
      </c>
      <c r="D245" s="5">
        <v>10172</v>
      </c>
      <c r="E245" s="5">
        <v>0</v>
      </c>
      <c r="G245" s="5">
        <v>11011.6</v>
      </c>
      <c r="H245" s="5">
        <v>0</v>
      </c>
      <c r="I245" s="5">
        <v>10292.1</v>
      </c>
      <c r="J245" s="5">
        <v>0</v>
      </c>
      <c r="L245" s="5">
        <v>10945.3</v>
      </c>
      <c r="M245" s="5">
        <v>0</v>
      </c>
      <c r="N245" s="5">
        <v>10881.5</v>
      </c>
      <c r="O245" s="5">
        <v>0</v>
      </c>
      <c r="Q245" s="5">
        <v>17687.3</v>
      </c>
      <c r="R245" s="5">
        <v>57</v>
      </c>
      <c r="S245" s="5">
        <v>11599.3</v>
      </c>
      <c r="T245" s="5">
        <v>0</v>
      </c>
      <c r="V245" s="5">
        <v>10171.6</v>
      </c>
      <c r="W245" s="5">
        <v>0</v>
      </c>
      <c r="X245" s="5">
        <v>0</v>
      </c>
    </row>
    <row r="246" spans="1:24" ht="12.75" customHeight="1">
      <c r="A246" s="6"/>
      <c r="B246" s="5">
        <v>9950.2999999999993</v>
      </c>
      <c r="C246" s="5">
        <v>6</v>
      </c>
      <c r="D246" s="5">
        <v>8995</v>
      </c>
      <c r="E246" s="5">
        <v>5</v>
      </c>
      <c r="G246" s="5">
        <v>9963.7999999999993</v>
      </c>
      <c r="H246" s="5">
        <v>5</v>
      </c>
      <c r="I246" s="5">
        <v>9035</v>
      </c>
      <c r="J246" s="5">
        <v>5</v>
      </c>
      <c r="L246" s="5">
        <v>9759.7000000000007</v>
      </c>
      <c r="M246" s="5">
        <v>0</v>
      </c>
      <c r="N246" s="5">
        <v>9451.9</v>
      </c>
      <c r="O246" s="5">
        <v>0</v>
      </c>
      <c r="Q246" s="5">
        <v>9562.2999999999993</v>
      </c>
      <c r="R246" s="5">
        <v>0</v>
      </c>
      <c r="S246" s="5">
        <v>9838.2000000000007</v>
      </c>
      <c r="T246" s="5">
        <v>1</v>
      </c>
      <c r="V246" s="5">
        <v>9443.9</v>
      </c>
      <c r="W246" s="5">
        <v>0</v>
      </c>
      <c r="X246" s="5">
        <v>0</v>
      </c>
    </row>
    <row r="247" spans="1:24" ht="12.75" customHeight="1">
      <c r="A247" s="6"/>
      <c r="B247" s="5">
        <v>9376.7999999999993</v>
      </c>
      <c r="C247" s="5">
        <v>0</v>
      </c>
      <c r="D247" s="5">
        <v>9369.1</v>
      </c>
      <c r="E247" s="5">
        <v>0</v>
      </c>
      <c r="G247" s="5">
        <v>9408.4</v>
      </c>
      <c r="H247" s="5">
        <v>0</v>
      </c>
      <c r="I247" s="5">
        <v>8786</v>
      </c>
      <c r="J247" s="5">
        <v>0</v>
      </c>
      <c r="L247" s="5">
        <v>10181.700000000001</v>
      </c>
      <c r="M247" s="5">
        <v>0</v>
      </c>
      <c r="N247" s="5">
        <v>9353.1</v>
      </c>
      <c r="O247" s="5">
        <v>0</v>
      </c>
      <c r="Q247" s="5">
        <v>9711.4</v>
      </c>
      <c r="R247" s="5">
        <v>0</v>
      </c>
      <c r="S247" s="5">
        <v>10179.9</v>
      </c>
      <c r="T247" s="5">
        <v>0</v>
      </c>
      <c r="V247" s="5">
        <v>9711.4</v>
      </c>
      <c r="W247" s="5">
        <v>0</v>
      </c>
      <c r="X247" s="5">
        <v>0</v>
      </c>
    </row>
    <row r="248" spans="1:24" ht="12.75" customHeight="1">
      <c r="A248" s="6"/>
      <c r="B248" s="5">
        <v>9687.4</v>
      </c>
      <c r="C248" s="5">
        <v>0</v>
      </c>
      <c r="D248" s="5">
        <v>8775.6</v>
      </c>
      <c r="E248" s="5">
        <v>3</v>
      </c>
      <c r="G248" s="5">
        <v>9603.4</v>
      </c>
      <c r="H248" s="5">
        <v>0</v>
      </c>
      <c r="I248" s="5">
        <v>9625.2000000000007</v>
      </c>
      <c r="J248" s="5">
        <v>0</v>
      </c>
      <c r="L248" s="5">
        <v>10178.700000000001</v>
      </c>
      <c r="M248" s="5">
        <v>0</v>
      </c>
      <c r="N248" s="5">
        <v>9103.6</v>
      </c>
      <c r="O248" s="5">
        <v>0</v>
      </c>
      <c r="Q248" s="5">
        <v>10622.8</v>
      </c>
      <c r="R248" s="5">
        <v>0</v>
      </c>
      <c r="S248" s="5">
        <v>9924.6</v>
      </c>
      <c r="T248" s="5">
        <v>3</v>
      </c>
      <c r="V248" s="5">
        <v>9336.9</v>
      </c>
      <c r="W248" s="5">
        <v>0</v>
      </c>
      <c r="X248" s="5">
        <v>0</v>
      </c>
    </row>
    <row r="249" spans="1:24" ht="12.75" customHeight="1">
      <c r="A249" s="6"/>
      <c r="B249" s="5">
        <v>11977.6</v>
      </c>
      <c r="C249" s="5">
        <v>0</v>
      </c>
      <c r="D249" s="5">
        <v>11877.2</v>
      </c>
      <c r="E249" s="5">
        <v>0</v>
      </c>
      <c r="G249" s="5">
        <v>11723.1</v>
      </c>
      <c r="H249" s="5">
        <v>0</v>
      </c>
      <c r="I249" s="5">
        <v>11228.1</v>
      </c>
      <c r="J249" s="5">
        <v>0</v>
      </c>
      <c r="L249" s="5">
        <v>11977.6</v>
      </c>
      <c r="M249" s="5">
        <v>0</v>
      </c>
      <c r="N249" s="5">
        <v>10800.7</v>
      </c>
      <c r="O249" s="5">
        <v>0</v>
      </c>
      <c r="Q249" s="5">
        <v>12868</v>
      </c>
      <c r="R249" s="5">
        <v>0</v>
      </c>
      <c r="S249" s="5">
        <v>11544.8</v>
      </c>
      <c r="T249" s="5">
        <v>0</v>
      </c>
      <c r="V249" s="5">
        <v>11501.7</v>
      </c>
      <c r="W249" s="5">
        <v>0</v>
      </c>
      <c r="X249" s="5">
        <v>1</v>
      </c>
    </row>
    <row r="250" spans="1:24" ht="12.75" customHeight="1">
      <c r="A250" s="6"/>
      <c r="B250" s="5">
        <v>13562.3</v>
      </c>
      <c r="C250" s="5">
        <v>28</v>
      </c>
      <c r="D250" s="5">
        <v>10604.1</v>
      </c>
      <c r="E250" s="5">
        <v>0</v>
      </c>
      <c r="G250" s="5">
        <v>10938.4</v>
      </c>
      <c r="H250" s="5">
        <v>0</v>
      </c>
      <c r="I250" s="5">
        <v>12587</v>
      </c>
      <c r="J250" s="5">
        <v>22</v>
      </c>
      <c r="L250" s="5">
        <v>10911.6</v>
      </c>
      <c r="M250" s="5">
        <v>0</v>
      </c>
      <c r="N250" s="5">
        <v>10604.1</v>
      </c>
      <c r="O250" s="5">
        <v>0</v>
      </c>
      <c r="Q250" s="5">
        <v>14161.9</v>
      </c>
      <c r="R250" s="5">
        <v>27</v>
      </c>
      <c r="S250" s="5">
        <v>10690.3</v>
      </c>
      <c r="T250" s="5">
        <v>0</v>
      </c>
      <c r="V250" s="5">
        <v>10604.1</v>
      </c>
      <c r="W250" s="5">
        <v>0</v>
      </c>
      <c r="X250" s="5">
        <v>0</v>
      </c>
    </row>
    <row r="251" spans="1:24" ht="12.75" customHeight="1">
      <c r="A251" s="6"/>
      <c r="B251" s="5">
        <v>12211.5</v>
      </c>
      <c r="C251" s="5">
        <v>0</v>
      </c>
      <c r="D251" s="5">
        <v>12203.5</v>
      </c>
      <c r="E251" s="5">
        <v>0</v>
      </c>
      <c r="G251" s="5">
        <v>12971.5</v>
      </c>
      <c r="H251" s="5">
        <v>0</v>
      </c>
      <c r="I251" s="5">
        <v>12688</v>
      </c>
      <c r="J251" s="5">
        <v>0</v>
      </c>
      <c r="L251" s="5">
        <v>12195.5</v>
      </c>
      <c r="M251" s="5">
        <v>0</v>
      </c>
      <c r="N251" s="5">
        <v>12203.5</v>
      </c>
      <c r="O251" s="5">
        <v>0</v>
      </c>
      <c r="Q251" s="5">
        <v>15600.8</v>
      </c>
      <c r="R251" s="5">
        <v>4</v>
      </c>
      <c r="S251" s="5">
        <v>14234</v>
      </c>
      <c r="T251" s="5">
        <v>0</v>
      </c>
      <c r="V251" s="5">
        <v>12680</v>
      </c>
      <c r="W251" s="5">
        <v>0</v>
      </c>
      <c r="X251" s="5">
        <v>0</v>
      </c>
    </row>
    <row r="252" spans="1:24" ht="12.75" customHeight="1">
      <c r="A252" s="6"/>
      <c r="B252" s="5">
        <v>9296.5</v>
      </c>
      <c r="C252" s="5">
        <v>0</v>
      </c>
      <c r="D252" s="5">
        <v>9339.7999999999993</v>
      </c>
      <c r="E252" s="5">
        <v>8</v>
      </c>
      <c r="G252" s="5">
        <v>9830.6</v>
      </c>
      <c r="H252" s="5">
        <v>0</v>
      </c>
      <c r="I252" s="5">
        <v>9328.5</v>
      </c>
      <c r="J252" s="5">
        <v>0</v>
      </c>
      <c r="L252" s="5">
        <v>9624.9</v>
      </c>
      <c r="M252" s="5">
        <v>0</v>
      </c>
      <c r="N252" s="5">
        <v>9841.2999999999993</v>
      </c>
      <c r="O252" s="5">
        <v>0</v>
      </c>
      <c r="Q252" s="5">
        <v>9856.6</v>
      </c>
      <c r="R252" s="5">
        <v>0</v>
      </c>
      <c r="S252" s="5">
        <v>10777.4</v>
      </c>
      <c r="T252" s="5">
        <v>0</v>
      </c>
      <c r="V252" s="5">
        <v>9015.7999999999993</v>
      </c>
      <c r="W252" s="5">
        <v>0</v>
      </c>
      <c r="X252" s="5">
        <v>0</v>
      </c>
    </row>
    <row r="253" spans="1:24" ht="12.75" customHeight="1">
      <c r="A253" s="6"/>
      <c r="B253" s="5">
        <v>14564.3</v>
      </c>
      <c r="C253" s="5">
        <v>0</v>
      </c>
      <c r="D253" s="5">
        <v>14930.9</v>
      </c>
      <c r="E253" s="5">
        <v>0</v>
      </c>
      <c r="G253" s="5">
        <v>14778.5</v>
      </c>
      <c r="H253" s="5">
        <v>0</v>
      </c>
      <c r="I253" s="5">
        <v>16232.1</v>
      </c>
      <c r="J253" s="5">
        <v>14</v>
      </c>
      <c r="L253" s="5">
        <v>14544.9</v>
      </c>
      <c r="M253" s="5">
        <v>0</v>
      </c>
      <c r="N253" s="5">
        <v>15907.3</v>
      </c>
      <c r="O253" s="5">
        <v>14</v>
      </c>
      <c r="Q253" s="5">
        <v>17346.599999999999</v>
      </c>
      <c r="R253" s="5">
        <v>19</v>
      </c>
      <c r="S253" s="5">
        <v>16830</v>
      </c>
      <c r="T253" s="5">
        <v>15</v>
      </c>
      <c r="V253" s="5">
        <v>14903.9</v>
      </c>
      <c r="W253" s="5">
        <v>0</v>
      </c>
      <c r="X253" s="5">
        <v>0</v>
      </c>
    </row>
    <row r="254" spans="1:24" ht="12.75" customHeight="1">
      <c r="A254" s="6"/>
      <c r="B254" s="5">
        <v>14227.4</v>
      </c>
      <c r="C254" s="5">
        <v>24</v>
      </c>
      <c r="D254" s="5">
        <v>13374.8</v>
      </c>
      <c r="E254" s="5">
        <v>20</v>
      </c>
      <c r="G254" s="5">
        <v>13847.3</v>
      </c>
      <c r="H254" s="5">
        <v>20</v>
      </c>
      <c r="I254" s="5">
        <v>12201.1</v>
      </c>
      <c r="J254" s="5">
        <v>17</v>
      </c>
      <c r="L254" s="5">
        <v>13351.2</v>
      </c>
      <c r="M254" s="5">
        <v>13</v>
      </c>
      <c r="N254" s="5">
        <v>12176.4</v>
      </c>
      <c r="O254" s="5">
        <v>7</v>
      </c>
      <c r="Q254" s="5">
        <v>12504.6</v>
      </c>
      <c r="R254" s="5">
        <v>0</v>
      </c>
      <c r="S254" s="5">
        <v>12627.9</v>
      </c>
      <c r="T254" s="5">
        <v>0</v>
      </c>
      <c r="V254" s="5">
        <v>12232.5</v>
      </c>
      <c r="W254" s="5">
        <v>0</v>
      </c>
      <c r="X254" s="5">
        <v>1</v>
      </c>
    </row>
    <row r="255" spans="1:24" ht="12.75" customHeight="1">
      <c r="A255" s="6"/>
      <c r="B255" s="5">
        <v>11152.1</v>
      </c>
      <c r="C255" s="5">
        <v>0</v>
      </c>
      <c r="D255" s="5">
        <v>9992.2999999999993</v>
      </c>
      <c r="E255" s="5">
        <v>0</v>
      </c>
      <c r="G255" s="5">
        <v>11217.1</v>
      </c>
      <c r="H255" s="5">
        <v>0</v>
      </c>
      <c r="I255" s="5">
        <v>10056.200000000001</v>
      </c>
      <c r="J255" s="5">
        <v>0</v>
      </c>
      <c r="L255" s="5">
        <v>10580.7</v>
      </c>
      <c r="M255" s="5">
        <v>0</v>
      </c>
      <c r="N255" s="5">
        <v>10144.299999999999</v>
      </c>
      <c r="O255" s="5">
        <v>0</v>
      </c>
      <c r="Q255" s="5">
        <v>11050.1</v>
      </c>
      <c r="R255" s="5">
        <v>0</v>
      </c>
      <c r="S255" s="5">
        <v>10969</v>
      </c>
      <c r="T255" s="5">
        <v>0</v>
      </c>
      <c r="V255" s="5">
        <v>10141.5</v>
      </c>
      <c r="W255" s="5">
        <v>0</v>
      </c>
      <c r="X255" s="5">
        <v>0</v>
      </c>
    </row>
    <row r="256" spans="1:24" ht="12.75" customHeight="1">
      <c r="A256" s="6"/>
      <c r="B256" s="5">
        <v>14180.8</v>
      </c>
      <c r="C256" s="5">
        <v>9</v>
      </c>
      <c r="D256" s="5">
        <v>14228.8</v>
      </c>
      <c r="E256" s="5">
        <v>9</v>
      </c>
      <c r="G256" s="5">
        <v>13578.3</v>
      </c>
      <c r="H256" s="5">
        <v>0</v>
      </c>
      <c r="I256" s="5">
        <v>13328.8</v>
      </c>
      <c r="J256" s="5">
        <v>0</v>
      </c>
      <c r="L256" s="5">
        <v>13637.1</v>
      </c>
      <c r="M256" s="5">
        <v>0</v>
      </c>
      <c r="N256" s="5">
        <v>13140.5</v>
      </c>
      <c r="O256" s="5">
        <v>0</v>
      </c>
      <c r="Q256" s="5">
        <v>13677.1</v>
      </c>
      <c r="R256" s="5">
        <v>0</v>
      </c>
      <c r="S256" s="5">
        <v>14119.1</v>
      </c>
      <c r="T256" s="5">
        <v>0</v>
      </c>
      <c r="V256" s="5">
        <v>13530.3</v>
      </c>
      <c r="W256" s="5">
        <v>0</v>
      </c>
      <c r="X256" s="5">
        <v>0</v>
      </c>
    </row>
    <row r="257" spans="1:24" ht="12.75" customHeight="1">
      <c r="A257" s="6"/>
      <c r="B257" s="5">
        <v>13956.9</v>
      </c>
      <c r="C257" s="5">
        <v>0</v>
      </c>
      <c r="D257" s="5">
        <v>14232.5</v>
      </c>
      <c r="E257" s="5">
        <v>10</v>
      </c>
      <c r="G257" s="5">
        <v>14076.5</v>
      </c>
      <c r="H257" s="5">
        <v>2</v>
      </c>
      <c r="I257" s="5">
        <v>16426.8</v>
      </c>
      <c r="J257" s="5">
        <v>24</v>
      </c>
      <c r="L257" s="5">
        <v>16627.5</v>
      </c>
      <c r="M257" s="5">
        <v>25</v>
      </c>
      <c r="N257" s="5">
        <v>14932</v>
      </c>
      <c r="O257" s="5">
        <v>10</v>
      </c>
      <c r="Q257" s="5">
        <v>15038.4</v>
      </c>
      <c r="R257" s="5">
        <v>0</v>
      </c>
      <c r="S257" s="5">
        <v>14611.1</v>
      </c>
      <c r="T257" s="5">
        <v>0</v>
      </c>
      <c r="V257" s="5">
        <v>13924</v>
      </c>
      <c r="W257" s="5">
        <v>0</v>
      </c>
      <c r="X257" s="5">
        <v>0</v>
      </c>
    </row>
    <row r="258" spans="1:24" ht="12.75" customHeight="1">
      <c r="A258" s="6"/>
      <c r="B258" s="5">
        <v>9397.5</v>
      </c>
      <c r="C258" s="5">
        <v>0</v>
      </c>
      <c r="D258" s="5">
        <v>8331.2000000000007</v>
      </c>
      <c r="E258" s="5">
        <v>0</v>
      </c>
      <c r="G258" s="5">
        <v>8846.7999999999993</v>
      </c>
      <c r="H258" s="5">
        <v>0</v>
      </c>
      <c r="I258" s="5">
        <v>8323.2000000000007</v>
      </c>
      <c r="J258" s="5">
        <v>0</v>
      </c>
      <c r="L258" s="5">
        <v>9408.5</v>
      </c>
      <c r="M258" s="5">
        <v>0</v>
      </c>
      <c r="N258" s="5">
        <v>8307.2000000000007</v>
      </c>
      <c r="O258" s="5">
        <v>0</v>
      </c>
      <c r="Q258" s="5">
        <v>10239.5</v>
      </c>
      <c r="R258" s="5">
        <v>0</v>
      </c>
      <c r="S258" s="5">
        <v>10023.1</v>
      </c>
      <c r="T258" s="5">
        <v>0</v>
      </c>
      <c r="V258" s="5">
        <v>8820.6</v>
      </c>
      <c r="W258" s="5">
        <v>0</v>
      </c>
      <c r="X258" s="5">
        <v>0</v>
      </c>
    </row>
    <row r="259" spans="1:24" ht="12.75" customHeight="1">
      <c r="A259" s="6"/>
      <c r="B259" s="5">
        <v>12613.3</v>
      </c>
      <c r="C259" s="5">
        <v>0</v>
      </c>
      <c r="D259" s="5">
        <v>12071.8</v>
      </c>
      <c r="E259" s="5">
        <v>0</v>
      </c>
      <c r="G259" s="5">
        <v>12759.4</v>
      </c>
      <c r="H259" s="5">
        <v>0</v>
      </c>
      <c r="I259" s="5">
        <v>12038.6</v>
      </c>
      <c r="J259" s="5">
        <v>0</v>
      </c>
      <c r="L259" s="5">
        <v>16971.599999999999</v>
      </c>
      <c r="M259" s="5">
        <v>40</v>
      </c>
      <c r="N259" s="5">
        <v>13030.7</v>
      </c>
      <c r="O259" s="5">
        <v>0</v>
      </c>
      <c r="Q259" s="5">
        <v>13796.5</v>
      </c>
      <c r="R259" s="5">
        <v>0</v>
      </c>
      <c r="S259" s="5">
        <v>14233.5</v>
      </c>
      <c r="T259" s="5">
        <v>0</v>
      </c>
      <c r="V259" s="5">
        <v>13022.7</v>
      </c>
      <c r="W259" s="5">
        <v>0</v>
      </c>
      <c r="X259" s="5">
        <v>0</v>
      </c>
    </row>
    <row r="260" spans="1:24" ht="12.75" customHeight="1">
      <c r="A260" s="6"/>
      <c r="B260" s="5">
        <v>9089.2000000000007</v>
      </c>
      <c r="C260" s="5">
        <v>0</v>
      </c>
      <c r="D260" s="5">
        <v>9336.5</v>
      </c>
      <c r="E260" s="5">
        <v>5</v>
      </c>
      <c r="G260" s="5">
        <v>9153.2000000000007</v>
      </c>
      <c r="H260" s="5">
        <v>0</v>
      </c>
      <c r="I260" s="5">
        <v>9382.4</v>
      </c>
      <c r="J260" s="5">
        <v>0</v>
      </c>
      <c r="L260" s="5">
        <v>9415.7999999999993</v>
      </c>
      <c r="M260" s="5">
        <v>0</v>
      </c>
      <c r="N260" s="5">
        <v>8820.5</v>
      </c>
      <c r="O260" s="5">
        <v>0</v>
      </c>
      <c r="Q260" s="5">
        <v>9940.1</v>
      </c>
      <c r="R260" s="5">
        <v>5</v>
      </c>
      <c r="S260" s="5">
        <v>10480.200000000001</v>
      </c>
      <c r="T260" s="5">
        <v>0</v>
      </c>
      <c r="V260" s="5">
        <v>8900.5</v>
      </c>
      <c r="W260" s="5">
        <v>0</v>
      </c>
      <c r="X260" s="5">
        <v>1</v>
      </c>
    </row>
    <row r="261" spans="1:24" ht="12.75" customHeight="1">
      <c r="A261" s="6"/>
      <c r="B261" s="5">
        <v>7624.1</v>
      </c>
      <c r="C261" s="5">
        <v>0</v>
      </c>
      <c r="D261" s="5">
        <v>7874.9</v>
      </c>
      <c r="E261" s="5">
        <v>6</v>
      </c>
      <c r="G261" s="5">
        <v>9289.6</v>
      </c>
      <c r="H261" s="5">
        <v>12</v>
      </c>
      <c r="I261" s="5">
        <v>7811.9</v>
      </c>
      <c r="J261" s="5">
        <v>0</v>
      </c>
      <c r="L261" s="5">
        <v>8454.2999999999993</v>
      </c>
      <c r="M261" s="5">
        <v>6</v>
      </c>
      <c r="N261" s="5">
        <v>7616</v>
      </c>
      <c r="O261" s="5">
        <v>6</v>
      </c>
      <c r="Q261" s="5">
        <v>8734.2999999999993</v>
      </c>
      <c r="R261" s="5">
        <v>0</v>
      </c>
      <c r="S261" s="5">
        <v>9103.4</v>
      </c>
      <c r="T261" s="5">
        <v>0</v>
      </c>
      <c r="V261" s="5">
        <v>7943.6</v>
      </c>
      <c r="W261" s="5">
        <v>0</v>
      </c>
      <c r="X261" s="5">
        <v>0</v>
      </c>
    </row>
    <row r="262" spans="1:24" ht="12.75" customHeight="1">
      <c r="A262" s="6"/>
      <c r="B262" s="5">
        <v>12225.7</v>
      </c>
      <c r="C262" s="5">
        <v>0</v>
      </c>
      <c r="D262" s="5">
        <v>14456.3</v>
      </c>
      <c r="E262" s="5">
        <v>26</v>
      </c>
      <c r="G262" s="5">
        <v>12462.9</v>
      </c>
      <c r="H262" s="5">
        <v>0</v>
      </c>
      <c r="I262" s="5">
        <v>12583.1</v>
      </c>
      <c r="J262" s="5">
        <v>0</v>
      </c>
      <c r="L262" s="5">
        <v>12462.9</v>
      </c>
      <c r="M262" s="5">
        <v>0</v>
      </c>
      <c r="N262" s="5">
        <v>11791.5</v>
      </c>
      <c r="O262" s="5">
        <v>0</v>
      </c>
      <c r="Q262" s="5">
        <v>13196.3</v>
      </c>
      <c r="R262" s="5">
        <v>10</v>
      </c>
      <c r="S262" s="5">
        <v>13267.9</v>
      </c>
      <c r="T262" s="5">
        <v>0</v>
      </c>
      <c r="V262" s="5">
        <v>12288.5</v>
      </c>
      <c r="W262" s="5">
        <v>0</v>
      </c>
      <c r="X262" s="5">
        <v>0</v>
      </c>
    </row>
    <row r="263" spans="1:24" ht="12.75" customHeight="1">
      <c r="A263" s="6"/>
      <c r="B263" s="5">
        <v>14098</v>
      </c>
      <c r="C263" s="5">
        <v>0</v>
      </c>
      <c r="D263" s="5">
        <v>13232.7</v>
      </c>
      <c r="E263" s="5">
        <v>0</v>
      </c>
      <c r="G263" s="5">
        <v>14093.7</v>
      </c>
      <c r="H263" s="5">
        <v>0</v>
      </c>
      <c r="I263" s="5">
        <v>13276.6</v>
      </c>
      <c r="J263" s="5">
        <v>0</v>
      </c>
      <c r="L263" s="5">
        <v>13825.1</v>
      </c>
      <c r="M263" s="5">
        <v>0</v>
      </c>
      <c r="N263" s="5">
        <v>13312.7</v>
      </c>
      <c r="O263" s="5">
        <v>0</v>
      </c>
      <c r="Q263" s="5">
        <v>15027.1</v>
      </c>
      <c r="R263" s="5">
        <v>0</v>
      </c>
      <c r="S263" s="5">
        <v>14063.7</v>
      </c>
      <c r="T263" s="5">
        <v>0</v>
      </c>
      <c r="V263" s="5">
        <v>13232.7</v>
      </c>
      <c r="W263" s="5">
        <v>0</v>
      </c>
      <c r="X263" s="5">
        <v>0</v>
      </c>
    </row>
    <row r="264" spans="1:24" ht="12.75" customHeight="1">
      <c r="A264" s="6"/>
      <c r="B264" s="5">
        <v>8943.2999999999993</v>
      </c>
      <c r="C264" s="5">
        <v>0</v>
      </c>
      <c r="D264" s="5">
        <v>7788.3</v>
      </c>
      <c r="E264" s="5">
        <v>0</v>
      </c>
      <c r="G264" s="5">
        <v>8969.2999999999993</v>
      </c>
      <c r="H264" s="5">
        <v>0</v>
      </c>
      <c r="I264" s="5">
        <v>7788.3</v>
      </c>
      <c r="J264" s="5">
        <v>0</v>
      </c>
      <c r="L264" s="5">
        <v>7925.5</v>
      </c>
      <c r="M264" s="5">
        <v>0</v>
      </c>
      <c r="N264" s="5">
        <v>7786.8</v>
      </c>
      <c r="O264" s="5">
        <v>1</v>
      </c>
      <c r="Q264" s="5">
        <v>8918.4</v>
      </c>
      <c r="R264" s="5">
        <v>0</v>
      </c>
      <c r="S264" s="5">
        <v>8235.2000000000007</v>
      </c>
      <c r="T264" s="5">
        <v>0</v>
      </c>
      <c r="V264" s="5">
        <v>7804.3</v>
      </c>
      <c r="W264" s="5">
        <v>0</v>
      </c>
      <c r="X264" s="5">
        <v>1</v>
      </c>
    </row>
    <row r="265" spans="1:24" ht="12.75" customHeight="1">
      <c r="A265" s="6"/>
      <c r="B265" s="5">
        <v>12995.4</v>
      </c>
      <c r="C265" s="5">
        <v>11</v>
      </c>
      <c r="D265" s="5">
        <v>11078.1</v>
      </c>
      <c r="E265" s="5">
        <v>0</v>
      </c>
      <c r="G265" s="5">
        <v>11273.4</v>
      </c>
      <c r="H265" s="5">
        <v>2</v>
      </c>
      <c r="I265" s="5">
        <v>11631.1</v>
      </c>
      <c r="J265" s="5">
        <v>0</v>
      </c>
      <c r="L265" s="5">
        <v>12960.8</v>
      </c>
      <c r="M265" s="5">
        <v>5</v>
      </c>
      <c r="N265" s="5">
        <v>12345.8</v>
      </c>
      <c r="O265" s="5">
        <v>0</v>
      </c>
      <c r="Q265" s="5">
        <v>13384.9</v>
      </c>
      <c r="R265" s="5">
        <v>0</v>
      </c>
      <c r="S265" s="5">
        <v>13471.1</v>
      </c>
      <c r="T265" s="5">
        <v>0</v>
      </c>
      <c r="V265" s="5">
        <v>11823.2</v>
      </c>
      <c r="W265" s="5">
        <v>0</v>
      </c>
      <c r="X265" s="5">
        <v>0</v>
      </c>
    </row>
    <row r="266" spans="1:24" ht="12.75" customHeight="1">
      <c r="A266" s="6"/>
      <c r="B266" s="5">
        <v>12036.1</v>
      </c>
      <c r="C266" s="5">
        <v>0</v>
      </c>
      <c r="D266" s="5">
        <v>12181.1</v>
      </c>
      <c r="E266" s="5">
        <v>0</v>
      </c>
      <c r="G266" s="5">
        <v>11750.7</v>
      </c>
      <c r="H266" s="5">
        <v>0</v>
      </c>
      <c r="I266" s="5">
        <v>11747</v>
      </c>
      <c r="J266" s="5">
        <v>0</v>
      </c>
      <c r="L266" s="5">
        <v>11999.6</v>
      </c>
      <c r="M266" s="5">
        <v>0</v>
      </c>
      <c r="N266" s="5">
        <v>11361.4</v>
      </c>
      <c r="O266" s="5">
        <v>0</v>
      </c>
      <c r="Q266" s="5">
        <v>12454.7</v>
      </c>
      <c r="R266" s="5">
        <v>0</v>
      </c>
      <c r="S266" s="5">
        <v>12629.5</v>
      </c>
      <c r="T266" s="5">
        <v>0</v>
      </c>
      <c r="V266" s="5">
        <v>11787</v>
      </c>
      <c r="W266" s="5">
        <v>0</v>
      </c>
      <c r="X266" s="5">
        <v>0</v>
      </c>
    </row>
    <row r="267" spans="1:24" ht="12.75" customHeight="1">
      <c r="A267" s="6"/>
      <c r="B267" s="5">
        <v>8165.2</v>
      </c>
      <c r="C267" s="5">
        <v>0</v>
      </c>
      <c r="D267" s="5">
        <v>8664.2000000000007</v>
      </c>
      <c r="E267" s="5">
        <v>0</v>
      </c>
      <c r="G267" s="5">
        <v>7932.4</v>
      </c>
      <c r="H267" s="5">
        <v>0</v>
      </c>
      <c r="I267" s="5">
        <v>7366.2</v>
      </c>
      <c r="J267" s="5">
        <v>0</v>
      </c>
      <c r="L267" s="5">
        <v>7521.4</v>
      </c>
      <c r="M267" s="5">
        <v>0</v>
      </c>
      <c r="N267" s="5">
        <v>7991</v>
      </c>
      <c r="O267" s="5">
        <v>0</v>
      </c>
      <c r="Q267" s="5">
        <v>9121.9</v>
      </c>
      <c r="R267" s="5">
        <v>0</v>
      </c>
      <c r="S267" s="5">
        <v>8636.4</v>
      </c>
      <c r="T267" s="5">
        <v>0</v>
      </c>
      <c r="V267" s="5">
        <v>7975</v>
      </c>
      <c r="W267" s="5">
        <v>0</v>
      </c>
      <c r="X267" s="5">
        <v>1</v>
      </c>
    </row>
    <row r="268" spans="1:24" ht="12.75" customHeight="1">
      <c r="A268" s="6"/>
      <c r="B268" s="5">
        <v>12351.6</v>
      </c>
      <c r="C268" s="5">
        <v>0</v>
      </c>
      <c r="D268" s="5">
        <v>11154</v>
      </c>
      <c r="E268" s="5">
        <v>0</v>
      </c>
      <c r="G268" s="5">
        <v>12466.5</v>
      </c>
      <c r="H268" s="5">
        <v>0</v>
      </c>
      <c r="I268" s="5">
        <v>11531.2</v>
      </c>
      <c r="J268" s="5">
        <v>0</v>
      </c>
      <c r="L268" s="5">
        <v>11831.4</v>
      </c>
      <c r="M268" s="5">
        <v>0</v>
      </c>
      <c r="N268" s="5">
        <v>11879.4</v>
      </c>
      <c r="O268" s="5">
        <v>0</v>
      </c>
      <c r="Q268" s="5">
        <v>12530.4</v>
      </c>
      <c r="R268" s="5">
        <v>0</v>
      </c>
      <c r="S268" s="5">
        <v>12966.4</v>
      </c>
      <c r="T268" s="5">
        <v>0</v>
      </c>
      <c r="V268" s="5">
        <v>11606</v>
      </c>
      <c r="W268" s="5">
        <v>5</v>
      </c>
      <c r="X268" s="5">
        <v>0</v>
      </c>
    </row>
    <row r="269" spans="1:24" ht="12.75" customHeight="1">
      <c r="A269" s="6"/>
      <c r="B269" s="5">
        <v>11748.4</v>
      </c>
      <c r="C269" s="5">
        <v>0</v>
      </c>
      <c r="D269" s="5">
        <v>11229.2</v>
      </c>
      <c r="E269" s="5">
        <v>0</v>
      </c>
      <c r="G269" s="5">
        <v>11517.1</v>
      </c>
      <c r="H269" s="5">
        <v>0</v>
      </c>
      <c r="I269" s="5">
        <v>11613.2</v>
      </c>
      <c r="J269" s="5">
        <v>0</v>
      </c>
      <c r="L269" s="5">
        <v>11229.2</v>
      </c>
      <c r="M269" s="5">
        <v>0</v>
      </c>
      <c r="N269" s="5">
        <v>11604.3</v>
      </c>
      <c r="O269" s="5">
        <v>0</v>
      </c>
      <c r="Q269" s="5">
        <v>12263</v>
      </c>
      <c r="R269" s="5">
        <v>0</v>
      </c>
      <c r="S269" s="5">
        <v>11598.3</v>
      </c>
      <c r="T269" s="5">
        <v>0</v>
      </c>
      <c r="V269" s="5">
        <v>11445.1</v>
      </c>
      <c r="W269" s="5">
        <v>0</v>
      </c>
      <c r="X269" s="5">
        <v>0</v>
      </c>
    </row>
    <row r="270" spans="1:24" ht="12.75" customHeight="1">
      <c r="A270" s="6"/>
      <c r="B270" s="5">
        <v>13151.8</v>
      </c>
      <c r="C270" s="5">
        <v>0</v>
      </c>
      <c r="D270" s="5">
        <v>13807.4</v>
      </c>
      <c r="E270" s="5">
        <v>0</v>
      </c>
      <c r="G270" s="5">
        <v>14244.7</v>
      </c>
      <c r="H270" s="5">
        <v>0</v>
      </c>
      <c r="I270" s="5">
        <v>13087.2</v>
      </c>
      <c r="J270" s="5">
        <v>0</v>
      </c>
      <c r="L270" s="5">
        <v>14520.9</v>
      </c>
      <c r="M270" s="5">
        <v>0</v>
      </c>
      <c r="N270" s="5">
        <v>14260.6</v>
      </c>
      <c r="O270" s="5">
        <v>0</v>
      </c>
      <c r="Q270" s="5">
        <v>15329.1</v>
      </c>
      <c r="R270" s="5">
        <v>0</v>
      </c>
      <c r="S270" s="5">
        <v>16260</v>
      </c>
      <c r="T270" s="5">
        <v>0</v>
      </c>
      <c r="V270" s="5">
        <v>13151.8</v>
      </c>
      <c r="W270" s="5">
        <v>0</v>
      </c>
      <c r="X270" s="5">
        <v>0</v>
      </c>
    </row>
    <row r="271" spans="1:24" ht="12.75" customHeight="1">
      <c r="A271" s="6"/>
      <c r="B271" s="5">
        <v>11096.4</v>
      </c>
      <c r="C271" s="5">
        <v>11</v>
      </c>
      <c r="D271" s="5">
        <v>10837.3</v>
      </c>
      <c r="E271" s="5">
        <v>12</v>
      </c>
      <c r="G271" s="5">
        <v>14817.8</v>
      </c>
      <c r="H271" s="5">
        <v>44</v>
      </c>
      <c r="I271" s="5">
        <v>9836</v>
      </c>
      <c r="J271" s="5">
        <v>0</v>
      </c>
      <c r="L271" s="5">
        <v>10197.700000000001</v>
      </c>
      <c r="M271" s="5">
        <v>0</v>
      </c>
      <c r="N271" s="5">
        <v>9805.2999999999993</v>
      </c>
      <c r="O271" s="5">
        <v>0</v>
      </c>
      <c r="Q271" s="5">
        <v>10435.700000000001</v>
      </c>
      <c r="R271" s="5">
        <v>0</v>
      </c>
      <c r="S271" s="5">
        <v>11526.6</v>
      </c>
      <c r="T271" s="5">
        <v>3</v>
      </c>
      <c r="V271" s="5">
        <v>11747.9</v>
      </c>
      <c r="W271" s="5">
        <v>14</v>
      </c>
      <c r="X271" s="5">
        <v>1</v>
      </c>
    </row>
    <row r="272" spans="1:24" ht="12.75" customHeight="1">
      <c r="A272" s="6"/>
      <c r="B272" s="5">
        <v>12584.9</v>
      </c>
      <c r="C272" s="5">
        <v>6</v>
      </c>
      <c r="D272" s="5">
        <v>11232.6</v>
      </c>
      <c r="E272" s="5">
        <v>0</v>
      </c>
      <c r="G272" s="5">
        <v>12035.1</v>
      </c>
      <c r="H272" s="5">
        <v>0</v>
      </c>
      <c r="I272" s="5">
        <v>11146.4</v>
      </c>
      <c r="J272" s="5">
        <v>0</v>
      </c>
      <c r="L272" s="5">
        <v>13120.2</v>
      </c>
      <c r="M272" s="5">
        <v>12</v>
      </c>
      <c r="N272" s="5">
        <v>11817.6</v>
      </c>
      <c r="O272" s="5">
        <v>0</v>
      </c>
      <c r="Q272" s="5">
        <v>11817.6</v>
      </c>
      <c r="R272" s="5">
        <v>0</v>
      </c>
      <c r="S272" s="5">
        <v>11602.3</v>
      </c>
      <c r="T272" s="5">
        <v>0</v>
      </c>
      <c r="V272" s="5">
        <v>11853.4</v>
      </c>
      <c r="W272" s="5">
        <v>0</v>
      </c>
      <c r="X272" s="5">
        <v>0</v>
      </c>
    </row>
    <row r="273" spans="1:24" ht="12.75" customHeight="1">
      <c r="A273" s="6"/>
      <c r="B273" s="5">
        <v>8440.2000000000007</v>
      </c>
      <c r="C273" s="5">
        <v>0</v>
      </c>
      <c r="D273" s="5">
        <v>8231.1</v>
      </c>
      <c r="E273" s="5">
        <v>0</v>
      </c>
      <c r="G273" s="5">
        <v>8389.2000000000007</v>
      </c>
      <c r="H273" s="5">
        <v>0</v>
      </c>
      <c r="I273" s="5">
        <v>10240.4</v>
      </c>
      <c r="J273" s="5">
        <v>16</v>
      </c>
      <c r="L273" s="5">
        <v>8216.7000000000007</v>
      </c>
      <c r="M273" s="5">
        <v>0</v>
      </c>
      <c r="N273" s="5">
        <v>8821.2000000000007</v>
      </c>
      <c r="O273" s="5">
        <v>0</v>
      </c>
      <c r="Q273" s="5">
        <v>7988.1</v>
      </c>
      <c r="R273" s="5">
        <v>0</v>
      </c>
      <c r="S273" s="5">
        <v>9802.7999999999993</v>
      </c>
      <c r="T273" s="5">
        <v>10</v>
      </c>
      <c r="V273" s="5">
        <v>7908.1</v>
      </c>
      <c r="W273" s="5">
        <v>0</v>
      </c>
      <c r="X273" s="5">
        <v>0</v>
      </c>
    </row>
    <row r="274" spans="1:24" ht="12.75" customHeight="1">
      <c r="A274" s="6"/>
      <c r="B274" s="5">
        <v>9550.4</v>
      </c>
      <c r="C274" s="5">
        <v>0</v>
      </c>
      <c r="D274" s="5">
        <v>8413.1</v>
      </c>
      <c r="E274" s="5">
        <v>0</v>
      </c>
      <c r="G274" s="5">
        <v>9924.2999999999993</v>
      </c>
      <c r="H274" s="5">
        <v>0</v>
      </c>
      <c r="I274" s="5">
        <v>9126.2999999999993</v>
      </c>
      <c r="J274" s="5">
        <v>0</v>
      </c>
      <c r="L274" s="5">
        <v>8964.1</v>
      </c>
      <c r="M274" s="5">
        <v>0</v>
      </c>
      <c r="N274" s="5">
        <v>8892.1</v>
      </c>
      <c r="O274" s="5">
        <v>0</v>
      </c>
      <c r="Q274" s="5">
        <v>9043.1</v>
      </c>
      <c r="R274" s="5">
        <v>0</v>
      </c>
      <c r="S274" s="5">
        <v>8892.1</v>
      </c>
      <c r="T274" s="5">
        <v>0</v>
      </c>
      <c r="V274" s="5">
        <v>9012.1</v>
      </c>
      <c r="W274" s="5">
        <v>0</v>
      </c>
      <c r="X274" s="5">
        <v>0</v>
      </c>
    </row>
    <row r="275" spans="1:24" ht="12.75" customHeight="1">
      <c r="A275" s="6"/>
      <c r="B275" s="5">
        <v>13049.1</v>
      </c>
      <c r="C275" s="5">
        <v>3</v>
      </c>
      <c r="D275" s="5">
        <v>12894.6</v>
      </c>
      <c r="E275" s="5">
        <v>0</v>
      </c>
      <c r="G275" s="5">
        <v>12717.1</v>
      </c>
      <c r="H275" s="5">
        <v>0</v>
      </c>
      <c r="I275" s="5">
        <v>11590</v>
      </c>
      <c r="J275" s="5">
        <v>0</v>
      </c>
      <c r="L275" s="5">
        <v>12509.4</v>
      </c>
      <c r="M275" s="5">
        <v>0</v>
      </c>
      <c r="N275" s="5">
        <v>13049.1</v>
      </c>
      <c r="O275" s="5">
        <v>0</v>
      </c>
      <c r="Q275" s="5">
        <v>12778.7</v>
      </c>
      <c r="R275" s="5">
        <v>0</v>
      </c>
      <c r="S275" s="5">
        <v>12959.7</v>
      </c>
      <c r="T275" s="5">
        <v>0</v>
      </c>
      <c r="V275" s="5">
        <v>12709.1</v>
      </c>
      <c r="W275" s="5">
        <v>0</v>
      </c>
      <c r="X275" s="5">
        <v>1</v>
      </c>
    </row>
    <row r="276" spans="1:24" ht="12.75" customHeight="1">
      <c r="A276" s="6"/>
      <c r="B276" s="5">
        <v>13803.9</v>
      </c>
      <c r="C276" s="5">
        <v>0</v>
      </c>
      <c r="D276" s="5">
        <v>13310.4</v>
      </c>
      <c r="E276" s="5">
        <v>0</v>
      </c>
      <c r="G276" s="5">
        <v>14348.1</v>
      </c>
      <c r="H276" s="5">
        <v>2</v>
      </c>
      <c r="I276" s="5">
        <v>13278.4</v>
      </c>
      <c r="J276" s="5">
        <v>0</v>
      </c>
      <c r="L276" s="5">
        <v>13742.5</v>
      </c>
      <c r="M276" s="5">
        <v>0</v>
      </c>
      <c r="N276" s="5">
        <v>13310.4</v>
      </c>
      <c r="O276" s="5">
        <v>0</v>
      </c>
      <c r="Q276" s="5">
        <v>15132.2</v>
      </c>
      <c r="R276" s="5">
        <v>0</v>
      </c>
      <c r="S276" s="5">
        <v>15879.4</v>
      </c>
      <c r="T276" s="5">
        <v>0</v>
      </c>
      <c r="V276" s="5">
        <v>13374.4</v>
      </c>
      <c r="W276" s="5">
        <v>0</v>
      </c>
      <c r="X276" s="5">
        <v>0</v>
      </c>
    </row>
    <row r="277" spans="1:24" ht="12.75" customHeight="1">
      <c r="A277" s="6"/>
      <c r="B277" s="5">
        <v>12071</v>
      </c>
      <c r="C277" s="5">
        <v>0</v>
      </c>
      <c r="D277" s="5">
        <v>11275.4</v>
      </c>
      <c r="E277" s="5">
        <v>0</v>
      </c>
      <c r="G277" s="5">
        <v>11804.4</v>
      </c>
      <c r="H277" s="5">
        <v>0</v>
      </c>
      <c r="I277" s="5">
        <v>11565.4</v>
      </c>
      <c r="J277" s="5">
        <v>0</v>
      </c>
      <c r="L277" s="5">
        <v>12378.2</v>
      </c>
      <c r="M277" s="5">
        <v>0</v>
      </c>
      <c r="N277" s="5">
        <v>11743.2</v>
      </c>
      <c r="O277" s="5">
        <v>0</v>
      </c>
      <c r="Q277" s="5">
        <v>12298</v>
      </c>
      <c r="R277" s="5">
        <v>0</v>
      </c>
      <c r="S277" s="5">
        <v>12016.1</v>
      </c>
      <c r="T277" s="5">
        <v>0</v>
      </c>
      <c r="V277" s="5">
        <v>12063</v>
      </c>
      <c r="W277" s="5">
        <v>0</v>
      </c>
      <c r="X277" s="5">
        <v>0</v>
      </c>
    </row>
    <row r="278" spans="1:24" ht="12.75" customHeight="1">
      <c r="A278" s="6"/>
      <c r="B278" s="5">
        <v>14094</v>
      </c>
      <c r="C278" s="5">
        <v>0</v>
      </c>
      <c r="D278" s="5">
        <v>14897.3</v>
      </c>
      <c r="E278" s="5">
        <v>18</v>
      </c>
      <c r="G278" s="5">
        <v>14479.5</v>
      </c>
      <c r="H278" s="5">
        <v>0</v>
      </c>
      <c r="I278" s="5">
        <v>13114.9</v>
      </c>
      <c r="J278" s="5">
        <v>0</v>
      </c>
      <c r="L278" s="5">
        <v>14713.1</v>
      </c>
      <c r="M278" s="5">
        <v>0</v>
      </c>
      <c r="N278" s="5">
        <v>14214</v>
      </c>
      <c r="O278" s="5">
        <v>0</v>
      </c>
      <c r="Q278" s="5">
        <v>16065.9</v>
      </c>
      <c r="R278" s="5">
        <v>0</v>
      </c>
      <c r="S278" s="5">
        <v>15795.4</v>
      </c>
      <c r="T278" s="5">
        <v>0</v>
      </c>
      <c r="V278" s="5">
        <v>14078</v>
      </c>
      <c r="W278" s="5">
        <v>0</v>
      </c>
      <c r="X278" s="5">
        <v>0</v>
      </c>
    </row>
    <row r="279" spans="1:24" ht="12.75" customHeight="1">
      <c r="A279" s="6"/>
      <c r="B279" s="5">
        <v>10582.3</v>
      </c>
      <c r="C279" s="5">
        <v>0</v>
      </c>
      <c r="D279" s="5">
        <v>9888.9</v>
      </c>
      <c r="E279" s="5">
        <v>1</v>
      </c>
      <c r="G279" s="5">
        <v>10614.7</v>
      </c>
      <c r="H279" s="5">
        <v>0</v>
      </c>
      <c r="I279" s="5">
        <v>9695.6</v>
      </c>
      <c r="J279" s="5">
        <v>0</v>
      </c>
      <c r="L279" s="5">
        <v>10863.3</v>
      </c>
      <c r="M279" s="5">
        <v>0</v>
      </c>
      <c r="N279" s="5">
        <v>10655.4</v>
      </c>
      <c r="O279" s="5">
        <v>0</v>
      </c>
      <c r="Q279" s="5">
        <v>11201.4</v>
      </c>
      <c r="R279" s="5">
        <v>0</v>
      </c>
      <c r="S279" s="5">
        <v>11224.6</v>
      </c>
      <c r="T279" s="5">
        <v>0</v>
      </c>
      <c r="V279" s="5">
        <v>9780.9</v>
      </c>
      <c r="W279" s="5">
        <v>0</v>
      </c>
      <c r="X279" s="5">
        <v>0</v>
      </c>
    </row>
    <row r="280" spans="1:24" ht="12.75" customHeight="1">
      <c r="A280" s="6"/>
      <c r="B280" s="5">
        <v>10898.7</v>
      </c>
      <c r="C280" s="5">
        <v>4</v>
      </c>
      <c r="D280" s="5">
        <v>10919.3</v>
      </c>
      <c r="E280" s="5">
        <v>0</v>
      </c>
      <c r="G280" s="5">
        <v>12122.2</v>
      </c>
      <c r="H280" s="5">
        <v>0</v>
      </c>
      <c r="I280" s="5">
        <v>11040.2</v>
      </c>
      <c r="J280" s="5">
        <v>0</v>
      </c>
      <c r="L280" s="5">
        <v>11562.5</v>
      </c>
      <c r="M280" s="5">
        <v>0</v>
      </c>
      <c r="N280" s="5">
        <v>11637</v>
      </c>
      <c r="O280" s="5">
        <v>0</v>
      </c>
      <c r="Q280" s="5">
        <v>10199.299999999999</v>
      </c>
      <c r="R280" s="5">
        <v>0</v>
      </c>
      <c r="S280" s="5">
        <v>13336</v>
      </c>
      <c r="T280" s="5">
        <v>0</v>
      </c>
      <c r="V280" s="5">
        <v>11565</v>
      </c>
      <c r="W280" s="5">
        <v>0</v>
      </c>
      <c r="X280" s="5">
        <v>1</v>
      </c>
    </row>
    <row r="281" spans="1:24" ht="12.75" customHeight="1">
      <c r="A281" s="6"/>
      <c r="B281" s="5">
        <v>22168.799999999999</v>
      </c>
      <c r="C281" s="5">
        <v>66</v>
      </c>
      <c r="D281" s="5">
        <v>15726</v>
      </c>
      <c r="E281" s="5">
        <v>0</v>
      </c>
      <c r="G281" s="5">
        <v>22568.400000000001</v>
      </c>
      <c r="H281" s="5">
        <v>66</v>
      </c>
      <c r="I281" s="5">
        <v>18333.8</v>
      </c>
      <c r="J281" s="5">
        <v>27</v>
      </c>
      <c r="L281" s="5">
        <v>16224.8</v>
      </c>
      <c r="M281" s="5">
        <v>0</v>
      </c>
      <c r="N281" s="5">
        <v>16038</v>
      </c>
      <c r="O281" s="5">
        <v>0</v>
      </c>
      <c r="Q281" s="5">
        <v>18267</v>
      </c>
      <c r="R281" s="5">
        <v>12</v>
      </c>
      <c r="S281" s="5">
        <v>16430.599999999999</v>
      </c>
      <c r="T281" s="5">
        <v>0</v>
      </c>
      <c r="V281" s="5">
        <v>16352.6</v>
      </c>
      <c r="W281" s="5">
        <v>0</v>
      </c>
      <c r="X281" s="5">
        <v>0</v>
      </c>
    </row>
    <row r="282" spans="1:24" ht="12.75" customHeight="1">
      <c r="A282" s="6"/>
      <c r="B282" s="5">
        <v>12964.8</v>
      </c>
      <c r="C282" s="5">
        <v>0</v>
      </c>
      <c r="D282" s="5">
        <v>12040.3</v>
      </c>
      <c r="E282" s="5">
        <v>0</v>
      </c>
      <c r="G282" s="5">
        <v>12336.2</v>
      </c>
      <c r="H282" s="5">
        <v>0</v>
      </c>
      <c r="I282" s="5">
        <v>11472.9</v>
      </c>
      <c r="J282" s="5">
        <v>0</v>
      </c>
      <c r="L282" s="5">
        <v>12441.4</v>
      </c>
      <c r="M282" s="5">
        <v>0</v>
      </c>
      <c r="N282" s="5">
        <v>12061.4</v>
      </c>
      <c r="O282" s="5">
        <v>0</v>
      </c>
      <c r="Q282" s="5">
        <v>14893.2</v>
      </c>
      <c r="R282" s="5">
        <v>0</v>
      </c>
      <c r="S282" s="5">
        <v>13503.5</v>
      </c>
      <c r="T282" s="5">
        <v>0</v>
      </c>
      <c r="V282" s="5">
        <v>11973.4</v>
      </c>
      <c r="W282" s="5">
        <v>0</v>
      </c>
      <c r="X282" s="5">
        <v>0</v>
      </c>
    </row>
    <row r="283" spans="1:24" ht="12.75" customHeight="1">
      <c r="A283" s="6"/>
      <c r="B283" s="5">
        <v>13515.3</v>
      </c>
      <c r="C283" s="5">
        <v>0</v>
      </c>
      <c r="D283" s="5">
        <v>13250.9</v>
      </c>
      <c r="E283" s="5">
        <v>0</v>
      </c>
      <c r="G283" s="5">
        <v>14214.3</v>
      </c>
      <c r="H283" s="5">
        <v>0</v>
      </c>
      <c r="I283" s="5">
        <v>18040.8</v>
      </c>
      <c r="J283" s="5">
        <v>48</v>
      </c>
      <c r="L283" s="5">
        <v>13757.8</v>
      </c>
      <c r="M283" s="5">
        <v>7</v>
      </c>
      <c r="N283" s="5">
        <v>13330.9</v>
      </c>
      <c r="O283" s="5">
        <v>0</v>
      </c>
      <c r="Q283" s="5">
        <v>12970</v>
      </c>
      <c r="R283" s="5">
        <v>0</v>
      </c>
      <c r="S283" s="5">
        <v>14481.3</v>
      </c>
      <c r="T283" s="5">
        <v>0</v>
      </c>
      <c r="V283" s="5">
        <v>13010.4</v>
      </c>
      <c r="W283" s="5">
        <v>0</v>
      </c>
      <c r="X283" s="5">
        <v>0</v>
      </c>
    </row>
    <row r="284" spans="1:24" ht="12.75" customHeight="1">
      <c r="A284" s="6"/>
      <c r="B284" s="5">
        <v>10762.3</v>
      </c>
      <c r="C284" s="5">
        <v>0</v>
      </c>
      <c r="D284" s="5">
        <v>9470.1</v>
      </c>
      <c r="E284" s="5">
        <v>0</v>
      </c>
      <c r="G284" s="5">
        <v>9625.2999999999993</v>
      </c>
      <c r="H284" s="5">
        <v>0</v>
      </c>
      <c r="I284" s="5">
        <v>9184.2999999999993</v>
      </c>
      <c r="J284" s="5">
        <v>0</v>
      </c>
      <c r="L284" s="5">
        <v>12830.1</v>
      </c>
      <c r="M284" s="5">
        <v>17</v>
      </c>
      <c r="N284" s="5">
        <v>9422.1</v>
      </c>
      <c r="O284" s="5">
        <v>0</v>
      </c>
      <c r="Q284" s="5">
        <v>11103.7</v>
      </c>
      <c r="R284" s="5">
        <v>0</v>
      </c>
      <c r="S284" s="5">
        <v>12725.3</v>
      </c>
      <c r="T284" s="5">
        <v>17</v>
      </c>
      <c r="V284" s="5">
        <v>10653.1</v>
      </c>
      <c r="W284" s="5">
        <v>0</v>
      </c>
      <c r="X284" s="5">
        <v>0</v>
      </c>
    </row>
    <row r="285" spans="1:24" ht="12.75" customHeight="1">
      <c r="A285" s="6"/>
      <c r="B285" s="5">
        <v>12317.4</v>
      </c>
      <c r="C285" s="5">
        <v>0</v>
      </c>
      <c r="D285" s="5">
        <v>11516.9</v>
      </c>
      <c r="E285" s="5">
        <v>5</v>
      </c>
      <c r="G285" s="5">
        <v>15975.6</v>
      </c>
      <c r="H285" s="5">
        <v>42</v>
      </c>
      <c r="I285" s="5">
        <v>10321.4</v>
      </c>
      <c r="J285" s="5">
        <v>0</v>
      </c>
      <c r="L285" s="5">
        <v>11473.6</v>
      </c>
      <c r="M285" s="5">
        <v>0</v>
      </c>
      <c r="N285" s="5">
        <v>13966</v>
      </c>
      <c r="O285" s="5">
        <v>22</v>
      </c>
      <c r="Q285" s="5">
        <v>11167.7</v>
      </c>
      <c r="R285" s="5">
        <v>2</v>
      </c>
      <c r="S285" s="5">
        <v>12096.1</v>
      </c>
      <c r="T285" s="5">
        <v>0</v>
      </c>
      <c r="V285" s="5">
        <v>11516.7</v>
      </c>
      <c r="W285" s="5">
        <v>0</v>
      </c>
      <c r="X285" s="5">
        <v>0</v>
      </c>
    </row>
    <row r="286" spans="1:24" ht="12.75" customHeight="1">
      <c r="A286" s="6"/>
      <c r="B286" s="5">
        <v>11279.8</v>
      </c>
      <c r="C286" s="5">
        <v>0</v>
      </c>
      <c r="D286" s="5">
        <v>13222.9</v>
      </c>
      <c r="E286" s="5">
        <v>24</v>
      </c>
      <c r="G286" s="5">
        <v>11347.7</v>
      </c>
      <c r="H286" s="5">
        <v>0</v>
      </c>
      <c r="I286" s="5">
        <v>13699.7</v>
      </c>
      <c r="J286" s="5">
        <v>29</v>
      </c>
      <c r="L286" s="5">
        <v>11404.2</v>
      </c>
      <c r="M286" s="5">
        <v>0</v>
      </c>
      <c r="N286" s="5">
        <v>12268.8</v>
      </c>
      <c r="O286" s="5">
        <v>18</v>
      </c>
      <c r="Q286" s="5">
        <v>13402.4</v>
      </c>
      <c r="R286" s="5">
        <v>14</v>
      </c>
      <c r="S286" s="5">
        <v>12803.8</v>
      </c>
      <c r="T286" s="5">
        <v>18</v>
      </c>
      <c r="V286" s="5">
        <v>11151.5</v>
      </c>
      <c r="W286" s="5">
        <v>0</v>
      </c>
      <c r="X286" s="5">
        <v>1</v>
      </c>
    </row>
    <row r="287" spans="1:24" ht="12.75" customHeight="1">
      <c r="A287" s="6"/>
      <c r="B287" s="5">
        <v>9277.2000000000007</v>
      </c>
      <c r="C287" s="5">
        <v>0</v>
      </c>
      <c r="D287" s="5">
        <v>9114.7000000000007</v>
      </c>
      <c r="E287" s="5">
        <v>0</v>
      </c>
      <c r="G287" s="5">
        <v>9510.7000000000007</v>
      </c>
      <c r="H287" s="5">
        <v>0</v>
      </c>
      <c r="I287" s="5">
        <v>8101.7</v>
      </c>
      <c r="J287" s="5">
        <v>0</v>
      </c>
      <c r="L287" s="5">
        <v>9642.5</v>
      </c>
      <c r="M287" s="5">
        <v>0</v>
      </c>
      <c r="N287" s="5">
        <v>10252.4</v>
      </c>
      <c r="O287" s="5">
        <v>0</v>
      </c>
      <c r="Q287" s="5">
        <v>11372.6</v>
      </c>
      <c r="R287" s="5">
        <v>0</v>
      </c>
      <c r="S287" s="5">
        <v>10252.4</v>
      </c>
      <c r="T287" s="5">
        <v>0</v>
      </c>
      <c r="V287" s="5">
        <v>8765.7000000000007</v>
      </c>
      <c r="W287" s="5">
        <v>0</v>
      </c>
      <c r="X287" s="5">
        <v>0</v>
      </c>
    </row>
    <row r="288" spans="1:24" ht="12.75" customHeight="1">
      <c r="A288" s="6"/>
      <c r="B288" s="5">
        <v>9967.1</v>
      </c>
      <c r="C288" s="5">
        <v>0</v>
      </c>
      <c r="D288" s="5">
        <v>9919</v>
      </c>
      <c r="E288" s="5">
        <v>0</v>
      </c>
      <c r="G288" s="5">
        <v>12357.2</v>
      </c>
      <c r="H288" s="5">
        <v>23</v>
      </c>
      <c r="I288" s="5">
        <v>10698.3</v>
      </c>
      <c r="J288" s="5">
        <v>0</v>
      </c>
      <c r="L288" s="5">
        <v>11418.4</v>
      </c>
      <c r="M288" s="5">
        <v>8</v>
      </c>
      <c r="N288" s="5">
        <v>10195.6</v>
      </c>
      <c r="O288" s="5">
        <v>0</v>
      </c>
      <c r="Q288" s="5">
        <v>11227.3</v>
      </c>
      <c r="R288" s="5">
        <v>0</v>
      </c>
      <c r="S288" s="5">
        <v>10235.6</v>
      </c>
      <c r="T288" s="5">
        <v>0</v>
      </c>
      <c r="V288" s="5">
        <v>9907.7999999999993</v>
      </c>
      <c r="W288" s="5">
        <v>0</v>
      </c>
      <c r="X288" s="5">
        <v>0</v>
      </c>
    </row>
    <row r="289" spans="1:24" ht="12.75" customHeight="1">
      <c r="A289" s="6"/>
      <c r="B289" s="5">
        <v>13207.2</v>
      </c>
      <c r="C289" s="5">
        <v>2</v>
      </c>
      <c r="D289" s="5">
        <v>11682.6</v>
      </c>
      <c r="E289" s="5">
        <v>0</v>
      </c>
      <c r="G289" s="5">
        <v>12371.1</v>
      </c>
      <c r="H289" s="5">
        <v>0</v>
      </c>
      <c r="I289" s="5">
        <v>16044.6</v>
      </c>
      <c r="J289" s="5">
        <v>35</v>
      </c>
      <c r="L289" s="5">
        <v>12995.4</v>
      </c>
      <c r="M289" s="5">
        <v>0</v>
      </c>
      <c r="N289" s="5">
        <v>11941.7</v>
      </c>
      <c r="O289" s="5">
        <v>0</v>
      </c>
      <c r="Q289" s="5">
        <v>13152.2</v>
      </c>
      <c r="R289" s="5">
        <v>0</v>
      </c>
      <c r="S289" s="5">
        <v>13648.8</v>
      </c>
      <c r="T289" s="5">
        <v>0</v>
      </c>
      <c r="V289" s="5">
        <v>11780.9</v>
      </c>
      <c r="W289" s="5">
        <v>0</v>
      </c>
      <c r="X289" s="5">
        <v>0</v>
      </c>
    </row>
    <row r="290" spans="1:24" ht="12.75" customHeight="1">
      <c r="A290" s="6"/>
      <c r="B290" s="5">
        <v>12362.2</v>
      </c>
      <c r="C290" s="5">
        <v>0</v>
      </c>
      <c r="D290" s="5">
        <v>12203.4</v>
      </c>
      <c r="E290" s="5">
        <v>0</v>
      </c>
      <c r="G290" s="5">
        <v>12792.4</v>
      </c>
      <c r="H290" s="5">
        <v>0</v>
      </c>
      <c r="I290" s="5">
        <v>11773.9</v>
      </c>
      <c r="J290" s="5">
        <v>0</v>
      </c>
      <c r="L290" s="5">
        <v>12831.5</v>
      </c>
      <c r="M290" s="5">
        <v>0</v>
      </c>
      <c r="N290" s="5">
        <v>11242</v>
      </c>
      <c r="O290" s="5">
        <v>0</v>
      </c>
      <c r="Q290" s="5">
        <v>16777.599999999999</v>
      </c>
      <c r="R290" s="5">
        <v>41</v>
      </c>
      <c r="S290" s="5">
        <v>12244.5</v>
      </c>
      <c r="T290" s="5">
        <v>0</v>
      </c>
      <c r="V290" s="5">
        <v>12617.9</v>
      </c>
      <c r="W290" s="5">
        <v>5</v>
      </c>
      <c r="X290" s="5">
        <v>0</v>
      </c>
    </row>
    <row r="291" spans="1:24" ht="12.75" customHeight="1">
      <c r="A291" s="6"/>
      <c r="B291" s="5">
        <v>11156.8</v>
      </c>
      <c r="C291" s="5">
        <v>0</v>
      </c>
      <c r="D291" s="5">
        <v>11249.9</v>
      </c>
      <c r="E291" s="5">
        <v>0</v>
      </c>
      <c r="G291" s="5">
        <v>11260.7</v>
      </c>
      <c r="H291" s="5">
        <v>0</v>
      </c>
      <c r="I291" s="5">
        <v>10081.299999999999</v>
      </c>
      <c r="J291" s="5">
        <v>0</v>
      </c>
      <c r="L291" s="5">
        <v>11188.2</v>
      </c>
      <c r="M291" s="5">
        <v>0</v>
      </c>
      <c r="N291" s="5">
        <v>10404.4</v>
      </c>
      <c r="O291" s="5">
        <v>0</v>
      </c>
      <c r="Q291" s="5">
        <v>12170.8</v>
      </c>
      <c r="R291" s="5">
        <v>0</v>
      </c>
      <c r="S291" s="5">
        <v>11922.1</v>
      </c>
      <c r="T291" s="5">
        <v>0</v>
      </c>
      <c r="V291" s="5">
        <v>10572.4</v>
      </c>
      <c r="W291" s="5">
        <v>0</v>
      </c>
      <c r="X291" s="5">
        <v>1</v>
      </c>
    </row>
    <row r="292" spans="1:24" ht="12.75" customHeight="1">
      <c r="A292" s="6"/>
      <c r="B292" s="5">
        <v>12658.3</v>
      </c>
      <c r="C292" s="5">
        <v>8</v>
      </c>
      <c r="D292" s="5">
        <v>12905.7</v>
      </c>
      <c r="E292" s="5">
        <v>11</v>
      </c>
      <c r="G292" s="5">
        <v>12725.7</v>
      </c>
      <c r="H292" s="5">
        <v>8</v>
      </c>
      <c r="I292" s="5">
        <v>11029.9</v>
      </c>
      <c r="J292" s="5">
        <v>0</v>
      </c>
      <c r="L292" s="5">
        <v>12247.5</v>
      </c>
      <c r="M292" s="5">
        <v>0</v>
      </c>
      <c r="N292" s="5">
        <v>11984.1</v>
      </c>
      <c r="O292" s="5">
        <v>0</v>
      </c>
      <c r="Q292" s="5">
        <v>13502.4</v>
      </c>
      <c r="R292" s="5">
        <v>0</v>
      </c>
      <c r="S292" s="5">
        <v>13375.2</v>
      </c>
      <c r="T292" s="5">
        <v>0</v>
      </c>
      <c r="V292" s="5">
        <v>11296.3</v>
      </c>
      <c r="W292" s="5">
        <v>0</v>
      </c>
      <c r="X292" s="5">
        <v>0</v>
      </c>
    </row>
    <row r="293" spans="1:24" ht="12.75" customHeight="1">
      <c r="A293" s="6"/>
      <c r="B293" s="5">
        <v>16544</v>
      </c>
      <c r="C293" s="5">
        <v>23</v>
      </c>
      <c r="D293" s="5">
        <v>19610</v>
      </c>
      <c r="E293" s="5">
        <v>57</v>
      </c>
      <c r="G293" s="5">
        <v>14793.5</v>
      </c>
      <c r="H293" s="5">
        <v>0</v>
      </c>
      <c r="I293" s="5">
        <v>14214.6</v>
      </c>
      <c r="J293" s="5">
        <v>0</v>
      </c>
      <c r="L293" s="5">
        <v>15341</v>
      </c>
      <c r="M293" s="5">
        <v>0</v>
      </c>
      <c r="N293" s="5">
        <v>15615.6</v>
      </c>
      <c r="O293" s="5">
        <v>6</v>
      </c>
      <c r="Q293" s="5">
        <v>16190.5</v>
      </c>
      <c r="R293" s="5">
        <v>16</v>
      </c>
      <c r="S293" s="5">
        <v>16104.3</v>
      </c>
      <c r="T293" s="5">
        <v>0</v>
      </c>
      <c r="V293" s="5">
        <v>13982.7</v>
      </c>
      <c r="W293" s="5">
        <v>0</v>
      </c>
      <c r="X293" s="5">
        <v>0</v>
      </c>
    </row>
    <row r="294" spans="1:24" ht="12.75" customHeight="1">
      <c r="A294" s="6"/>
      <c r="B294" s="5">
        <v>11259.9</v>
      </c>
      <c r="C294" s="5">
        <v>0</v>
      </c>
      <c r="D294" s="5">
        <v>10181.1</v>
      </c>
      <c r="E294" s="5">
        <v>0</v>
      </c>
      <c r="G294" s="5">
        <v>11607.5</v>
      </c>
      <c r="H294" s="5">
        <v>3</v>
      </c>
      <c r="I294" s="5">
        <v>10288.1</v>
      </c>
      <c r="J294" s="5">
        <v>0</v>
      </c>
      <c r="L294" s="5">
        <v>11740.1</v>
      </c>
      <c r="M294" s="5">
        <v>11</v>
      </c>
      <c r="N294" s="5">
        <v>10440.1</v>
      </c>
      <c r="O294" s="5">
        <v>0</v>
      </c>
      <c r="Q294" s="5">
        <v>11231.8</v>
      </c>
      <c r="R294" s="5">
        <v>0</v>
      </c>
      <c r="S294" s="5">
        <v>12520.1</v>
      </c>
      <c r="T294" s="5">
        <v>0</v>
      </c>
      <c r="V294" s="5">
        <v>10879.2</v>
      </c>
      <c r="W294" s="5">
        <v>0</v>
      </c>
      <c r="X294" s="5">
        <v>0</v>
      </c>
    </row>
    <row r="295" spans="1:24" ht="12.75" customHeight="1">
      <c r="A295" s="6"/>
      <c r="B295" s="5">
        <v>12353</v>
      </c>
      <c r="C295" s="5">
        <v>9</v>
      </c>
      <c r="D295" s="5">
        <v>11660.8</v>
      </c>
      <c r="E295" s="5">
        <v>0</v>
      </c>
      <c r="G295" s="5">
        <v>11716.8</v>
      </c>
      <c r="H295" s="5">
        <v>0</v>
      </c>
      <c r="I295" s="5">
        <v>11270.1</v>
      </c>
      <c r="J295" s="5">
        <v>0</v>
      </c>
      <c r="L295" s="5">
        <v>11633</v>
      </c>
      <c r="M295" s="5">
        <v>0</v>
      </c>
      <c r="N295" s="5">
        <v>10981.6</v>
      </c>
      <c r="O295" s="5">
        <v>0</v>
      </c>
      <c r="Q295" s="5">
        <v>13029.8</v>
      </c>
      <c r="R295" s="5">
        <v>10</v>
      </c>
      <c r="S295" s="5">
        <v>13042.5</v>
      </c>
      <c r="T295" s="5">
        <v>0</v>
      </c>
      <c r="V295" s="5">
        <v>11202.2</v>
      </c>
      <c r="W295" s="5">
        <v>0</v>
      </c>
      <c r="X295" s="5">
        <v>0</v>
      </c>
    </row>
    <row r="296" spans="1:24" ht="12.75" customHeight="1">
      <c r="A296" s="6"/>
      <c r="B296" s="5">
        <v>10824.5</v>
      </c>
      <c r="C296" s="5">
        <v>0</v>
      </c>
      <c r="D296" s="5">
        <v>10835.5</v>
      </c>
      <c r="E296" s="5">
        <v>0</v>
      </c>
      <c r="G296" s="5">
        <v>11026.8</v>
      </c>
      <c r="H296" s="5">
        <v>0</v>
      </c>
      <c r="I296" s="5">
        <v>10029.700000000001</v>
      </c>
      <c r="J296" s="5">
        <v>0</v>
      </c>
      <c r="L296" s="5">
        <v>10866.8</v>
      </c>
      <c r="M296" s="5">
        <v>0</v>
      </c>
      <c r="N296" s="5">
        <v>10478.4</v>
      </c>
      <c r="O296" s="5">
        <v>0</v>
      </c>
      <c r="Q296" s="5">
        <v>11157.9</v>
      </c>
      <c r="R296" s="5">
        <v>0</v>
      </c>
      <c r="S296" s="5">
        <v>10768.5</v>
      </c>
      <c r="T296" s="5">
        <v>0</v>
      </c>
      <c r="V296" s="5">
        <v>10071.9</v>
      </c>
      <c r="W296" s="5">
        <v>0</v>
      </c>
      <c r="X296" s="5">
        <v>0</v>
      </c>
    </row>
    <row r="297" spans="1:24" ht="12.75" customHeight="1">
      <c r="A297" s="6"/>
      <c r="B297" s="5">
        <v>9663.9</v>
      </c>
      <c r="C297" s="5">
        <v>13</v>
      </c>
      <c r="D297" s="5">
        <v>8688.4</v>
      </c>
      <c r="E297" s="5">
        <v>0</v>
      </c>
      <c r="G297" s="5">
        <v>9063.2000000000007</v>
      </c>
      <c r="H297" s="5">
        <v>0</v>
      </c>
      <c r="I297" s="5">
        <v>8698.9</v>
      </c>
      <c r="J297" s="5">
        <v>10</v>
      </c>
      <c r="L297" s="5">
        <v>8696.4</v>
      </c>
      <c r="M297" s="5">
        <v>0</v>
      </c>
      <c r="N297" s="5">
        <v>8011.5</v>
      </c>
      <c r="O297" s="5">
        <v>0</v>
      </c>
      <c r="Q297" s="5">
        <v>9939.9</v>
      </c>
      <c r="R297" s="5">
        <v>0</v>
      </c>
      <c r="S297" s="5">
        <v>9695.9</v>
      </c>
      <c r="T297" s="5">
        <v>10</v>
      </c>
      <c r="V297" s="5">
        <v>8035.5</v>
      </c>
      <c r="W297" s="5">
        <v>0</v>
      </c>
      <c r="X297" s="5">
        <v>1</v>
      </c>
    </row>
    <row r="298" spans="1:24" ht="12.75" customHeight="1">
      <c r="A298" s="6"/>
      <c r="B298" s="5">
        <v>12470.7</v>
      </c>
      <c r="C298" s="5">
        <v>11</v>
      </c>
      <c r="D298" s="5">
        <v>11719.8</v>
      </c>
      <c r="E298" s="5">
        <v>0</v>
      </c>
      <c r="G298" s="5">
        <v>12601.6</v>
      </c>
      <c r="H298" s="5">
        <v>7</v>
      </c>
      <c r="I298" s="5">
        <v>20038.3</v>
      </c>
      <c r="J298" s="5">
        <v>96</v>
      </c>
      <c r="L298" s="5">
        <v>11031.8</v>
      </c>
      <c r="M298" s="5">
        <v>0</v>
      </c>
      <c r="N298" s="5">
        <v>12001.8</v>
      </c>
      <c r="O298" s="5">
        <v>13</v>
      </c>
      <c r="Q298" s="5">
        <v>12857.4</v>
      </c>
      <c r="R298" s="5">
        <v>8</v>
      </c>
      <c r="S298" s="5">
        <v>17619.599999999999</v>
      </c>
      <c r="T298" s="5">
        <v>46</v>
      </c>
      <c r="V298" s="5">
        <v>11277.6</v>
      </c>
      <c r="W298" s="5">
        <v>0</v>
      </c>
      <c r="X298" s="5">
        <v>0</v>
      </c>
    </row>
    <row r="299" spans="1:24" ht="12.75" customHeight="1">
      <c r="A299" s="6"/>
      <c r="B299" s="5">
        <v>12145.2</v>
      </c>
      <c r="C299" s="5">
        <v>0</v>
      </c>
      <c r="D299" s="5">
        <v>11977.2</v>
      </c>
      <c r="E299" s="5">
        <v>0</v>
      </c>
      <c r="G299" s="5">
        <v>13023.6</v>
      </c>
      <c r="H299" s="5">
        <v>0</v>
      </c>
      <c r="I299" s="5">
        <v>12191.8</v>
      </c>
      <c r="J299" s="5">
        <v>0</v>
      </c>
      <c r="L299" s="5">
        <v>12946.5</v>
      </c>
      <c r="M299" s="5">
        <v>0</v>
      </c>
      <c r="N299" s="5">
        <v>13088</v>
      </c>
      <c r="O299" s="5">
        <v>0</v>
      </c>
      <c r="Q299" s="5">
        <v>13488.2</v>
      </c>
      <c r="R299" s="5">
        <v>0</v>
      </c>
      <c r="S299" s="5">
        <v>13695.9</v>
      </c>
      <c r="T299" s="5">
        <v>5</v>
      </c>
      <c r="V299" s="5">
        <v>12796.7</v>
      </c>
      <c r="W299" s="5">
        <v>0</v>
      </c>
      <c r="X299" s="5">
        <v>0</v>
      </c>
    </row>
    <row r="300" spans="1:24" ht="12.75" customHeight="1">
      <c r="A300" s="6"/>
      <c r="B300" s="5">
        <v>10174.4</v>
      </c>
      <c r="C300" s="5">
        <v>0</v>
      </c>
      <c r="D300" s="5">
        <v>9217.7999999999993</v>
      </c>
      <c r="E300" s="5">
        <v>0</v>
      </c>
      <c r="G300" s="5">
        <v>9487.6</v>
      </c>
      <c r="H300" s="5">
        <v>0</v>
      </c>
      <c r="I300" s="5">
        <v>10555.8</v>
      </c>
      <c r="J300" s="5">
        <v>0</v>
      </c>
      <c r="L300" s="5">
        <v>10693.6</v>
      </c>
      <c r="M300" s="5">
        <v>0</v>
      </c>
      <c r="N300" s="5">
        <v>10385.9</v>
      </c>
      <c r="O300" s="5">
        <v>0</v>
      </c>
      <c r="Q300" s="5">
        <v>10334.4</v>
      </c>
      <c r="R300" s="5">
        <v>0</v>
      </c>
      <c r="S300" s="5">
        <v>10767</v>
      </c>
      <c r="T300" s="5">
        <v>0</v>
      </c>
      <c r="V300" s="5">
        <v>9493.7999999999993</v>
      </c>
      <c r="W300" s="5">
        <v>0</v>
      </c>
      <c r="X300" s="5">
        <v>0</v>
      </c>
    </row>
    <row r="301" spans="1:24" ht="12.75" customHeight="1">
      <c r="A301" s="6"/>
      <c r="B301" s="5">
        <v>11585.7</v>
      </c>
      <c r="C301" s="5">
        <v>6</v>
      </c>
      <c r="D301" s="5">
        <v>10933.9</v>
      </c>
      <c r="E301" s="5">
        <v>0</v>
      </c>
      <c r="G301" s="5">
        <v>12498.3</v>
      </c>
      <c r="H301" s="5">
        <v>15</v>
      </c>
      <c r="I301" s="5">
        <v>10322.299999999999</v>
      </c>
      <c r="J301" s="5">
        <v>0</v>
      </c>
      <c r="L301" s="5">
        <v>10782</v>
      </c>
      <c r="M301" s="5">
        <v>0</v>
      </c>
      <c r="N301" s="5">
        <v>10608.6</v>
      </c>
      <c r="O301" s="5">
        <v>0</v>
      </c>
      <c r="Q301" s="5">
        <v>13382.5</v>
      </c>
      <c r="R301" s="5">
        <v>5</v>
      </c>
      <c r="S301" s="5">
        <v>11800.1</v>
      </c>
      <c r="T301" s="5">
        <v>0</v>
      </c>
      <c r="V301" s="5">
        <v>12671.9</v>
      </c>
      <c r="W301" s="5">
        <v>15</v>
      </c>
      <c r="X301" s="5">
        <v>0</v>
      </c>
    </row>
    <row r="302" spans="1:24" ht="12.75" customHeight="1">
      <c r="A302" s="6"/>
      <c r="B302" s="5">
        <v>11214</v>
      </c>
      <c r="C302" s="5">
        <v>0</v>
      </c>
      <c r="D302" s="5">
        <v>11199.3</v>
      </c>
      <c r="E302" s="5">
        <v>0</v>
      </c>
      <c r="G302" s="5">
        <v>9936.5</v>
      </c>
      <c r="H302" s="5">
        <v>0</v>
      </c>
      <c r="I302" s="5">
        <v>11048.3</v>
      </c>
      <c r="J302" s="5">
        <v>0</v>
      </c>
      <c r="L302" s="5">
        <v>11489.8</v>
      </c>
      <c r="M302" s="5">
        <v>0</v>
      </c>
      <c r="N302" s="5">
        <v>11359.9</v>
      </c>
      <c r="O302" s="5">
        <v>0</v>
      </c>
      <c r="Q302" s="5">
        <v>11186.8</v>
      </c>
      <c r="R302" s="5">
        <v>0</v>
      </c>
      <c r="S302" s="5">
        <v>11795.8</v>
      </c>
      <c r="T302" s="5">
        <v>0</v>
      </c>
      <c r="V302" s="5">
        <v>9952.5</v>
      </c>
      <c r="W302" s="5">
        <v>0</v>
      </c>
      <c r="X302" s="5">
        <v>1</v>
      </c>
    </row>
    <row r="303" spans="1:24" ht="12.75" customHeight="1">
      <c r="A303" s="7" t="s">
        <v>12</v>
      </c>
      <c r="B303" s="5">
        <v>94862.9</v>
      </c>
      <c r="C303" s="5">
        <v>40</v>
      </c>
      <c r="D303" s="5">
        <v>101878</v>
      </c>
      <c r="E303" s="5">
        <v>84</v>
      </c>
      <c r="G303" s="5">
        <v>112771</v>
      </c>
      <c r="H303" s="5">
        <v>86</v>
      </c>
      <c r="I303" s="5">
        <v>115004</v>
      </c>
      <c r="J303" s="5">
        <v>111</v>
      </c>
      <c r="L303" s="5">
        <v>88566.7</v>
      </c>
      <c r="M303" s="5">
        <v>31</v>
      </c>
      <c r="N303" s="5">
        <v>73812.399999999994</v>
      </c>
      <c r="O303" s="5">
        <v>20</v>
      </c>
      <c r="Q303" s="5">
        <v>76540.399999999994</v>
      </c>
      <c r="R303" s="5">
        <v>4</v>
      </c>
      <c r="S303" s="5">
        <v>107248</v>
      </c>
      <c r="T303" s="5">
        <v>85</v>
      </c>
      <c r="V303" s="5">
        <v>61396</v>
      </c>
      <c r="W303" s="5">
        <v>2</v>
      </c>
      <c r="X303" s="5">
        <v>0</v>
      </c>
    </row>
    <row r="304" spans="1:24" ht="12.75" customHeight="1">
      <c r="A304" s="7"/>
      <c r="B304" s="5">
        <v>116362</v>
      </c>
      <c r="C304" s="5">
        <v>85</v>
      </c>
      <c r="D304" s="5">
        <v>100643</v>
      </c>
      <c r="E304" s="5">
        <v>62</v>
      </c>
      <c r="G304" s="5">
        <v>86453.1</v>
      </c>
      <c r="H304" s="5">
        <v>20</v>
      </c>
      <c r="I304" s="5">
        <v>67042.600000000006</v>
      </c>
      <c r="J304" s="5">
        <v>0</v>
      </c>
      <c r="L304" s="5">
        <v>94548.7</v>
      </c>
      <c r="M304" s="5">
        <v>35</v>
      </c>
      <c r="N304" s="5">
        <v>110665</v>
      </c>
      <c r="O304" s="5">
        <v>100</v>
      </c>
      <c r="Q304" s="5">
        <v>100375</v>
      </c>
      <c r="R304" s="5">
        <v>42</v>
      </c>
      <c r="S304" s="5">
        <v>63658.8</v>
      </c>
      <c r="T304" s="5">
        <v>0</v>
      </c>
      <c r="V304" s="5">
        <v>55878.6</v>
      </c>
      <c r="W304" s="5">
        <v>0</v>
      </c>
      <c r="X304" s="5">
        <v>1</v>
      </c>
    </row>
    <row r="305" spans="1:24" ht="12.75" customHeight="1">
      <c r="A305" s="7"/>
      <c r="B305" s="5">
        <v>88343.7</v>
      </c>
      <c r="C305" s="5">
        <v>38</v>
      </c>
      <c r="D305" s="5">
        <v>92710.6</v>
      </c>
      <c r="E305" s="5">
        <v>71</v>
      </c>
      <c r="G305" s="5">
        <v>69772.899999999994</v>
      </c>
      <c r="H305" s="5">
        <v>0</v>
      </c>
      <c r="I305" s="5">
        <v>93815.9</v>
      </c>
      <c r="J305" s="5">
        <v>63</v>
      </c>
      <c r="L305" s="5">
        <v>85623.9</v>
      </c>
      <c r="M305" s="5">
        <v>32</v>
      </c>
      <c r="N305" s="5">
        <v>66979.3</v>
      </c>
      <c r="O305" s="5">
        <v>16</v>
      </c>
      <c r="Q305" s="5">
        <v>85624.5</v>
      </c>
      <c r="R305" s="5">
        <v>25</v>
      </c>
      <c r="S305" s="5">
        <v>78446.7</v>
      </c>
      <c r="T305" s="5">
        <v>30</v>
      </c>
      <c r="V305" s="5">
        <v>74880.399999999994</v>
      </c>
      <c r="W305" s="5">
        <v>43</v>
      </c>
      <c r="X305" s="5">
        <v>0</v>
      </c>
    </row>
    <row r="306" spans="1:24" ht="12.75" customHeight="1">
      <c r="A306" s="7"/>
      <c r="B306" s="5">
        <v>104958</v>
      </c>
      <c r="C306" s="5">
        <v>73</v>
      </c>
      <c r="D306" s="5">
        <v>93704.3</v>
      </c>
      <c r="E306" s="5">
        <v>74</v>
      </c>
      <c r="G306" s="5">
        <v>84562.2</v>
      </c>
      <c r="H306" s="5">
        <v>30</v>
      </c>
      <c r="I306" s="5">
        <v>98615.7</v>
      </c>
      <c r="J306" s="5">
        <v>86</v>
      </c>
      <c r="L306" s="5">
        <v>76449.399999999994</v>
      </c>
      <c r="M306" s="5">
        <v>7</v>
      </c>
      <c r="N306" s="5">
        <v>76549</v>
      </c>
      <c r="O306" s="5">
        <v>43</v>
      </c>
      <c r="Q306" s="5">
        <v>86045.2</v>
      </c>
      <c r="R306" s="5">
        <v>21</v>
      </c>
      <c r="S306" s="5">
        <v>85632.4</v>
      </c>
      <c r="T306" s="5">
        <v>43</v>
      </c>
      <c r="V306" s="5">
        <v>52371.9</v>
      </c>
      <c r="W306" s="5">
        <v>0</v>
      </c>
      <c r="X306" s="5">
        <v>0</v>
      </c>
    </row>
    <row r="307" spans="1:24" ht="12.75" customHeight="1">
      <c r="A307" s="7"/>
      <c r="B307" s="5">
        <v>137860</v>
      </c>
      <c r="C307" s="5">
        <v>114</v>
      </c>
      <c r="D307" s="5">
        <v>124500</v>
      </c>
      <c r="E307" s="5">
        <v>117</v>
      </c>
      <c r="G307" s="5">
        <v>143355</v>
      </c>
      <c r="H307" s="5">
        <v>117</v>
      </c>
      <c r="I307" s="5">
        <v>113705</v>
      </c>
      <c r="J307" s="5">
        <v>78</v>
      </c>
      <c r="L307" s="5">
        <v>145483</v>
      </c>
      <c r="M307" s="5">
        <v>140</v>
      </c>
      <c r="N307" s="5">
        <v>57976.7</v>
      </c>
      <c r="O307" s="5">
        <v>0</v>
      </c>
      <c r="Q307" s="5">
        <v>117145</v>
      </c>
      <c r="R307" s="5">
        <v>79</v>
      </c>
      <c r="S307" s="5">
        <v>131183</v>
      </c>
      <c r="T307" s="5">
        <v>118</v>
      </c>
      <c r="V307" s="5">
        <v>98205.6</v>
      </c>
      <c r="W307" s="5">
        <v>81</v>
      </c>
      <c r="X307" s="5">
        <v>1</v>
      </c>
    </row>
    <row r="308" spans="1:24" ht="12.75" customHeight="1">
      <c r="A308" s="7"/>
      <c r="B308" s="5">
        <v>109897</v>
      </c>
      <c r="C308" s="5">
        <v>75</v>
      </c>
      <c r="D308" s="5">
        <v>68639.5</v>
      </c>
      <c r="E308" s="5">
        <v>24</v>
      </c>
      <c r="G308" s="5">
        <v>130347</v>
      </c>
      <c r="H308" s="5">
        <v>130</v>
      </c>
      <c r="I308" s="5">
        <v>92472</v>
      </c>
      <c r="J308" s="5">
        <v>62</v>
      </c>
      <c r="L308" s="5">
        <v>110978</v>
      </c>
      <c r="M308" s="5">
        <v>78</v>
      </c>
      <c r="N308" s="5">
        <v>82946.5</v>
      </c>
      <c r="O308" s="5">
        <v>63</v>
      </c>
      <c r="Q308" s="5">
        <v>117168</v>
      </c>
      <c r="R308" s="5">
        <v>102</v>
      </c>
      <c r="S308" s="5">
        <v>107598</v>
      </c>
      <c r="T308" s="5">
        <v>100</v>
      </c>
      <c r="V308" s="5">
        <v>62891.4</v>
      </c>
      <c r="W308" s="5">
        <v>23</v>
      </c>
      <c r="X308" s="5">
        <v>0</v>
      </c>
    </row>
    <row r="309" spans="1:24" ht="12.75" customHeight="1">
      <c r="A309" s="7"/>
      <c r="B309" s="5">
        <v>67544.899999999994</v>
      </c>
      <c r="C309" s="5">
        <v>15</v>
      </c>
      <c r="D309" s="5">
        <v>93893.2</v>
      </c>
      <c r="E309" s="5">
        <v>85</v>
      </c>
      <c r="G309" s="5">
        <v>59112.2</v>
      </c>
      <c r="H309" s="5">
        <v>0</v>
      </c>
      <c r="I309" s="5">
        <v>67753.100000000006</v>
      </c>
      <c r="J309" s="5">
        <v>26</v>
      </c>
      <c r="L309" s="5">
        <v>70480.5</v>
      </c>
      <c r="M309" s="5">
        <v>30</v>
      </c>
      <c r="N309" s="5">
        <v>66932.899999999994</v>
      </c>
      <c r="O309" s="5">
        <v>38</v>
      </c>
      <c r="Q309" s="5">
        <v>61223.199999999997</v>
      </c>
      <c r="R309" s="5">
        <v>0</v>
      </c>
      <c r="S309" s="5">
        <v>70078.399999999994</v>
      </c>
      <c r="T309" s="5">
        <v>35</v>
      </c>
      <c r="V309" s="5">
        <v>44650.9</v>
      </c>
      <c r="W309" s="5">
        <v>0</v>
      </c>
      <c r="X309" s="5">
        <v>1</v>
      </c>
    </row>
    <row r="310" spans="1:24" ht="12.75" customHeight="1">
      <c r="A310" s="7"/>
      <c r="B310" s="5">
        <v>139130</v>
      </c>
      <c r="C310" s="5">
        <v>138</v>
      </c>
      <c r="D310" s="5">
        <v>66482.3</v>
      </c>
      <c r="E310" s="5">
        <v>17</v>
      </c>
      <c r="G310" s="5">
        <v>103782</v>
      </c>
      <c r="H310" s="5">
        <v>66</v>
      </c>
      <c r="I310" s="5">
        <v>119546</v>
      </c>
      <c r="J310" s="5">
        <v>107</v>
      </c>
      <c r="L310" s="5">
        <v>105207</v>
      </c>
      <c r="M310" s="5">
        <v>69</v>
      </c>
      <c r="N310" s="5">
        <v>104810</v>
      </c>
      <c r="O310" s="5">
        <v>102</v>
      </c>
      <c r="Q310" s="5">
        <v>88693.5</v>
      </c>
      <c r="R310" s="5">
        <v>30</v>
      </c>
      <c r="S310" s="5">
        <v>108448</v>
      </c>
      <c r="T310" s="5">
        <v>100</v>
      </c>
      <c r="V310" s="5">
        <v>92757.7</v>
      </c>
      <c r="W310" s="5">
        <v>72</v>
      </c>
      <c r="X310" s="5">
        <v>0</v>
      </c>
    </row>
    <row r="311" spans="1:24" ht="12.75" customHeight="1">
      <c r="A311" s="7"/>
      <c r="B311" s="5">
        <v>86295.3</v>
      </c>
      <c r="C311" s="5">
        <v>20</v>
      </c>
      <c r="D311" s="5">
        <v>83534</v>
      </c>
      <c r="E311" s="5">
        <v>43</v>
      </c>
      <c r="G311" s="5">
        <v>89793.600000000006</v>
      </c>
      <c r="H311" s="5">
        <v>28</v>
      </c>
      <c r="I311" s="5">
        <v>64377.2</v>
      </c>
      <c r="J311" s="5">
        <v>14</v>
      </c>
      <c r="L311" s="5">
        <v>108292</v>
      </c>
      <c r="M311" s="5">
        <v>63</v>
      </c>
      <c r="N311" s="5">
        <v>60837.5</v>
      </c>
      <c r="O311" s="5">
        <v>0</v>
      </c>
      <c r="Q311" s="5">
        <v>111216</v>
      </c>
      <c r="R311" s="5">
        <v>71</v>
      </c>
      <c r="S311" s="5">
        <v>69289.8</v>
      </c>
      <c r="T311" s="5">
        <v>3</v>
      </c>
      <c r="V311" s="5">
        <v>57849.8</v>
      </c>
      <c r="W311" s="5">
        <v>0</v>
      </c>
      <c r="X311" s="5">
        <v>1</v>
      </c>
    </row>
    <row r="312" spans="1:24" ht="12.75" customHeight="1">
      <c r="A312" s="7"/>
      <c r="B312" s="5">
        <v>96905.3</v>
      </c>
      <c r="C312" s="5">
        <v>59</v>
      </c>
      <c r="D312" s="5">
        <v>117910</v>
      </c>
      <c r="E312" s="5">
        <v>120</v>
      </c>
      <c r="G312" s="5">
        <v>104636</v>
      </c>
      <c r="H312" s="5">
        <v>71</v>
      </c>
      <c r="I312" s="5">
        <v>115077</v>
      </c>
      <c r="J312" s="5">
        <v>108</v>
      </c>
      <c r="L312" s="5">
        <v>101748</v>
      </c>
      <c r="M312" s="5">
        <v>59</v>
      </c>
      <c r="N312" s="5">
        <v>93487.7</v>
      </c>
      <c r="O312" s="5">
        <v>82</v>
      </c>
      <c r="Q312" s="5">
        <v>73533.399999999994</v>
      </c>
      <c r="R312" s="5">
        <v>0</v>
      </c>
      <c r="S312" s="5">
        <v>81535.899999999994</v>
      </c>
      <c r="T312" s="5">
        <v>39</v>
      </c>
      <c r="V312" s="5">
        <v>64639.9</v>
      </c>
      <c r="W312" s="5">
        <v>28</v>
      </c>
      <c r="X312" s="5">
        <v>0</v>
      </c>
    </row>
    <row r="313" spans="1:24" ht="12.75" customHeight="1">
      <c r="A313" s="7"/>
      <c r="B313" s="5">
        <v>157824</v>
      </c>
      <c r="C313" s="5">
        <v>160</v>
      </c>
      <c r="D313" s="5">
        <v>114158</v>
      </c>
      <c r="E313" s="5">
        <v>101</v>
      </c>
      <c r="G313" s="5">
        <v>137299</v>
      </c>
      <c r="H313" s="5">
        <v>122</v>
      </c>
      <c r="I313" s="5">
        <v>118724</v>
      </c>
      <c r="J313" s="5">
        <v>98</v>
      </c>
      <c r="L313" s="5">
        <v>105247</v>
      </c>
      <c r="M313" s="5">
        <v>49</v>
      </c>
      <c r="N313" s="5">
        <v>62145.4</v>
      </c>
      <c r="O313" s="5">
        <v>3</v>
      </c>
      <c r="Q313" s="5">
        <v>107669</v>
      </c>
      <c r="R313" s="5">
        <v>58</v>
      </c>
      <c r="S313" s="5">
        <v>107838</v>
      </c>
      <c r="T313" s="5">
        <v>81</v>
      </c>
      <c r="V313" s="5">
        <v>59688.6</v>
      </c>
      <c r="W313" s="5">
        <v>0</v>
      </c>
      <c r="X313" s="5">
        <v>0</v>
      </c>
    </row>
    <row r="314" spans="1:24" ht="12.75" customHeight="1">
      <c r="A314" s="7"/>
      <c r="B314" s="5">
        <v>88664.4</v>
      </c>
      <c r="C314" s="5">
        <v>32</v>
      </c>
      <c r="D314" s="5">
        <v>62254.3</v>
      </c>
      <c r="E314" s="5">
        <v>0</v>
      </c>
      <c r="G314" s="5">
        <v>83820.3</v>
      </c>
      <c r="H314" s="5">
        <v>23</v>
      </c>
      <c r="I314" s="5">
        <v>55120.800000000003</v>
      </c>
      <c r="J314" s="5">
        <v>0</v>
      </c>
      <c r="L314" s="5">
        <v>69838</v>
      </c>
      <c r="M314" s="5">
        <v>0</v>
      </c>
      <c r="N314" s="5">
        <v>82618.7</v>
      </c>
      <c r="O314" s="5">
        <v>53</v>
      </c>
      <c r="Q314" s="5">
        <v>108789</v>
      </c>
      <c r="R314" s="5">
        <v>74</v>
      </c>
      <c r="S314" s="5">
        <v>67731.8</v>
      </c>
      <c r="T314" s="5">
        <v>0</v>
      </c>
      <c r="V314" s="5">
        <v>64694.7</v>
      </c>
      <c r="W314" s="5">
        <v>16</v>
      </c>
      <c r="X314" s="5">
        <v>1</v>
      </c>
    </row>
    <row r="315" spans="1:24" ht="12.75" customHeight="1">
      <c r="A315" s="7"/>
      <c r="B315" s="5">
        <v>100286</v>
      </c>
      <c r="C315" s="5">
        <v>66</v>
      </c>
      <c r="D315" s="5">
        <v>56845</v>
      </c>
      <c r="E315" s="5">
        <v>16</v>
      </c>
      <c r="G315" s="5">
        <v>131606</v>
      </c>
      <c r="H315" s="5">
        <v>140</v>
      </c>
      <c r="I315" s="5">
        <v>87900.1</v>
      </c>
      <c r="J315" s="5">
        <v>62</v>
      </c>
      <c r="L315" s="5">
        <v>96808.6</v>
      </c>
      <c r="M315" s="5">
        <v>66</v>
      </c>
      <c r="N315" s="5">
        <v>81367.199999999997</v>
      </c>
      <c r="O315" s="5">
        <v>66</v>
      </c>
      <c r="Q315" s="5">
        <v>92196.800000000003</v>
      </c>
      <c r="R315" s="5">
        <v>51</v>
      </c>
      <c r="S315" s="5">
        <v>78504.7</v>
      </c>
      <c r="T315" s="5">
        <v>40</v>
      </c>
      <c r="V315" s="5">
        <v>65364.2</v>
      </c>
      <c r="W315" s="5">
        <v>29</v>
      </c>
      <c r="X315" s="5">
        <v>0</v>
      </c>
    </row>
    <row r="316" spans="1:24" ht="12.75" customHeight="1">
      <c r="A316" s="7"/>
      <c r="B316" s="5">
        <v>86465.2</v>
      </c>
      <c r="C316" s="5">
        <v>46</v>
      </c>
      <c r="D316" s="5">
        <v>82023.3</v>
      </c>
      <c r="E316" s="5">
        <v>65</v>
      </c>
      <c r="G316" s="5">
        <v>79637.2</v>
      </c>
      <c r="H316" s="5">
        <v>25</v>
      </c>
      <c r="I316" s="5">
        <v>70103.5</v>
      </c>
      <c r="J316" s="5">
        <v>30</v>
      </c>
      <c r="L316" s="5">
        <v>148743</v>
      </c>
      <c r="M316" s="5">
        <v>164</v>
      </c>
      <c r="N316" s="5">
        <v>100184</v>
      </c>
      <c r="O316" s="5">
        <v>106</v>
      </c>
      <c r="Q316" s="5">
        <v>96397</v>
      </c>
      <c r="R316" s="5">
        <v>53</v>
      </c>
      <c r="S316" s="5">
        <v>80008.7</v>
      </c>
      <c r="T316" s="5">
        <v>48</v>
      </c>
      <c r="V316" s="5">
        <v>71863.199999999997</v>
      </c>
      <c r="W316" s="5">
        <v>39</v>
      </c>
      <c r="X316" s="5">
        <v>1</v>
      </c>
    </row>
    <row r="317" spans="1:24" ht="12.75" customHeight="1">
      <c r="A317" s="7"/>
      <c r="B317" s="5">
        <v>79527.899999999994</v>
      </c>
      <c r="C317" s="5">
        <v>54</v>
      </c>
      <c r="D317" s="5">
        <v>63996.4</v>
      </c>
      <c r="E317" s="5">
        <v>35</v>
      </c>
      <c r="G317" s="5">
        <v>82090.3</v>
      </c>
      <c r="H317" s="5">
        <v>61</v>
      </c>
      <c r="I317" s="5">
        <v>49440.1</v>
      </c>
      <c r="J317" s="5">
        <v>0</v>
      </c>
      <c r="L317" s="5">
        <v>101967</v>
      </c>
      <c r="M317" s="5">
        <v>93</v>
      </c>
      <c r="N317" s="5">
        <v>47841.5</v>
      </c>
      <c r="O317" s="5">
        <v>7</v>
      </c>
      <c r="Q317" s="5">
        <v>86543.4</v>
      </c>
      <c r="R317" s="5">
        <v>63</v>
      </c>
      <c r="S317" s="5">
        <v>54128.1</v>
      </c>
      <c r="T317" s="5">
        <v>23</v>
      </c>
      <c r="V317" s="5">
        <v>54512.9</v>
      </c>
      <c r="W317" s="5">
        <v>29</v>
      </c>
      <c r="X317" s="5">
        <v>0</v>
      </c>
    </row>
    <row r="318" spans="1:24" ht="12.75" customHeight="1">
      <c r="A318" s="7"/>
      <c r="B318" s="5">
        <v>94304.9</v>
      </c>
      <c r="C318" s="5">
        <v>40</v>
      </c>
      <c r="D318" s="5">
        <v>109413</v>
      </c>
      <c r="E318" s="5">
        <v>105</v>
      </c>
      <c r="G318" s="5">
        <v>92133</v>
      </c>
      <c r="H318" s="5">
        <v>22</v>
      </c>
      <c r="I318" s="5">
        <v>102320</v>
      </c>
      <c r="J318" s="5">
        <v>70</v>
      </c>
      <c r="L318" s="5">
        <v>121656</v>
      </c>
      <c r="M318" s="5">
        <v>95</v>
      </c>
      <c r="N318" s="5">
        <v>87945</v>
      </c>
      <c r="O318" s="5">
        <v>64</v>
      </c>
      <c r="Q318" s="5">
        <v>71870.3</v>
      </c>
      <c r="R318" s="5">
        <v>0</v>
      </c>
      <c r="S318" s="5">
        <v>73188.2</v>
      </c>
      <c r="T318" s="5">
        <v>16</v>
      </c>
      <c r="V318" s="5">
        <v>60369.4</v>
      </c>
      <c r="W318" s="5">
        <v>13</v>
      </c>
      <c r="X318" s="5">
        <v>1</v>
      </c>
    </row>
    <row r="319" spans="1:24" ht="12.75" customHeight="1">
      <c r="A319" s="7"/>
      <c r="B319" s="5">
        <v>69800.100000000006</v>
      </c>
      <c r="C319" s="5">
        <v>0</v>
      </c>
      <c r="D319" s="5">
        <v>146075</v>
      </c>
      <c r="E319" s="5">
        <v>179</v>
      </c>
      <c r="G319" s="5">
        <v>112208</v>
      </c>
      <c r="H319" s="5">
        <v>89</v>
      </c>
      <c r="I319" s="5">
        <v>54102.3</v>
      </c>
      <c r="J319" s="5">
        <v>0</v>
      </c>
      <c r="L319" s="5">
        <v>95733</v>
      </c>
      <c r="M319" s="5">
        <v>49</v>
      </c>
      <c r="N319" s="5">
        <v>63514.6</v>
      </c>
      <c r="O319" s="5">
        <v>13</v>
      </c>
      <c r="Q319" s="5">
        <v>85900.9</v>
      </c>
      <c r="R319" s="5">
        <v>30</v>
      </c>
      <c r="S319" s="5">
        <v>80830.600000000006</v>
      </c>
      <c r="T319" s="5">
        <v>37</v>
      </c>
      <c r="V319" s="5">
        <v>52241</v>
      </c>
      <c r="W319" s="5">
        <v>0</v>
      </c>
      <c r="X319" s="5">
        <v>0</v>
      </c>
    </row>
    <row r="320" spans="1:24" ht="12.75" customHeight="1">
      <c r="A320" s="7"/>
      <c r="B320" s="5">
        <v>79297.600000000006</v>
      </c>
      <c r="C320" s="5">
        <v>31</v>
      </c>
      <c r="D320" s="5">
        <v>65315</v>
      </c>
      <c r="E320" s="5">
        <v>25</v>
      </c>
      <c r="G320" s="5">
        <v>83122</v>
      </c>
      <c r="H320" s="5">
        <v>42</v>
      </c>
      <c r="I320" s="5">
        <v>56727.5</v>
      </c>
      <c r="J320" s="5">
        <v>4</v>
      </c>
      <c r="L320" s="5">
        <v>81060.2</v>
      </c>
      <c r="M320" s="5">
        <v>38</v>
      </c>
      <c r="N320" s="5">
        <v>48785.599999999999</v>
      </c>
      <c r="O320" s="5">
        <v>0</v>
      </c>
      <c r="Q320" s="5">
        <v>67651.5</v>
      </c>
      <c r="R320" s="5">
        <v>9</v>
      </c>
      <c r="S320" s="5">
        <v>101302</v>
      </c>
      <c r="T320" s="5">
        <v>88</v>
      </c>
      <c r="V320" s="5">
        <v>48384.4</v>
      </c>
      <c r="W320" s="5">
        <v>0</v>
      </c>
      <c r="X320" s="5">
        <v>0</v>
      </c>
    </row>
    <row r="321" spans="1:24" ht="12.75" customHeight="1">
      <c r="A321" s="7"/>
      <c r="B321" s="5">
        <v>67765.100000000006</v>
      </c>
      <c r="C321" s="5">
        <v>34</v>
      </c>
      <c r="D321" s="5">
        <v>63901.3</v>
      </c>
      <c r="E321" s="5">
        <v>48</v>
      </c>
      <c r="G321" s="5">
        <v>56828.1</v>
      </c>
      <c r="H321" s="5">
        <v>12</v>
      </c>
      <c r="I321" s="5">
        <v>52524.4</v>
      </c>
      <c r="J321" s="5">
        <v>29</v>
      </c>
      <c r="L321" s="5">
        <v>54745.8</v>
      </c>
      <c r="M321" s="5">
        <v>16</v>
      </c>
      <c r="N321" s="5">
        <v>49657.7</v>
      </c>
      <c r="O321" s="5">
        <v>33</v>
      </c>
      <c r="Q321" s="5">
        <v>77730.399999999994</v>
      </c>
      <c r="R321" s="5">
        <v>56</v>
      </c>
      <c r="S321" s="5">
        <v>60301.5</v>
      </c>
      <c r="T321" s="5">
        <v>51</v>
      </c>
      <c r="V321" s="5">
        <v>36286</v>
      </c>
      <c r="W321" s="5">
        <v>2</v>
      </c>
      <c r="X321" s="5">
        <v>1</v>
      </c>
    </row>
    <row r="322" spans="1:24" ht="12.75" customHeight="1">
      <c r="A322" s="7"/>
      <c r="B322" s="5">
        <v>79361.399999999994</v>
      </c>
      <c r="C322" s="5">
        <v>0</v>
      </c>
      <c r="D322" s="5">
        <v>79134.399999999994</v>
      </c>
      <c r="E322" s="5">
        <v>49</v>
      </c>
      <c r="G322" s="5">
        <v>109132</v>
      </c>
      <c r="H322" s="5">
        <v>67</v>
      </c>
      <c r="I322" s="5">
        <v>86092.9</v>
      </c>
      <c r="J322" s="5">
        <v>55</v>
      </c>
      <c r="L322" s="5">
        <v>77435</v>
      </c>
      <c r="M322" s="5">
        <v>1</v>
      </c>
      <c r="N322" s="5">
        <v>75156.5</v>
      </c>
      <c r="O322" s="5">
        <v>12</v>
      </c>
      <c r="Q322" s="5">
        <v>104067</v>
      </c>
      <c r="R322" s="5">
        <v>58</v>
      </c>
      <c r="S322" s="5">
        <v>76478</v>
      </c>
      <c r="T322" s="5">
        <v>20</v>
      </c>
      <c r="V322" s="5">
        <v>58563</v>
      </c>
      <c r="W322" s="5">
        <v>0</v>
      </c>
      <c r="X322" s="5">
        <v>0</v>
      </c>
    </row>
    <row r="323" spans="1:24" ht="12.75" customHeight="1">
      <c r="A323" s="7"/>
      <c r="B323" s="5">
        <v>79771.199999999997</v>
      </c>
      <c r="C323" s="5">
        <v>38</v>
      </c>
      <c r="D323" s="5">
        <v>91833.2</v>
      </c>
      <c r="E323" s="5">
        <v>71</v>
      </c>
      <c r="G323" s="5">
        <v>75490.899999999994</v>
      </c>
      <c r="H323" s="5">
        <v>26</v>
      </c>
      <c r="I323" s="5">
        <v>116262</v>
      </c>
      <c r="J323" s="5">
        <v>133</v>
      </c>
      <c r="L323" s="5">
        <v>79275.7</v>
      </c>
      <c r="M323" s="5">
        <v>27</v>
      </c>
      <c r="N323" s="5">
        <v>101832</v>
      </c>
      <c r="O323" s="5">
        <v>100</v>
      </c>
      <c r="Q323" s="5">
        <v>83408.899999999994</v>
      </c>
      <c r="R323" s="5">
        <v>36</v>
      </c>
      <c r="S323" s="5">
        <v>63994.5</v>
      </c>
      <c r="T323" s="5">
        <v>16</v>
      </c>
      <c r="V323" s="5">
        <v>54379.1</v>
      </c>
      <c r="W323" s="5">
        <v>2</v>
      </c>
      <c r="X323" s="5">
        <v>1</v>
      </c>
    </row>
    <row r="324" spans="1:24" ht="12.75" customHeight="1">
      <c r="A324" s="7"/>
      <c r="B324" s="5">
        <v>93459.4</v>
      </c>
      <c r="C324" s="5">
        <v>51</v>
      </c>
      <c r="D324" s="5">
        <v>65406.8</v>
      </c>
      <c r="E324" s="5">
        <v>29</v>
      </c>
      <c r="G324" s="5">
        <v>68461.2</v>
      </c>
      <c r="H324" s="5">
        <v>0</v>
      </c>
      <c r="I324" s="5">
        <v>56822.6</v>
      </c>
      <c r="J324" s="5">
        <v>0</v>
      </c>
      <c r="L324" s="5">
        <v>92232</v>
      </c>
      <c r="M324" s="5">
        <v>62</v>
      </c>
      <c r="N324" s="5">
        <v>81951.3</v>
      </c>
      <c r="O324" s="5">
        <v>63</v>
      </c>
      <c r="Q324" s="5">
        <v>81671.399999999994</v>
      </c>
      <c r="R324" s="5">
        <v>33</v>
      </c>
      <c r="S324" s="5">
        <v>57030.7</v>
      </c>
      <c r="T324" s="5">
        <v>0</v>
      </c>
      <c r="V324" s="5">
        <v>93299.5</v>
      </c>
      <c r="W324" s="5">
        <v>94</v>
      </c>
      <c r="X324" s="5">
        <v>0</v>
      </c>
    </row>
    <row r="325" spans="1:24" ht="12.75" customHeight="1">
      <c r="A325" s="7"/>
      <c r="B325" s="5">
        <v>74046.7</v>
      </c>
      <c r="C325" s="5">
        <v>10</v>
      </c>
      <c r="D325" s="5">
        <v>65552</v>
      </c>
      <c r="E325" s="5">
        <v>14</v>
      </c>
      <c r="G325" s="5">
        <v>87999.8</v>
      </c>
      <c r="H325" s="5">
        <v>35</v>
      </c>
      <c r="I325" s="5">
        <v>78598.3</v>
      </c>
      <c r="J325" s="5">
        <v>37</v>
      </c>
      <c r="L325" s="5">
        <v>68189.7</v>
      </c>
      <c r="M325" s="5">
        <v>0</v>
      </c>
      <c r="N325" s="5">
        <v>91727.5</v>
      </c>
      <c r="O325" s="5">
        <v>75</v>
      </c>
      <c r="Q325" s="5">
        <v>81528.800000000003</v>
      </c>
      <c r="R325" s="5">
        <v>25</v>
      </c>
      <c r="S325" s="5">
        <v>80964.600000000006</v>
      </c>
      <c r="T325" s="5">
        <v>43</v>
      </c>
      <c r="V325" s="5">
        <v>54368.6</v>
      </c>
      <c r="W325" s="5">
        <v>0</v>
      </c>
      <c r="X325" s="5">
        <v>1</v>
      </c>
    </row>
    <row r="326" spans="1:24" ht="12.75" customHeight="1">
      <c r="A326" s="7"/>
      <c r="B326" s="5">
        <v>82820.5</v>
      </c>
      <c r="C326" s="5">
        <v>55</v>
      </c>
      <c r="D326" s="5">
        <v>42775.9</v>
      </c>
      <c r="E326" s="5">
        <v>0</v>
      </c>
      <c r="G326" s="5">
        <v>56990.2</v>
      </c>
      <c r="H326" s="5">
        <v>0</v>
      </c>
      <c r="I326" s="5">
        <v>46096.7</v>
      </c>
      <c r="J326" s="5">
        <v>3</v>
      </c>
      <c r="L326" s="5">
        <v>55281.7</v>
      </c>
      <c r="M326" s="5">
        <v>0</v>
      </c>
      <c r="N326" s="5">
        <v>43015.4</v>
      </c>
      <c r="O326" s="5">
        <v>0</v>
      </c>
      <c r="Q326" s="5">
        <v>66315.199999999997</v>
      </c>
      <c r="R326" s="5">
        <v>17</v>
      </c>
      <c r="S326" s="5">
        <v>56283.9</v>
      </c>
      <c r="T326" s="5">
        <v>21</v>
      </c>
      <c r="V326" s="5">
        <v>41355.800000000003</v>
      </c>
      <c r="W326" s="5">
        <v>0</v>
      </c>
      <c r="X326" s="5">
        <v>0</v>
      </c>
    </row>
    <row r="327" spans="1:24" ht="12.75" customHeight="1">
      <c r="A327" s="7"/>
      <c r="B327" s="5">
        <v>63739.3</v>
      </c>
      <c r="C327" s="5">
        <v>0</v>
      </c>
      <c r="D327" s="5">
        <v>53720.9</v>
      </c>
      <c r="E327" s="5">
        <v>0</v>
      </c>
      <c r="G327" s="5">
        <v>70393.399999999994</v>
      </c>
      <c r="H327" s="5">
        <v>0</v>
      </c>
      <c r="I327" s="5">
        <v>61970.6</v>
      </c>
      <c r="J327" s="5">
        <v>4</v>
      </c>
      <c r="L327" s="5">
        <v>67140.899999999994</v>
      </c>
      <c r="M327" s="5">
        <v>0</v>
      </c>
      <c r="N327" s="5">
        <v>51605.8</v>
      </c>
      <c r="O327" s="5">
        <v>0</v>
      </c>
      <c r="Q327" s="5">
        <v>64865.8</v>
      </c>
      <c r="R327" s="5">
        <v>0</v>
      </c>
      <c r="S327" s="5">
        <v>74192.3</v>
      </c>
      <c r="T327" s="5">
        <v>20</v>
      </c>
      <c r="V327" s="5">
        <v>54310.5</v>
      </c>
      <c r="W327" s="5">
        <v>0</v>
      </c>
      <c r="X327" s="5">
        <v>0</v>
      </c>
    </row>
    <row r="328" spans="1:24" ht="12.75" customHeight="1">
      <c r="A328" s="7"/>
      <c r="B328" s="5">
        <v>120895</v>
      </c>
      <c r="C328" s="5">
        <v>126</v>
      </c>
      <c r="D328" s="5">
        <v>96271.9</v>
      </c>
      <c r="E328" s="5">
        <v>95</v>
      </c>
      <c r="G328" s="5">
        <v>92897.8</v>
      </c>
      <c r="H328" s="5">
        <v>59</v>
      </c>
      <c r="I328" s="5">
        <v>85346.7</v>
      </c>
      <c r="J328" s="5">
        <v>59</v>
      </c>
      <c r="L328" s="5">
        <v>114598</v>
      </c>
      <c r="M328" s="5">
        <v>104</v>
      </c>
      <c r="N328" s="5">
        <v>118927</v>
      </c>
      <c r="O328" s="5">
        <v>136</v>
      </c>
      <c r="Q328" s="5">
        <v>82656</v>
      </c>
      <c r="R328" s="5">
        <v>35</v>
      </c>
      <c r="S328" s="5">
        <v>105181</v>
      </c>
      <c r="T328" s="5">
        <v>104</v>
      </c>
      <c r="V328" s="5">
        <v>66107.5</v>
      </c>
      <c r="W328" s="5">
        <v>50</v>
      </c>
      <c r="X328" s="5">
        <v>1</v>
      </c>
    </row>
    <row r="329" spans="1:24" ht="12.75" customHeight="1">
      <c r="A329" s="7"/>
      <c r="B329" s="5">
        <v>96482.4</v>
      </c>
      <c r="C329" s="5">
        <v>35</v>
      </c>
      <c r="D329" s="5">
        <v>63599.8</v>
      </c>
      <c r="E329" s="5">
        <v>2</v>
      </c>
      <c r="G329" s="5">
        <v>72144.7</v>
      </c>
      <c r="H329" s="5">
        <v>0</v>
      </c>
      <c r="I329" s="5">
        <v>68466.399999999994</v>
      </c>
      <c r="J329" s="5">
        <v>0</v>
      </c>
      <c r="L329" s="5">
        <v>98122.7</v>
      </c>
      <c r="M329" s="5">
        <v>44</v>
      </c>
      <c r="N329" s="5">
        <v>57133.2</v>
      </c>
      <c r="O329" s="5">
        <v>0</v>
      </c>
      <c r="Q329" s="5">
        <v>83659.899999999994</v>
      </c>
      <c r="R329" s="5">
        <v>15</v>
      </c>
      <c r="S329" s="5">
        <v>66462.399999999994</v>
      </c>
      <c r="T329" s="5">
        <v>0</v>
      </c>
      <c r="V329" s="5">
        <v>60812.7</v>
      </c>
      <c r="W329" s="5">
        <v>0</v>
      </c>
      <c r="X329" s="5">
        <v>0</v>
      </c>
    </row>
    <row r="330" spans="1:24" ht="12.75" customHeight="1">
      <c r="A330" s="7"/>
      <c r="B330" s="5">
        <v>104357</v>
      </c>
      <c r="C330" s="5">
        <v>59</v>
      </c>
      <c r="D330" s="5">
        <v>114293</v>
      </c>
      <c r="E330" s="5">
        <v>90</v>
      </c>
      <c r="G330" s="5">
        <v>114714</v>
      </c>
      <c r="H330" s="5">
        <v>71</v>
      </c>
      <c r="I330" s="5">
        <v>118716</v>
      </c>
      <c r="J330" s="5">
        <v>112</v>
      </c>
      <c r="L330" s="5">
        <v>205963</v>
      </c>
      <c r="M330" s="5">
        <v>258</v>
      </c>
      <c r="N330" s="5">
        <v>110819</v>
      </c>
      <c r="O330" s="5">
        <v>99</v>
      </c>
      <c r="Q330" s="5">
        <v>130546</v>
      </c>
      <c r="R330" s="5">
        <v>112</v>
      </c>
      <c r="S330" s="5">
        <v>145602</v>
      </c>
      <c r="T330" s="5">
        <v>149</v>
      </c>
      <c r="V330" s="5">
        <v>62004.3</v>
      </c>
      <c r="W330" s="5">
        <v>0</v>
      </c>
      <c r="X330" s="5">
        <v>0</v>
      </c>
    </row>
    <row r="331" spans="1:24" ht="12.75" customHeight="1">
      <c r="A331" s="7"/>
      <c r="B331" s="5">
        <v>105095</v>
      </c>
      <c r="C331" s="5">
        <v>21</v>
      </c>
      <c r="D331" s="5">
        <v>95362.8</v>
      </c>
      <c r="E331" s="5">
        <v>31</v>
      </c>
      <c r="G331" s="5">
        <v>95469.2</v>
      </c>
      <c r="H331" s="5">
        <v>7</v>
      </c>
      <c r="I331" s="5">
        <v>83507.199999999997</v>
      </c>
      <c r="J331" s="5">
        <v>0</v>
      </c>
      <c r="L331" s="5">
        <v>99047.7</v>
      </c>
      <c r="M331" s="5">
        <v>0</v>
      </c>
      <c r="N331" s="5">
        <v>99689.8</v>
      </c>
      <c r="O331" s="5">
        <v>35</v>
      </c>
      <c r="Q331" s="5">
        <v>94621.1</v>
      </c>
      <c r="R331" s="5">
        <v>0</v>
      </c>
      <c r="S331" s="5">
        <v>84898.6</v>
      </c>
      <c r="T331" s="5">
        <v>0</v>
      </c>
      <c r="V331" s="5">
        <v>77785</v>
      </c>
      <c r="W331" s="5">
        <v>0</v>
      </c>
      <c r="X331" s="5">
        <v>1</v>
      </c>
    </row>
    <row r="332" spans="1:24" ht="12.75" customHeight="1">
      <c r="A332" s="7"/>
      <c r="B332" s="5">
        <v>76796.5</v>
      </c>
      <c r="C332" s="5">
        <v>0</v>
      </c>
      <c r="D332" s="5">
        <v>60513.9</v>
      </c>
      <c r="E332" s="5">
        <v>14</v>
      </c>
      <c r="G332" s="5">
        <v>74109.600000000006</v>
      </c>
      <c r="H332" s="5">
        <v>0</v>
      </c>
      <c r="I332" s="5">
        <v>57652.800000000003</v>
      </c>
      <c r="J332" s="5">
        <v>0</v>
      </c>
      <c r="L332" s="5">
        <v>75800.600000000006</v>
      </c>
      <c r="M332" s="5">
        <v>0</v>
      </c>
      <c r="N332" s="5">
        <v>84998</v>
      </c>
      <c r="O332" s="5">
        <v>62</v>
      </c>
      <c r="Q332" s="5">
        <v>73907.100000000006</v>
      </c>
      <c r="R332" s="5">
        <v>0</v>
      </c>
      <c r="S332" s="5">
        <v>62013.5</v>
      </c>
      <c r="T332" s="5">
        <v>2</v>
      </c>
      <c r="V332" s="5">
        <v>53165.1</v>
      </c>
      <c r="W332" s="5">
        <v>0</v>
      </c>
      <c r="X332" s="5">
        <v>0</v>
      </c>
    </row>
    <row r="333" spans="1:24" ht="12.75" customHeight="1">
      <c r="A333" s="7"/>
      <c r="B333" s="5">
        <v>103182</v>
      </c>
      <c r="C333" s="5">
        <v>76</v>
      </c>
      <c r="D333" s="5">
        <v>71326.3</v>
      </c>
      <c r="E333" s="5">
        <v>30</v>
      </c>
      <c r="G333" s="5">
        <v>72491.8</v>
      </c>
      <c r="H333" s="5">
        <v>19</v>
      </c>
      <c r="I333" s="5">
        <v>56765.8</v>
      </c>
      <c r="J333" s="5">
        <v>0</v>
      </c>
      <c r="L333" s="5">
        <v>85070.399999999994</v>
      </c>
      <c r="M333" s="5">
        <v>41</v>
      </c>
      <c r="N333" s="5">
        <v>59463.5</v>
      </c>
      <c r="O333" s="5">
        <v>4</v>
      </c>
      <c r="Q333" s="5">
        <v>88123.3</v>
      </c>
      <c r="R333" s="5">
        <v>38</v>
      </c>
      <c r="S333" s="5">
        <v>92032.1</v>
      </c>
      <c r="T333" s="5">
        <v>66</v>
      </c>
      <c r="V333" s="5">
        <v>50506</v>
      </c>
      <c r="W333" s="5">
        <v>0</v>
      </c>
      <c r="X333" s="5">
        <v>0</v>
      </c>
    </row>
    <row r="334" spans="1:24" ht="12.75" customHeight="1">
      <c r="A334" s="7"/>
      <c r="B334" s="5">
        <v>81769.600000000006</v>
      </c>
      <c r="C334" s="5">
        <v>11</v>
      </c>
      <c r="D334" s="5">
        <v>75391.600000000006</v>
      </c>
      <c r="E334" s="5">
        <v>24</v>
      </c>
      <c r="G334" s="5">
        <v>73683.8</v>
      </c>
      <c r="H334" s="5">
        <v>15</v>
      </c>
      <c r="I334" s="5">
        <v>81940.3</v>
      </c>
      <c r="J334" s="5">
        <v>46</v>
      </c>
      <c r="L334" s="5">
        <v>138710</v>
      </c>
      <c r="M334" s="5">
        <v>138</v>
      </c>
      <c r="N334" s="5">
        <v>55685.1</v>
      </c>
      <c r="O334" s="5">
        <v>6</v>
      </c>
      <c r="Q334" s="5">
        <v>96870.2</v>
      </c>
      <c r="R334" s="5">
        <v>59</v>
      </c>
      <c r="S334" s="5">
        <v>78718.8</v>
      </c>
      <c r="T334" s="5">
        <v>41</v>
      </c>
      <c r="V334" s="5">
        <v>59011.8</v>
      </c>
      <c r="W334" s="5">
        <v>5</v>
      </c>
      <c r="X334" s="5">
        <v>1</v>
      </c>
    </row>
    <row r="335" spans="1:24" ht="12.75" customHeight="1">
      <c r="A335" s="7"/>
      <c r="B335" s="5">
        <v>105762</v>
      </c>
      <c r="C335" s="5">
        <v>63</v>
      </c>
      <c r="D335" s="5">
        <v>99220</v>
      </c>
      <c r="E335" s="5">
        <v>79</v>
      </c>
      <c r="G335" s="5">
        <v>82030.399999999994</v>
      </c>
      <c r="H335" s="5">
        <v>17</v>
      </c>
      <c r="I335" s="5">
        <v>107041</v>
      </c>
      <c r="J335" s="5">
        <v>90</v>
      </c>
      <c r="L335" s="5">
        <v>114803</v>
      </c>
      <c r="M335" s="5">
        <v>75</v>
      </c>
      <c r="N335" s="5">
        <v>96919.7</v>
      </c>
      <c r="O335" s="5">
        <v>81</v>
      </c>
      <c r="Q335" s="5">
        <v>93116.1</v>
      </c>
      <c r="R335" s="5">
        <v>36</v>
      </c>
      <c r="S335" s="5">
        <v>98413.1</v>
      </c>
      <c r="T335" s="5">
        <v>77</v>
      </c>
      <c r="V335" s="5">
        <v>60176</v>
      </c>
      <c r="W335" s="5">
        <v>0</v>
      </c>
      <c r="X335" s="5">
        <v>0</v>
      </c>
    </row>
    <row r="336" spans="1:24" ht="12.75" customHeight="1">
      <c r="A336" s="7"/>
      <c r="B336" s="5">
        <v>85594</v>
      </c>
      <c r="C336" s="5">
        <v>0</v>
      </c>
      <c r="D336" s="5">
        <v>73542.899999999994</v>
      </c>
      <c r="E336" s="5">
        <v>0</v>
      </c>
      <c r="G336" s="5">
        <v>86275.7</v>
      </c>
      <c r="H336" s="5">
        <v>0</v>
      </c>
      <c r="I336" s="5">
        <v>72391.100000000006</v>
      </c>
      <c r="J336" s="5">
        <v>0</v>
      </c>
      <c r="L336" s="5">
        <v>84614.7</v>
      </c>
      <c r="M336" s="5">
        <v>0</v>
      </c>
      <c r="N336" s="5">
        <v>62805.4</v>
      </c>
      <c r="O336" s="5">
        <v>0</v>
      </c>
      <c r="Q336" s="5">
        <v>87315.8</v>
      </c>
      <c r="R336" s="5">
        <v>0</v>
      </c>
      <c r="S336" s="5">
        <v>77380.3</v>
      </c>
      <c r="T336" s="5">
        <v>0</v>
      </c>
      <c r="V336" s="5">
        <v>70162.8</v>
      </c>
      <c r="W336" s="5">
        <v>0</v>
      </c>
      <c r="X336" s="5">
        <v>0</v>
      </c>
    </row>
    <row r="337" spans="1:24" ht="12.75" customHeight="1">
      <c r="A337" s="7"/>
      <c r="B337" s="5">
        <v>134071</v>
      </c>
      <c r="C337" s="5">
        <v>118</v>
      </c>
      <c r="D337" s="5">
        <v>104928</v>
      </c>
      <c r="E337" s="5">
        <v>81</v>
      </c>
      <c r="G337" s="5">
        <v>109214</v>
      </c>
      <c r="H337" s="5">
        <v>64</v>
      </c>
      <c r="I337" s="5">
        <v>101706</v>
      </c>
      <c r="J337" s="5">
        <v>79</v>
      </c>
      <c r="L337" s="5">
        <v>78431.3</v>
      </c>
      <c r="M337" s="5">
        <v>0</v>
      </c>
      <c r="N337" s="5">
        <v>78512.399999999994</v>
      </c>
      <c r="O337" s="5">
        <v>39</v>
      </c>
      <c r="Q337" s="5">
        <v>101568</v>
      </c>
      <c r="R337" s="5">
        <v>47</v>
      </c>
      <c r="S337" s="5">
        <v>85166</v>
      </c>
      <c r="T337" s="5">
        <v>36</v>
      </c>
      <c r="V337" s="5">
        <v>59597.9</v>
      </c>
      <c r="W337" s="5">
        <v>0</v>
      </c>
      <c r="X337" s="5">
        <v>1</v>
      </c>
    </row>
    <row r="338" spans="1:24" ht="12.75" customHeight="1">
      <c r="A338" s="7"/>
      <c r="B338" s="5">
        <v>61469.8</v>
      </c>
      <c r="C338" s="5">
        <v>0</v>
      </c>
      <c r="D338" s="5">
        <v>93150.2</v>
      </c>
      <c r="E338" s="5">
        <v>76</v>
      </c>
      <c r="G338" s="5">
        <v>124774</v>
      </c>
      <c r="H338" s="5">
        <v>122</v>
      </c>
      <c r="I338" s="5">
        <v>57442.5</v>
      </c>
      <c r="J338" s="5">
        <v>11</v>
      </c>
      <c r="L338" s="5">
        <v>63875.8</v>
      </c>
      <c r="M338" s="5">
        <v>0</v>
      </c>
      <c r="N338" s="5">
        <v>106624</v>
      </c>
      <c r="O338" s="5">
        <v>104</v>
      </c>
      <c r="Q338" s="5">
        <v>115947</v>
      </c>
      <c r="R338" s="5">
        <v>104</v>
      </c>
      <c r="S338" s="5">
        <v>138498</v>
      </c>
      <c r="T338" s="5">
        <v>162</v>
      </c>
      <c r="V338" s="5">
        <v>53608.9</v>
      </c>
      <c r="W338" s="5">
        <v>0</v>
      </c>
      <c r="X338" s="5">
        <v>0</v>
      </c>
    </row>
    <row r="339" spans="1:24" ht="12.75" customHeight="1">
      <c r="A339" s="7"/>
      <c r="B339" s="5">
        <v>69330.7</v>
      </c>
      <c r="C339" s="5">
        <v>0</v>
      </c>
      <c r="D339" s="5">
        <v>57097.9</v>
      </c>
      <c r="E339" s="5">
        <v>0</v>
      </c>
      <c r="G339" s="5">
        <v>70433.600000000006</v>
      </c>
      <c r="H339" s="5">
        <v>3</v>
      </c>
      <c r="I339" s="5">
        <v>52981.3</v>
      </c>
      <c r="J339" s="5">
        <v>0</v>
      </c>
      <c r="L339" s="5">
        <v>68543.399999999994</v>
      </c>
      <c r="M339" s="5">
        <v>0</v>
      </c>
      <c r="N339" s="5">
        <v>81045.7</v>
      </c>
      <c r="O339" s="5">
        <v>39</v>
      </c>
      <c r="Q339" s="5">
        <v>67447.899999999994</v>
      </c>
      <c r="R339" s="5">
        <v>0</v>
      </c>
      <c r="S339" s="5">
        <v>64079.9</v>
      </c>
      <c r="T339" s="5">
        <v>0</v>
      </c>
      <c r="V339" s="5">
        <v>58468.800000000003</v>
      </c>
      <c r="W339" s="5">
        <v>0</v>
      </c>
      <c r="X339" s="5">
        <v>0</v>
      </c>
    </row>
    <row r="340" spans="1:24" ht="12.75" customHeight="1">
      <c r="A340" s="7"/>
      <c r="B340" s="5">
        <v>65433.5</v>
      </c>
      <c r="C340" s="5">
        <v>0</v>
      </c>
      <c r="D340" s="5">
        <v>50954.2</v>
      </c>
      <c r="E340" s="5">
        <v>0</v>
      </c>
      <c r="G340" s="5">
        <v>78532.800000000003</v>
      </c>
      <c r="H340" s="5">
        <v>26</v>
      </c>
      <c r="I340" s="5">
        <v>57647.8</v>
      </c>
      <c r="J340" s="5">
        <v>6</v>
      </c>
      <c r="L340" s="5">
        <v>74850.100000000006</v>
      </c>
      <c r="M340" s="5">
        <v>23</v>
      </c>
      <c r="N340" s="5">
        <v>79528.100000000006</v>
      </c>
      <c r="O340" s="5">
        <v>58</v>
      </c>
      <c r="Q340" s="5">
        <v>64955.9</v>
      </c>
      <c r="R340" s="5">
        <v>0</v>
      </c>
      <c r="S340" s="5">
        <v>83836.899999999994</v>
      </c>
      <c r="T340" s="5">
        <v>58</v>
      </c>
      <c r="V340" s="5">
        <v>47262.400000000001</v>
      </c>
      <c r="W340" s="5">
        <v>0</v>
      </c>
      <c r="X340" s="5">
        <v>1</v>
      </c>
    </row>
    <row r="341" spans="1:24" ht="12.75" customHeight="1">
      <c r="A341" s="7"/>
      <c r="B341" s="5">
        <v>87362.5</v>
      </c>
      <c r="C341" s="5">
        <v>42</v>
      </c>
      <c r="D341" s="5">
        <v>119510</v>
      </c>
      <c r="E341" s="5">
        <v>126</v>
      </c>
      <c r="G341" s="5">
        <v>115873</v>
      </c>
      <c r="H341" s="5">
        <v>102</v>
      </c>
      <c r="I341" s="5">
        <v>125886</v>
      </c>
      <c r="J341" s="5">
        <v>143</v>
      </c>
      <c r="L341" s="5">
        <v>93756.2</v>
      </c>
      <c r="M341" s="5">
        <v>59</v>
      </c>
      <c r="N341" s="5">
        <v>57962.1</v>
      </c>
      <c r="O341" s="5">
        <v>17</v>
      </c>
      <c r="Q341" s="5">
        <v>88247.1</v>
      </c>
      <c r="R341" s="5">
        <v>43</v>
      </c>
      <c r="S341" s="5">
        <v>64430.5</v>
      </c>
      <c r="T341" s="5">
        <v>8</v>
      </c>
      <c r="V341" s="5">
        <v>50865.5</v>
      </c>
      <c r="W341" s="5">
        <v>0</v>
      </c>
      <c r="X341" s="5">
        <v>0</v>
      </c>
    </row>
    <row r="342" spans="1:24" ht="12.75" customHeight="1">
      <c r="A342" s="7"/>
      <c r="B342" s="5">
        <v>65139.6</v>
      </c>
      <c r="C342" s="5">
        <v>0</v>
      </c>
      <c r="D342" s="5">
        <v>78963.100000000006</v>
      </c>
      <c r="E342" s="5">
        <v>42</v>
      </c>
      <c r="G342" s="5">
        <v>75585.3</v>
      </c>
      <c r="H342" s="5">
        <v>22</v>
      </c>
      <c r="I342" s="5">
        <v>60625.599999999999</v>
      </c>
      <c r="J342" s="5">
        <v>0</v>
      </c>
      <c r="L342" s="5">
        <v>71686.899999999994</v>
      </c>
      <c r="M342" s="5">
        <v>9</v>
      </c>
      <c r="N342" s="5">
        <v>51307.4</v>
      </c>
      <c r="O342" s="5">
        <v>3</v>
      </c>
      <c r="Q342" s="5">
        <v>66568.2</v>
      </c>
      <c r="R342" s="5">
        <v>0</v>
      </c>
      <c r="S342" s="5">
        <v>59635</v>
      </c>
      <c r="T342" s="5">
        <v>0</v>
      </c>
      <c r="V342" s="5">
        <v>49727.8</v>
      </c>
      <c r="W342" s="5">
        <v>0</v>
      </c>
      <c r="X342" s="5">
        <v>0</v>
      </c>
    </row>
    <row r="343" spans="1:24" ht="12.75" customHeight="1">
      <c r="A343" s="7"/>
      <c r="B343" s="5">
        <v>84176</v>
      </c>
      <c r="C343" s="5">
        <v>14</v>
      </c>
      <c r="D343" s="5">
        <v>134410</v>
      </c>
      <c r="E343" s="5">
        <v>125</v>
      </c>
      <c r="G343" s="5">
        <v>80864.7</v>
      </c>
      <c r="H343" s="5">
        <v>0</v>
      </c>
      <c r="I343" s="5">
        <v>64305.3</v>
      </c>
      <c r="J343" s="5">
        <v>1</v>
      </c>
      <c r="L343" s="5">
        <v>166019</v>
      </c>
      <c r="M343" s="5">
        <v>174</v>
      </c>
      <c r="N343" s="5">
        <v>94782.399999999994</v>
      </c>
      <c r="O343" s="5">
        <v>64</v>
      </c>
      <c r="Q343" s="5">
        <v>113465</v>
      </c>
      <c r="R343" s="5">
        <v>65</v>
      </c>
      <c r="S343" s="5">
        <v>100761</v>
      </c>
      <c r="T343" s="5">
        <v>71</v>
      </c>
      <c r="V343" s="5">
        <v>60739</v>
      </c>
      <c r="W343" s="5">
        <v>0</v>
      </c>
      <c r="X343" s="5">
        <v>1</v>
      </c>
    </row>
    <row r="344" spans="1:24" ht="12.75" customHeight="1">
      <c r="A344" s="7"/>
      <c r="B344" s="5">
        <v>74108.399999999994</v>
      </c>
      <c r="C344" s="5">
        <v>0</v>
      </c>
      <c r="D344" s="5">
        <v>73531.600000000006</v>
      </c>
      <c r="E344" s="5">
        <v>27</v>
      </c>
      <c r="G344" s="5">
        <v>72663.600000000006</v>
      </c>
      <c r="H344" s="5">
        <v>0</v>
      </c>
      <c r="I344" s="5">
        <v>65362.5</v>
      </c>
      <c r="J344" s="5">
        <v>0</v>
      </c>
      <c r="L344" s="5">
        <v>77575.600000000006</v>
      </c>
      <c r="M344" s="5">
        <v>3</v>
      </c>
      <c r="N344" s="5">
        <v>82315.199999999997</v>
      </c>
      <c r="O344" s="5">
        <v>49</v>
      </c>
      <c r="Q344" s="5">
        <v>72408.399999999994</v>
      </c>
      <c r="R344" s="5">
        <v>0</v>
      </c>
      <c r="S344" s="5">
        <v>62595.8</v>
      </c>
      <c r="T344" s="5">
        <v>0</v>
      </c>
      <c r="V344" s="5">
        <v>55224.4</v>
      </c>
      <c r="W344" s="5">
        <v>0</v>
      </c>
      <c r="X344" s="5">
        <v>0</v>
      </c>
    </row>
    <row r="345" spans="1:24" ht="12.75" customHeight="1">
      <c r="A345" s="7"/>
      <c r="B345" s="5">
        <v>98500.1</v>
      </c>
      <c r="C345" s="5">
        <v>48</v>
      </c>
      <c r="D345" s="5">
        <v>62982.7</v>
      </c>
      <c r="E345" s="5">
        <v>0</v>
      </c>
      <c r="G345" s="5">
        <v>72193.2</v>
      </c>
      <c r="H345" s="5">
        <v>0</v>
      </c>
      <c r="I345" s="5">
        <v>87426.3</v>
      </c>
      <c r="J345" s="5">
        <v>44</v>
      </c>
      <c r="L345" s="5">
        <v>72976.7</v>
      </c>
      <c r="M345" s="5">
        <v>0</v>
      </c>
      <c r="N345" s="5">
        <v>52875.3</v>
      </c>
      <c r="O345" s="5">
        <v>0</v>
      </c>
      <c r="Q345" s="5">
        <v>101348</v>
      </c>
      <c r="R345" s="5">
        <v>55</v>
      </c>
      <c r="S345" s="5">
        <v>110788</v>
      </c>
      <c r="T345" s="5">
        <v>96</v>
      </c>
      <c r="V345" s="5">
        <v>55012.1</v>
      </c>
      <c r="W345" s="5">
        <v>0</v>
      </c>
      <c r="X345" s="5">
        <v>0</v>
      </c>
    </row>
    <row r="346" spans="1:24" ht="12.75" customHeight="1">
      <c r="A346" s="7"/>
      <c r="B346" s="5">
        <v>59485.7</v>
      </c>
      <c r="C346" s="5">
        <v>0</v>
      </c>
      <c r="D346" s="5">
        <v>55722.2</v>
      </c>
      <c r="E346" s="5">
        <v>23</v>
      </c>
      <c r="G346" s="5">
        <v>60350.8</v>
      </c>
      <c r="H346" s="5">
        <v>3</v>
      </c>
      <c r="I346" s="5">
        <v>45466.9</v>
      </c>
      <c r="J346" s="5">
        <v>0</v>
      </c>
      <c r="L346" s="5">
        <v>58646.5</v>
      </c>
      <c r="M346" s="5">
        <v>0</v>
      </c>
      <c r="N346" s="5">
        <v>37701</v>
      </c>
      <c r="O346" s="5">
        <v>0</v>
      </c>
      <c r="Q346" s="5">
        <v>61764.2</v>
      </c>
      <c r="R346" s="5">
        <v>0</v>
      </c>
      <c r="S346" s="5">
        <v>51780.4</v>
      </c>
      <c r="T346" s="5">
        <v>0</v>
      </c>
      <c r="V346" s="5">
        <v>41999.7</v>
      </c>
      <c r="W346" s="5">
        <v>0</v>
      </c>
      <c r="X346" s="5">
        <v>1</v>
      </c>
    </row>
    <row r="347" spans="1:24" ht="12.75" customHeight="1">
      <c r="A347" s="7"/>
      <c r="B347" s="5">
        <v>86664.9</v>
      </c>
      <c r="C347" s="5">
        <v>0</v>
      </c>
      <c r="D347" s="5">
        <v>77279.3</v>
      </c>
      <c r="E347" s="5">
        <v>0</v>
      </c>
      <c r="G347" s="5">
        <v>89171.8</v>
      </c>
      <c r="H347" s="5">
        <v>0</v>
      </c>
      <c r="I347" s="5">
        <v>81843.199999999997</v>
      </c>
      <c r="J347" s="5">
        <v>0</v>
      </c>
      <c r="L347" s="5">
        <v>91151.2</v>
      </c>
      <c r="M347" s="5">
        <v>0</v>
      </c>
      <c r="N347" s="5">
        <v>75424.100000000006</v>
      </c>
      <c r="O347" s="5">
        <v>0</v>
      </c>
      <c r="Q347" s="5">
        <v>92136.4</v>
      </c>
      <c r="R347" s="5">
        <v>0</v>
      </c>
      <c r="S347" s="5">
        <v>77938.8</v>
      </c>
      <c r="T347" s="5">
        <v>0</v>
      </c>
      <c r="V347" s="5">
        <v>70792.5</v>
      </c>
      <c r="W347" s="5">
        <v>0</v>
      </c>
      <c r="X347" s="5">
        <v>0</v>
      </c>
    </row>
    <row r="348" spans="1:24" ht="12.75" customHeight="1">
      <c r="A348" s="7"/>
      <c r="B348" s="5">
        <v>70477.5</v>
      </c>
      <c r="C348" s="5">
        <v>0</v>
      </c>
      <c r="D348" s="5">
        <v>55234.5</v>
      </c>
      <c r="E348" s="5">
        <v>0</v>
      </c>
      <c r="G348" s="5">
        <v>83799</v>
      </c>
      <c r="H348" s="5">
        <v>20</v>
      </c>
      <c r="I348" s="5">
        <v>61510</v>
      </c>
      <c r="J348" s="5">
        <v>0</v>
      </c>
      <c r="L348" s="5">
        <v>71427.7</v>
      </c>
      <c r="M348" s="5">
        <v>0</v>
      </c>
      <c r="N348" s="5">
        <v>59321.599999999999</v>
      </c>
      <c r="O348" s="5">
        <v>14</v>
      </c>
      <c r="Q348" s="5">
        <v>79308</v>
      </c>
      <c r="R348" s="5">
        <v>0</v>
      </c>
      <c r="S348" s="5">
        <v>58408.800000000003</v>
      </c>
      <c r="T348" s="5">
        <v>0</v>
      </c>
      <c r="V348" s="5">
        <v>78574.399999999994</v>
      </c>
      <c r="W348" s="5">
        <v>52</v>
      </c>
      <c r="X348" s="5">
        <v>0</v>
      </c>
    </row>
    <row r="349" spans="1:24" ht="12.75" customHeight="1">
      <c r="A349" s="7"/>
      <c r="B349" s="5">
        <v>71015</v>
      </c>
      <c r="C349" s="5">
        <v>0</v>
      </c>
      <c r="D349" s="5">
        <v>116052</v>
      </c>
      <c r="E349" s="5">
        <v>114</v>
      </c>
      <c r="G349" s="5">
        <v>144069</v>
      </c>
      <c r="H349" s="5">
        <v>144</v>
      </c>
      <c r="I349" s="5">
        <v>61405</v>
      </c>
      <c r="J349" s="5">
        <v>0</v>
      </c>
      <c r="L349" s="5">
        <v>88044.1</v>
      </c>
      <c r="M349" s="5">
        <v>36</v>
      </c>
      <c r="N349" s="5">
        <v>78868.100000000006</v>
      </c>
      <c r="O349" s="5">
        <v>40</v>
      </c>
      <c r="Q349" s="5">
        <v>181132</v>
      </c>
      <c r="R349" s="5">
        <v>209</v>
      </c>
      <c r="S349" s="5">
        <v>83921.3</v>
      </c>
      <c r="T349" s="5">
        <v>43</v>
      </c>
      <c r="V349" s="5">
        <v>58972.3</v>
      </c>
      <c r="W349" s="5">
        <v>0</v>
      </c>
      <c r="X349" s="5">
        <v>1</v>
      </c>
    </row>
    <row r="350" spans="1:24" ht="12.75" customHeight="1">
      <c r="A350" s="7"/>
      <c r="B350" s="5">
        <v>110526</v>
      </c>
      <c r="C350" s="5">
        <v>94</v>
      </c>
      <c r="D350" s="5">
        <v>117256</v>
      </c>
      <c r="E350" s="5">
        <v>120</v>
      </c>
      <c r="G350" s="5">
        <v>89296.5</v>
      </c>
      <c r="H350" s="5">
        <v>53</v>
      </c>
      <c r="I350" s="5">
        <v>130744</v>
      </c>
      <c r="J350" s="5">
        <v>139</v>
      </c>
      <c r="L350" s="5">
        <v>124132</v>
      </c>
      <c r="M350" s="5">
        <v>116</v>
      </c>
      <c r="N350" s="5">
        <v>132835</v>
      </c>
      <c r="O350" s="5">
        <v>155</v>
      </c>
      <c r="Q350" s="5">
        <v>72336.800000000003</v>
      </c>
      <c r="R350" s="5">
        <v>9</v>
      </c>
      <c r="S350" s="5">
        <v>77136.3</v>
      </c>
      <c r="T350" s="5">
        <v>38</v>
      </c>
      <c r="V350" s="5">
        <v>59871.8</v>
      </c>
      <c r="W350" s="5">
        <v>9</v>
      </c>
      <c r="X350" s="5">
        <v>0</v>
      </c>
    </row>
    <row r="351" spans="1:24" ht="12.75" customHeight="1">
      <c r="A351" s="7"/>
      <c r="B351" s="5">
        <v>116066</v>
      </c>
      <c r="C351" s="5">
        <v>87</v>
      </c>
      <c r="D351" s="5">
        <v>122568</v>
      </c>
      <c r="E351" s="5">
        <v>125</v>
      </c>
      <c r="G351" s="5">
        <v>66268.800000000003</v>
      </c>
      <c r="H351" s="5">
        <v>0</v>
      </c>
      <c r="I351" s="5">
        <v>100764</v>
      </c>
      <c r="J351" s="5">
        <v>91</v>
      </c>
      <c r="L351" s="5">
        <v>97442.6</v>
      </c>
      <c r="M351" s="5">
        <v>54</v>
      </c>
      <c r="N351" s="5">
        <v>111526</v>
      </c>
      <c r="O351" s="5">
        <v>108</v>
      </c>
      <c r="Q351" s="5">
        <v>106288</v>
      </c>
      <c r="R351" s="5">
        <v>74</v>
      </c>
      <c r="S351" s="5">
        <v>112809</v>
      </c>
      <c r="T351" s="5">
        <v>102</v>
      </c>
      <c r="V351" s="5">
        <v>120977</v>
      </c>
      <c r="W351" s="5">
        <v>144</v>
      </c>
      <c r="X351" s="5">
        <v>1</v>
      </c>
    </row>
    <row r="352" spans="1:24" ht="12.75" customHeight="1">
      <c r="A352" s="7"/>
      <c r="B352" s="5">
        <v>92793</v>
      </c>
      <c r="C352" s="5">
        <v>13</v>
      </c>
      <c r="D352" s="5">
        <v>95892.9</v>
      </c>
      <c r="E352" s="5">
        <v>52</v>
      </c>
      <c r="G352" s="5">
        <v>137713</v>
      </c>
      <c r="H352" s="5">
        <v>107</v>
      </c>
      <c r="I352" s="5">
        <v>135307</v>
      </c>
      <c r="J352" s="5">
        <v>118</v>
      </c>
      <c r="L352" s="5">
        <v>93074.7</v>
      </c>
      <c r="M352" s="5">
        <v>11</v>
      </c>
      <c r="N352" s="5">
        <v>100841</v>
      </c>
      <c r="O352" s="5">
        <v>59</v>
      </c>
      <c r="Q352" s="5">
        <v>93395.199999999997</v>
      </c>
      <c r="R352" s="5">
        <v>28</v>
      </c>
      <c r="S352" s="5">
        <v>68364.7</v>
      </c>
      <c r="T352" s="5">
        <v>0</v>
      </c>
      <c r="V352" s="5">
        <v>69160.899999999994</v>
      </c>
      <c r="W352" s="5">
        <v>0</v>
      </c>
      <c r="X352" s="5">
        <v>0</v>
      </c>
    </row>
    <row r="353" spans="1:24" ht="12.75" customHeight="1">
      <c r="A353" s="7"/>
      <c r="B353" s="5">
        <v>87437.5</v>
      </c>
      <c r="C353" s="5">
        <v>32</v>
      </c>
      <c r="D353" s="5">
        <v>70448.5</v>
      </c>
      <c r="E353" s="5">
        <v>17</v>
      </c>
      <c r="G353" s="5">
        <v>71372.2</v>
      </c>
      <c r="H353" s="5">
        <v>0</v>
      </c>
      <c r="I353" s="5">
        <v>62255.1</v>
      </c>
      <c r="J353" s="5">
        <v>0</v>
      </c>
      <c r="L353" s="5">
        <v>74007.899999999994</v>
      </c>
      <c r="M353" s="5">
        <v>0</v>
      </c>
      <c r="N353" s="5">
        <v>64436.3</v>
      </c>
      <c r="O353" s="5">
        <v>0</v>
      </c>
      <c r="Q353" s="5">
        <v>75583</v>
      </c>
      <c r="R353" s="5">
        <v>0</v>
      </c>
      <c r="S353" s="5">
        <v>81863.8</v>
      </c>
      <c r="T353" s="5">
        <v>29</v>
      </c>
      <c r="V353" s="5">
        <v>52089.8</v>
      </c>
      <c r="W353" s="5">
        <v>0</v>
      </c>
      <c r="X353" s="5">
        <v>0</v>
      </c>
    </row>
    <row r="354" spans="1:24" ht="12.75" customHeight="1">
      <c r="A354" s="7"/>
      <c r="B354" s="5">
        <v>69748</v>
      </c>
      <c r="C354" s="5">
        <v>0</v>
      </c>
      <c r="D354" s="5">
        <v>89199.7</v>
      </c>
      <c r="E354" s="5">
        <v>52</v>
      </c>
      <c r="G354" s="5">
        <v>75550.100000000006</v>
      </c>
      <c r="H354" s="5">
        <v>0</v>
      </c>
      <c r="I354" s="5">
        <v>58475.199999999997</v>
      </c>
      <c r="J354" s="5">
        <v>0</v>
      </c>
      <c r="L354" s="5">
        <v>71146.899999999994</v>
      </c>
      <c r="M354" s="5">
        <v>0</v>
      </c>
      <c r="N354" s="5">
        <v>57888.5</v>
      </c>
      <c r="O354" s="5">
        <v>0</v>
      </c>
      <c r="Q354" s="5">
        <v>71326</v>
      </c>
      <c r="R354" s="5">
        <v>0</v>
      </c>
      <c r="S354" s="5">
        <v>65660.800000000003</v>
      </c>
      <c r="T354" s="5">
        <v>0</v>
      </c>
      <c r="V354" s="5">
        <v>58087.1</v>
      </c>
      <c r="W354" s="5">
        <v>0</v>
      </c>
      <c r="X354" s="5">
        <v>0</v>
      </c>
    </row>
    <row r="355" spans="1:24" ht="12.75" customHeight="1">
      <c r="A355" s="7"/>
      <c r="B355" s="5">
        <v>124935</v>
      </c>
      <c r="C355" s="5">
        <v>103</v>
      </c>
      <c r="D355" s="5">
        <v>133857</v>
      </c>
      <c r="E355" s="5">
        <v>156</v>
      </c>
      <c r="G355" s="5">
        <v>96098</v>
      </c>
      <c r="H355" s="5">
        <v>48</v>
      </c>
      <c r="I355" s="5">
        <v>70502</v>
      </c>
      <c r="J355" s="5">
        <v>30</v>
      </c>
      <c r="L355" s="5">
        <v>131646</v>
      </c>
      <c r="M355" s="5">
        <v>120</v>
      </c>
      <c r="N355" s="5">
        <v>117013</v>
      </c>
      <c r="O355" s="5">
        <v>122</v>
      </c>
      <c r="Q355" s="5">
        <v>113815</v>
      </c>
      <c r="R355" s="5">
        <v>82</v>
      </c>
      <c r="S355" s="5">
        <v>114251</v>
      </c>
      <c r="T355" s="5">
        <v>96</v>
      </c>
      <c r="V355" s="5">
        <v>56012.6</v>
      </c>
      <c r="W355" s="5">
        <v>7</v>
      </c>
      <c r="X355" s="5">
        <v>1</v>
      </c>
    </row>
    <row r="356" spans="1:24" ht="12.75" customHeight="1">
      <c r="A356" s="7"/>
      <c r="B356" s="5">
        <v>106233</v>
      </c>
      <c r="C356" s="5">
        <v>61</v>
      </c>
      <c r="D356" s="5">
        <v>72594.3</v>
      </c>
      <c r="E356" s="5">
        <v>21</v>
      </c>
      <c r="G356" s="5">
        <v>92272.3</v>
      </c>
      <c r="H356" s="5">
        <v>16</v>
      </c>
      <c r="I356" s="5">
        <v>70999.7</v>
      </c>
      <c r="J356" s="5">
        <v>0</v>
      </c>
      <c r="L356" s="5">
        <v>82971.8</v>
      </c>
      <c r="M356" s="5">
        <v>0</v>
      </c>
      <c r="N356" s="5">
        <v>61119.199999999997</v>
      </c>
      <c r="O356" s="5">
        <v>0</v>
      </c>
      <c r="Q356" s="5">
        <v>93176.5</v>
      </c>
      <c r="R356" s="5">
        <v>21</v>
      </c>
      <c r="S356" s="5">
        <v>66577.100000000006</v>
      </c>
      <c r="T356" s="5">
        <v>0</v>
      </c>
      <c r="V356" s="5">
        <v>72552.3</v>
      </c>
      <c r="W356" s="5">
        <v>26</v>
      </c>
      <c r="X356" s="5">
        <v>0</v>
      </c>
    </row>
    <row r="357" spans="1:24" ht="12.75" customHeight="1">
      <c r="A357" s="7"/>
      <c r="B357" s="5">
        <v>73142.7</v>
      </c>
      <c r="C357" s="5">
        <v>31</v>
      </c>
      <c r="D357" s="5">
        <v>49086.8</v>
      </c>
      <c r="E357" s="5">
        <v>14</v>
      </c>
      <c r="G357" s="5">
        <v>59680.2</v>
      </c>
      <c r="H357" s="5">
        <v>8</v>
      </c>
      <c r="I357" s="5">
        <v>67721.5</v>
      </c>
      <c r="J357" s="5">
        <v>55</v>
      </c>
      <c r="L357" s="5">
        <v>64665.4</v>
      </c>
      <c r="M357" s="5">
        <v>0</v>
      </c>
      <c r="N357" s="5">
        <v>49347.199999999997</v>
      </c>
      <c r="O357" s="5">
        <v>18</v>
      </c>
      <c r="Q357" s="5">
        <v>87627</v>
      </c>
      <c r="R357" s="5">
        <v>44</v>
      </c>
      <c r="S357" s="5">
        <v>50767.6</v>
      </c>
      <c r="T357" s="5">
        <v>0</v>
      </c>
      <c r="V357" s="5">
        <v>40738.9</v>
      </c>
      <c r="W357" s="5">
        <v>6</v>
      </c>
      <c r="X357" s="5">
        <v>1</v>
      </c>
    </row>
    <row r="358" spans="1:24" ht="12.75" customHeight="1">
      <c r="A358" s="7"/>
      <c r="B358" s="5">
        <v>150936</v>
      </c>
      <c r="C358" s="5">
        <v>139</v>
      </c>
      <c r="D358" s="5">
        <v>67016.2</v>
      </c>
      <c r="E358" s="5">
        <v>0</v>
      </c>
      <c r="G358" s="5">
        <v>106883</v>
      </c>
      <c r="H358" s="5">
        <v>55</v>
      </c>
      <c r="I358" s="5">
        <v>64047.1</v>
      </c>
      <c r="J358" s="5">
        <v>0</v>
      </c>
      <c r="L358" s="5">
        <v>106254</v>
      </c>
      <c r="M358" s="5">
        <v>58</v>
      </c>
      <c r="N358" s="5">
        <v>128606</v>
      </c>
      <c r="O358" s="5">
        <v>125</v>
      </c>
      <c r="Q358" s="5">
        <v>144538</v>
      </c>
      <c r="R358" s="5">
        <v>132</v>
      </c>
      <c r="S358" s="5">
        <v>128506</v>
      </c>
      <c r="T358" s="5">
        <v>125</v>
      </c>
      <c r="V358" s="5">
        <v>57601.599999999999</v>
      </c>
      <c r="W358" s="5">
        <v>0</v>
      </c>
      <c r="X358" s="5">
        <v>1</v>
      </c>
    </row>
    <row r="359" spans="1:24" ht="12.75" customHeight="1">
      <c r="A359" s="7"/>
      <c r="B359" s="5">
        <v>64517.7</v>
      </c>
      <c r="C359" s="5">
        <v>0</v>
      </c>
      <c r="D359" s="5">
        <v>60085</v>
      </c>
      <c r="E359" s="5">
        <v>0</v>
      </c>
      <c r="G359" s="5">
        <v>64600.800000000003</v>
      </c>
      <c r="H359" s="5">
        <v>0</v>
      </c>
      <c r="I359" s="5">
        <v>53166.8</v>
      </c>
      <c r="J359" s="5">
        <v>0</v>
      </c>
      <c r="L359" s="5">
        <v>65092.6</v>
      </c>
      <c r="M359" s="5">
        <v>0</v>
      </c>
      <c r="N359" s="5">
        <v>52125.3</v>
      </c>
      <c r="O359" s="5">
        <v>0</v>
      </c>
      <c r="Q359" s="5">
        <v>59278.9</v>
      </c>
      <c r="R359" s="5">
        <v>0</v>
      </c>
      <c r="S359" s="5">
        <v>56319.9</v>
      </c>
      <c r="T359" s="5">
        <v>0</v>
      </c>
      <c r="V359" s="5">
        <v>52051.7</v>
      </c>
      <c r="W359" s="5">
        <v>0</v>
      </c>
      <c r="X359" s="5">
        <v>0</v>
      </c>
    </row>
    <row r="360" spans="1:24" ht="12.75" customHeight="1">
      <c r="A360" s="7"/>
      <c r="B360" s="5">
        <v>82151.899999999994</v>
      </c>
      <c r="C360" s="5">
        <v>0</v>
      </c>
      <c r="D360" s="5">
        <v>80519.100000000006</v>
      </c>
      <c r="E360" s="5">
        <v>32</v>
      </c>
      <c r="G360" s="5">
        <v>98604.9</v>
      </c>
      <c r="H360" s="5">
        <v>42</v>
      </c>
      <c r="I360" s="5">
        <v>82334.5</v>
      </c>
      <c r="J360" s="5">
        <v>29</v>
      </c>
      <c r="L360" s="5">
        <v>124665</v>
      </c>
      <c r="M360" s="5">
        <v>86</v>
      </c>
      <c r="N360" s="5">
        <v>137151</v>
      </c>
      <c r="O360" s="5">
        <v>144</v>
      </c>
      <c r="Q360" s="5">
        <v>83270.2</v>
      </c>
      <c r="R360" s="5">
        <v>4</v>
      </c>
      <c r="S360" s="5">
        <v>88872.2</v>
      </c>
      <c r="T360" s="5">
        <v>33</v>
      </c>
      <c r="V360" s="5">
        <v>77392.899999999994</v>
      </c>
      <c r="W360" s="5">
        <v>30</v>
      </c>
      <c r="X360" s="5">
        <v>0</v>
      </c>
    </row>
    <row r="361" spans="1:24" ht="12.75" customHeight="1">
      <c r="A361" s="7"/>
      <c r="B361" s="5">
        <v>96269.4</v>
      </c>
      <c r="C361" s="5">
        <v>10</v>
      </c>
      <c r="D361" s="5">
        <v>138134</v>
      </c>
      <c r="E361" s="5">
        <v>124</v>
      </c>
      <c r="G361" s="5">
        <v>125792</v>
      </c>
      <c r="H361" s="5">
        <v>67</v>
      </c>
      <c r="I361" s="5">
        <v>76995.3</v>
      </c>
      <c r="J361" s="5">
        <v>0</v>
      </c>
      <c r="L361" s="5">
        <v>118271</v>
      </c>
      <c r="M361" s="5">
        <v>55</v>
      </c>
      <c r="N361" s="5">
        <v>95708.5</v>
      </c>
      <c r="O361" s="5">
        <v>36</v>
      </c>
      <c r="Q361" s="5">
        <v>146900</v>
      </c>
      <c r="R361" s="5">
        <v>116</v>
      </c>
      <c r="S361" s="5">
        <v>77237.2</v>
      </c>
      <c r="T361" s="5">
        <v>0</v>
      </c>
      <c r="V361" s="5">
        <v>78508.2</v>
      </c>
      <c r="W361" s="5">
        <v>0</v>
      </c>
      <c r="X361" s="5">
        <v>0</v>
      </c>
    </row>
    <row r="362" spans="1:24" ht="12.75" customHeight="1">
      <c r="A362" s="7"/>
      <c r="B362" s="5">
        <v>91126.5</v>
      </c>
      <c r="C362" s="5">
        <v>41</v>
      </c>
      <c r="D362" s="5">
        <v>65049.5</v>
      </c>
      <c r="E362" s="5">
        <v>9</v>
      </c>
      <c r="G362" s="5">
        <v>77465.600000000006</v>
      </c>
      <c r="H362" s="5">
        <v>13</v>
      </c>
      <c r="I362" s="5">
        <v>111832</v>
      </c>
      <c r="J362" s="5">
        <v>100</v>
      </c>
      <c r="L362" s="5">
        <v>134114</v>
      </c>
      <c r="M362" s="5">
        <v>120</v>
      </c>
      <c r="N362" s="5">
        <v>59035.9</v>
      </c>
      <c r="O362" s="5">
        <v>0</v>
      </c>
      <c r="Q362" s="5">
        <v>78203.3</v>
      </c>
      <c r="R362" s="5">
        <v>7</v>
      </c>
      <c r="S362" s="5">
        <v>100307</v>
      </c>
      <c r="T362" s="5">
        <v>70</v>
      </c>
      <c r="V362" s="5">
        <v>58671.3</v>
      </c>
      <c r="W362" s="5">
        <v>0</v>
      </c>
      <c r="X362" s="5">
        <v>1</v>
      </c>
    </row>
    <row r="363" spans="1:24" ht="12.75" customHeight="1">
      <c r="A363" s="7"/>
      <c r="B363" s="5">
        <v>121472</v>
      </c>
      <c r="C363" s="5">
        <v>95</v>
      </c>
      <c r="D363" s="5">
        <v>78661.5</v>
      </c>
      <c r="E363" s="5">
        <v>35</v>
      </c>
      <c r="G363" s="5">
        <v>127184</v>
      </c>
      <c r="H363" s="5">
        <v>100</v>
      </c>
      <c r="I363" s="5">
        <v>94416</v>
      </c>
      <c r="J363" s="5">
        <v>65</v>
      </c>
      <c r="L363" s="5">
        <v>163970</v>
      </c>
      <c r="M363" s="5">
        <v>179</v>
      </c>
      <c r="N363" s="5">
        <v>67183.8</v>
      </c>
      <c r="O363" s="5">
        <v>22</v>
      </c>
      <c r="Q363" s="5">
        <v>107009</v>
      </c>
      <c r="R363" s="5">
        <v>71</v>
      </c>
      <c r="S363" s="5">
        <v>109604</v>
      </c>
      <c r="T363" s="5">
        <v>84</v>
      </c>
      <c r="V363" s="5">
        <v>59256</v>
      </c>
      <c r="W363" s="5">
        <v>0</v>
      </c>
      <c r="X363" s="5">
        <v>0</v>
      </c>
    </row>
    <row r="364" spans="1:24" ht="12.75" customHeight="1">
      <c r="A364" s="7"/>
      <c r="B364" s="5">
        <v>66742.8</v>
      </c>
      <c r="C364" s="5">
        <v>0</v>
      </c>
      <c r="D364" s="5">
        <v>59786.2</v>
      </c>
      <c r="E364" s="5">
        <v>0</v>
      </c>
      <c r="G364" s="5">
        <v>65118.7</v>
      </c>
      <c r="H364" s="5">
        <v>0</v>
      </c>
      <c r="I364" s="5">
        <v>64051.4</v>
      </c>
      <c r="J364" s="5">
        <v>0</v>
      </c>
      <c r="L364" s="5">
        <v>72070.7</v>
      </c>
      <c r="M364" s="5">
        <v>0</v>
      </c>
      <c r="N364" s="5">
        <v>54183.1</v>
      </c>
      <c r="O364" s="5">
        <v>0</v>
      </c>
      <c r="Q364" s="5">
        <v>70231.399999999994</v>
      </c>
      <c r="R364" s="5">
        <v>0</v>
      </c>
      <c r="S364" s="5">
        <v>60951.7</v>
      </c>
      <c r="T364" s="5">
        <v>0</v>
      </c>
      <c r="V364" s="5">
        <v>51680.800000000003</v>
      </c>
      <c r="W364" s="5">
        <v>0</v>
      </c>
      <c r="X364" s="5">
        <v>0</v>
      </c>
    </row>
    <row r="365" spans="1:24" ht="12.75" customHeight="1">
      <c r="A365" s="7"/>
      <c r="B365" s="5">
        <v>80504.2</v>
      </c>
      <c r="C365" s="5">
        <v>34</v>
      </c>
      <c r="D365" s="5">
        <v>91000.2</v>
      </c>
      <c r="E365" s="5">
        <v>74</v>
      </c>
      <c r="G365" s="5">
        <v>66424.2</v>
      </c>
      <c r="H365" s="5">
        <v>12</v>
      </c>
      <c r="I365" s="5">
        <v>50877.2</v>
      </c>
      <c r="J365" s="5">
        <v>7</v>
      </c>
      <c r="L365" s="5">
        <v>90250.3</v>
      </c>
      <c r="M365" s="5">
        <v>64</v>
      </c>
      <c r="N365" s="5">
        <v>58524.2</v>
      </c>
      <c r="O365" s="5">
        <v>22</v>
      </c>
      <c r="Q365" s="5">
        <v>74000.5</v>
      </c>
      <c r="R365" s="5">
        <v>33</v>
      </c>
      <c r="S365" s="5">
        <v>74415.7</v>
      </c>
      <c r="T365" s="5">
        <v>50</v>
      </c>
      <c r="V365" s="5">
        <v>48057.7</v>
      </c>
      <c r="W365" s="5">
        <v>0</v>
      </c>
      <c r="X365" s="5">
        <v>1</v>
      </c>
    </row>
    <row r="366" spans="1:24" ht="12.75" customHeight="1">
      <c r="A366" s="7"/>
      <c r="B366" s="5">
        <v>88799.9</v>
      </c>
      <c r="C366" s="5">
        <v>0</v>
      </c>
      <c r="D366" s="5">
        <v>83963.9</v>
      </c>
      <c r="E366" s="5">
        <v>24</v>
      </c>
      <c r="G366" s="5">
        <v>86022.399999999994</v>
      </c>
      <c r="H366" s="5">
        <v>0</v>
      </c>
      <c r="I366" s="5">
        <v>76839.600000000006</v>
      </c>
      <c r="J366" s="5">
        <v>0</v>
      </c>
      <c r="L366" s="5">
        <v>88887</v>
      </c>
      <c r="M366" s="5">
        <v>0</v>
      </c>
      <c r="N366" s="5">
        <v>69289.600000000006</v>
      </c>
      <c r="O366" s="5">
        <v>0</v>
      </c>
      <c r="Q366" s="5">
        <v>89286.9</v>
      </c>
      <c r="R366" s="5">
        <v>0</v>
      </c>
      <c r="S366" s="5">
        <v>72555.199999999997</v>
      </c>
      <c r="T366" s="5">
        <v>0</v>
      </c>
      <c r="V366" s="5">
        <v>65833.7</v>
      </c>
      <c r="W366" s="5">
        <v>0</v>
      </c>
      <c r="X366" s="5">
        <v>0</v>
      </c>
    </row>
    <row r="367" spans="1:24" ht="12.75" customHeight="1">
      <c r="A367" s="7"/>
      <c r="B367" s="5">
        <v>77700.7</v>
      </c>
      <c r="C367" s="5">
        <v>0</v>
      </c>
      <c r="D367" s="5">
        <v>68750.399999999994</v>
      </c>
      <c r="E367" s="5">
        <v>0</v>
      </c>
      <c r="G367" s="5">
        <v>78274.5</v>
      </c>
      <c r="H367" s="5">
        <v>0</v>
      </c>
      <c r="I367" s="5">
        <v>68277.600000000006</v>
      </c>
      <c r="J367" s="5">
        <v>0</v>
      </c>
      <c r="L367" s="5">
        <v>125501</v>
      </c>
      <c r="M367" s="5">
        <v>92</v>
      </c>
      <c r="N367" s="5">
        <v>61929.8</v>
      </c>
      <c r="O367" s="5">
        <v>0</v>
      </c>
      <c r="Q367" s="5">
        <v>78830.5</v>
      </c>
      <c r="R367" s="5">
        <v>0</v>
      </c>
      <c r="S367" s="5">
        <v>68074.399999999994</v>
      </c>
      <c r="T367" s="5">
        <v>0</v>
      </c>
      <c r="V367" s="5">
        <v>60992.6</v>
      </c>
      <c r="W367" s="5">
        <v>0</v>
      </c>
      <c r="X367" s="5">
        <v>0</v>
      </c>
    </row>
    <row r="368" spans="1:24" ht="12.75" customHeight="1">
      <c r="A368" s="7"/>
      <c r="B368" s="5">
        <v>152418</v>
      </c>
      <c r="C368" s="5">
        <v>167</v>
      </c>
      <c r="D368" s="5">
        <v>82797.8</v>
      </c>
      <c r="E368" s="5">
        <v>57</v>
      </c>
      <c r="G368" s="5">
        <v>131720</v>
      </c>
      <c r="H368" s="5">
        <v>128</v>
      </c>
      <c r="I368" s="5">
        <v>81023.199999999997</v>
      </c>
      <c r="J368" s="5">
        <v>59</v>
      </c>
      <c r="L368" s="5">
        <v>90517.5</v>
      </c>
      <c r="M368" s="5">
        <v>43</v>
      </c>
      <c r="N368" s="5">
        <v>72807.899999999994</v>
      </c>
      <c r="O368" s="5">
        <v>36</v>
      </c>
      <c r="Q368" s="5">
        <v>67343.100000000006</v>
      </c>
      <c r="R368" s="5">
        <v>0</v>
      </c>
      <c r="S368" s="5">
        <v>84356.2</v>
      </c>
      <c r="T368" s="5">
        <v>56</v>
      </c>
      <c r="V368" s="5">
        <v>44821.4</v>
      </c>
      <c r="W368" s="5">
        <v>0</v>
      </c>
      <c r="X368" s="5">
        <v>1</v>
      </c>
    </row>
    <row r="369" spans="1:24" ht="12.75" customHeight="1">
      <c r="A369" s="7"/>
      <c r="B369" s="5">
        <v>146482</v>
      </c>
      <c r="C369" s="5">
        <v>112</v>
      </c>
      <c r="D369" s="5">
        <v>80389.399999999994</v>
      </c>
      <c r="E369" s="5">
        <v>18</v>
      </c>
      <c r="G369" s="5">
        <v>88999</v>
      </c>
      <c r="H369" s="5">
        <v>0</v>
      </c>
      <c r="I369" s="5">
        <v>84603.1</v>
      </c>
      <c r="J369" s="5">
        <v>1</v>
      </c>
      <c r="L369" s="5">
        <v>90819</v>
      </c>
      <c r="M369" s="5">
        <v>0</v>
      </c>
      <c r="N369" s="5">
        <v>115420</v>
      </c>
      <c r="O369" s="5">
        <v>89</v>
      </c>
      <c r="Q369" s="5">
        <v>91581.7</v>
      </c>
      <c r="R369" s="5">
        <v>0</v>
      </c>
      <c r="S369" s="5">
        <v>123076</v>
      </c>
      <c r="T369" s="5">
        <v>88</v>
      </c>
      <c r="V369" s="5">
        <v>68545.100000000006</v>
      </c>
      <c r="W369" s="5">
        <v>0</v>
      </c>
      <c r="X369" s="5">
        <v>0</v>
      </c>
    </row>
    <row r="370" spans="1:24" ht="12.75" customHeight="1">
      <c r="A370" s="7"/>
      <c r="B370" s="5">
        <v>135305</v>
      </c>
      <c r="C370" s="5">
        <v>143</v>
      </c>
      <c r="D370" s="5">
        <v>128051</v>
      </c>
      <c r="E370" s="5">
        <v>154</v>
      </c>
      <c r="G370" s="5">
        <v>87980.7</v>
      </c>
      <c r="H370" s="5">
        <v>45</v>
      </c>
      <c r="I370" s="5">
        <v>78378.3</v>
      </c>
      <c r="J370" s="5">
        <v>56</v>
      </c>
      <c r="L370" s="5">
        <v>154103</v>
      </c>
      <c r="M370" s="5">
        <v>189</v>
      </c>
      <c r="N370" s="5">
        <v>100768</v>
      </c>
      <c r="O370" s="5">
        <v>102</v>
      </c>
      <c r="Q370" s="5">
        <v>106300</v>
      </c>
      <c r="R370" s="5">
        <v>84</v>
      </c>
      <c r="S370" s="5">
        <v>53219.3</v>
      </c>
      <c r="T370" s="5">
        <v>0</v>
      </c>
      <c r="V370" s="5">
        <v>50423.199999999997</v>
      </c>
      <c r="W370" s="5">
        <v>0</v>
      </c>
      <c r="X370" s="5">
        <v>0</v>
      </c>
    </row>
    <row r="371" spans="1:24" ht="12.75" customHeight="1">
      <c r="A371" s="7"/>
      <c r="B371" s="5">
        <v>77944.100000000006</v>
      </c>
      <c r="C371" s="5">
        <v>4</v>
      </c>
      <c r="D371" s="5">
        <v>99828.2</v>
      </c>
      <c r="E371" s="5">
        <v>76</v>
      </c>
      <c r="G371" s="5">
        <v>141452</v>
      </c>
      <c r="H371" s="5">
        <v>126</v>
      </c>
      <c r="I371" s="5">
        <v>67769</v>
      </c>
      <c r="J371" s="5">
        <v>17</v>
      </c>
      <c r="L371" s="5">
        <v>80612.2</v>
      </c>
      <c r="M371" s="5">
        <v>3</v>
      </c>
      <c r="N371" s="5">
        <v>79871.8</v>
      </c>
      <c r="O371" s="5">
        <v>40</v>
      </c>
      <c r="Q371" s="5">
        <v>109208</v>
      </c>
      <c r="R371" s="5">
        <v>70</v>
      </c>
      <c r="S371" s="5">
        <v>74139.5</v>
      </c>
      <c r="T371" s="5">
        <v>15</v>
      </c>
      <c r="V371" s="5">
        <v>52199.7</v>
      </c>
      <c r="W371" s="5">
        <v>0</v>
      </c>
      <c r="X371" s="5">
        <v>1</v>
      </c>
    </row>
    <row r="372" spans="1:24" ht="12.75" customHeight="1">
      <c r="A372" s="7"/>
      <c r="B372" s="5">
        <v>55371.9</v>
      </c>
      <c r="C372" s="5">
        <v>0</v>
      </c>
      <c r="D372" s="5">
        <v>43663</v>
      </c>
      <c r="E372" s="5">
        <v>0</v>
      </c>
      <c r="G372" s="5">
        <v>59063.5</v>
      </c>
      <c r="H372" s="5">
        <v>0</v>
      </c>
      <c r="I372" s="5">
        <v>43986</v>
      </c>
      <c r="J372" s="5">
        <v>0</v>
      </c>
      <c r="L372" s="5">
        <v>57536.9</v>
      </c>
      <c r="M372" s="5">
        <v>0</v>
      </c>
      <c r="N372" s="5">
        <v>40077.4</v>
      </c>
      <c r="O372" s="5">
        <v>0</v>
      </c>
      <c r="Q372" s="5">
        <v>52755.199999999997</v>
      </c>
      <c r="R372" s="5">
        <v>0</v>
      </c>
      <c r="S372" s="5">
        <v>45546.2</v>
      </c>
      <c r="T372" s="5">
        <v>0</v>
      </c>
      <c r="V372" s="5">
        <v>39978</v>
      </c>
      <c r="W372" s="5">
        <v>0</v>
      </c>
      <c r="X372" s="5">
        <v>0</v>
      </c>
    </row>
    <row r="373" spans="1:24" ht="12.75" customHeight="1">
      <c r="A373" s="7"/>
      <c r="B373" s="5">
        <v>78012.800000000003</v>
      </c>
      <c r="C373" s="5">
        <v>26</v>
      </c>
      <c r="D373" s="5">
        <v>49601.9</v>
      </c>
      <c r="E373" s="5">
        <v>0</v>
      </c>
      <c r="G373" s="5">
        <v>67988.600000000006</v>
      </c>
      <c r="H373" s="5">
        <v>0</v>
      </c>
      <c r="I373" s="5">
        <v>61307.7</v>
      </c>
      <c r="J373" s="5">
        <v>13</v>
      </c>
      <c r="L373" s="5">
        <v>63098.400000000001</v>
      </c>
      <c r="M373" s="5">
        <v>7</v>
      </c>
      <c r="N373" s="5">
        <v>53469.3</v>
      </c>
      <c r="O373" s="5">
        <v>0</v>
      </c>
      <c r="Q373" s="5">
        <v>72095.5</v>
      </c>
      <c r="R373" s="5">
        <v>9</v>
      </c>
      <c r="S373" s="5">
        <v>89851.5</v>
      </c>
      <c r="T373" s="5">
        <v>68</v>
      </c>
      <c r="V373" s="5">
        <v>52152.1</v>
      </c>
      <c r="W373" s="5">
        <v>0</v>
      </c>
      <c r="X373" s="5">
        <v>0</v>
      </c>
    </row>
    <row r="374" spans="1:24" ht="12.75" customHeight="1">
      <c r="A374" s="7"/>
      <c r="B374" s="5">
        <v>75405.5</v>
      </c>
      <c r="C374" s="5">
        <v>0</v>
      </c>
      <c r="D374" s="5">
        <v>61293</v>
      </c>
      <c r="E374" s="5">
        <v>0</v>
      </c>
      <c r="G374" s="5">
        <v>77075</v>
      </c>
      <c r="H374" s="5">
        <v>0</v>
      </c>
      <c r="I374" s="5">
        <v>64187.7</v>
      </c>
      <c r="J374" s="5">
        <v>0</v>
      </c>
      <c r="L374" s="5">
        <v>75524.600000000006</v>
      </c>
      <c r="M374" s="5">
        <v>0</v>
      </c>
      <c r="N374" s="5">
        <v>57388.1</v>
      </c>
      <c r="O374" s="5">
        <v>0</v>
      </c>
      <c r="Q374" s="5">
        <v>75405.100000000006</v>
      </c>
      <c r="R374" s="5">
        <v>0</v>
      </c>
      <c r="S374" s="5">
        <v>64882</v>
      </c>
      <c r="T374" s="5">
        <v>0</v>
      </c>
      <c r="V374" s="5">
        <v>58282.6</v>
      </c>
      <c r="W374" s="5">
        <v>0</v>
      </c>
      <c r="X374" s="5">
        <v>1</v>
      </c>
    </row>
    <row r="375" spans="1:24" ht="12.75" customHeight="1">
      <c r="A375" s="7"/>
      <c r="B375" s="5">
        <v>73646.8</v>
      </c>
      <c r="C375" s="5">
        <v>0</v>
      </c>
      <c r="D375" s="5">
        <v>64604.6</v>
      </c>
      <c r="E375" s="5">
        <v>0</v>
      </c>
      <c r="G375" s="5">
        <v>80871.8</v>
      </c>
      <c r="H375" s="5">
        <v>0</v>
      </c>
      <c r="I375" s="5">
        <v>62851.9</v>
      </c>
      <c r="J375" s="5">
        <v>0</v>
      </c>
      <c r="L375" s="5">
        <v>78815.100000000006</v>
      </c>
      <c r="M375" s="5">
        <v>0</v>
      </c>
      <c r="N375" s="5">
        <v>66765.2</v>
      </c>
      <c r="O375" s="5">
        <v>0</v>
      </c>
      <c r="Q375" s="5">
        <v>79967.100000000006</v>
      </c>
      <c r="R375" s="5">
        <v>0</v>
      </c>
      <c r="S375" s="5">
        <v>72133.2</v>
      </c>
      <c r="T375" s="5">
        <v>0</v>
      </c>
      <c r="V375" s="5">
        <v>65371.5</v>
      </c>
      <c r="W375" s="5">
        <v>0</v>
      </c>
      <c r="X375" s="5">
        <v>0</v>
      </c>
    </row>
    <row r="376" spans="1:24" ht="12.75" customHeight="1">
      <c r="A376" s="7"/>
      <c r="B376" s="5">
        <v>108364</v>
      </c>
      <c r="C376" s="5">
        <v>79</v>
      </c>
      <c r="D376" s="5">
        <v>102425</v>
      </c>
      <c r="E376" s="5">
        <v>95</v>
      </c>
      <c r="G376" s="5">
        <v>115013</v>
      </c>
      <c r="H376" s="5">
        <v>94</v>
      </c>
      <c r="I376" s="5">
        <v>112926</v>
      </c>
      <c r="J376" s="5">
        <v>116</v>
      </c>
      <c r="L376" s="5">
        <v>109266</v>
      </c>
      <c r="M376" s="5">
        <v>84</v>
      </c>
      <c r="N376" s="5">
        <v>88403.199999999997</v>
      </c>
      <c r="O376" s="5">
        <v>83</v>
      </c>
      <c r="Q376" s="5">
        <v>123991</v>
      </c>
      <c r="R376" s="5">
        <v>106</v>
      </c>
      <c r="S376" s="5">
        <v>97054</v>
      </c>
      <c r="T376" s="5">
        <v>76</v>
      </c>
      <c r="V376" s="5">
        <v>51076.2</v>
      </c>
      <c r="W376" s="5">
        <v>0</v>
      </c>
      <c r="X376" s="5">
        <v>0</v>
      </c>
    </row>
    <row r="377" spans="1:24" ht="12.75" customHeight="1">
      <c r="A377" s="7"/>
      <c r="B377" s="5">
        <v>80962</v>
      </c>
      <c r="C377" s="5">
        <v>12</v>
      </c>
      <c r="D377" s="5">
        <v>157108</v>
      </c>
      <c r="E377" s="5">
        <v>176</v>
      </c>
      <c r="G377" s="5">
        <v>76465.899999999994</v>
      </c>
      <c r="H377" s="5">
        <v>0</v>
      </c>
      <c r="I377" s="5">
        <v>62066.6</v>
      </c>
      <c r="J377" s="5">
        <v>0</v>
      </c>
      <c r="L377" s="5">
        <v>127513</v>
      </c>
      <c r="M377" s="5">
        <v>101</v>
      </c>
      <c r="N377" s="5">
        <v>84676.6</v>
      </c>
      <c r="O377" s="5">
        <v>41</v>
      </c>
      <c r="Q377" s="5">
        <v>77007.100000000006</v>
      </c>
      <c r="R377" s="5">
        <v>0</v>
      </c>
      <c r="S377" s="5">
        <v>65126</v>
      </c>
      <c r="T377" s="5">
        <v>0</v>
      </c>
      <c r="V377" s="5">
        <v>58970.2</v>
      </c>
      <c r="W377" s="5">
        <v>0</v>
      </c>
      <c r="X377" s="5">
        <v>1</v>
      </c>
    </row>
    <row r="378" spans="1:24" ht="12.75" customHeight="1">
      <c r="A378" s="7"/>
      <c r="B378" s="5">
        <v>64878.3</v>
      </c>
      <c r="C378" s="5">
        <v>0</v>
      </c>
      <c r="D378" s="5">
        <v>53036.800000000003</v>
      </c>
      <c r="E378" s="5">
        <v>7</v>
      </c>
      <c r="G378" s="5">
        <v>75338.899999999994</v>
      </c>
      <c r="H378" s="5">
        <v>12</v>
      </c>
      <c r="I378" s="5">
        <v>56404.3</v>
      </c>
      <c r="J378" s="5">
        <v>0</v>
      </c>
      <c r="L378" s="5">
        <v>66681.2</v>
      </c>
      <c r="M378" s="5">
        <v>0</v>
      </c>
      <c r="N378" s="5">
        <v>58262.7</v>
      </c>
      <c r="O378" s="5">
        <v>18</v>
      </c>
      <c r="Q378" s="5">
        <v>77270.5</v>
      </c>
      <c r="R378" s="5">
        <v>23</v>
      </c>
      <c r="S378" s="5">
        <v>55089</v>
      </c>
      <c r="T378" s="5">
        <v>0</v>
      </c>
      <c r="V378" s="5">
        <v>47948.7</v>
      </c>
      <c r="W378" s="5">
        <v>0</v>
      </c>
      <c r="X378" s="5">
        <v>0</v>
      </c>
    </row>
    <row r="379" spans="1:24" ht="12.75" customHeight="1">
      <c r="A379" s="7"/>
      <c r="B379" s="5">
        <v>63320.6</v>
      </c>
      <c r="C379" s="5">
        <v>0</v>
      </c>
      <c r="D379" s="5">
        <v>52450.5</v>
      </c>
      <c r="E379" s="5">
        <v>12</v>
      </c>
      <c r="G379" s="5">
        <v>63586.9</v>
      </c>
      <c r="H379" s="5">
        <v>0</v>
      </c>
      <c r="I379" s="5">
        <v>47336.800000000003</v>
      </c>
      <c r="J379" s="5">
        <v>0</v>
      </c>
      <c r="L379" s="5">
        <v>76668.899999999994</v>
      </c>
      <c r="M379" s="5">
        <v>25</v>
      </c>
      <c r="N379" s="5">
        <v>48781.2</v>
      </c>
      <c r="O379" s="5">
        <v>0</v>
      </c>
      <c r="Q379" s="5">
        <v>76448.100000000006</v>
      </c>
      <c r="R379" s="5">
        <v>36</v>
      </c>
      <c r="S379" s="5">
        <v>61140.3</v>
      </c>
      <c r="T379" s="5">
        <v>0</v>
      </c>
      <c r="V379" s="5">
        <v>67765.399999999994</v>
      </c>
      <c r="W379" s="5">
        <v>42</v>
      </c>
      <c r="X379" s="5">
        <v>1</v>
      </c>
    </row>
    <row r="380" spans="1:24" ht="12.75" customHeight="1">
      <c r="A380" s="7"/>
      <c r="B380" s="5">
        <v>69625.5</v>
      </c>
      <c r="C380" s="5">
        <v>23</v>
      </c>
      <c r="D380" s="5">
        <v>53884.800000000003</v>
      </c>
      <c r="E380" s="5">
        <v>16</v>
      </c>
      <c r="G380" s="5">
        <v>64729.3</v>
      </c>
      <c r="H380" s="5">
        <v>4</v>
      </c>
      <c r="I380" s="5">
        <v>65675.7</v>
      </c>
      <c r="J380" s="5">
        <v>40</v>
      </c>
      <c r="L380" s="5">
        <v>69875</v>
      </c>
      <c r="M380" s="5">
        <v>18</v>
      </c>
      <c r="N380" s="5">
        <v>90905.600000000006</v>
      </c>
      <c r="O380" s="5">
        <v>90</v>
      </c>
      <c r="Q380" s="5">
        <v>62176.800000000003</v>
      </c>
      <c r="R380" s="5">
        <v>6</v>
      </c>
      <c r="S380" s="5">
        <v>85885.2</v>
      </c>
      <c r="T380" s="5">
        <v>63</v>
      </c>
      <c r="V380" s="5">
        <v>77384.600000000006</v>
      </c>
      <c r="W380" s="5">
        <v>69</v>
      </c>
      <c r="X380" s="5">
        <v>0</v>
      </c>
    </row>
    <row r="381" spans="1:24" ht="12.75" customHeight="1">
      <c r="A381" s="7"/>
      <c r="B381" s="5">
        <v>87959.9</v>
      </c>
      <c r="C381" s="5">
        <v>20</v>
      </c>
      <c r="D381" s="5">
        <v>71576.2</v>
      </c>
      <c r="E381" s="5">
        <v>0</v>
      </c>
      <c r="G381" s="5">
        <v>116304</v>
      </c>
      <c r="H381" s="5">
        <v>76</v>
      </c>
      <c r="I381" s="5">
        <v>85234.8</v>
      </c>
      <c r="J381" s="5">
        <v>27</v>
      </c>
      <c r="L381" s="5">
        <v>135712</v>
      </c>
      <c r="M381" s="5">
        <v>109</v>
      </c>
      <c r="N381" s="5">
        <v>102628</v>
      </c>
      <c r="O381" s="5">
        <v>91</v>
      </c>
      <c r="Q381" s="5">
        <v>84874.5</v>
      </c>
      <c r="R381" s="5">
        <v>29</v>
      </c>
      <c r="S381" s="5">
        <v>139949</v>
      </c>
      <c r="T381" s="5">
        <v>138</v>
      </c>
      <c r="V381" s="5">
        <v>55593.5</v>
      </c>
      <c r="W381" s="5">
        <v>0</v>
      </c>
      <c r="X381" s="5">
        <v>0</v>
      </c>
    </row>
    <row r="382" spans="1:24" ht="12.75" customHeight="1">
      <c r="A382" s="7"/>
      <c r="B382" s="5">
        <v>115415</v>
      </c>
      <c r="C382" s="5">
        <v>84</v>
      </c>
      <c r="D382" s="5">
        <v>66277.8</v>
      </c>
      <c r="E382" s="5">
        <v>0</v>
      </c>
      <c r="G382" s="5">
        <v>76595.899999999994</v>
      </c>
      <c r="H382" s="5">
        <v>0</v>
      </c>
      <c r="I382" s="5">
        <v>65054</v>
      </c>
      <c r="J382" s="5">
        <v>5</v>
      </c>
      <c r="L382" s="5">
        <v>85008.7</v>
      </c>
      <c r="M382" s="5">
        <v>24</v>
      </c>
      <c r="N382" s="5">
        <v>91036</v>
      </c>
      <c r="O382" s="5">
        <v>57</v>
      </c>
      <c r="Q382" s="5">
        <v>90202.5</v>
      </c>
      <c r="R382" s="5">
        <v>28</v>
      </c>
      <c r="S382" s="5">
        <v>73982.399999999994</v>
      </c>
      <c r="T382" s="5">
        <v>21</v>
      </c>
      <c r="V382" s="5">
        <v>49924.6</v>
      </c>
      <c r="W382" s="5">
        <v>0</v>
      </c>
      <c r="X382" s="5">
        <v>1</v>
      </c>
    </row>
    <row r="383" spans="1:24" ht="12.75" customHeight="1">
      <c r="A383" s="7"/>
      <c r="B383" s="5">
        <v>122430</v>
      </c>
      <c r="C383" s="5">
        <v>83</v>
      </c>
      <c r="D383" s="5">
        <v>87776.5</v>
      </c>
      <c r="E383" s="5">
        <v>43</v>
      </c>
      <c r="G383" s="5">
        <v>82283.899999999994</v>
      </c>
      <c r="H383" s="5">
        <v>0</v>
      </c>
      <c r="I383" s="5">
        <v>130961</v>
      </c>
      <c r="J383" s="5">
        <v>113</v>
      </c>
      <c r="L383" s="5">
        <v>76422</v>
      </c>
      <c r="M383" s="5">
        <v>0</v>
      </c>
      <c r="N383" s="5">
        <v>100249</v>
      </c>
      <c r="O383" s="5">
        <v>70</v>
      </c>
      <c r="Q383" s="5">
        <v>95645.5</v>
      </c>
      <c r="R383" s="5">
        <v>23</v>
      </c>
      <c r="S383" s="5">
        <v>87731.199999999997</v>
      </c>
      <c r="T383" s="5">
        <v>25</v>
      </c>
      <c r="V383" s="5">
        <v>87110.6</v>
      </c>
      <c r="W383" s="5">
        <v>42</v>
      </c>
      <c r="X383" s="5">
        <v>1</v>
      </c>
    </row>
    <row r="384" spans="1:24" ht="12.75" customHeight="1">
      <c r="A384" s="7"/>
      <c r="B384" s="5">
        <v>76106.100000000006</v>
      </c>
      <c r="C384" s="5">
        <v>0</v>
      </c>
      <c r="D384" s="5">
        <v>54718.9</v>
      </c>
      <c r="E384" s="5">
        <v>0</v>
      </c>
      <c r="G384" s="5">
        <v>77312.600000000006</v>
      </c>
      <c r="H384" s="5">
        <v>0</v>
      </c>
      <c r="I384" s="5">
        <v>66982.5</v>
      </c>
      <c r="J384" s="5">
        <v>2</v>
      </c>
      <c r="L384" s="5">
        <v>88447.8</v>
      </c>
      <c r="M384" s="5">
        <v>25</v>
      </c>
      <c r="N384" s="5">
        <v>65257.599999999999</v>
      </c>
      <c r="O384" s="5">
        <v>0</v>
      </c>
      <c r="Q384" s="5">
        <v>74625.399999999994</v>
      </c>
      <c r="R384" s="5">
        <v>5</v>
      </c>
      <c r="S384" s="5">
        <v>76448.5</v>
      </c>
      <c r="T384" s="5">
        <v>7</v>
      </c>
      <c r="V384" s="5">
        <v>57831.5</v>
      </c>
      <c r="W384" s="5">
        <v>0</v>
      </c>
      <c r="X384" s="5">
        <v>0</v>
      </c>
    </row>
    <row r="385" spans="1:24" ht="12.75" customHeight="1">
      <c r="A385" s="7"/>
      <c r="B385" s="5">
        <v>102024</v>
      </c>
      <c r="C385" s="5">
        <v>49</v>
      </c>
      <c r="D385" s="5">
        <v>89369.9</v>
      </c>
      <c r="E385" s="5">
        <v>49</v>
      </c>
      <c r="G385" s="5">
        <v>87336.5</v>
      </c>
      <c r="H385" s="5">
        <v>24</v>
      </c>
      <c r="I385" s="5">
        <v>84179.4</v>
      </c>
      <c r="J385" s="5">
        <v>54</v>
      </c>
      <c r="L385" s="5">
        <v>115409</v>
      </c>
      <c r="M385" s="5">
        <v>84</v>
      </c>
      <c r="N385" s="5">
        <v>107413</v>
      </c>
      <c r="O385" s="5">
        <v>102</v>
      </c>
      <c r="Q385" s="5">
        <v>134644</v>
      </c>
      <c r="R385" s="5">
        <v>118</v>
      </c>
      <c r="S385" s="5">
        <v>163037</v>
      </c>
      <c r="T385" s="5">
        <v>189</v>
      </c>
      <c r="V385" s="5">
        <v>87799.6</v>
      </c>
      <c r="W385" s="5">
        <v>55</v>
      </c>
      <c r="X385" s="5">
        <v>1</v>
      </c>
    </row>
    <row r="386" spans="1:24" ht="12.75" customHeight="1">
      <c r="A386" s="7"/>
      <c r="B386" s="5">
        <v>106157</v>
      </c>
      <c r="C386" s="5">
        <v>88</v>
      </c>
      <c r="D386" s="5">
        <v>104958</v>
      </c>
      <c r="E386" s="5">
        <v>115</v>
      </c>
      <c r="G386" s="5">
        <v>116727</v>
      </c>
      <c r="H386" s="5">
        <v>109</v>
      </c>
      <c r="I386" s="5">
        <v>124081</v>
      </c>
      <c r="J386" s="5">
        <v>137</v>
      </c>
      <c r="L386" s="5">
        <v>123984</v>
      </c>
      <c r="M386" s="5">
        <v>129</v>
      </c>
      <c r="N386" s="5">
        <v>111394</v>
      </c>
      <c r="O386" s="5">
        <v>125</v>
      </c>
      <c r="Q386" s="5">
        <v>96186.6</v>
      </c>
      <c r="R386" s="5">
        <v>72</v>
      </c>
      <c r="S386" s="5">
        <v>91601.7</v>
      </c>
      <c r="T386" s="5">
        <v>74</v>
      </c>
      <c r="V386" s="5">
        <v>62154.2</v>
      </c>
      <c r="W386" s="5">
        <v>35</v>
      </c>
      <c r="X386" s="5">
        <v>0</v>
      </c>
    </row>
    <row r="387" spans="1:24" ht="12.75" customHeight="1">
      <c r="A387" s="7"/>
      <c r="B387" s="5">
        <v>68264.899999999994</v>
      </c>
      <c r="C387" s="5">
        <v>0</v>
      </c>
      <c r="D387" s="5">
        <v>115301</v>
      </c>
      <c r="E387" s="5">
        <v>119</v>
      </c>
      <c r="G387" s="5">
        <v>102329</v>
      </c>
      <c r="H387" s="5">
        <v>70</v>
      </c>
      <c r="I387" s="5">
        <v>71814.5</v>
      </c>
      <c r="J387" s="5">
        <v>41</v>
      </c>
      <c r="L387" s="5">
        <v>98385.1</v>
      </c>
      <c r="M387" s="5">
        <v>62</v>
      </c>
      <c r="N387" s="5">
        <v>84963.6</v>
      </c>
      <c r="O387" s="5">
        <v>66</v>
      </c>
      <c r="Q387" s="5">
        <v>72022.7</v>
      </c>
      <c r="R387" s="5">
        <v>0</v>
      </c>
      <c r="S387" s="5">
        <v>58409.5</v>
      </c>
      <c r="T387" s="5">
        <v>0</v>
      </c>
      <c r="V387" s="5">
        <v>52110.8</v>
      </c>
      <c r="W387" s="5">
        <v>6</v>
      </c>
      <c r="X387" s="5">
        <v>1</v>
      </c>
    </row>
    <row r="388" spans="1:24" ht="12.75" customHeight="1">
      <c r="A388" s="7"/>
      <c r="B388" s="5">
        <v>104818</v>
      </c>
      <c r="C388" s="5">
        <v>65</v>
      </c>
      <c r="D388" s="5">
        <v>82054.8</v>
      </c>
      <c r="E388" s="5">
        <v>49</v>
      </c>
      <c r="G388" s="5">
        <v>98311.7</v>
      </c>
      <c r="H388" s="5">
        <v>58</v>
      </c>
      <c r="I388" s="5">
        <v>104438</v>
      </c>
      <c r="J388" s="5">
        <v>87</v>
      </c>
      <c r="L388" s="5">
        <v>95616.8</v>
      </c>
      <c r="M388" s="5">
        <v>45</v>
      </c>
      <c r="N388" s="5">
        <v>76930.2</v>
      </c>
      <c r="O388" s="5">
        <v>40</v>
      </c>
      <c r="Q388" s="5">
        <v>95758.9</v>
      </c>
      <c r="R388" s="5">
        <v>40</v>
      </c>
      <c r="S388" s="5">
        <v>98531.7</v>
      </c>
      <c r="T388" s="5">
        <v>58</v>
      </c>
      <c r="V388" s="5">
        <v>62440.5</v>
      </c>
      <c r="W388" s="5">
        <v>18</v>
      </c>
      <c r="X388" s="5">
        <v>0</v>
      </c>
    </row>
    <row r="389" spans="1:24" ht="12.75" customHeight="1">
      <c r="A389" s="7"/>
      <c r="B389" s="5">
        <v>82996.800000000003</v>
      </c>
      <c r="C389" s="5">
        <v>13</v>
      </c>
      <c r="D389" s="5">
        <v>92423.5</v>
      </c>
      <c r="E389" s="5">
        <v>65</v>
      </c>
      <c r="G389" s="5">
        <v>91642.7</v>
      </c>
      <c r="H389" s="5">
        <v>38</v>
      </c>
      <c r="I389" s="5">
        <v>60885.599999999999</v>
      </c>
      <c r="J389" s="5">
        <v>0</v>
      </c>
      <c r="L389" s="5">
        <v>124977</v>
      </c>
      <c r="M389" s="5">
        <v>89</v>
      </c>
      <c r="N389" s="5">
        <v>91927.4</v>
      </c>
      <c r="O389" s="5">
        <v>67</v>
      </c>
      <c r="Q389" s="5">
        <v>85000.2</v>
      </c>
      <c r="R389" s="5">
        <v>30</v>
      </c>
      <c r="S389" s="5">
        <v>104397</v>
      </c>
      <c r="T389" s="5">
        <v>75</v>
      </c>
      <c r="V389" s="5">
        <v>71769.5</v>
      </c>
      <c r="W389" s="5">
        <v>34</v>
      </c>
      <c r="X389" s="5">
        <v>1</v>
      </c>
    </row>
    <row r="390" spans="1:24" ht="12.75" customHeight="1">
      <c r="A390" s="7"/>
      <c r="B390" s="5">
        <v>112338</v>
      </c>
      <c r="C390" s="5">
        <v>68</v>
      </c>
      <c r="D390" s="5">
        <v>97098</v>
      </c>
      <c r="E390" s="5">
        <v>84</v>
      </c>
      <c r="G390" s="5">
        <v>141226</v>
      </c>
      <c r="H390" s="5">
        <v>139</v>
      </c>
      <c r="I390" s="5">
        <v>119899</v>
      </c>
      <c r="J390" s="5">
        <v>100</v>
      </c>
      <c r="L390" s="5">
        <v>106347</v>
      </c>
      <c r="M390" s="5">
        <v>63</v>
      </c>
      <c r="N390" s="5">
        <v>56376.800000000003</v>
      </c>
      <c r="O390" s="5">
        <v>3</v>
      </c>
      <c r="Q390" s="5">
        <v>72792.800000000003</v>
      </c>
      <c r="R390" s="5">
        <v>1</v>
      </c>
      <c r="S390" s="5">
        <v>90626.3</v>
      </c>
      <c r="T390" s="5">
        <v>60</v>
      </c>
      <c r="V390" s="5">
        <v>55251.5</v>
      </c>
      <c r="W390" s="5">
        <v>0</v>
      </c>
      <c r="X390" s="5">
        <v>0</v>
      </c>
    </row>
    <row r="391" spans="1:24" ht="12.75" customHeight="1">
      <c r="A391" s="7"/>
      <c r="B391" s="5">
        <v>59576.5</v>
      </c>
      <c r="C391" s="5">
        <v>0</v>
      </c>
      <c r="D391" s="5">
        <v>52710.9</v>
      </c>
      <c r="E391" s="5">
        <v>0</v>
      </c>
      <c r="G391" s="5">
        <v>63555.1</v>
      </c>
      <c r="H391" s="5">
        <v>0</v>
      </c>
      <c r="I391" s="5">
        <v>62194.1</v>
      </c>
      <c r="J391" s="5">
        <v>28</v>
      </c>
      <c r="L391" s="5">
        <v>53165.2</v>
      </c>
      <c r="M391" s="5">
        <v>0</v>
      </c>
      <c r="N391" s="5">
        <v>46917.599999999999</v>
      </c>
      <c r="O391" s="5">
        <v>5</v>
      </c>
      <c r="Q391" s="5">
        <v>62911.7</v>
      </c>
      <c r="R391" s="5">
        <v>0</v>
      </c>
      <c r="S391" s="5">
        <v>60598.7</v>
      </c>
      <c r="T391" s="5">
        <v>11</v>
      </c>
      <c r="V391" s="5">
        <v>44143.6</v>
      </c>
      <c r="W391" s="5">
        <v>0</v>
      </c>
      <c r="X391" s="5">
        <v>1</v>
      </c>
    </row>
    <row r="392" spans="1:24" ht="12.75" customHeight="1">
      <c r="A392" s="7"/>
      <c r="B392" s="5">
        <v>143913</v>
      </c>
      <c r="C392" s="5">
        <v>150</v>
      </c>
      <c r="D392" s="5">
        <v>88520.8</v>
      </c>
      <c r="E392" s="5">
        <v>56</v>
      </c>
      <c r="G392" s="5">
        <v>122379</v>
      </c>
      <c r="H392" s="5">
        <v>121</v>
      </c>
      <c r="I392" s="5">
        <v>116645</v>
      </c>
      <c r="J392" s="5">
        <v>97</v>
      </c>
      <c r="L392" s="5">
        <v>135923</v>
      </c>
      <c r="M392" s="5">
        <v>131</v>
      </c>
      <c r="N392" s="5">
        <v>77335.899999999994</v>
      </c>
      <c r="O392" s="5">
        <v>60</v>
      </c>
      <c r="Q392" s="5">
        <v>77669</v>
      </c>
      <c r="R392" s="5">
        <v>25</v>
      </c>
      <c r="S392" s="5">
        <v>100184</v>
      </c>
      <c r="T392" s="5">
        <v>67</v>
      </c>
      <c r="V392" s="5">
        <v>46759.5</v>
      </c>
      <c r="W392" s="5">
        <v>0</v>
      </c>
      <c r="X392" s="5">
        <v>0</v>
      </c>
    </row>
    <row r="393" spans="1:24" ht="12.75" customHeight="1">
      <c r="A393" s="7"/>
      <c r="B393" s="5">
        <v>69345.3</v>
      </c>
      <c r="C393" s="5">
        <v>0</v>
      </c>
      <c r="D393" s="5">
        <v>76599.100000000006</v>
      </c>
      <c r="E393" s="5">
        <v>46</v>
      </c>
      <c r="G393" s="5">
        <v>82745</v>
      </c>
      <c r="H393" s="5">
        <v>31</v>
      </c>
      <c r="I393" s="5">
        <v>85413.1</v>
      </c>
      <c r="J393" s="5">
        <v>62</v>
      </c>
      <c r="L393" s="5">
        <v>104205</v>
      </c>
      <c r="M393" s="5">
        <v>78</v>
      </c>
      <c r="N393" s="5">
        <v>101107</v>
      </c>
      <c r="O393" s="5">
        <v>94</v>
      </c>
      <c r="Q393" s="5">
        <v>124179</v>
      </c>
      <c r="R393" s="5">
        <v>109</v>
      </c>
      <c r="S393" s="5">
        <v>74333.899999999994</v>
      </c>
      <c r="T393" s="5">
        <v>27</v>
      </c>
      <c r="V393" s="5">
        <v>63293.3</v>
      </c>
      <c r="W393" s="5">
        <v>26</v>
      </c>
      <c r="X393" s="5">
        <v>1</v>
      </c>
    </row>
    <row r="394" spans="1:24" ht="12.75" customHeight="1">
      <c r="A394" s="7"/>
      <c r="B394" s="5">
        <v>123951</v>
      </c>
      <c r="C394" s="5">
        <v>118</v>
      </c>
      <c r="D394" s="5">
        <v>103989</v>
      </c>
      <c r="E394" s="5">
        <v>111</v>
      </c>
      <c r="G394" s="5">
        <v>91923.8</v>
      </c>
      <c r="H394" s="5">
        <v>58</v>
      </c>
      <c r="I394" s="5">
        <v>82186.399999999994</v>
      </c>
      <c r="J394" s="5">
        <v>49</v>
      </c>
      <c r="L394" s="5">
        <v>118149</v>
      </c>
      <c r="M394" s="5">
        <v>110</v>
      </c>
      <c r="N394" s="5">
        <v>109882</v>
      </c>
      <c r="O394" s="5">
        <v>123</v>
      </c>
      <c r="Q394" s="5">
        <v>135623</v>
      </c>
      <c r="R394" s="5">
        <v>144</v>
      </c>
      <c r="S394" s="5">
        <v>67421.8</v>
      </c>
      <c r="T394" s="5">
        <v>20</v>
      </c>
      <c r="V394" s="5">
        <v>60265.1</v>
      </c>
      <c r="W394" s="5">
        <v>30</v>
      </c>
      <c r="X394" s="5">
        <v>0</v>
      </c>
    </row>
    <row r="395" spans="1:24" ht="12.75" customHeight="1">
      <c r="A395" s="7"/>
      <c r="B395" s="5">
        <v>79570.2</v>
      </c>
      <c r="C395" s="5">
        <v>0</v>
      </c>
      <c r="D395" s="5">
        <v>96283.3</v>
      </c>
      <c r="E395" s="5">
        <v>55</v>
      </c>
      <c r="G395" s="5">
        <v>83618.3</v>
      </c>
      <c r="H395" s="5">
        <v>8</v>
      </c>
      <c r="I395" s="5">
        <v>71356.100000000006</v>
      </c>
      <c r="J395" s="5">
        <v>0</v>
      </c>
      <c r="L395" s="5">
        <v>96621.5</v>
      </c>
      <c r="M395" s="5">
        <v>31</v>
      </c>
      <c r="N395" s="5">
        <v>83531.7</v>
      </c>
      <c r="O395" s="5">
        <v>21</v>
      </c>
      <c r="Q395" s="5">
        <v>108691</v>
      </c>
      <c r="R395" s="5">
        <v>52</v>
      </c>
      <c r="S395" s="5">
        <v>104214</v>
      </c>
      <c r="T395" s="5">
        <v>63</v>
      </c>
      <c r="V395" s="5">
        <v>63902.6</v>
      </c>
      <c r="W395" s="5">
        <v>0</v>
      </c>
      <c r="X395" s="5">
        <v>0</v>
      </c>
    </row>
    <row r="396" spans="1:24" ht="12.75" customHeight="1">
      <c r="A396" s="7"/>
      <c r="B396" s="5">
        <v>91923.8</v>
      </c>
      <c r="C396" s="5">
        <v>44</v>
      </c>
      <c r="D396" s="5">
        <v>61238.2</v>
      </c>
      <c r="E396" s="5">
        <v>10</v>
      </c>
      <c r="G396" s="5">
        <v>104136</v>
      </c>
      <c r="H396" s="5">
        <v>59</v>
      </c>
      <c r="I396" s="5">
        <v>81569.600000000006</v>
      </c>
      <c r="J396" s="5">
        <v>29</v>
      </c>
      <c r="L396" s="5">
        <v>92113.1</v>
      </c>
      <c r="M396" s="5">
        <v>31</v>
      </c>
      <c r="N396" s="5">
        <v>100772</v>
      </c>
      <c r="O396" s="5">
        <v>96</v>
      </c>
      <c r="Q396" s="5">
        <v>106290</v>
      </c>
      <c r="R396" s="5">
        <v>74</v>
      </c>
      <c r="S396" s="5">
        <v>109134</v>
      </c>
      <c r="T396" s="5">
        <v>90</v>
      </c>
      <c r="V396" s="5">
        <v>54419.7</v>
      </c>
      <c r="W396" s="5">
        <v>9</v>
      </c>
      <c r="X396" s="5">
        <v>1</v>
      </c>
    </row>
    <row r="397" spans="1:24" ht="12.75" customHeight="1">
      <c r="A397" s="7"/>
      <c r="B397" s="5">
        <v>129441</v>
      </c>
      <c r="C397" s="5">
        <v>98</v>
      </c>
      <c r="D397" s="5">
        <v>163017</v>
      </c>
      <c r="E397" s="5">
        <v>203</v>
      </c>
      <c r="G397" s="5">
        <v>150397</v>
      </c>
      <c r="H397" s="5">
        <v>160</v>
      </c>
      <c r="I397" s="5">
        <v>133727</v>
      </c>
      <c r="J397" s="5">
        <v>151</v>
      </c>
      <c r="L397" s="5">
        <v>138974</v>
      </c>
      <c r="M397" s="5">
        <v>130</v>
      </c>
      <c r="N397" s="5">
        <v>152485</v>
      </c>
      <c r="O397" s="5">
        <v>184</v>
      </c>
      <c r="Q397" s="5">
        <v>146958</v>
      </c>
      <c r="R397" s="5">
        <v>143</v>
      </c>
      <c r="S397" s="5">
        <v>138701</v>
      </c>
      <c r="T397" s="5">
        <v>142</v>
      </c>
      <c r="V397" s="5">
        <v>77482.100000000006</v>
      </c>
      <c r="W397" s="5">
        <v>46</v>
      </c>
      <c r="X397" s="5">
        <v>1</v>
      </c>
    </row>
    <row r="398" spans="1:24" ht="12.75" customHeight="1">
      <c r="A398" s="7"/>
      <c r="B398" s="5">
        <v>83941</v>
      </c>
      <c r="C398" s="5">
        <v>17</v>
      </c>
      <c r="D398" s="5">
        <v>93600.6</v>
      </c>
      <c r="E398" s="5">
        <v>61</v>
      </c>
      <c r="G398" s="5">
        <v>82849.100000000006</v>
      </c>
      <c r="H398" s="5">
        <v>17</v>
      </c>
      <c r="I398" s="5">
        <v>127758</v>
      </c>
      <c r="J398" s="5">
        <v>126</v>
      </c>
      <c r="L398" s="5">
        <v>129059</v>
      </c>
      <c r="M398" s="5">
        <v>109</v>
      </c>
      <c r="N398" s="5">
        <v>95540.7</v>
      </c>
      <c r="O398" s="5">
        <v>67</v>
      </c>
      <c r="Q398" s="5">
        <v>115468</v>
      </c>
      <c r="R398" s="5">
        <v>81</v>
      </c>
      <c r="S398" s="5">
        <v>68939.100000000006</v>
      </c>
      <c r="T398" s="5">
        <v>0</v>
      </c>
      <c r="V398" s="5">
        <v>65188.5</v>
      </c>
      <c r="W398" s="5">
        <v>18</v>
      </c>
      <c r="X398" s="5">
        <v>0</v>
      </c>
    </row>
    <row r="399" spans="1:24" ht="12.75" customHeight="1">
      <c r="A399" s="7"/>
      <c r="B399" s="5">
        <v>83883.3</v>
      </c>
      <c r="C399" s="5">
        <v>28</v>
      </c>
      <c r="D399" s="5">
        <v>68106.8</v>
      </c>
      <c r="E399" s="5">
        <v>20</v>
      </c>
      <c r="G399" s="5">
        <v>77147.5</v>
      </c>
      <c r="H399" s="5">
        <v>26</v>
      </c>
      <c r="I399" s="5">
        <v>66901.2</v>
      </c>
      <c r="J399" s="5">
        <v>19</v>
      </c>
      <c r="L399" s="5">
        <v>85282</v>
      </c>
      <c r="M399" s="5">
        <v>24</v>
      </c>
      <c r="N399" s="5">
        <v>70299.100000000006</v>
      </c>
      <c r="O399" s="5">
        <v>26</v>
      </c>
      <c r="Q399" s="5">
        <v>75152</v>
      </c>
      <c r="R399" s="5">
        <v>3</v>
      </c>
      <c r="S399" s="5">
        <v>66504.800000000003</v>
      </c>
      <c r="T399" s="5">
        <v>17</v>
      </c>
      <c r="V399" s="5">
        <v>54617.4</v>
      </c>
      <c r="W399" s="5">
        <v>6</v>
      </c>
      <c r="X399" s="5">
        <v>1</v>
      </c>
    </row>
    <row r="400" spans="1:24" ht="12.75" customHeight="1">
      <c r="A400" s="7"/>
      <c r="B400" s="5">
        <v>73080.5</v>
      </c>
      <c r="C400" s="5">
        <v>14</v>
      </c>
      <c r="D400" s="5">
        <v>49322.9</v>
      </c>
      <c r="E400" s="5">
        <v>2</v>
      </c>
      <c r="G400" s="5">
        <v>94593</v>
      </c>
      <c r="H400" s="5">
        <v>67</v>
      </c>
      <c r="I400" s="5">
        <v>109227</v>
      </c>
      <c r="J400" s="5">
        <v>94</v>
      </c>
      <c r="L400" s="5">
        <v>91951.6</v>
      </c>
      <c r="M400" s="5">
        <v>55</v>
      </c>
      <c r="N400" s="5">
        <v>64929.4</v>
      </c>
      <c r="O400" s="5">
        <v>24</v>
      </c>
      <c r="Q400" s="5">
        <v>77063.899999999994</v>
      </c>
      <c r="R400" s="5">
        <v>22</v>
      </c>
      <c r="S400" s="5">
        <v>59104.2</v>
      </c>
      <c r="T400" s="5">
        <v>0</v>
      </c>
      <c r="V400" s="5">
        <v>51557.1</v>
      </c>
      <c r="W400" s="5">
        <v>0</v>
      </c>
      <c r="X400" s="5">
        <v>0</v>
      </c>
    </row>
    <row r="401" spans="1:24" ht="12.75" customHeight="1">
      <c r="A401" s="7"/>
      <c r="B401" s="5">
        <v>93566.8</v>
      </c>
      <c r="C401" s="5">
        <v>59</v>
      </c>
      <c r="D401" s="5">
        <v>82080.2</v>
      </c>
      <c r="E401" s="5">
        <v>68</v>
      </c>
      <c r="G401" s="5">
        <v>136226</v>
      </c>
      <c r="H401" s="5">
        <v>144</v>
      </c>
      <c r="I401" s="5">
        <v>103799</v>
      </c>
      <c r="J401" s="5">
        <v>100</v>
      </c>
      <c r="L401" s="5">
        <v>130925</v>
      </c>
      <c r="M401" s="5">
        <v>137</v>
      </c>
      <c r="N401" s="5">
        <v>60008.2</v>
      </c>
      <c r="O401" s="5">
        <v>25</v>
      </c>
      <c r="Q401" s="5">
        <v>122337</v>
      </c>
      <c r="R401" s="5">
        <v>124</v>
      </c>
      <c r="S401" s="5">
        <v>112302</v>
      </c>
      <c r="T401" s="5">
        <v>120</v>
      </c>
      <c r="V401" s="5">
        <v>66799.100000000006</v>
      </c>
      <c r="W401" s="5">
        <v>41</v>
      </c>
      <c r="X401" s="5">
        <v>0</v>
      </c>
    </row>
    <row r="402" spans="1:24" ht="12.75" customHeight="1">
      <c r="A402" s="7"/>
      <c r="B402" s="5">
        <v>125206</v>
      </c>
      <c r="C402" s="5">
        <v>115</v>
      </c>
      <c r="D402" s="5">
        <v>72549.600000000006</v>
      </c>
      <c r="E402" s="5">
        <v>35</v>
      </c>
      <c r="G402" s="5">
        <v>115040</v>
      </c>
      <c r="H402" s="5">
        <v>102</v>
      </c>
      <c r="I402" s="5">
        <v>69568.600000000006</v>
      </c>
      <c r="J402" s="5">
        <v>37</v>
      </c>
      <c r="L402" s="5">
        <v>102900</v>
      </c>
      <c r="M402" s="5">
        <v>71</v>
      </c>
      <c r="N402" s="5">
        <v>88226.9</v>
      </c>
      <c r="O402" s="5">
        <v>81</v>
      </c>
      <c r="Q402" s="5">
        <v>88881</v>
      </c>
      <c r="R402" s="5">
        <v>38</v>
      </c>
      <c r="S402" s="5">
        <v>102727</v>
      </c>
      <c r="T402" s="5">
        <v>99</v>
      </c>
      <c r="V402" s="5">
        <v>51877.7</v>
      </c>
      <c r="W402" s="5">
        <v>9</v>
      </c>
      <c r="X402" s="5">
        <v>1</v>
      </c>
    </row>
    <row r="403" spans="1:24" ht="12.75" customHeight="1">
      <c r="A403" s="7"/>
      <c r="B403" s="5">
        <v>83177.5</v>
      </c>
      <c r="C403" s="5">
        <v>26</v>
      </c>
      <c r="D403" s="5">
        <v>49440.9</v>
      </c>
      <c r="E403" s="5">
        <v>0</v>
      </c>
      <c r="G403" s="5">
        <v>68893.5</v>
      </c>
      <c r="H403" s="5">
        <v>0</v>
      </c>
      <c r="I403" s="5">
        <v>56989.5</v>
      </c>
      <c r="J403" s="5">
        <v>0</v>
      </c>
      <c r="L403" s="5">
        <v>83192.800000000003</v>
      </c>
      <c r="M403" s="5">
        <v>36</v>
      </c>
      <c r="N403" s="5">
        <v>53808.6</v>
      </c>
      <c r="O403" s="5">
        <v>0</v>
      </c>
      <c r="Q403" s="5">
        <v>75355.5</v>
      </c>
      <c r="R403" s="5">
        <v>5</v>
      </c>
      <c r="S403" s="5">
        <v>60576.9</v>
      </c>
      <c r="T403" s="5">
        <v>0</v>
      </c>
      <c r="V403" s="5">
        <v>49859.8</v>
      </c>
      <c r="W403" s="5">
        <v>0</v>
      </c>
      <c r="X403" s="5">
        <v>1</v>
      </c>
    </row>
    <row r="404" spans="1:24" ht="12.75" customHeight="1">
      <c r="A404" s="7"/>
      <c r="B404" s="5">
        <v>71693.8</v>
      </c>
      <c r="C404" s="5">
        <v>4</v>
      </c>
      <c r="D404" s="5">
        <v>99602.4</v>
      </c>
      <c r="E404" s="5">
        <v>99</v>
      </c>
      <c r="G404" s="5">
        <v>86687</v>
      </c>
      <c r="H404" s="5">
        <v>40</v>
      </c>
      <c r="I404" s="5">
        <v>93603.5</v>
      </c>
      <c r="J404" s="5">
        <v>69</v>
      </c>
      <c r="L404" s="5">
        <v>101661</v>
      </c>
      <c r="M404" s="5">
        <v>64</v>
      </c>
      <c r="N404" s="5">
        <v>88094.6</v>
      </c>
      <c r="O404" s="5">
        <v>79</v>
      </c>
      <c r="Q404" s="5">
        <v>81848.2</v>
      </c>
      <c r="R404" s="5">
        <v>24</v>
      </c>
      <c r="S404" s="5">
        <v>86095.1</v>
      </c>
      <c r="T404" s="5">
        <v>49</v>
      </c>
      <c r="V404" s="5">
        <v>66397.8</v>
      </c>
      <c r="W404" s="5">
        <v>24</v>
      </c>
      <c r="X404" s="5">
        <v>0</v>
      </c>
    </row>
    <row r="405" spans="1:24" ht="12.75" customHeight="1">
      <c r="A405" s="7"/>
      <c r="B405" s="5">
        <v>89871.7</v>
      </c>
      <c r="C405" s="5">
        <v>52</v>
      </c>
      <c r="D405" s="5">
        <v>64103.199999999997</v>
      </c>
      <c r="E405" s="5">
        <v>32</v>
      </c>
      <c r="G405" s="5">
        <v>122573</v>
      </c>
      <c r="H405" s="5">
        <v>114</v>
      </c>
      <c r="I405" s="5">
        <v>66529.100000000006</v>
      </c>
      <c r="J405" s="5">
        <v>30</v>
      </c>
      <c r="L405" s="5">
        <v>109083</v>
      </c>
      <c r="M405" s="5">
        <v>99</v>
      </c>
      <c r="N405" s="5">
        <v>94048.1</v>
      </c>
      <c r="O405" s="5">
        <v>91</v>
      </c>
      <c r="Q405" s="5">
        <v>82437.899999999994</v>
      </c>
      <c r="R405" s="5">
        <v>29</v>
      </c>
      <c r="S405" s="5">
        <v>91255.2</v>
      </c>
      <c r="T405" s="5">
        <v>69</v>
      </c>
      <c r="V405" s="5">
        <v>41625</v>
      </c>
      <c r="W405" s="5">
        <v>0</v>
      </c>
      <c r="X405" s="5">
        <v>1</v>
      </c>
    </row>
    <row r="406" spans="1:24" ht="12.75" customHeight="1">
      <c r="A406" s="7"/>
      <c r="B406" s="5">
        <v>78777.8</v>
      </c>
      <c r="C406" s="5">
        <v>0</v>
      </c>
      <c r="D406" s="5">
        <v>93834.8</v>
      </c>
      <c r="E406" s="5">
        <v>60</v>
      </c>
      <c r="G406" s="5">
        <v>117562</v>
      </c>
      <c r="H406" s="5">
        <v>75</v>
      </c>
      <c r="I406" s="5">
        <v>89018.3</v>
      </c>
      <c r="J406" s="5">
        <v>39</v>
      </c>
      <c r="L406" s="5">
        <v>93117.4</v>
      </c>
      <c r="M406" s="5">
        <v>32</v>
      </c>
      <c r="N406" s="5">
        <v>103826</v>
      </c>
      <c r="O406" s="5">
        <v>85</v>
      </c>
      <c r="Q406" s="5">
        <v>122566</v>
      </c>
      <c r="R406" s="5">
        <v>80</v>
      </c>
      <c r="S406" s="5">
        <v>97618.9</v>
      </c>
      <c r="T406" s="5">
        <v>50</v>
      </c>
      <c r="V406" s="5">
        <v>81097.399999999994</v>
      </c>
      <c r="W406" s="5">
        <v>46</v>
      </c>
      <c r="X406" s="5">
        <v>0</v>
      </c>
    </row>
    <row r="407" spans="1:24" ht="12.75" customHeight="1">
      <c r="A407" s="7"/>
      <c r="B407" s="5">
        <v>91164.5</v>
      </c>
      <c r="C407" s="5">
        <v>66</v>
      </c>
      <c r="D407" s="5">
        <v>75821.3</v>
      </c>
      <c r="E407" s="5">
        <v>63</v>
      </c>
      <c r="G407" s="5">
        <v>108232</v>
      </c>
      <c r="H407" s="5">
        <v>101</v>
      </c>
      <c r="I407" s="5">
        <v>61930.2</v>
      </c>
      <c r="J407" s="5">
        <v>14</v>
      </c>
      <c r="L407" s="5">
        <v>112954</v>
      </c>
      <c r="M407" s="5">
        <v>109</v>
      </c>
      <c r="N407" s="5">
        <v>94372</v>
      </c>
      <c r="O407" s="5">
        <v>92</v>
      </c>
      <c r="Q407" s="5">
        <v>78044.899999999994</v>
      </c>
      <c r="R407" s="5">
        <v>41</v>
      </c>
      <c r="S407" s="5">
        <v>84552.8</v>
      </c>
      <c r="T407" s="5">
        <v>66</v>
      </c>
      <c r="V407" s="5">
        <v>52124.5</v>
      </c>
      <c r="W407" s="5">
        <v>15</v>
      </c>
      <c r="X407" s="5">
        <v>0</v>
      </c>
    </row>
    <row r="408" spans="1:24" ht="12.75" customHeight="1">
      <c r="A408" s="7"/>
      <c r="B408" s="5">
        <v>125576</v>
      </c>
      <c r="C408" s="5">
        <v>111</v>
      </c>
      <c r="D408" s="5">
        <v>68800.600000000006</v>
      </c>
      <c r="E408" s="5">
        <v>29</v>
      </c>
      <c r="G408" s="5">
        <v>80754.8</v>
      </c>
      <c r="H408" s="5">
        <v>26</v>
      </c>
      <c r="I408" s="5">
        <v>61166.7</v>
      </c>
      <c r="J408" s="5">
        <v>0</v>
      </c>
      <c r="L408" s="5">
        <v>109737</v>
      </c>
      <c r="M408" s="5">
        <v>76</v>
      </c>
      <c r="N408" s="5">
        <v>52382.3</v>
      </c>
      <c r="O408" s="5">
        <v>4</v>
      </c>
      <c r="Q408" s="5">
        <v>74177.3</v>
      </c>
      <c r="R408" s="5">
        <v>0</v>
      </c>
      <c r="S408" s="5">
        <v>86730.7</v>
      </c>
      <c r="T408" s="5">
        <v>42</v>
      </c>
      <c r="V408" s="5">
        <v>65715.7</v>
      </c>
      <c r="W408" s="5">
        <v>26</v>
      </c>
      <c r="X408" s="5">
        <v>1</v>
      </c>
    </row>
    <row r="409" spans="1:24" ht="12.75" customHeight="1">
      <c r="A409" s="7"/>
      <c r="B409" s="5">
        <v>83314.399999999994</v>
      </c>
      <c r="C409" s="5">
        <v>44</v>
      </c>
      <c r="D409" s="5">
        <v>96228.3</v>
      </c>
      <c r="E409" s="5">
        <v>87</v>
      </c>
      <c r="G409" s="5">
        <v>74252.899999999994</v>
      </c>
      <c r="H409" s="5">
        <v>23</v>
      </c>
      <c r="I409" s="5">
        <v>101659</v>
      </c>
      <c r="J409" s="5">
        <v>107</v>
      </c>
      <c r="L409" s="5">
        <v>65011.8</v>
      </c>
      <c r="M409" s="5">
        <v>0</v>
      </c>
      <c r="N409" s="5">
        <v>50884.800000000003</v>
      </c>
      <c r="O409" s="5">
        <v>11</v>
      </c>
      <c r="Q409" s="5">
        <v>83508.100000000006</v>
      </c>
      <c r="R409" s="5">
        <v>35</v>
      </c>
      <c r="S409" s="5">
        <v>85013.9</v>
      </c>
      <c r="T409" s="5">
        <v>47</v>
      </c>
      <c r="V409" s="5">
        <v>40581.5</v>
      </c>
      <c r="W409" s="5">
        <v>0</v>
      </c>
      <c r="X409" s="5">
        <v>1</v>
      </c>
    </row>
    <row r="410" spans="1:24" ht="12.75" customHeight="1">
      <c r="A410" s="7"/>
      <c r="B410" s="5">
        <v>93820.800000000003</v>
      </c>
      <c r="C410" s="5">
        <v>61</v>
      </c>
      <c r="D410" s="5">
        <v>95696.9</v>
      </c>
      <c r="E410" s="5">
        <v>71</v>
      </c>
      <c r="G410" s="5">
        <v>94667.199999999997</v>
      </c>
      <c r="H410" s="5">
        <v>64</v>
      </c>
      <c r="I410" s="5">
        <v>55449.2</v>
      </c>
      <c r="J410" s="5">
        <v>0</v>
      </c>
      <c r="L410" s="5">
        <v>111940</v>
      </c>
      <c r="M410" s="5">
        <v>103</v>
      </c>
      <c r="N410" s="5">
        <v>78014</v>
      </c>
      <c r="O410" s="5">
        <v>59</v>
      </c>
      <c r="Q410" s="5">
        <v>107765</v>
      </c>
      <c r="R410" s="5">
        <v>87</v>
      </c>
      <c r="S410" s="5">
        <v>110618</v>
      </c>
      <c r="T410" s="5">
        <v>100</v>
      </c>
      <c r="V410" s="5">
        <v>49775.8</v>
      </c>
      <c r="W410" s="5">
        <v>0</v>
      </c>
      <c r="X410" s="5">
        <v>0</v>
      </c>
    </row>
    <row r="411" spans="1:24" ht="12.75" customHeight="1">
      <c r="A411" s="7"/>
      <c r="B411" s="5">
        <v>107955</v>
      </c>
      <c r="C411" s="5">
        <v>33</v>
      </c>
      <c r="D411" s="5">
        <v>87830.9</v>
      </c>
      <c r="E411" s="5">
        <v>26</v>
      </c>
      <c r="G411" s="5">
        <v>127158</v>
      </c>
      <c r="H411" s="5">
        <v>65</v>
      </c>
      <c r="I411" s="5">
        <v>86828</v>
      </c>
      <c r="J411" s="5">
        <v>10</v>
      </c>
      <c r="L411" s="5">
        <v>111210</v>
      </c>
      <c r="M411" s="5">
        <v>32</v>
      </c>
      <c r="N411" s="5">
        <v>93714.5</v>
      </c>
      <c r="O411" s="5">
        <v>41</v>
      </c>
      <c r="Q411" s="5">
        <v>99331.199999999997</v>
      </c>
      <c r="R411" s="5">
        <v>9</v>
      </c>
      <c r="S411" s="5">
        <v>106993</v>
      </c>
      <c r="T411" s="5">
        <v>49</v>
      </c>
      <c r="V411" s="5">
        <v>72090</v>
      </c>
      <c r="W411" s="5">
        <v>0</v>
      </c>
      <c r="X411" s="5">
        <v>0</v>
      </c>
    </row>
    <row r="412" spans="1:24" ht="12.75" customHeight="1">
      <c r="A412" s="7"/>
      <c r="B412" s="5">
        <v>99180.1</v>
      </c>
      <c r="C412" s="5">
        <v>60</v>
      </c>
      <c r="D412" s="5">
        <v>67893.2</v>
      </c>
      <c r="E412" s="5">
        <v>26</v>
      </c>
      <c r="G412" s="5">
        <v>85371.5</v>
      </c>
      <c r="H412" s="5">
        <v>34</v>
      </c>
      <c r="I412" s="5">
        <v>60108.1</v>
      </c>
      <c r="J412" s="5">
        <v>0</v>
      </c>
      <c r="L412" s="5">
        <v>69002.8</v>
      </c>
      <c r="M412" s="5">
        <v>0</v>
      </c>
      <c r="N412" s="5">
        <v>103901</v>
      </c>
      <c r="O412" s="5">
        <v>99</v>
      </c>
      <c r="Q412" s="5">
        <v>113955</v>
      </c>
      <c r="R412" s="5">
        <v>86</v>
      </c>
      <c r="S412" s="5">
        <v>131124</v>
      </c>
      <c r="T412" s="5">
        <v>141</v>
      </c>
      <c r="V412" s="5">
        <v>53774.400000000001</v>
      </c>
      <c r="W412" s="5">
        <v>9</v>
      </c>
      <c r="X412" s="5">
        <v>1</v>
      </c>
    </row>
    <row r="413" spans="1:24" ht="12.75" customHeight="1">
      <c r="A413" s="7"/>
      <c r="B413" s="5">
        <v>79983.600000000006</v>
      </c>
      <c r="C413" s="5">
        <v>39</v>
      </c>
      <c r="D413" s="5">
        <v>67539.7</v>
      </c>
      <c r="E413" s="5">
        <v>27</v>
      </c>
      <c r="G413" s="5">
        <v>135608</v>
      </c>
      <c r="H413" s="5">
        <v>141</v>
      </c>
      <c r="I413" s="5">
        <v>108450</v>
      </c>
      <c r="J413" s="5">
        <v>110</v>
      </c>
      <c r="L413" s="5">
        <v>96901.7</v>
      </c>
      <c r="M413" s="5">
        <v>55</v>
      </c>
      <c r="N413" s="5">
        <v>60108.9</v>
      </c>
      <c r="O413" s="5">
        <v>20</v>
      </c>
      <c r="Q413" s="5">
        <v>98777.8</v>
      </c>
      <c r="R413" s="5">
        <v>58</v>
      </c>
      <c r="S413" s="5">
        <v>74296.7</v>
      </c>
      <c r="T413" s="5">
        <v>26</v>
      </c>
      <c r="V413" s="5">
        <v>97728.1</v>
      </c>
      <c r="W413" s="5">
        <v>89</v>
      </c>
      <c r="X413" s="5">
        <v>0</v>
      </c>
    </row>
    <row r="414" spans="1:24" ht="12.75" customHeight="1">
      <c r="A414" s="7"/>
      <c r="B414" s="5">
        <v>129864</v>
      </c>
      <c r="C414" s="5">
        <v>125</v>
      </c>
      <c r="D414" s="5">
        <v>80995.3</v>
      </c>
      <c r="E414" s="5">
        <v>55</v>
      </c>
      <c r="G414" s="5">
        <v>73812.3</v>
      </c>
      <c r="H414" s="5">
        <v>14</v>
      </c>
      <c r="I414" s="5">
        <v>142827</v>
      </c>
      <c r="J414" s="5">
        <v>167</v>
      </c>
      <c r="L414" s="5">
        <v>95629</v>
      </c>
      <c r="M414" s="5">
        <v>55</v>
      </c>
      <c r="N414" s="5">
        <v>73443.199999999997</v>
      </c>
      <c r="O414" s="5">
        <v>47</v>
      </c>
      <c r="Q414" s="5">
        <v>68242.7</v>
      </c>
      <c r="R414" s="5">
        <v>0</v>
      </c>
      <c r="S414" s="5">
        <v>114802</v>
      </c>
      <c r="T414" s="5">
        <v>110</v>
      </c>
      <c r="V414" s="5">
        <v>46686.6</v>
      </c>
      <c r="W414" s="5">
        <v>0</v>
      </c>
      <c r="X414" s="5">
        <v>1</v>
      </c>
    </row>
    <row r="415" spans="1:24" ht="12.75" customHeight="1">
      <c r="A415" s="7"/>
      <c r="B415" s="5">
        <v>70425.2</v>
      </c>
      <c r="C415" s="5">
        <v>0</v>
      </c>
      <c r="D415" s="5">
        <v>138829</v>
      </c>
      <c r="E415" s="5">
        <v>149</v>
      </c>
      <c r="G415" s="5">
        <v>92842.2</v>
      </c>
      <c r="H415" s="5">
        <v>33</v>
      </c>
      <c r="I415" s="5">
        <v>114397</v>
      </c>
      <c r="J415" s="5">
        <v>117</v>
      </c>
      <c r="L415" s="5">
        <v>77069.7</v>
      </c>
      <c r="M415" s="5">
        <v>0</v>
      </c>
      <c r="N415" s="5">
        <v>55151.199999999997</v>
      </c>
      <c r="O415" s="5">
        <v>0</v>
      </c>
      <c r="Q415" s="5">
        <v>71078.3</v>
      </c>
      <c r="R415" s="5">
        <v>1</v>
      </c>
      <c r="S415" s="5">
        <v>69436.5</v>
      </c>
      <c r="T415" s="5">
        <v>15</v>
      </c>
      <c r="V415" s="5">
        <v>55124.2</v>
      </c>
      <c r="W415" s="5">
        <v>0</v>
      </c>
      <c r="X415" s="5">
        <v>0</v>
      </c>
    </row>
    <row r="416" spans="1:24" ht="12.75" customHeight="1">
      <c r="A416" s="7"/>
      <c r="B416" s="5">
        <v>95426.2</v>
      </c>
      <c r="C416" s="5">
        <v>28</v>
      </c>
      <c r="D416" s="5">
        <v>89614.3</v>
      </c>
      <c r="E416" s="5">
        <v>27</v>
      </c>
      <c r="G416" s="5">
        <v>140791</v>
      </c>
      <c r="H416" s="5">
        <v>112</v>
      </c>
      <c r="I416" s="5">
        <v>96479.2</v>
      </c>
      <c r="J416" s="5">
        <v>44</v>
      </c>
      <c r="L416" s="5">
        <v>133170</v>
      </c>
      <c r="M416" s="5">
        <v>91</v>
      </c>
      <c r="N416" s="5">
        <v>100548</v>
      </c>
      <c r="O416" s="5">
        <v>62</v>
      </c>
      <c r="Q416" s="5">
        <v>144943</v>
      </c>
      <c r="R416" s="5">
        <v>127</v>
      </c>
      <c r="S416" s="5">
        <v>129860</v>
      </c>
      <c r="T416" s="5">
        <v>100</v>
      </c>
      <c r="V416" s="5">
        <v>67083.3</v>
      </c>
      <c r="W416" s="5">
        <v>0</v>
      </c>
      <c r="X416" s="5">
        <v>0</v>
      </c>
    </row>
    <row r="417" spans="1:24" ht="12.75" customHeight="1">
      <c r="A417" s="7"/>
      <c r="B417" s="5">
        <v>98996.6</v>
      </c>
      <c r="C417" s="5">
        <v>43</v>
      </c>
      <c r="D417" s="5">
        <v>116747</v>
      </c>
      <c r="E417" s="5">
        <v>101</v>
      </c>
      <c r="G417" s="5">
        <v>76533.3</v>
      </c>
      <c r="H417" s="5">
        <v>0</v>
      </c>
      <c r="I417" s="5">
        <v>67985.2</v>
      </c>
      <c r="J417" s="5">
        <v>0</v>
      </c>
      <c r="L417" s="5">
        <v>155209</v>
      </c>
      <c r="M417" s="5">
        <v>145</v>
      </c>
      <c r="N417" s="5">
        <v>93172.2</v>
      </c>
      <c r="O417" s="5">
        <v>50</v>
      </c>
      <c r="Q417" s="5">
        <v>152659</v>
      </c>
      <c r="R417" s="5">
        <v>149</v>
      </c>
      <c r="S417" s="5">
        <v>125724</v>
      </c>
      <c r="T417" s="5">
        <v>105</v>
      </c>
      <c r="V417" s="5">
        <v>80965.100000000006</v>
      </c>
      <c r="W417" s="5">
        <v>38</v>
      </c>
      <c r="X417" s="5">
        <v>1</v>
      </c>
    </row>
    <row r="418" spans="1:24" ht="12.75" customHeight="1">
      <c r="A418" s="7"/>
      <c r="B418" s="5">
        <v>71488.600000000006</v>
      </c>
      <c r="C418" s="5">
        <v>0</v>
      </c>
      <c r="D418" s="5">
        <v>85035.3</v>
      </c>
      <c r="E418" s="5">
        <v>56</v>
      </c>
      <c r="G418" s="5">
        <v>88789.4</v>
      </c>
      <c r="H418" s="5">
        <v>29</v>
      </c>
      <c r="I418" s="5">
        <v>57604.6</v>
      </c>
      <c r="J418" s="5">
        <v>0</v>
      </c>
      <c r="L418" s="5">
        <v>94548.800000000003</v>
      </c>
      <c r="M418" s="5">
        <v>47</v>
      </c>
      <c r="N418" s="5">
        <v>56458.6</v>
      </c>
      <c r="O418" s="5">
        <v>0</v>
      </c>
      <c r="Q418" s="5">
        <v>81325.399999999994</v>
      </c>
      <c r="R418" s="5">
        <v>18</v>
      </c>
      <c r="S418" s="5">
        <v>89610</v>
      </c>
      <c r="T418" s="5">
        <v>53</v>
      </c>
      <c r="V418" s="5">
        <v>54112.1</v>
      </c>
      <c r="W418" s="5">
        <v>0</v>
      </c>
      <c r="X418" s="5">
        <v>1</v>
      </c>
    </row>
    <row r="419" spans="1:24" ht="12.75" customHeight="1">
      <c r="A419" s="7"/>
      <c r="B419" s="5">
        <v>62262.5</v>
      </c>
      <c r="C419" s="5">
        <v>0</v>
      </c>
      <c r="D419" s="5">
        <v>95037.9</v>
      </c>
      <c r="E419" s="5">
        <v>79</v>
      </c>
      <c r="G419" s="5">
        <v>82927.3</v>
      </c>
      <c r="H419" s="5">
        <v>35</v>
      </c>
      <c r="I419" s="5">
        <v>90929.3</v>
      </c>
      <c r="J419" s="5">
        <v>59</v>
      </c>
      <c r="L419" s="5">
        <v>80607.100000000006</v>
      </c>
      <c r="M419" s="5">
        <v>21</v>
      </c>
      <c r="N419" s="5">
        <v>68067</v>
      </c>
      <c r="O419" s="5">
        <v>25</v>
      </c>
      <c r="Q419" s="5">
        <v>138702</v>
      </c>
      <c r="R419" s="5">
        <v>140</v>
      </c>
      <c r="S419" s="5">
        <v>63063.6</v>
      </c>
      <c r="T419" s="5">
        <v>0</v>
      </c>
      <c r="V419" s="5">
        <v>79157.899999999994</v>
      </c>
      <c r="W419" s="5">
        <v>55</v>
      </c>
      <c r="X419" s="5">
        <v>0</v>
      </c>
    </row>
    <row r="420" spans="1:24" ht="12.75" customHeight="1">
      <c r="A420" s="7"/>
      <c r="B420" s="5">
        <v>64577</v>
      </c>
      <c r="C420" s="5">
        <v>21</v>
      </c>
      <c r="D420" s="5">
        <v>57836.1</v>
      </c>
      <c r="E420" s="5">
        <v>28</v>
      </c>
      <c r="G420" s="5">
        <v>103911</v>
      </c>
      <c r="H420" s="5">
        <v>86</v>
      </c>
      <c r="I420" s="5">
        <v>47022.2</v>
      </c>
      <c r="J420" s="5">
        <v>0</v>
      </c>
      <c r="L420" s="5">
        <v>59110.5</v>
      </c>
      <c r="M420" s="5">
        <v>0</v>
      </c>
      <c r="N420" s="5">
        <v>80957.2</v>
      </c>
      <c r="O420" s="5">
        <v>69</v>
      </c>
      <c r="Q420" s="5">
        <v>62998.2</v>
      </c>
      <c r="R420" s="5">
        <v>9</v>
      </c>
      <c r="S420" s="5">
        <v>57818.7</v>
      </c>
      <c r="T420" s="5">
        <v>7</v>
      </c>
      <c r="V420" s="5">
        <v>48512.1</v>
      </c>
      <c r="W420" s="5">
        <v>13</v>
      </c>
      <c r="X420" s="5">
        <v>1</v>
      </c>
    </row>
    <row r="421" spans="1:24" ht="12.75" customHeight="1">
      <c r="A421" s="7"/>
      <c r="B421" s="5">
        <v>151152</v>
      </c>
      <c r="C421" s="5">
        <v>115</v>
      </c>
      <c r="D421" s="5">
        <v>97327.3</v>
      </c>
      <c r="E421" s="5">
        <v>12</v>
      </c>
      <c r="G421" s="5">
        <v>178744</v>
      </c>
      <c r="H421" s="5">
        <v>168</v>
      </c>
      <c r="I421" s="5">
        <v>110327</v>
      </c>
      <c r="J421" s="5">
        <v>50</v>
      </c>
      <c r="L421" s="5">
        <v>103861</v>
      </c>
      <c r="M421" s="5">
        <v>20</v>
      </c>
      <c r="N421" s="5">
        <v>77074.8</v>
      </c>
      <c r="O421" s="5">
        <v>0</v>
      </c>
      <c r="Q421" s="5">
        <v>108882</v>
      </c>
      <c r="R421" s="5">
        <v>37</v>
      </c>
      <c r="S421" s="5">
        <v>113497</v>
      </c>
      <c r="T421" s="5">
        <v>44</v>
      </c>
      <c r="V421" s="5">
        <v>75070.7</v>
      </c>
      <c r="W421" s="5">
        <v>0</v>
      </c>
      <c r="X421" s="5">
        <v>0</v>
      </c>
    </row>
    <row r="422" spans="1:24" ht="12.75" customHeight="1">
      <c r="A422" s="7"/>
      <c r="B422" s="5">
        <v>120126</v>
      </c>
      <c r="C422" s="5">
        <v>86</v>
      </c>
      <c r="D422" s="5">
        <v>84480.6</v>
      </c>
      <c r="E422" s="5">
        <v>54</v>
      </c>
      <c r="G422" s="5">
        <v>90391.9</v>
      </c>
      <c r="H422" s="5">
        <v>24</v>
      </c>
      <c r="I422" s="5">
        <v>79668.899999999994</v>
      </c>
      <c r="J422" s="5">
        <v>35</v>
      </c>
      <c r="L422" s="5">
        <v>109182</v>
      </c>
      <c r="M422" s="5">
        <v>74</v>
      </c>
      <c r="N422" s="5">
        <v>71081.7</v>
      </c>
      <c r="O422" s="5">
        <v>22</v>
      </c>
      <c r="Q422" s="5">
        <v>75369.600000000006</v>
      </c>
      <c r="R422" s="5">
        <v>0</v>
      </c>
      <c r="S422" s="5">
        <v>113594</v>
      </c>
      <c r="T422" s="5">
        <v>109</v>
      </c>
      <c r="V422" s="5">
        <v>51899.7</v>
      </c>
      <c r="W422" s="5">
        <v>0</v>
      </c>
      <c r="X422" s="5">
        <v>0</v>
      </c>
    </row>
    <row r="423" spans="1:24" ht="12.75" customHeight="1">
      <c r="A423" s="7"/>
      <c r="B423" s="5">
        <v>117945</v>
      </c>
      <c r="C423" s="5">
        <v>73</v>
      </c>
      <c r="D423" s="5">
        <v>94281.7</v>
      </c>
      <c r="E423" s="5">
        <v>50</v>
      </c>
      <c r="G423" s="5">
        <v>138728</v>
      </c>
      <c r="H423" s="5">
        <v>114</v>
      </c>
      <c r="I423" s="5">
        <v>106826</v>
      </c>
      <c r="J423" s="5">
        <v>67</v>
      </c>
      <c r="L423" s="5">
        <v>162826</v>
      </c>
      <c r="M423" s="5">
        <v>160</v>
      </c>
      <c r="N423" s="5">
        <v>80534.8</v>
      </c>
      <c r="O423" s="5">
        <v>32</v>
      </c>
      <c r="Q423" s="5">
        <v>114414</v>
      </c>
      <c r="R423" s="5">
        <v>58</v>
      </c>
      <c r="S423" s="5">
        <v>119441</v>
      </c>
      <c r="T423" s="5">
        <v>97</v>
      </c>
      <c r="V423" s="5">
        <v>89201.4</v>
      </c>
      <c r="W423" s="5">
        <v>43</v>
      </c>
      <c r="X423" s="5">
        <v>1</v>
      </c>
    </row>
    <row r="424" spans="1:24" ht="12.75" customHeight="1">
      <c r="A424" s="7"/>
      <c r="B424" s="5">
        <v>71358.7</v>
      </c>
      <c r="C424" s="5">
        <v>0</v>
      </c>
      <c r="D424" s="5">
        <v>61927.7</v>
      </c>
      <c r="E424" s="5">
        <v>0</v>
      </c>
      <c r="G424" s="5">
        <v>79077.7</v>
      </c>
      <c r="H424" s="5">
        <v>0</v>
      </c>
      <c r="I424" s="5">
        <v>63332.9</v>
      </c>
      <c r="J424" s="5">
        <v>0</v>
      </c>
      <c r="L424" s="5">
        <v>74781.7</v>
      </c>
      <c r="M424" s="5">
        <v>0</v>
      </c>
      <c r="N424" s="5">
        <v>58347.1</v>
      </c>
      <c r="O424" s="5">
        <v>0</v>
      </c>
      <c r="Q424" s="5">
        <v>74050.5</v>
      </c>
      <c r="R424" s="5">
        <v>0</v>
      </c>
      <c r="S424" s="5">
        <v>62410.3</v>
      </c>
      <c r="T424" s="5">
        <v>0</v>
      </c>
      <c r="V424" s="5">
        <v>55630.400000000001</v>
      </c>
      <c r="W424" s="5">
        <v>0</v>
      </c>
      <c r="X424" s="5">
        <v>0</v>
      </c>
    </row>
    <row r="425" spans="1:24" ht="12.75" customHeight="1">
      <c r="A425" s="7"/>
      <c r="B425" s="5">
        <v>73524.3</v>
      </c>
      <c r="C425" s="5">
        <v>0</v>
      </c>
      <c r="D425" s="5">
        <v>45011.6</v>
      </c>
      <c r="E425" s="5">
        <v>0</v>
      </c>
      <c r="G425" s="5">
        <v>74939.7</v>
      </c>
      <c r="H425" s="5">
        <v>0</v>
      </c>
      <c r="I425" s="5">
        <v>56708.4</v>
      </c>
      <c r="J425" s="5">
        <v>0</v>
      </c>
      <c r="L425" s="5">
        <v>69960.100000000006</v>
      </c>
      <c r="M425" s="5">
        <v>0</v>
      </c>
      <c r="N425" s="5">
        <v>48917</v>
      </c>
      <c r="O425" s="5">
        <v>0</v>
      </c>
      <c r="Q425" s="5">
        <v>73720.800000000003</v>
      </c>
      <c r="R425" s="5">
        <v>0</v>
      </c>
      <c r="S425" s="5">
        <v>68488.899999999994</v>
      </c>
      <c r="T425" s="5">
        <v>0</v>
      </c>
      <c r="V425" s="5">
        <v>52527.6</v>
      </c>
      <c r="W425" s="5">
        <v>19</v>
      </c>
      <c r="X425" s="5">
        <v>1</v>
      </c>
    </row>
    <row r="426" spans="1:24" ht="12.75" customHeight="1">
      <c r="A426" s="7"/>
      <c r="B426" s="5">
        <v>83578.899999999994</v>
      </c>
      <c r="C426" s="5">
        <v>0</v>
      </c>
      <c r="D426" s="5">
        <v>70560.899999999994</v>
      </c>
      <c r="E426" s="5">
        <v>0</v>
      </c>
      <c r="G426" s="5">
        <v>90081.8</v>
      </c>
      <c r="H426" s="5">
        <v>12</v>
      </c>
      <c r="I426" s="5">
        <v>70797.600000000006</v>
      </c>
      <c r="J426" s="5">
        <v>0</v>
      </c>
      <c r="L426" s="5">
        <v>85653.9</v>
      </c>
      <c r="M426" s="5">
        <v>6</v>
      </c>
      <c r="N426" s="5">
        <v>68330.2</v>
      </c>
      <c r="O426" s="5">
        <v>0</v>
      </c>
      <c r="Q426" s="5">
        <v>91856.5</v>
      </c>
      <c r="R426" s="5">
        <v>15</v>
      </c>
      <c r="S426" s="5">
        <v>74741.899999999994</v>
      </c>
      <c r="T426" s="5">
        <v>0</v>
      </c>
      <c r="V426" s="5">
        <v>64961.3</v>
      </c>
      <c r="W426" s="5">
        <v>0</v>
      </c>
      <c r="X426" s="5">
        <v>0</v>
      </c>
    </row>
    <row r="427" spans="1:24" ht="12.75" customHeight="1">
      <c r="A427" s="7"/>
      <c r="B427" s="5">
        <v>87525.8</v>
      </c>
      <c r="C427" s="5">
        <v>0</v>
      </c>
      <c r="D427" s="5">
        <v>67924.7</v>
      </c>
      <c r="E427" s="5">
        <v>0</v>
      </c>
      <c r="G427" s="5">
        <v>103460</v>
      </c>
      <c r="H427" s="5">
        <v>35</v>
      </c>
      <c r="I427" s="5">
        <v>81850.399999999994</v>
      </c>
      <c r="J427" s="5">
        <v>5</v>
      </c>
      <c r="L427" s="5">
        <v>90749.6</v>
      </c>
      <c r="M427" s="5">
        <v>18</v>
      </c>
      <c r="N427" s="5">
        <v>67025</v>
      </c>
      <c r="O427" s="5">
        <v>0</v>
      </c>
      <c r="Q427" s="5">
        <v>91000.3</v>
      </c>
      <c r="R427" s="5">
        <v>0</v>
      </c>
      <c r="S427" s="5">
        <v>94694.5</v>
      </c>
      <c r="T427" s="5">
        <v>35</v>
      </c>
      <c r="V427" s="5">
        <v>69579.3</v>
      </c>
      <c r="W427" s="5">
        <v>0</v>
      </c>
      <c r="X427" s="5">
        <v>1</v>
      </c>
    </row>
    <row r="428" spans="1:24" ht="12.75" customHeight="1">
      <c r="A428" s="7"/>
      <c r="B428" s="5">
        <v>77218.5</v>
      </c>
      <c r="C428" s="5">
        <v>0</v>
      </c>
      <c r="D428" s="5">
        <v>58628.9</v>
      </c>
      <c r="E428" s="5">
        <v>0</v>
      </c>
      <c r="G428" s="5">
        <v>87226</v>
      </c>
      <c r="H428" s="5">
        <v>25</v>
      </c>
      <c r="I428" s="5">
        <v>78177.899999999994</v>
      </c>
      <c r="J428" s="5">
        <v>19</v>
      </c>
      <c r="L428" s="5">
        <v>78246.899999999994</v>
      </c>
      <c r="M428" s="5">
        <v>17</v>
      </c>
      <c r="N428" s="5">
        <v>58892</v>
      </c>
      <c r="O428" s="5">
        <v>0</v>
      </c>
      <c r="Q428" s="5">
        <v>72468.899999999994</v>
      </c>
      <c r="R428" s="5">
        <v>0</v>
      </c>
      <c r="S428" s="5">
        <v>70981.3</v>
      </c>
      <c r="T428" s="5">
        <v>0</v>
      </c>
      <c r="V428" s="5">
        <v>56231.4</v>
      </c>
      <c r="W428" s="5">
        <v>0</v>
      </c>
      <c r="X428" s="5">
        <v>0</v>
      </c>
    </row>
    <row r="429" spans="1:24" ht="12.75" customHeight="1">
      <c r="A429" s="7"/>
      <c r="B429" s="5">
        <v>73128.7</v>
      </c>
      <c r="C429" s="5">
        <v>0</v>
      </c>
      <c r="D429" s="5">
        <v>78569.600000000006</v>
      </c>
      <c r="E429" s="5">
        <v>31</v>
      </c>
      <c r="G429" s="5">
        <v>93847</v>
      </c>
      <c r="H429" s="5">
        <v>43</v>
      </c>
      <c r="I429" s="5">
        <v>59630.9</v>
      </c>
      <c r="J429" s="5">
        <v>0</v>
      </c>
      <c r="L429" s="5">
        <v>90403.7</v>
      </c>
      <c r="M429" s="5">
        <v>48</v>
      </c>
      <c r="N429" s="5">
        <v>58559.8</v>
      </c>
      <c r="O429" s="5">
        <v>12</v>
      </c>
      <c r="Q429" s="5">
        <v>74830.7</v>
      </c>
      <c r="R429" s="5">
        <v>0</v>
      </c>
      <c r="S429" s="5">
        <v>90791.7</v>
      </c>
      <c r="T429" s="5">
        <v>47</v>
      </c>
      <c r="V429" s="5">
        <v>51401.599999999999</v>
      </c>
      <c r="W429" s="5">
        <v>0</v>
      </c>
      <c r="X429" s="5">
        <v>0</v>
      </c>
    </row>
    <row r="430" spans="1:24" ht="12.75" customHeight="1">
      <c r="A430" s="7"/>
      <c r="B430" s="5">
        <v>91337.2</v>
      </c>
      <c r="C430" s="5">
        <v>0</v>
      </c>
      <c r="D430" s="5">
        <v>69647.8</v>
      </c>
      <c r="E430" s="5">
        <v>0</v>
      </c>
      <c r="G430" s="5">
        <v>86933.3</v>
      </c>
      <c r="H430" s="5">
        <v>0</v>
      </c>
      <c r="I430" s="5">
        <v>112882</v>
      </c>
      <c r="J430" s="5">
        <v>68</v>
      </c>
      <c r="L430" s="5">
        <v>90822.7</v>
      </c>
      <c r="M430" s="5">
        <v>0</v>
      </c>
      <c r="N430" s="5">
        <v>71086.899999999994</v>
      </c>
      <c r="O430" s="5">
        <v>0</v>
      </c>
      <c r="Q430" s="5">
        <v>90235.1</v>
      </c>
      <c r="R430" s="5">
        <v>3</v>
      </c>
      <c r="S430" s="5">
        <v>78198.899999999994</v>
      </c>
      <c r="T430" s="5">
        <v>0</v>
      </c>
      <c r="V430" s="5">
        <v>67867.899999999994</v>
      </c>
      <c r="W430" s="5">
        <v>0</v>
      </c>
      <c r="X430" s="5">
        <v>1</v>
      </c>
    </row>
    <row r="431" spans="1:24" ht="12.75" customHeight="1">
      <c r="A431" s="7"/>
      <c r="B431" s="5">
        <v>62224.6</v>
      </c>
      <c r="C431" s="5">
        <v>0</v>
      </c>
      <c r="D431" s="5">
        <v>57256.4</v>
      </c>
      <c r="E431" s="5">
        <v>6</v>
      </c>
      <c r="G431" s="5">
        <v>69341</v>
      </c>
      <c r="H431" s="5">
        <v>0</v>
      </c>
      <c r="I431" s="5">
        <v>61686.9</v>
      </c>
      <c r="J431" s="5">
        <v>0</v>
      </c>
      <c r="L431" s="5">
        <v>64600</v>
      </c>
      <c r="M431" s="5">
        <v>0</v>
      </c>
      <c r="N431" s="5">
        <v>50955</v>
      </c>
      <c r="O431" s="5">
        <v>0</v>
      </c>
      <c r="Q431" s="5">
        <v>68652.899999999994</v>
      </c>
      <c r="R431" s="5">
        <v>0</v>
      </c>
      <c r="S431" s="5">
        <v>64312.7</v>
      </c>
      <c r="T431" s="5">
        <v>2</v>
      </c>
      <c r="V431" s="5">
        <v>48476.7</v>
      </c>
      <c r="W431" s="5">
        <v>0</v>
      </c>
      <c r="X431" s="5">
        <v>0</v>
      </c>
    </row>
    <row r="432" spans="1:24" ht="12.75" customHeight="1">
      <c r="A432" s="7"/>
      <c r="B432" s="5">
        <v>140821</v>
      </c>
      <c r="C432" s="5">
        <v>127</v>
      </c>
      <c r="D432" s="5">
        <v>106198</v>
      </c>
      <c r="E432" s="5">
        <v>89</v>
      </c>
      <c r="G432" s="5">
        <v>133282</v>
      </c>
      <c r="H432" s="5">
        <v>105</v>
      </c>
      <c r="I432" s="5">
        <v>83137.2</v>
      </c>
      <c r="J432" s="5">
        <v>46</v>
      </c>
      <c r="L432" s="5">
        <v>130676</v>
      </c>
      <c r="M432" s="5">
        <v>96</v>
      </c>
      <c r="N432" s="5">
        <v>169204</v>
      </c>
      <c r="O432" s="5">
        <v>219</v>
      </c>
      <c r="Q432" s="5">
        <v>139905</v>
      </c>
      <c r="R432" s="5">
        <v>114</v>
      </c>
      <c r="S432" s="5">
        <v>139907</v>
      </c>
      <c r="T432" s="5">
        <v>132</v>
      </c>
      <c r="V432" s="5">
        <v>60388</v>
      </c>
      <c r="W432" s="5">
        <v>0</v>
      </c>
      <c r="X432" s="5">
        <v>0</v>
      </c>
    </row>
    <row r="433" spans="1:24" ht="12.75" customHeight="1">
      <c r="A433" s="7"/>
      <c r="B433" s="5">
        <v>104130</v>
      </c>
      <c r="C433" s="5">
        <v>43</v>
      </c>
      <c r="D433" s="5">
        <v>92961.1</v>
      </c>
      <c r="E433" s="5">
        <v>59</v>
      </c>
      <c r="G433" s="5">
        <v>116524</v>
      </c>
      <c r="H433" s="5">
        <v>67</v>
      </c>
      <c r="I433" s="5">
        <v>69691.899999999994</v>
      </c>
      <c r="J433" s="5">
        <v>11</v>
      </c>
      <c r="L433" s="5">
        <v>98443.3</v>
      </c>
      <c r="M433" s="5">
        <v>29</v>
      </c>
      <c r="N433" s="5">
        <v>90126.7</v>
      </c>
      <c r="O433" s="5">
        <v>61</v>
      </c>
      <c r="Q433" s="5">
        <v>87386.5</v>
      </c>
      <c r="R433" s="5">
        <v>27</v>
      </c>
      <c r="S433" s="5">
        <v>101788</v>
      </c>
      <c r="T433" s="5">
        <v>56</v>
      </c>
      <c r="V433" s="5">
        <v>57552.1</v>
      </c>
      <c r="W433" s="5">
        <v>0</v>
      </c>
      <c r="X433" s="5">
        <v>1</v>
      </c>
    </row>
    <row r="434" spans="1:24" ht="12.75" customHeight="1">
      <c r="A434" s="7"/>
      <c r="B434" s="5">
        <v>72733.5</v>
      </c>
      <c r="C434" s="5">
        <v>0</v>
      </c>
      <c r="D434" s="5">
        <v>82196.5</v>
      </c>
      <c r="E434" s="5">
        <v>44</v>
      </c>
      <c r="G434" s="5">
        <v>75059.399999999994</v>
      </c>
      <c r="H434" s="5">
        <v>0</v>
      </c>
      <c r="I434" s="5">
        <v>67193.899999999994</v>
      </c>
      <c r="J434" s="5">
        <v>0</v>
      </c>
      <c r="L434" s="5">
        <v>89493.7</v>
      </c>
      <c r="M434" s="5">
        <v>27</v>
      </c>
      <c r="N434" s="5">
        <v>58846.5</v>
      </c>
      <c r="O434" s="5">
        <v>0</v>
      </c>
      <c r="Q434" s="5">
        <v>96115.1</v>
      </c>
      <c r="R434" s="5">
        <v>45</v>
      </c>
      <c r="S434" s="5">
        <v>68716.100000000006</v>
      </c>
      <c r="T434" s="5">
        <v>0</v>
      </c>
      <c r="V434" s="5">
        <v>57359.3</v>
      </c>
      <c r="W434" s="5">
        <v>0</v>
      </c>
      <c r="X434" s="5">
        <v>0</v>
      </c>
    </row>
    <row r="435" spans="1:24" ht="12.75" customHeight="1">
      <c r="A435" s="7"/>
      <c r="B435" s="5">
        <v>74932</v>
      </c>
      <c r="C435" s="5">
        <v>0</v>
      </c>
      <c r="D435" s="5">
        <v>64049.8</v>
      </c>
      <c r="E435" s="5">
        <v>0</v>
      </c>
      <c r="G435" s="5">
        <v>78206.7</v>
      </c>
      <c r="H435" s="5">
        <v>0</v>
      </c>
      <c r="I435" s="5">
        <v>68321</v>
      </c>
      <c r="J435" s="5">
        <v>0</v>
      </c>
      <c r="L435" s="5">
        <v>102046</v>
      </c>
      <c r="M435" s="5">
        <v>52</v>
      </c>
      <c r="N435" s="5">
        <v>60703.3</v>
      </c>
      <c r="O435" s="5">
        <v>0</v>
      </c>
      <c r="Q435" s="5">
        <v>78522.5</v>
      </c>
      <c r="R435" s="5">
        <v>0</v>
      </c>
      <c r="S435" s="5">
        <v>68542.8</v>
      </c>
      <c r="T435" s="5">
        <v>0</v>
      </c>
      <c r="V435" s="5">
        <v>57679.199999999997</v>
      </c>
      <c r="W435" s="5">
        <v>0</v>
      </c>
      <c r="X435" s="5">
        <v>0</v>
      </c>
    </row>
    <row r="436" spans="1:24" ht="12.75" customHeight="1">
      <c r="A436" s="7"/>
      <c r="B436" s="5">
        <v>84188</v>
      </c>
      <c r="C436" s="5">
        <v>31</v>
      </c>
      <c r="D436" s="5">
        <v>59043.199999999997</v>
      </c>
      <c r="E436" s="5">
        <v>5</v>
      </c>
      <c r="G436" s="5">
        <v>89928.8</v>
      </c>
      <c r="H436" s="5">
        <v>36</v>
      </c>
      <c r="I436" s="5">
        <v>58245.2</v>
      </c>
      <c r="J436" s="5">
        <v>0</v>
      </c>
      <c r="L436" s="5">
        <v>70436.399999999994</v>
      </c>
      <c r="M436" s="5">
        <v>0</v>
      </c>
      <c r="N436" s="5">
        <v>79986.399999999994</v>
      </c>
      <c r="O436" s="5">
        <v>45</v>
      </c>
      <c r="Q436" s="5">
        <v>76973.600000000006</v>
      </c>
      <c r="R436" s="5">
        <v>11</v>
      </c>
      <c r="S436" s="5">
        <v>68617.2</v>
      </c>
      <c r="T436" s="5">
        <v>0</v>
      </c>
      <c r="V436" s="5">
        <v>53426.6</v>
      </c>
      <c r="W436" s="5">
        <v>0</v>
      </c>
      <c r="X436" s="5">
        <v>1</v>
      </c>
    </row>
    <row r="437" spans="1:24" ht="12.75" customHeight="1">
      <c r="A437" s="7"/>
      <c r="B437" s="5">
        <v>79213.8</v>
      </c>
      <c r="C437" s="5">
        <v>16</v>
      </c>
      <c r="D437" s="5">
        <v>58645.2</v>
      </c>
      <c r="E437" s="5">
        <v>0</v>
      </c>
      <c r="G437" s="5">
        <v>74639.8</v>
      </c>
      <c r="H437" s="5">
        <v>0</v>
      </c>
      <c r="I437" s="5">
        <v>67072.2</v>
      </c>
      <c r="J437" s="5">
        <v>0</v>
      </c>
      <c r="L437" s="5">
        <v>67541.7</v>
      </c>
      <c r="M437" s="5">
        <v>0</v>
      </c>
      <c r="N437" s="5">
        <v>72314.5</v>
      </c>
      <c r="O437" s="5">
        <v>36</v>
      </c>
      <c r="Q437" s="5">
        <v>72031.600000000006</v>
      </c>
      <c r="R437" s="5">
        <v>0</v>
      </c>
      <c r="S437" s="5">
        <v>84235.7</v>
      </c>
      <c r="T437" s="5">
        <v>41</v>
      </c>
      <c r="V437" s="5">
        <v>69856.100000000006</v>
      </c>
      <c r="W437" s="5">
        <v>29</v>
      </c>
      <c r="X437" s="5">
        <v>0</v>
      </c>
    </row>
    <row r="438" spans="1:24" ht="12.75" customHeight="1">
      <c r="A438" s="7"/>
      <c r="B438" s="5">
        <v>82254.899999999994</v>
      </c>
      <c r="C438" s="5">
        <v>11</v>
      </c>
      <c r="D438" s="5">
        <v>60855.7</v>
      </c>
      <c r="E438" s="5">
        <v>0</v>
      </c>
      <c r="G438" s="5">
        <v>72857.3</v>
      </c>
      <c r="H438" s="5">
        <v>0</v>
      </c>
      <c r="I438" s="5">
        <v>77045.399999999994</v>
      </c>
      <c r="J438" s="5">
        <v>10</v>
      </c>
      <c r="L438" s="5">
        <v>93034</v>
      </c>
      <c r="M438" s="5">
        <v>23</v>
      </c>
      <c r="N438" s="5">
        <v>51688.5</v>
      </c>
      <c r="O438" s="5">
        <v>0</v>
      </c>
      <c r="Q438" s="5">
        <v>78848.2</v>
      </c>
      <c r="R438" s="5">
        <v>3</v>
      </c>
      <c r="S438" s="5">
        <v>86518.8</v>
      </c>
      <c r="T438" s="5">
        <v>42</v>
      </c>
      <c r="V438" s="5">
        <v>50677</v>
      </c>
      <c r="W438" s="5">
        <v>0</v>
      </c>
      <c r="X438" s="5">
        <v>1</v>
      </c>
    </row>
    <row r="439" spans="1:24" ht="12.75" customHeight="1">
      <c r="A439" s="7"/>
      <c r="B439" s="5">
        <v>110927</v>
      </c>
      <c r="C439" s="5">
        <v>44</v>
      </c>
      <c r="D439" s="5">
        <v>74752.399999999994</v>
      </c>
      <c r="E439" s="5">
        <v>21</v>
      </c>
      <c r="G439" s="5">
        <v>103101</v>
      </c>
      <c r="H439" s="5">
        <v>38</v>
      </c>
      <c r="I439" s="5">
        <v>72239.199999999997</v>
      </c>
      <c r="J439" s="5">
        <v>0</v>
      </c>
      <c r="L439" s="5">
        <v>90086.2</v>
      </c>
      <c r="M439" s="5">
        <v>0</v>
      </c>
      <c r="N439" s="5">
        <v>73769.7</v>
      </c>
      <c r="O439" s="5">
        <v>0</v>
      </c>
      <c r="Q439" s="5">
        <v>99501.8</v>
      </c>
      <c r="R439" s="5">
        <v>15</v>
      </c>
      <c r="S439" s="5">
        <v>97092.7</v>
      </c>
      <c r="T439" s="5">
        <v>31</v>
      </c>
      <c r="V439" s="5">
        <v>56902.3</v>
      </c>
      <c r="W439" s="5">
        <v>0</v>
      </c>
      <c r="X439" s="5">
        <v>0</v>
      </c>
    </row>
    <row r="440" spans="1:24" ht="12.75" customHeight="1">
      <c r="A440" s="7"/>
      <c r="B440" s="5">
        <v>83133.600000000006</v>
      </c>
      <c r="C440" s="5">
        <v>17</v>
      </c>
      <c r="D440" s="5">
        <v>65197.4</v>
      </c>
      <c r="E440" s="5">
        <v>0</v>
      </c>
      <c r="G440" s="5">
        <v>103255</v>
      </c>
      <c r="H440" s="5">
        <v>61</v>
      </c>
      <c r="I440" s="5">
        <v>107892</v>
      </c>
      <c r="J440" s="5">
        <v>83</v>
      </c>
      <c r="L440" s="5">
        <v>76432.600000000006</v>
      </c>
      <c r="M440" s="5">
        <v>0</v>
      </c>
      <c r="N440" s="5">
        <v>77623</v>
      </c>
      <c r="O440" s="5">
        <v>41</v>
      </c>
      <c r="Q440" s="5">
        <v>80595.7</v>
      </c>
      <c r="R440" s="5">
        <v>0</v>
      </c>
      <c r="S440" s="5">
        <v>102085</v>
      </c>
      <c r="T440" s="5">
        <v>63</v>
      </c>
      <c r="V440" s="5">
        <v>55995.6</v>
      </c>
      <c r="W440" s="5">
        <v>0</v>
      </c>
      <c r="X440" s="5">
        <v>1</v>
      </c>
    </row>
    <row r="441" spans="1:24" ht="12.75" customHeight="1">
      <c r="A441" s="7"/>
      <c r="B441" s="5">
        <v>91879.5</v>
      </c>
      <c r="C441" s="5">
        <v>0</v>
      </c>
      <c r="D441" s="5">
        <v>75040.800000000003</v>
      </c>
      <c r="E441" s="5">
        <v>0</v>
      </c>
      <c r="G441" s="5">
        <v>97108.7</v>
      </c>
      <c r="H441" s="5">
        <v>0</v>
      </c>
      <c r="I441" s="5">
        <v>87491.8</v>
      </c>
      <c r="J441" s="5">
        <v>0</v>
      </c>
      <c r="L441" s="5">
        <v>88384.9</v>
      </c>
      <c r="M441" s="5">
        <v>0</v>
      </c>
      <c r="N441" s="5">
        <v>80319.899999999994</v>
      </c>
      <c r="O441" s="5">
        <v>0</v>
      </c>
      <c r="Q441" s="5">
        <v>93934.6</v>
      </c>
      <c r="R441" s="5">
        <v>0</v>
      </c>
      <c r="S441" s="5">
        <v>87221.3</v>
      </c>
      <c r="T441" s="5">
        <v>0</v>
      </c>
      <c r="V441" s="5">
        <v>75284.600000000006</v>
      </c>
      <c r="W441" s="5">
        <v>0</v>
      </c>
      <c r="X441" s="5">
        <v>0</v>
      </c>
    </row>
    <row r="442" spans="1:24" ht="12.75" customHeight="1">
      <c r="A442" s="7"/>
      <c r="B442" s="5">
        <v>123633</v>
      </c>
      <c r="C442" s="5">
        <v>95</v>
      </c>
      <c r="D442" s="5">
        <v>88249.4</v>
      </c>
      <c r="E442" s="5">
        <v>34</v>
      </c>
      <c r="G442" s="5">
        <v>164244</v>
      </c>
      <c r="H442" s="5">
        <v>153</v>
      </c>
      <c r="I442" s="5">
        <v>94372.6</v>
      </c>
      <c r="J442" s="5">
        <v>48</v>
      </c>
      <c r="L442" s="5">
        <v>114126</v>
      </c>
      <c r="M442" s="5">
        <v>68</v>
      </c>
      <c r="N442" s="5">
        <v>77416.399999999994</v>
      </c>
      <c r="O442" s="5">
        <v>32</v>
      </c>
      <c r="Q442" s="5">
        <v>94590.8</v>
      </c>
      <c r="R442" s="5">
        <v>13</v>
      </c>
      <c r="S442" s="5">
        <v>98681.600000000006</v>
      </c>
      <c r="T442" s="5">
        <v>42</v>
      </c>
      <c r="V442" s="5">
        <v>65990.5</v>
      </c>
      <c r="W442" s="5">
        <v>0</v>
      </c>
      <c r="X442" s="5">
        <v>0</v>
      </c>
    </row>
    <row r="443" spans="1:24" ht="12.75" customHeight="1">
      <c r="A443" s="7"/>
      <c r="B443" s="5">
        <v>160935</v>
      </c>
      <c r="C443" s="5">
        <v>169</v>
      </c>
      <c r="D443" s="5">
        <v>90033.1</v>
      </c>
      <c r="E443" s="5">
        <v>58</v>
      </c>
      <c r="G443" s="5">
        <v>152029</v>
      </c>
      <c r="H443" s="5">
        <v>156</v>
      </c>
      <c r="I443" s="5">
        <v>133501</v>
      </c>
      <c r="J443" s="5">
        <v>123</v>
      </c>
      <c r="L443" s="5">
        <v>177325</v>
      </c>
      <c r="M443" s="5">
        <v>188</v>
      </c>
      <c r="N443" s="5">
        <v>77938.100000000006</v>
      </c>
      <c r="O443" s="5">
        <v>35</v>
      </c>
      <c r="Q443" s="5">
        <v>176127</v>
      </c>
      <c r="R443" s="5">
        <v>185</v>
      </c>
      <c r="S443" s="5">
        <v>103681</v>
      </c>
      <c r="T443" s="5">
        <v>61</v>
      </c>
      <c r="V443" s="5">
        <v>59146.6</v>
      </c>
      <c r="W443" s="5">
        <v>0</v>
      </c>
      <c r="X443" s="5">
        <v>1</v>
      </c>
    </row>
    <row r="444" spans="1:24" ht="12.75" customHeight="1">
      <c r="A444" s="7"/>
      <c r="B444" s="5">
        <v>130457</v>
      </c>
      <c r="C444" s="5">
        <v>111</v>
      </c>
      <c r="D444" s="5">
        <v>75028.5</v>
      </c>
      <c r="E444" s="5">
        <v>35</v>
      </c>
      <c r="G444" s="5">
        <v>77506.7</v>
      </c>
      <c r="H444" s="5">
        <v>0</v>
      </c>
      <c r="I444" s="5">
        <v>102885</v>
      </c>
      <c r="J444" s="5">
        <v>71</v>
      </c>
      <c r="L444" s="5">
        <v>107840</v>
      </c>
      <c r="M444" s="5">
        <v>62</v>
      </c>
      <c r="N444" s="5">
        <v>87830.5</v>
      </c>
      <c r="O444" s="5">
        <v>55</v>
      </c>
      <c r="Q444" s="5">
        <v>78360</v>
      </c>
      <c r="R444" s="5">
        <v>0</v>
      </c>
      <c r="S444" s="5">
        <v>101801</v>
      </c>
      <c r="T444" s="5">
        <v>73</v>
      </c>
      <c r="V444" s="5">
        <v>60740.800000000003</v>
      </c>
      <c r="W444" s="5">
        <v>0</v>
      </c>
      <c r="X444" s="5">
        <v>0</v>
      </c>
    </row>
    <row r="445" spans="1:24" ht="12.75" customHeight="1">
      <c r="A445" s="7"/>
      <c r="B445" s="5">
        <v>80941.2</v>
      </c>
      <c r="C445" s="5">
        <v>0</v>
      </c>
      <c r="D445" s="5">
        <v>65577.8</v>
      </c>
      <c r="E445" s="5">
        <v>0</v>
      </c>
      <c r="G445" s="5">
        <v>79465.399999999994</v>
      </c>
      <c r="H445" s="5">
        <v>0</v>
      </c>
      <c r="I445" s="5">
        <v>66501.399999999994</v>
      </c>
      <c r="J445" s="5">
        <v>0</v>
      </c>
      <c r="L445" s="5">
        <v>88296</v>
      </c>
      <c r="M445" s="5">
        <v>18</v>
      </c>
      <c r="N445" s="5">
        <v>62211.1</v>
      </c>
      <c r="O445" s="5">
        <v>0</v>
      </c>
      <c r="Q445" s="5">
        <v>86855.5</v>
      </c>
      <c r="R445" s="5">
        <v>0</v>
      </c>
      <c r="S445" s="5">
        <v>100794</v>
      </c>
      <c r="T445" s="5">
        <v>43</v>
      </c>
      <c r="V445" s="5">
        <v>60051.6</v>
      </c>
      <c r="W445" s="5">
        <v>0</v>
      </c>
      <c r="X445" s="5">
        <v>1</v>
      </c>
    </row>
    <row r="446" spans="1:24" ht="12.75" customHeight="1">
      <c r="A446" s="7"/>
      <c r="B446" s="5">
        <v>119282</v>
      </c>
      <c r="C446" s="5">
        <v>93</v>
      </c>
      <c r="D446" s="5">
        <v>86786.6</v>
      </c>
      <c r="E446" s="5">
        <v>65</v>
      </c>
      <c r="G446" s="5">
        <v>140996</v>
      </c>
      <c r="H446" s="5">
        <v>138</v>
      </c>
      <c r="I446" s="5">
        <v>72328.100000000006</v>
      </c>
      <c r="J446" s="5">
        <v>28</v>
      </c>
      <c r="L446" s="5">
        <v>106068</v>
      </c>
      <c r="M446" s="5">
        <v>78</v>
      </c>
      <c r="N446" s="5">
        <v>89489.7</v>
      </c>
      <c r="O446" s="5">
        <v>70</v>
      </c>
      <c r="Q446" s="5">
        <v>118872</v>
      </c>
      <c r="R446" s="5">
        <v>97</v>
      </c>
      <c r="S446" s="5">
        <v>101592</v>
      </c>
      <c r="T446" s="5">
        <v>76</v>
      </c>
      <c r="V446" s="5">
        <v>101235</v>
      </c>
      <c r="W446" s="5">
        <v>104</v>
      </c>
      <c r="X446" s="5">
        <v>0</v>
      </c>
    </row>
    <row r="447" spans="1:24" ht="12.75" customHeight="1">
      <c r="A447" s="7"/>
      <c r="B447" s="5">
        <v>94237.5</v>
      </c>
      <c r="C447" s="5">
        <v>56</v>
      </c>
      <c r="D447" s="5">
        <v>54565.4</v>
      </c>
      <c r="E447" s="5">
        <v>0</v>
      </c>
      <c r="G447" s="5">
        <v>106313</v>
      </c>
      <c r="H447" s="5">
        <v>62</v>
      </c>
      <c r="I447" s="5">
        <v>88381.1</v>
      </c>
      <c r="J447" s="5">
        <v>45</v>
      </c>
      <c r="L447" s="5">
        <v>95723.1</v>
      </c>
      <c r="M447" s="5">
        <v>42</v>
      </c>
      <c r="N447" s="5">
        <v>55616.7</v>
      </c>
      <c r="O447" s="5">
        <v>0</v>
      </c>
      <c r="Q447" s="5">
        <v>73408.3</v>
      </c>
      <c r="R447" s="5">
        <v>0</v>
      </c>
      <c r="S447" s="5">
        <v>66851.199999999997</v>
      </c>
      <c r="T447" s="5">
        <v>0</v>
      </c>
      <c r="V447" s="5">
        <v>50615.3</v>
      </c>
      <c r="W447" s="5">
        <v>0</v>
      </c>
      <c r="X447" s="5">
        <v>0</v>
      </c>
    </row>
    <row r="448" spans="1:24" ht="12.75" customHeight="1">
      <c r="A448" s="7"/>
      <c r="B448" s="5">
        <v>67218.8</v>
      </c>
      <c r="C448" s="5">
        <v>0</v>
      </c>
      <c r="D448" s="5">
        <v>59873.8</v>
      </c>
      <c r="E448" s="5">
        <v>16</v>
      </c>
      <c r="G448" s="5">
        <v>67954</v>
      </c>
      <c r="H448" s="5">
        <v>0</v>
      </c>
      <c r="I448" s="5">
        <v>62970.6</v>
      </c>
      <c r="J448" s="5">
        <v>16</v>
      </c>
      <c r="L448" s="5">
        <v>65549.3</v>
      </c>
      <c r="M448" s="5">
        <v>0</v>
      </c>
      <c r="N448" s="5">
        <v>48329.599999999999</v>
      </c>
      <c r="O448" s="5">
        <v>0</v>
      </c>
      <c r="Q448" s="5">
        <v>69254.5</v>
      </c>
      <c r="R448" s="5">
        <v>0</v>
      </c>
      <c r="S448" s="5">
        <v>57079.6</v>
      </c>
      <c r="T448" s="5">
        <v>0</v>
      </c>
      <c r="V448" s="5">
        <v>46752</v>
      </c>
      <c r="W448" s="5">
        <v>0</v>
      </c>
      <c r="X448" s="5">
        <v>1</v>
      </c>
    </row>
    <row r="449" spans="1:24" ht="12.75" customHeight="1">
      <c r="A449" s="7"/>
      <c r="B449" s="5">
        <v>67339</v>
      </c>
      <c r="C449" s="5">
        <v>0</v>
      </c>
      <c r="D449" s="5">
        <v>53139.1</v>
      </c>
      <c r="E449" s="5">
        <v>0</v>
      </c>
      <c r="G449" s="5">
        <v>72860.2</v>
      </c>
      <c r="H449" s="5">
        <v>0</v>
      </c>
      <c r="I449" s="5">
        <v>79623.600000000006</v>
      </c>
      <c r="J449" s="5">
        <v>27</v>
      </c>
      <c r="L449" s="5">
        <v>76463.399999999994</v>
      </c>
      <c r="M449" s="5">
        <v>0</v>
      </c>
      <c r="N449" s="5">
        <v>63843.7</v>
      </c>
      <c r="O449" s="5">
        <v>13</v>
      </c>
      <c r="Q449" s="5">
        <v>69456.5</v>
      </c>
      <c r="R449" s="5">
        <v>0</v>
      </c>
      <c r="S449" s="5">
        <v>61427</v>
      </c>
      <c r="T449" s="5">
        <v>0</v>
      </c>
      <c r="V449" s="5">
        <v>52364.7</v>
      </c>
      <c r="W449" s="5">
        <v>0</v>
      </c>
      <c r="X449" s="5">
        <v>0</v>
      </c>
    </row>
    <row r="450" spans="1:24" ht="12.75" customHeight="1">
      <c r="A450" s="7"/>
      <c r="B450" s="5">
        <v>68904</v>
      </c>
      <c r="C450" s="5">
        <v>0</v>
      </c>
      <c r="D450" s="5">
        <v>46871.4</v>
      </c>
      <c r="E450" s="5">
        <v>0</v>
      </c>
      <c r="G450" s="5">
        <v>64170</v>
      </c>
      <c r="H450" s="5">
        <v>0</v>
      </c>
      <c r="I450" s="5">
        <v>58625</v>
      </c>
      <c r="J450" s="5">
        <v>0</v>
      </c>
      <c r="L450" s="5">
        <v>67509.5</v>
      </c>
      <c r="M450" s="5">
        <v>0</v>
      </c>
      <c r="N450" s="5">
        <v>53676.7</v>
      </c>
      <c r="O450" s="5">
        <v>0</v>
      </c>
      <c r="Q450" s="5">
        <v>69540.3</v>
      </c>
      <c r="R450" s="5">
        <v>0</v>
      </c>
      <c r="S450" s="5">
        <v>55598.7</v>
      </c>
      <c r="T450" s="5">
        <v>0</v>
      </c>
      <c r="V450" s="5">
        <v>44972.9</v>
      </c>
      <c r="W450" s="5">
        <v>0</v>
      </c>
      <c r="X450" s="5">
        <v>0</v>
      </c>
    </row>
    <row r="451" spans="1:24" ht="12.75" customHeight="1">
      <c r="A451" s="7"/>
      <c r="B451" s="5">
        <v>78483.100000000006</v>
      </c>
      <c r="C451" s="5">
        <v>31</v>
      </c>
      <c r="D451" s="5">
        <v>81640.800000000003</v>
      </c>
      <c r="E451" s="5">
        <v>61</v>
      </c>
      <c r="G451" s="5">
        <v>109457</v>
      </c>
      <c r="H451" s="5">
        <v>101</v>
      </c>
      <c r="I451" s="5">
        <v>68656.399999999994</v>
      </c>
      <c r="J451" s="5">
        <v>35</v>
      </c>
      <c r="L451" s="5">
        <v>85267.3</v>
      </c>
      <c r="M451" s="5">
        <v>42</v>
      </c>
      <c r="N451" s="5">
        <v>101925</v>
      </c>
      <c r="O451" s="5">
        <v>100</v>
      </c>
      <c r="Q451" s="5">
        <v>84038.1</v>
      </c>
      <c r="R451" s="5">
        <v>35</v>
      </c>
      <c r="S451" s="5">
        <v>91802</v>
      </c>
      <c r="T451" s="5">
        <v>74</v>
      </c>
      <c r="V451" s="5">
        <v>62496.5</v>
      </c>
      <c r="W451" s="5">
        <v>33</v>
      </c>
      <c r="X451" s="5">
        <v>1</v>
      </c>
    </row>
    <row r="452" spans="1:24" ht="12.75" customHeight="1">
      <c r="A452" s="7"/>
      <c r="B452" s="5">
        <v>78840.600000000006</v>
      </c>
      <c r="C452" s="5">
        <v>22</v>
      </c>
      <c r="D452" s="5">
        <v>77924</v>
      </c>
      <c r="E452" s="5">
        <v>53</v>
      </c>
      <c r="G452" s="5">
        <v>84275.1</v>
      </c>
      <c r="H452" s="5">
        <v>43</v>
      </c>
      <c r="I452" s="5">
        <v>87614</v>
      </c>
      <c r="J452" s="5">
        <v>67</v>
      </c>
      <c r="L452" s="5">
        <v>68450</v>
      </c>
      <c r="M452" s="5">
        <v>0</v>
      </c>
      <c r="N452" s="5">
        <v>67588.3</v>
      </c>
      <c r="O452" s="5">
        <v>27</v>
      </c>
      <c r="Q452" s="5">
        <v>110026</v>
      </c>
      <c r="R452" s="5">
        <v>84</v>
      </c>
      <c r="S452" s="5">
        <v>58523.3</v>
      </c>
      <c r="T452" s="5">
        <v>0</v>
      </c>
      <c r="V452" s="5">
        <v>63857.5</v>
      </c>
      <c r="W452" s="5">
        <v>27</v>
      </c>
      <c r="X452" s="5">
        <v>1</v>
      </c>
    </row>
    <row r="453" spans="1:24" ht="12.75" customHeight="1">
      <c r="A453" s="7"/>
      <c r="B453" s="5">
        <v>84992.8</v>
      </c>
      <c r="C453" s="5">
        <v>31</v>
      </c>
      <c r="D453" s="5">
        <v>87709.9</v>
      </c>
      <c r="E453" s="5">
        <v>57</v>
      </c>
      <c r="G453" s="5">
        <v>119398</v>
      </c>
      <c r="H453" s="5">
        <v>96</v>
      </c>
      <c r="I453" s="5">
        <v>75834</v>
      </c>
      <c r="J453" s="5">
        <v>16</v>
      </c>
      <c r="L453" s="5">
        <v>92750.2</v>
      </c>
      <c r="M453" s="5">
        <v>45</v>
      </c>
      <c r="N453" s="5">
        <v>76836.5</v>
      </c>
      <c r="O453" s="5">
        <v>43</v>
      </c>
      <c r="Q453" s="5">
        <v>101263</v>
      </c>
      <c r="R453" s="5">
        <v>61</v>
      </c>
      <c r="S453" s="5">
        <v>111154</v>
      </c>
      <c r="T453" s="5">
        <v>91</v>
      </c>
      <c r="V453" s="5">
        <v>57241.1</v>
      </c>
      <c r="W453" s="5">
        <v>14</v>
      </c>
      <c r="X453" s="5">
        <v>1</v>
      </c>
    </row>
    <row r="454" spans="1:24" ht="12.75" customHeight="1">
      <c r="A454" s="7"/>
      <c r="B454" s="5">
        <v>77707.7</v>
      </c>
      <c r="C454" s="5">
        <v>16</v>
      </c>
      <c r="D454" s="5">
        <v>85622.5</v>
      </c>
      <c r="E454" s="5">
        <v>55</v>
      </c>
      <c r="G454" s="5">
        <v>71715.600000000006</v>
      </c>
      <c r="H454" s="5">
        <v>6</v>
      </c>
      <c r="I454" s="5">
        <v>85507.199999999997</v>
      </c>
      <c r="J454" s="5">
        <v>58</v>
      </c>
      <c r="L454" s="5">
        <v>91315.8</v>
      </c>
      <c r="M454" s="5">
        <v>39</v>
      </c>
      <c r="N454" s="5">
        <v>51429.4</v>
      </c>
      <c r="O454" s="5">
        <v>0</v>
      </c>
      <c r="Q454" s="5">
        <v>70140.800000000003</v>
      </c>
      <c r="R454" s="5">
        <v>0</v>
      </c>
      <c r="S454" s="5">
        <v>70754.2</v>
      </c>
      <c r="T454" s="5">
        <v>23</v>
      </c>
      <c r="V454" s="5">
        <v>49285.5</v>
      </c>
      <c r="W454" s="5">
        <v>0</v>
      </c>
      <c r="X454" s="5">
        <v>0</v>
      </c>
    </row>
    <row r="455" spans="1:24" ht="12.75" customHeight="1">
      <c r="A455" s="7"/>
      <c r="B455" s="5">
        <v>70524.100000000006</v>
      </c>
      <c r="C455" s="5">
        <v>6</v>
      </c>
      <c r="D455" s="5">
        <v>68402.7</v>
      </c>
      <c r="E455" s="5">
        <v>17</v>
      </c>
      <c r="G455" s="5">
        <v>104312</v>
      </c>
      <c r="H455" s="5">
        <v>63</v>
      </c>
      <c r="I455" s="5">
        <v>74603.199999999997</v>
      </c>
      <c r="J455" s="5">
        <v>19</v>
      </c>
      <c r="L455" s="5">
        <v>79287.3</v>
      </c>
      <c r="M455" s="5">
        <v>12</v>
      </c>
      <c r="N455" s="5">
        <v>84221.4</v>
      </c>
      <c r="O455" s="5">
        <v>61</v>
      </c>
      <c r="Q455" s="5">
        <v>74177.600000000006</v>
      </c>
      <c r="R455" s="5">
        <v>0</v>
      </c>
      <c r="S455" s="5">
        <v>64901.5</v>
      </c>
      <c r="T455" s="5">
        <v>0</v>
      </c>
      <c r="V455" s="5">
        <v>50503.5</v>
      </c>
      <c r="W455" s="5">
        <v>0</v>
      </c>
      <c r="X455" s="5">
        <v>1</v>
      </c>
    </row>
    <row r="456" spans="1:24" ht="12.75" customHeight="1">
      <c r="A456" s="7"/>
      <c r="B456" s="5">
        <v>70738.5</v>
      </c>
      <c r="C456" s="5">
        <v>27</v>
      </c>
      <c r="D456" s="5">
        <v>66581.899999999994</v>
      </c>
      <c r="E456" s="5">
        <v>27</v>
      </c>
      <c r="G456" s="5">
        <v>74873.5</v>
      </c>
      <c r="H456" s="5">
        <v>18</v>
      </c>
      <c r="I456" s="5">
        <v>59687.3</v>
      </c>
      <c r="J456" s="5">
        <v>0</v>
      </c>
      <c r="L456" s="5">
        <v>73669.100000000006</v>
      </c>
      <c r="M456" s="5">
        <v>22</v>
      </c>
      <c r="N456" s="5">
        <v>71868.3</v>
      </c>
      <c r="O456" s="5">
        <v>49</v>
      </c>
      <c r="Q456" s="5">
        <v>140650</v>
      </c>
      <c r="R456" s="5">
        <v>139</v>
      </c>
      <c r="S456" s="5">
        <v>62554.2</v>
      </c>
      <c r="T456" s="5">
        <v>0</v>
      </c>
      <c r="V456" s="5">
        <v>64622.6</v>
      </c>
      <c r="W456" s="5">
        <v>39</v>
      </c>
      <c r="X456" s="5">
        <v>0</v>
      </c>
    </row>
    <row r="457" spans="1:24" ht="12.75" customHeight="1">
      <c r="A457" s="7"/>
      <c r="B457" s="5">
        <v>74671.5</v>
      </c>
      <c r="C457" s="5">
        <v>0</v>
      </c>
      <c r="D457" s="5">
        <v>69919.7</v>
      </c>
      <c r="E457" s="5">
        <v>0</v>
      </c>
      <c r="G457" s="5">
        <v>113792</v>
      </c>
      <c r="H457" s="5">
        <v>76</v>
      </c>
      <c r="I457" s="5">
        <v>100552</v>
      </c>
      <c r="J457" s="5">
        <v>42</v>
      </c>
      <c r="L457" s="5">
        <v>96034.3</v>
      </c>
      <c r="M457" s="5">
        <v>38</v>
      </c>
      <c r="N457" s="5">
        <v>65254.400000000001</v>
      </c>
      <c r="O457" s="5">
        <v>0</v>
      </c>
      <c r="Q457" s="5">
        <v>83232.7</v>
      </c>
      <c r="R457" s="5">
        <v>6</v>
      </c>
      <c r="S457" s="5">
        <v>99835.4</v>
      </c>
      <c r="T457" s="5">
        <v>46</v>
      </c>
      <c r="V457" s="5">
        <v>65385.2</v>
      </c>
      <c r="W457" s="5">
        <v>10</v>
      </c>
      <c r="X457" s="5">
        <v>1</v>
      </c>
    </row>
    <row r="458" spans="1:24" ht="12.75" customHeight="1">
      <c r="A458" s="7"/>
      <c r="B458" s="5">
        <v>81275.7</v>
      </c>
      <c r="C458" s="5">
        <v>16</v>
      </c>
      <c r="D458" s="5">
        <v>61104.6</v>
      </c>
      <c r="E458" s="5">
        <v>6</v>
      </c>
      <c r="G458" s="5">
        <v>74439.100000000006</v>
      </c>
      <c r="H458" s="5">
        <v>0</v>
      </c>
      <c r="I458" s="5">
        <v>85036.6</v>
      </c>
      <c r="J458" s="5">
        <v>45</v>
      </c>
      <c r="L458" s="5">
        <v>93315.4</v>
      </c>
      <c r="M458" s="5">
        <v>42</v>
      </c>
      <c r="N458" s="5">
        <v>58782.6</v>
      </c>
      <c r="O458" s="5">
        <v>0</v>
      </c>
      <c r="Q458" s="5">
        <v>69989.7</v>
      </c>
      <c r="R458" s="5">
        <v>0</v>
      </c>
      <c r="S458" s="5">
        <v>75316.399999999994</v>
      </c>
      <c r="T458" s="5">
        <v>18</v>
      </c>
      <c r="V458" s="5">
        <v>54809.7</v>
      </c>
      <c r="W458" s="5">
        <v>1</v>
      </c>
      <c r="X458" s="5">
        <v>1</v>
      </c>
    </row>
    <row r="459" spans="1:24" ht="12.75" customHeight="1">
      <c r="A459" s="7"/>
      <c r="B459" s="5">
        <v>95694</v>
      </c>
      <c r="C459" s="5">
        <v>48</v>
      </c>
      <c r="D459" s="5">
        <v>55535.4</v>
      </c>
      <c r="E459" s="5">
        <v>0</v>
      </c>
      <c r="G459" s="5">
        <v>84347.5</v>
      </c>
      <c r="H459" s="5">
        <v>28</v>
      </c>
      <c r="I459" s="5">
        <v>80432.600000000006</v>
      </c>
      <c r="J459" s="5">
        <v>36</v>
      </c>
      <c r="L459" s="5">
        <v>75952</v>
      </c>
      <c r="M459" s="5">
        <v>6</v>
      </c>
      <c r="N459" s="5">
        <v>55396.1</v>
      </c>
      <c r="O459" s="5">
        <v>0</v>
      </c>
      <c r="Q459" s="5">
        <v>70392.899999999994</v>
      </c>
      <c r="R459" s="5">
        <v>2</v>
      </c>
      <c r="S459" s="5">
        <v>75986.899999999994</v>
      </c>
      <c r="T459" s="5">
        <v>21</v>
      </c>
      <c r="V459" s="5">
        <v>56658</v>
      </c>
      <c r="W459" s="5">
        <v>0</v>
      </c>
      <c r="X459" s="5">
        <v>0</v>
      </c>
    </row>
    <row r="460" spans="1:24" ht="12.75" customHeight="1">
      <c r="A460" s="7"/>
      <c r="B460" s="5">
        <v>96311.6</v>
      </c>
      <c r="C460" s="5">
        <v>45</v>
      </c>
      <c r="D460" s="5">
        <v>66162.8</v>
      </c>
      <c r="E460" s="5">
        <v>16</v>
      </c>
      <c r="G460" s="5">
        <v>73340.800000000003</v>
      </c>
      <c r="H460" s="5">
        <v>0</v>
      </c>
      <c r="I460" s="5">
        <v>86172.5</v>
      </c>
      <c r="J460" s="5">
        <v>50</v>
      </c>
      <c r="L460" s="5">
        <v>85722.8</v>
      </c>
      <c r="M460" s="5">
        <v>25</v>
      </c>
      <c r="N460" s="5">
        <v>78090.100000000006</v>
      </c>
      <c r="O460" s="5">
        <v>51</v>
      </c>
      <c r="Q460" s="5">
        <v>87116.1</v>
      </c>
      <c r="R460" s="5">
        <v>32</v>
      </c>
      <c r="S460" s="5">
        <v>88078.3</v>
      </c>
      <c r="T460" s="5">
        <v>43</v>
      </c>
      <c r="V460" s="5">
        <v>49908.1</v>
      </c>
      <c r="W460" s="5">
        <v>0</v>
      </c>
      <c r="X460" s="5">
        <v>1</v>
      </c>
    </row>
    <row r="461" spans="1:24" ht="12.75" customHeight="1">
      <c r="A461" s="7"/>
      <c r="B461" s="5">
        <v>54205.9</v>
      </c>
      <c r="C461" s="5">
        <v>1</v>
      </c>
      <c r="D461" s="5">
        <v>47276.800000000003</v>
      </c>
      <c r="E461" s="5">
        <v>0</v>
      </c>
      <c r="G461" s="5">
        <v>89562.5</v>
      </c>
      <c r="H461" s="5">
        <v>63</v>
      </c>
      <c r="I461" s="5">
        <v>48918.7</v>
      </c>
      <c r="J461" s="5">
        <v>0</v>
      </c>
      <c r="L461" s="5">
        <v>66344.600000000006</v>
      </c>
      <c r="M461" s="5">
        <v>19</v>
      </c>
      <c r="N461" s="5">
        <v>47453.4</v>
      </c>
      <c r="O461" s="5">
        <v>9</v>
      </c>
      <c r="Q461" s="5">
        <v>55548</v>
      </c>
      <c r="R461" s="5">
        <v>3</v>
      </c>
      <c r="S461" s="5">
        <v>50590</v>
      </c>
      <c r="T461" s="5">
        <v>0</v>
      </c>
      <c r="V461" s="5">
        <v>39674</v>
      </c>
      <c r="W461" s="5">
        <v>0</v>
      </c>
      <c r="X461" s="5">
        <v>0</v>
      </c>
    </row>
    <row r="462" spans="1:24" ht="12.75" customHeight="1">
      <c r="A462" s="7"/>
      <c r="B462" s="5">
        <v>100558</v>
      </c>
      <c r="C462" s="5">
        <v>51</v>
      </c>
      <c r="D462" s="5">
        <v>70877.7</v>
      </c>
      <c r="E462" s="5">
        <v>14</v>
      </c>
      <c r="G462" s="5">
        <v>96722.1</v>
      </c>
      <c r="H462" s="5">
        <v>40</v>
      </c>
      <c r="I462" s="5">
        <v>68046.100000000006</v>
      </c>
      <c r="J462" s="5">
        <v>6</v>
      </c>
      <c r="L462" s="5">
        <v>116108</v>
      </c>
      <c r="M462" s="5">
        <v>102</v>
      </c>
      <c r="N462" s="5">
        <v>61502.6</v>
      </c>
      <c r="O462" s="5">
        <v>8</v>
      </c>
      <c r="Q462" s="5">
        <v>110954</v>
      </c>
      <c r="R462" s="5">
        <v>82</v>
      </c>
      <c r="S462" s="5">
        <v>116138</v>
      </c>
      <c r="T462" s="5">
        <v>102</v>
      </c>
      <c r="V462" s="5">
        <v>61270.3</v>
      </c>
      <c r="W462" s="5">
        <v>21</v>
      </c>
      <c r="X462" s="5">
        <v>1</v>
      </c>
    </row>
    <row r="463" spans="1:24" ht="12.75" customHeight="1">
      <c r="A463" s="7"/>
      <c r="B463" s="5">
        <v>112165</v>
      </c>
      <c r="C463" s="5">
        <v>100</v>
      </c>
      <c r="D463" s="5">
        <v>60676.6</v>
      </c>
      <c r="E463" s="5">
        <v>22</v>
      </c>
      <c r="G463" s="5">
        <v>106923</v>
      </c>
      <c r="H463" s="5">
        <v>92</v>
      </c>
      <c r="I463" s="5">
        <v>88166.9</v>
      </c>
      <c r="J463" s="5">
        <v>49</v>
      </c>
      <c r="L463" s="5">
        <v>88779.3</v>
      </c>
      <c r="M463" s="5">
        <v>51</v>
      </c>
      <c r="N463" s="5">
        <v>77292.3</v>
      </c>
      <c r="O463" s="5">
        <v>63</v>
      </c>
      <c r="Q463" s="5">
        <v>83294.100000000006</v>
      </c>
      <c r="R463" s="5">
        <v>41</v>
      </c>
      <c r="S463" s="5">
        <v>100288</v>
      </c>
      <c r="T463" s="5">
        <v>76</v>
      </c>
      <c r="V463" s="5">
        <v>47077.5</v>
      </c>
      <c r="W463" s="5">
        <v>0</v>
      </c>
      <c r="X463" s="5">
        <v>0</v>
      </c>
    </row>
    <row r="464" spans="1:24" ht="12.75" customHeight="1">
      <c r="A464" s="7"/>
      <c r="B464" s="5">
        <v>67462.600000000006</v>
      </c>
      <c r="C464" s="5">
        <v>0</v>
      </c>
      <c r="D464" s="5">
        <v>76529.5</v>
      </c>
      <c r="E464" s="5">
        <v>40</v>
      </c>
      <c r="G464" s="5">
        <v>96745.1</v>
      </c>
      <c r="H464" s="5">
        <v>58</v>
      </c>
      <c r="I464" s="5">
        <v>53552</v>
      </c>
      <c r="J464" s="5">
        <v>6</v>
      </c>
      <c r="L464" s="5">
        <v>66941.5</v>
      </c>
      <c r="M464" s="5">
        <v>0</v>
      </c>
      <c r="N464" s="5">
        <v>72291.3</v>
      </c>
      <c r="O464" s="5">
        <v>43</v>
      </c>
      <c r="Q464" s="5">
        <v>75641.7</v>
      </c>
      <c r="R464" s="5">
        <v>12</v>
      </c>
      <c r="S464" s="5">
        <v>73680.100000000006</v>
      </c>
      <c r="T464" s="5">
        <v>20</v>
      </c>
      <c r="V464" s="5">
        <v>77301</v>
      </c>
      <c r="W464" s="5">
        <v>59</v>
      </c>
      <c r="X464" s="5">
        <v>1</v>
      </c>
    </row>
    <row r="465" spans="1:24" ht="12.75" customHeight="1">
      <c r="A465" s="7"/>
      <c r="B465" s="5">
        <v>92433</v>
      </c>
      <c r="C465" s="5">
        <v>61</v>
      </c>
      <c r="D465" s="5">
        <v>85627.7</v>
      </c>
      <c r="E465" s="5">
        <v>79</v>
      </c>
      <c r="G465" s="5">
        <v>105699</v>
      </c>
      <c r="H465" s="5">
        <v>87</v>
      </c>
      <c r="I465" s="5">
        <v>105510</v>
      </c>
      <c r="J465" s="5">
        <v>101</v>
      </c>
      <c r="L465" s="5">
        <v>100401</v>
      </c>
      <c r="M465" s="5">
        <v>78</v>
      </c>
      <c r="N465" s="5">
        <v>77638.899999999994</v>
      </c>
      <c r="O465" s="5">
        <v>70</v>
      </c>
      <c r="Q465" s="5">
        <v>83624.3</v>
      </c>
      <c r="R465" s="5">
        <v>39</v>
      </c>
      <c r="S465" s="5">
        <v>74016.5</v>
      </c>
      <c r="T465" s="5">
        <v>38</v>
      </c>
      <c r="V465" s="5">
        <v>42755.4</v>
      </c>
      <c r="W465" s="5">
        <v>0</v>
      </c>
      <c r="X465" s="5">
        <v>0</v>
      </c>
    </row>
    <row r="466" spans="1:24" ht="12.75" customHeight="1">
      <c r="A466" s="7"/>
      <c r="B466" s="5">
        <v>83352.5</v>
      </c>
      <c r="C466" s="5">
        <v>16</v>
      </c>
      <c r="D466" s="5">
        <v>64487.7</v>
      </c>
      <c r="E466" s="5">
        <v>0</v>
      </c>
      <c r="G466" s="5">
        <v>74585.899999999994</v>
      </c>
      <c r="H466" s="5">
        <v>0</v>
      </c>
      <c r="I466" s="5">
        <v>58663.9</v>
      </c>
      <c r="J466" s="5">
        <v>0</v>
      </c>
      <c r="L466" s="5">
        <v>85851.7</v>
      </c>
      <c r="M466" s="5">
        <v>24</v>
      </c>
      <c r="N466" s="5">
        <v>78553</v>
      </c>
      <c r="O466" s="5">
        <v>35</v>
      </c>
      <c r="Q466" s="5">
        <v>77383.7</v>
      </c>
      <c r="R466" s="5">
        <v>6</v>
      </c>
      <c r="S466" s="5">
        <v>66833.399999999994</v>
      </c>
      <c r="T466" s="5">
        <v>7</v>
      </c>
      <c r="V466" s="5">
        <v>55939.5</v>
      </c>
      <c r="W466" s="5">
        <v>0</v>
      </c>
      <c r="X466" s="5">
        <v>0</v>
      </c>
    </row>
    <row r="467" spans="1:24" ht="12.75" customHeight="1">
      <c r="A467" s="7"/>
      <c r="B467" s="5">
        <v>126743</v>
      </c>
      <c r="C467" s="5">
        <v>126</v>
      </c>
      <c r="D467" s="5">
        <v>86465.2</v>
      </c>
      <c r="E467" s="5">
        <v>67</v>
      </c>
      <c r="G467" s="5">
        <v>119708</v>
      </c>
      <c r="H467" s="5">
        <v>111</v>
      </c>
      <c r="I467" s="5">
        <v>89080.3</v>
      </c>
      <c r="J467" s="5">
        <v>81</v>
      </c>
      <c r="L467" s="5">
        <v>125054</v>
      </c>
      <c r="M467" s="5">
        <v>126</v>
      </c>
      <c r="N467" s="5">
        <v>94765.4</v>
      </c>
      <c r="O467" s="5">
        <v>98</v>
      </c>
      <c r="Q467" s="5">
        <v>98032.6</v>
      </c>
      <c r="R467" s="5">
        <v>61</v>
      </c>
      <c r="S467" s="5">
        <v>89757.6</v>
      </c>
      <c r="T467" s="5">
        <v>61</v>
      </c>
      <c r="V467" s="5">
        <v>107397</v>
      </c>
      <c r="W467" s="5">
        <v>127</v>
      </c>
      <c r="X467" s="5">
        <v>1</v>
      </c>
    </row>
    <row r="468" spans="1:24" ht="12.75" customHeight="1">
      <c r="A468" s="7"/>
      <c r="B468" s="5">
        <v>90946.9</v>
      </c>
      <c r="C468" s="5">
        <v>59</v>
      </c>
      <c r="D468" s="5">
        <v>72643</v>
      </c>
      <c r="E468" s="5">
        <v>38</v>
      </c>
      <c r="G468" s="5">
        <v>99133.7</v>
      </c>
      <c r="H468" s="5">
        <v>72</v>
      </c>
      <c r="I468" s="5">
        <v>53937.7</v>
      </c>
      <c r="J468" s="5">
        <v>0</v>
      </c>
      <c r="L468" s="5">
        <v>73703.7</v>
      </c>
      <c r="M468" s="5">
        <v>14</v>
      </c>
      <c r="N468" s="5">
        <v>73682.5</v>
      </c>
      <c r="O468" s="5">
        <v>46</v>
      </c>
      <c r="Q468" s="5">
        <v>90825.4</v>
      </c>
      <c r="R468" s="5">
        <v>49</v>
      </c>
      <c r="S468" s="5">
        <v>96426.2</v>
      </c>
      <c r="T468" s="5">
        <v>62</v>
      </c>
      <c r="V468" s="5">
        <v>64323.9</v>
      </c>
      <c r="W468" s="5">
        <v>33</v>
      </c>
      <c r="X468" s="5">
        <v>1</v>
      </c>
    </row>
    <row r="469" spans="1:24" ht="12.75" customHeight="1">
      <c r="A469" s="7"/>
      <c r="B469" s="5">
        <v>75797.600000000006</v>
      </c>
      <c r="C469" s="5">
        <v>34</v>
      </c>
      <c r="D469" s="5">
        <v>67590.7</v>
      </c>
      <c r="E469" s="5">
        <v>50</v>
      </c>
      <c r="G469" s="5">
        <v>72403.5</v>
      </c>
      <c r="H469" s="5">
        <v>30</v>
      </c>
      <c r="I469" s="5">
        <v>66504.5</v>
      </c>
      <c r="J469" s="5">
        <v>44</v>
      </c>
      <c r="L469" s="5">
        <v>72285</v>
      </c>
      <c r="M469" s="5">
        <v>35</v>
      </c>
      <c r="N469" s="5">
        <v>45652.2</v>
      </c>
      <c r="O469" s="5">
        <v>6</v>
      </c>
      <c r="Q469" s="5">
        <v>76825.899999999994</v>
      </c>
      <c r="R469" s="5">
        <v>37</v>
      </c>
      <c r="S469" s="5">
        <v>54427.1</v>
      </c>
      <c r="T469" s="5">
        <v>6</v>
      </c>
      <c r="V469" s="5">
        <v>41780.300000000003</v>
      </c>
      <c r="W469" s="5">
        <v>6</v>
      </c>
      <c r="X469" s="5">
        <v>1</v>
      </c>
    </row>
    <row r="470" spans="1:24" ht="12.75" customHeight="1">
      <c r="A470" s="7"/>
      <c r="B470" s="5">
        <v>73262.5</v>
      </c>
      <c r="C470" s="5">
        <v>17</v>
      </c>
      <c r="D470" s="5">
        <v>51725.2</v>
      </c>
      <c r="E470" s="5">
        <v>14</v>
      </c>
      <c r="G470" s="5">
        <v>71906</v>
      </c>
      <c r="H470" s="5">
        <v>12</v>
      </c>
      <c r="I470" s="5">
        <v>83482.7</v>
      </c>
      <c r="J470" s="5">
        <v>53</v>
      </c>
      <c r="L470" s="5">
        <v>111004</v>
      </c>
      <c r="M470" s="5">
        <v>87</v>
      </c>
      <c r="N470" s="5">
        <v>67483.899999999994</v>
      </c>
      <c r="O470" s="5">
        <v>40</v>
      </c>
      <c r="Q470" s="5">
        <v>102625</v>
      </c>
      <c r="R470" s="5">
        <v>73</v>
      </c>
      <c r="S470" s="5">
        <v>78543.8</v>
      </c>
      <c r="T470" s="5">
        <v>38</v>
      </c>
      <c r="V470" s="5">
        <v>45394.8</v>
      </c>
      <c r="W470" s="5">
        <v>0</v>
      </c>
      <c r="X470" s="5">
        <v>0</v>
      </c>
    </row>
    <row r="471" spans="1:24" ht="12.75" customHeight="1">
      <c r="A471" s="7"/>
      <c r="B471" s="5">
        <v>69603.8</v>
      </c>
      <c r="C471" s="5">
        <v>0</v>
      </c>
      <c r="D471" s="5">
        <v>52773.5</v>
      </c>
      <c r="E471" s="5">
        <v>0</v>
      </c>
      <c r="G471" s="5">
        <v>91749.3</v>
      </c>
      <c r="H471" s="5">
        <v>46</v>
      </c>
      <c r="I471" s="5">
        <v>60737.1</v>
      </c>
      <c r="J471" s="5">
        <v>0</v>
      </c>
      <c r="L471" s="5">
        <v>116115</v>
      </c>
      <c r="M471" s="5">
        <v>89</v>
      </c>
      <c r="N471" s="5">
        <v>64578.2</v>
      </c>
      <c r="O471" s="5">
        <v>29</v>
      </c>
      <c r="Q471" s="5">
        <v>71937.2</v>
      </c>
      <c r="R471" s="5">
        <v>0</v>
      </c>
      <c r="S471" s="5">
        <v>101461</v>
      </c>
      <c r="T471" s="5">
        <v>80</v>
      </c>
      <c r="V471" s="5">
        <v>72085.8</v>
      </c>
      <c r="W471" s="5">
        <v>40</v>
      </c>
      <c r="X471" s="5">
        <v>1</v>
      </c>
    </row>
    <row r="472" spans="1:24" ht="12.75" customHeight="1">
      <c r="A472" s="7"/>
      <c r="B472" s="5">
        <v>76998.100000000006</v>
      </c>
      <c r="C472" s="5">
        <v>26</v>
      </c>
      <c r="D472" s="5">
        <v>71148.7</v>
      </c>
      <c r="E472" s="5">
        <v>44</v>
      </c>
      <c r="G472" s="5">
        <v>70782</v>
      </c>
      <c r="H472" s="5">
        <v>7</v>
      </c>
      <c r="I472" s="5">
        <v>59989</v>
      </c>
      <c r="J472" s="5">
        <v>25</v>
      </c>
      <c r="L472" s="5">
        <v>114754</v>
      </c>
      <c r="M472" s="5">
        <v>96</v>
      </c>
      <c r="N472" s="5">
        <v>74795.399999999994</v>
      </c>
      <c r="O472" s="5">
        <v>55</v>
      </c>
      <c r="Q472" s="5">
        <v>73695.100000000006</v>
      </c>
      <c r="R472" s="5">
        <v>19</v>
      </c>
      <c r="S472" s="5">
        <v>62465.3</v>
      </c>
      <c r="T472" s="5">
        <v>0</v>
      </c>
      <c r="V472" s="5">
        <v>49455.1</v>
      </c>
      <c r="W472" s="5">
        <v>13</v>
      </c>
      <c r="X472" s="5">
        <v>0</v>
      </c>
    </row>
    <row r="473" spans="1:24" ht="12.75" customHeight="1">
      <c r="A473" s="7"/>
      <c r="B473" s="5">
        <v>98427.4</v>
      </c>
      <c r="C473" s="5">
        <v>58</v>
      </c>
      <c r="D473" s="5">
        <v>131283</v>
      </c>
      <c r="E473" s="5">
        <v>148</v>
      </c>
      <c r="G473" s="5">
        <v>91786.5</v>
      </c>
      <c r="H473" s="5">
        <v>38</v>
      </c>
      <c r="I473" s="5">
        <v>74585.7</v>
      </c>
      <c r="J473" s="5">
        <v>30</v>
      </c>
      <c r="L473" s="5">
        <v>70300</v>
      </c>
      <c r="M473" s="5">
        <v>0</v>
      </c>
      <c r="N473" s="5">
        <v>90431.5</v>
      </c>
      <c r="O473" s="5">
        <v>76</v>
      </c>
      <c r="Q473" s="5">
        <v>114470</v>
      </c>
      <c r="R473" s="5">
        <v>83</v>
      </c>
      <c r="S473" s="5">
        <v>96748.4</v>
      </c>
      <c r="T473" s="5">
        <v>66</v>
      </c>
      <c r="V473" s="5">
        <v>51240.800000000003</v>
      </c>
      <c r="W473" s="5">
        <v>4</v>
      </c>
      <c r="X473" s="5">
        <v>1</v>
      </c>
    </row>
    <row r="474" spans="1:24" ht="12.75" customHeight="1">
      <c r="A474" s="7"/>
      <c r="B474" s="5">
        <v>59909.2</v>
      </c>
      <c r="C474" s="5">
        <v>18</v>
      </c>
      <c r="D474" s="5">
        <v>57692.800000000003</v>
      </c>
      <c r="E474" s="5">
        <v>35</v>
      </c>
      <c r="G474" s="5">
        <v>58178.6</v>
      </c>
      <c r="H474" s="5">
        <v>10</v>
      </c>
      <c r="I474" s="5">
        <v>39729</v>
      </c>
      <c r="J474" s="5">
        <v>0</v>
      </c>
      <c r="L474" s="5">
        <v>51906.8</v>
      </c>
      <c r="M474" s="5">
        <v>0</v>
      </c>
      <c r="N474" s="5">
        <v>40818.800000000003</v>
      </c>
      <c r="O474" s="5">
        <v>16</v>
      </c>
      <c r="Q474" s="5">
        <v>58305</v>
      </c>
      <c r="R474" s="5">
        <v>6</v>
      </c>
      <c r="S474" s="5">
        <v>69242.5</v>
      </c>
      <c r="T474" s="5">
        <v>42</v>
      </c>
      <c r="V474" s="5">
        <v>30419.8</v>
      </c>
      <c r="W474" s="5">
        <v>0</v>
      </c>
      <c r="X474" s="5">
        <v>1</v>
      </c>
    </row>
    <row r="475" spans="1:24" ht="12.75" customHeight="1">
      <c r="A475" s="7"/>
      <c r="B475" s="5">
        <v>80724.7</v>
      </c>
      <c r="C475" s="5">
        <v>17</v>
      </c>
      <c r="D475" s="5">
        <v>63047.5</v>
      </c>
      <c r="E475" s="5">
        <v>5</v>
      </c>
      <c r="G475" s="5">
        <v>83005.7</v>
      </c>
      <c r="H475" s="5">
        <v>18</v>
      </c>
      <c r="I475" s="5">
        <v>63277.3</v>
      </c>
      <c r="J475" s="5">
        <v>11</v>
      </c>
      <c r="L475" s="5">
        <v>94435.3</v>
      </c>
      <c r="M475" s="5">
        <v>43</v>
      </c>
      <c r="N475" s="5">
        <v>92574.6</v>
      </c>
      <c r="O475" s="5">
        <v>79</v>
      </c>
      <c r="Q475" s="5">
        <v>100631</v>
      </c>
      <c r="R475" s="5">
        <v>55</v>
      </c>
      <c r="S475" s="5">
        <v>79623.5</v>
      </c>
      <c r="T475" s="5">
        <v>24</v>
      </c>
      <c r="V475" s="5">
        <v>67586</v>
      </c>
      <c r="W475" s="5">
        <v>26</v>
      </c>
      <c r="X475" s="5">
        <v>1</v>
      </c>
    </row>
    <row r="476" spans="1:24" ht="12.75" customHeight="1">
      <c r="A476" s="7"/>
      <c r="B476" s="5">
        <v>77607.8</v>
      </c>
      <c r="C476" s="5">
        <v>20</v>
      </c>
      <c r="D476" s="5">
        <v>134623</v>
      </c>
      <c r="E476" s="5">
        <v>161</v>
      </c>
      <c r="G476" s="5">
        <v>87109.1</v>
      </c>
      <c r="H476" s="5">
        <v>31</v>
      </c>
      <c r="I476" s="5">
        <v>87366.2</v>
      </c>
      <c r="J476" s="5">
        <v>52</v>
      </c>
      <c r="L476" s="5">
        <v>106087</v>
      </c>
      <c r="M476" s="5">
        <v>73</v>
      </c>
      <c r="N476" s="5">
        <v>72970.3</v>
      </c>
      <c r="O476" s="5">
        <v>43</v>
      </c>
      <c r="Q476" s="5">
        <v>103259</v>
      </c>
      <c r="R476" s="5">
        <v>65</v>
      </c>
      <c r="S476" s="5">
        <v>114596</v>
      </c>
      <c r="T476" s="5">
        <v>98</v>
      </c>
      <c r="V476" s="5">
        <v>47686.9</v>
      </c>
      <c r="W476" s="5">
        <v>0</v>
      </c>
      <c r="X476" s="5">
        <v>0</v>
      </c>
    </row>
    <row r="477" spans="1:24" ht="12.75" customHeight="1">
      <c r="A477" s="7"/>
      <c r="B477" s="5">
        <v>81159.600000000006</v>
      </c>
      <c r="C477" s="5">
        <v>42</v>
      </c>
      <c r="D477" s="5">
        <v>68157.3</v>
      </c>
      <c r="E477" s="5">
        <v>44</v>
      </c>
      <c r="G477" s="5">
        <v>73280.600000000006</v>
      </c>
      <c r="H477" s="5">
        <v>24</v>
      </c>
      <c r="I477" s="5">
        <v>58299.6</v>
      </c>
      <c r="J477" s="5">
        <v>14</v>
      </c>
      <c r="L477" s="5">
        <v>75787.3</v>
      </c>
      <c r="M477" s="5">
        <v>25</v>
      </c>
      <c r="N477" s="5">
        <v>44484.800000000003</v>
      </c>
      <c r="O477" s="5">
        <v>0</v>
      </c>
      <c r="Q477" s="5">
        <v>77970.5</v>
      </c>
      <c r="R477" s="5">
        <v>29</v>
      </c>
      <c r="S477" s="5">
        <v>65868.899999999994</v>
      </c>
      <c r="T477" s="5">
        <v>19</v>
      </c>
      <c r="V477" s="5">
        <v>43307.4</v>
      </c>
      <c r="W477" s="5">
        <v>0</v>
      </c>
      <c r="X477" s="5">
        <v>1</v>
      </c>
    </row>
    <row r="478" spans="1:24" ht="12.75" customHeight="1">
      <c r="A478" s="7"/>
      <c r="B478" s="5">
        <v>86210.8</v>
      </c>
      <c r="C478" s="5">
        <v>19</v>
      </c>
      <c r="D478" s="5">
        <v>62081.3</v>
      </c>
      <c r="E478" s="5">
        <v>0</v>
      </c>
      <c r="G478" s="5">
        <v>144682</v>
      </c>
      <c r="H478" s="5">
        <v>129</v>
      </c>
      <c r="I478" s="5">
        <v>68717.3</v>
      </c>
      <c r="J478" s="5">
        <v>0</v>
      </c>
      <c r="L478" s="5">
        <v>87447.2</v>
      </c>
      <c r="M478" s="5">
        <v>19</v>
      </c>
      <c r="N478" s="5">
        <v>99031.2</v>
      </c>
      <c r="O478" s="5">
        <v>74</v>
      </c>
      <c r="Q478" s="5">
        <v>176098</v>
      </c>
      <c r="R478" s="5">
        <v>191</v>
      </c>
      <c r="S478" s="5">
        <v>101298</v>
      </c>
      <c r="T478" s="5">
        <v>56</v>
      </c>
      <c r="V478" s="5">
        <v>62348.4</v>
      </c>
      <c r="W478" s="5">
        <v>0</v>
      </c>
      <c r="X478" s="5">
        <v>0</v>
      </c>
    </row>
    <row r="479" spans="1:24" ht="12.75" customHeight="1">
      <c r="A479" s="7"/>
      <c r="B479" s="5">
        <v>112258</v>
      </c>
      <c r="C479" s="5">
        <v>35</v>
      </c>
      <c r="D479" s="5">
        <v>98728</v>
      </c>
      <c r="E479" s="5">
        <v>32</v>
      </c>
      <c r="G479" s="5">
        <v>152913</v>
      </c>
      <c r="H479" s="5">
        <v>113</v>
      </c>
      <c r="I479" s="5">
        <v>77119.3</v>
      </c>
      <c r="J479" s="5">
        <v>0</v>
      </c>
      <c r="L479" s="5">
        <v>93535.9</v>
      </c>
      <c r="M479" s="5">
        <v>2</v>
      </c>
      <c r="N479" s="5">
        <v>102409</v>
      </c>
      <c r="O479" s="5">
        <v>46</v>
      </c>
      <c r="Q479" s="5">
        <v>95866.6</v>
      </c>
      <c r="R479" s="5">
        <v>0</v>
      </c>
      <c r="S479" s="5">
        <v>88733.3</v>
      </c>
      <c r="T479" s="5">
        <v>0</v>
      </c>
      <c r="V479" s="5">
        <v>67274.8</v>
      </c>
      <c r="W479" s="5">
        <v>0</v>
      </c>
      <c r="X479" s="5">
        <v>0</v>
      </c>
    </row>
    <row r="480" spans="1:24" ht="12.75" customHeight="1">
      <c r="A480" s="7"/>
      <c r="B480" s="5">
        <v>64886</v>
      </c>
      <c r="C480" s="5">
        <v>0</v>
      </c>
      <c r="D480" s="5">
        <v>50985.7</v>
      </c>
      <c r="E480" s="5">
        <v>0</v>
      </c>
      <c r="G480" s="5">
        <v>65733.100000000006</v>
      </c>
      <c r="H480" s="5">
        <v>0</v>
      </c>
      <c r="I480" s="5">
        <v>72977.2</v>
      </c>
      <c r="J480" s="5">
        <v>31</v>
      </c>
      <c r="L480" s="5">
        <v>62237.3</v>
      </c>
      <c r="M480" s="5">
        <v>0</v>
      </c>
      <c r="N480" s="5">
        <v>54543.6</v>
      </c>
      <c r="O480" s="5">
        <v>0</v>
      </c>
      <c r="Q480" s="5">
        <v>67955.8</v>
      </c>
      <c r="R480" s="5">
        <v>0</v>
      </c>
      <c r="S480" s="5">
        <v>57796.800000000003</v>
      </c>
      <c r="T480" s="5">
        <v>0</v>
      </c>
      <c r="V480" s="5">
        <v>55008.3</v>
      </c>
      <c r="W480" s="5">
        <v>14</v>
      </c>
      <c r="X480" s="5">
        <v>1</v>
      </c>
    </row>
    <row r="481" spans="1:24" ht="12.75" customHeight="1">
      <c r="A481" s="7"/>
      <c r="B481" s="5">
        <v>114400</v>
      </c>
      <c r="C481" s="5">
        <v>75</v>
      </c>
      <c r="D481" s="5">
        <v>87614.2</v>
      </c>
      <c r="E481" s="5">
        <v>33</v>
      </c>
      <c r="G481" s="5">
        <v>99415.2</v>
      </c>
      <c r="H481" s="5">
        <v>27</v>
      </c>
      <c r="I481" s="5">
        <v>82509</v>
      </c>
      <c r="J481" s="5">
        <v>21</v>
      </c>
      <c r="L481" s="5">
        <v>111888</v>
      </c>
      <c r="M481" s="5">
        <v>56</v>
      </c>
      <c r="N481" s="5">
        <v>68767.399999999994</v>
      </c>
      <c r="O481" s="5">
        <v>7</v>
      </c>
      <c r="Q481" s="5">
        <v>84966.1</v>
      </c>
      <c r="R481" s="5">
        <v>20</v>
      </c>
      <c r="S481" s="5">
        <v>82550.5</v>
      </c>
      <c r="T481" s="5">
        <v>21</v>
      </c>
      <c r="V481" s="5">
        <v>66728.899999999994</v>
      </c>
      <c r="W481" s="5">
        <v>0</v>
      </c>
      <c r="X481" s="5">
        <v>0</v>
      </c>
    </row>
    <row r="482" spans="1:24" ht="12.75" customHeight="1">
      <c r="A482" s="7"/>
      <c r="B482" s="5">
        <v>71213.899999999994</v>
      </c>
      <c r="C482" s="5">
        <v>0</v>
      </c>
      <c r="D482" s="5">
        <v>55447.9</v>
      </c>
      <c r="E482" s="5">
        <v>0</v>
      </c>
      <c r="G482" s="5">
        <v>85602.6</v>
      </c>
      <c r="H482" s="5">
        <v>28</v>
      </c>
      <c r="I482" s="5">
        <v>85958.1</v>
      </c>
      <c r="J482" s="5">
        <v>65</v>
      </c>
      <c r="L482" s="5">
        <v>83434.899999999994</v>
      </c>
      <c r="M482" s="5">
        <v>20</v>
      </c>
      <c r="N482" s="5">
        <v>64827.8</v>
      </c>
      <c r="O482" s="5">
        <v>26</v>
      </c>
      <c r="Q482" s="5">
        <v>87820.2</v>
      </c>
      <c r="R482" s="5">
        <v>30</v>
      </c>
      <c r="S482" s="5">
        <v>82438.3</v>
      </c>
      <c r="T482" s="5">
        <v>35</v>
      </c>
      <c r="V482" s="5">
        <v>52868.6</v>
      </c>
      <c r="W482" s="5">
        <v>0</v>
      </c>
      <c r="X482" s="5">
        <v>1</v>
      </c>
    </row>
    <row r="483" spans="1:24" ht="12.75" customHeight="1">
      <c r="A483" s="7"/>
      <c r="B483" s="5">
        <v>80252.5</v>
      </c>
      <c r="C483" s="5">
        <v>26</v>
      </c>
      <c r="D483" s="5">
        <v>71916</v>
      </c>
      <c r="E483" s="5">
        <v>32</v>
      </c>
      <c r="G483" s="5">
        <v>78055.100000000006</v>
      </c>
      <c r="H483" s="5">
        <v>10</v>
      </c>
      <c r="I483" s="5">
        <v>76361.899999999994</v>
      </c>
      <c r="J483" s="5">
        <v>31</v>
      </c>
      <c r="L483" s="5">
        <v>70536.2</v>
      </c>
      <c r="M483" s="5">
        <v>0</v>
      </c>
      <c r="N483" s="5">
        <v>50066.2</v>
      </c>
      <c r="O483" s="5">
        <v>0</v>
      </c>
      <c r="Q483" s="5">
        <v>74327</v>
      </c>
      <c r="R483" s="5">
        <v>0</v>
      </c>
      <c r="S483" s="5">
        <v>67006.7</v>
      </c>
      <c r="T483" s="5">
        <v>8</v>
      </c>
      <c r="V483" s="5">
        <v>61010.5</v>
      </c>
      <c r="W483" s="5">
        <v>26</v>
      </c>
      <c r="X483" s="5">
        <v>0</v>
      </c>
    </row>
    <row r="484" spans="1:24" ht="12.75" customHeight="1">
      <c r="A484" s="7"/>
      <c r="B484" s="5">
        <v>78425.8</v>
      </c>
      <c r="C484" s="5">
        <v>7</v>
      </c>
      <c r="D484" s="5">
        <v>84579.199999999997</v>
      </c>
      <c r="E484" s="5">
        <v>55</v>
      </c>
      <c r="G484" s="5">
        <v>80204.600000000006</v>
      </c>
      <c r="H484" s="5">
        <v>6</v>
      </c>
      <c r="I484" s="5">
        <v>63410.8</v>
      </c>
      <c r="J484" s="5">
        <v>5</v>
      </c>
      <c r="L484" s="5">
        <v>77959.100000000006</v>
      </c>
      <c r="M484" s="5">
        <v>1</v>
      </c>
      <c r="N484" s="5">
        <v>50645.9</v>
      </c>
      <c r="O484" s="5">
        <v>0</v>
      </c>
      <c r="Q484" s="5">
        <v>75126.600000000006</v>
      </c>
      <c r="R484" s="5">
        <v>0</v>
      </c>
      <c r="S484" s="5">
        <v>73882.2</v>
      </c>
      <c r="T484" s="5">
        <v>17</v>
      </c>
      <c r="V484" s="5">
        <v>49548</v>
      </c>
      <c r="W484" s="5">
        <v>0</v>
      </c>
      <c r="X484" s="5">
        <v>1</v>
      </c>
    </row>
    <row r="485" spans="1:24" ht="12.75" customHeight="1">
      <c r="A485" s="7"/>
      <c r="B485" s="5">
        <v>79306.3</v>
      </c>
      <c r="C485" s="5">
        <v>43</v>
      </c>
      <c r="D485" s="5">
        <v>50688</v>
      </c>
      <c r="E485" s="5">
        <v>14</v>
      </c>
      <c r="G485" s="5">
        <v>60291.6</v>
      </c>
      <c r="H485" s="5">
        <v>8</v>
      </c>
      <c r="I485" s="5">
        <v>89300.7</v>
      </c>
      <c r="J485" s="5">
        <v>78</v>
      </c>
      <c r="L485" s="5">
        <v>63386.400000000001</v>
      </c>
      <c r="M485" s="5">
        <v>13</v>
      </c>
      <c r="N485" s="5">
        <v>56515.3</v>
      </c>
      <c r="O485" s="5">
        <v>17</v>
      </c>
      <c r="Q485" s="5">
        <v>86978.6</v>
      </c>
      <c r="R485" s="5">
        <v>54</v>
      </c>
      <c r="S485" s="5">
        <v>79752.899999999994</v>
      </c>
      <c r="T485" s="5">
        <v>46</v>
      </c>
      <c r="V485" s="5">
        <v>53603.8</v>
      </c>
      <c r="W485" s="5">
        <v>21</v>
      </c>
      <c r="X485" s="5">
        <v>0</v>
      </c>
    </row>
    <row r="486" spans="1:24" ht="12.75" customHeight="1">
      <c r="A486" s="7"/>
      <c r="B486" s="5">
        <v>66857.600000000006</v>
      </c>
      <c r="C486" s="5">
        <v>0</v>
      </c>
      <c r="D486" s="5">
        <v>91720.4</v>
      </c>
      <c r="E486" s="5">
        <v>68</v>
      </c>
      <c r="G486" s="5">
        <v>74861.399999999994</v>
      </c>
      <c r="H486" s="5">
        <v>12</v>
      </c>
      <c r="I486" s="5">
        <v>83172.600000000006</v>
      </c>
      <c r="J486" s="5">
        <v>55</v>
      </c>
      <c r="L486" s="5">
        <v>87228.1</v>
      </c>
      <c r="M486" s="5">
        <v>36</v>
      </c>
      <c r="N486" s="5">
        <v>67300.399999999994</v>
      </c>
      <c r="O486" s="5">
        <v>36</v>
      </c>
      <c r="Q486" s="5">
        <v>75885</v>
      </c>
      <c r="R486" s="5">
        <v>13</v>
      </c>
      <c r="S486" s="5">
        <v>74995.399999999994</v>
      </c>
      <c r="T486" s="5">
        <v>17</v>
      </c>
      <c r="V486" s="5">
        <v>55372.6</v>
      </c>
      <c r="W486" s="5">
        <v>7</v>
      </c>
      <c r="X486" s="5">
        <v>1</v>
      </c>
    </row>
    <row r="487" spans="1:24" ht="12.75" customHeight="1">
      <c r="A487" s="7"/>
      <c r="B487" s="5">
        <v>60458.2</v>
      </c>
      <c r="C487" s="5">
        <v>0</v>
      </c>
      <c r="D487" s="5">
        <v>84438</v>
      </c>
      <c r="E487" s="5">
        <v>71</v>
      </c>
      <c r="G487" s="5">
        <v>66495.5</v>
      </c>
      <c r="H487" s="5">
        <v>0</v>
      </c>
      <c r="I487" s="5">
        <v>57806.2</v>
      </c>
      <c r="J487" s="5">
        <v>0</v>
      </c>
      <c r="L487" s="5">
        <v>67385.5</v>
      </c>
      <c r="M487" s="5">
        <v>3</v>
      </c>
      <c r="N487" s="5">
        <v>47476</v>
      </c>
      <c r="O487" s="5">
        <v>0</v>
      </c>
      <c r="Q487" s="5">
        <v>67329.2</v>
      </c>
      <c r="R487" s="5">
        <v>0</v>
      </c>
      <c r="S487" s="5">
        <v>59047.5</v>
      </c>
      <c r="T487" s="5">
        <v>0</v>
      </c>
      <c r="V487" s="5">
        <v>45945</v>
      </c>
      <c r="W487" s="5">
        <v>0</v>
      </c>
      <c r="X487" s="5">
        <v>0</v>
      </c>
    </row>
    <row r="488" spans="1:24" ht="12.75" customHeight="1">
      <c r="A488" s="7"/>
      <c r="B488" s="5">
        <v>76557.7</v>
      </c>
      <c r="C488" s="5">
        <v>0</v>
      </c>
      <c r="D488" s="5">
        <v>56172.800000000003</v>
      </c>
      <c r="E488" s="5">
        <v>0</v>
      </c>
      <c r="G488" s="5">
        <v>86063.6</v>
      </c>
      <c r="H488" s="5">
        <v>17</v>
      </c>
      <c r="I488" s="5">
        <v>63725.1</v>
      </c>
      <c r="J488" s="5">
        <v>0</v>
      </c>
      <c r="L488" s="5">
        <v>81782.2</v>
      </c>
      <c r="M488" s="5">
        <v>0</v>
      </c>
      <c r="N488" s="5">
        <v>58996.6</v>
      </c>
      <c r="O488" s="5">
        <v>0</v>
      </c>
      <c r="Q488" s="5">
        <v>79169.399999999994</v>
      </c>
      <c r="R488" s="5">
        <v>0</v>
      </c>
      <c r="S488" s="5">
        <v>75943.5</v>
      </c>
      <c r="T488" s="5">
        <v>6</v>
      </c>
      <c r="V488" s="5">
        <v>53073.3</v>
      </c>
      <c r="W488" s="5">
        <v>0</v>
      </c>
      <c r="X488" s="5">
        <v>1</v>
      </c>
    </row>
    <row r="489" spans="1:24" ht="12.75" customHeight="1">
      <c r="A489" s="7"/>
      <c r="B489" s="5">
        <v>72318.7</v>
      </c>
      <c r="C489" s="5">
        <v>19</v>
      </c>
      <c r="D489" s="5">
        <v>48796.4</v>
      </c>
      <c r="E489" s="5">
        <v>0</v>
      </c>
      <c r="G489" s="5">
        <v>58217.1</v>
      </c>
      <c r="H489" s="5">
        <v>0</v>
      </c>
      <c r="I489" s="5">
        <v>52535.8</v>
      </c>
      <c r="J489" s="5">
        <v>0</v>
      </c>
      <c r="L489" s="5">
        <v>61680.9</v>
      </c>
      <c r="M489" s="5">
        <v>0</v>
      </c>
      <c r="N489" s="5">
        <v>58208.5</v>
      </c>
      <c r="O489" s="5">
        <v>18</v>
      </c>
      <c r="Q489" s="5">
        <v>62281.2</v>
      </c>
      <c r="R489" s="5">
        <v>0</v>
      </c>
      <c r="S489" s="5">
        <v>59048</v>
      </c>
      <c r="T489" s="5">
        <v>13</v>
      </c>
      <c r="V489" s="5">
        <v>44952.2</v>
      </c>
      <c r="W489" s="5">
        <v>0</v>
      </c>
      <c r="X489" s="5">
        <v>0</v>
      </c>
    </row>
    <row r="490" spans="1:24" ht="12.75" customHeight="1">
      <c r="A490" s="7"/>
      <c r="B490" s="5">
        <v>75567.3</v>
      </c>
      <c r="C490" s="5">
        <v>1</v>
      </c>
      <c r="D490" s="5">
        <v>60097.599999999999</v>
      </c>
      <c r="E490" s="5">
        <v>0</v>
      </c>
      <c r="G490" s="5">
        <v>74758.7</v>
      </c>
      <c r="H490" s="5">
        <v>0</v>
      </c>
      <c r="I490" s="5">
        <v>85884.9</v>
      </c>
      <c r="J490" s="5">
        <v>53</v>
      </c>
      <c r="L490" s="5">
        <v>75612</v>
      </c>
      <c r="M490" s="5">
        <v>16</v>
      </c>
      <c r="N490" s="5">
        <v>57390</v>
      </c>
      <c r="O490" s="5">
        <v>0</v>
      </c>
      <c r="Q490" s="5">
        <v>83769.100000000006</v>
      </c>
      <c r="R490" s="5">
        <v>21</v>
      </c>
      <c r="S490" s="5">
        <v>69426</v>
      </c>
      <c r="T490" s="5">
        <v>0</v>
      </c>
      <c r="V490" s="5">
        <v>52004.4</v>
      </c>
      <c r="W490" s="5">
        <v>0</v>
      </c>
      <c r="X490" s="5">
        <v>0</v>
      </c>
    </row>
    <row r="491" spans="1:24" ht="12.75" customHeight="1">
      <c r="A491" s="7"/>
      <c r="B491" s="5">
        <v>93473</v>
      </c>
      <c r="C491" s="5">
        <v>72</v>
      </c>
      <c r="D491" s="5">
        <v>54375.8</v>
      </c>
      <c r="E491" s="5">
        <v>26</v>
      </c>
      <c r="G491" s="5">
        <v>85398.3</v>
      </c>
      <c r="H491" s="5">
        <v>68</v>
      </c>
      <c r="I491" s="5">
        <v>50105.5</v>
      </c>
      <c r="J491" s="5">
        <v>0</v>
      </c>
      <c r="L491" s="5">
        <v>56212.6</v>
      </c>
      <c r="M491" s="5">
        <v>0</v>
      </c>
      <c r="N491" s="5">
        <v>49322.6</v>
      </c>
      <c r="O491" s="5">
        <v>12</v>
      </c>
      <c r="Q491" s="5">
        <v>64803.6</v>
      </c>
      <c r="R491" s="5">
        <v>9</v>
      </c>
      <c r="S491" s="5">
        <v>68302.7</v>
      </c>
      <c r="T491" s="5">
        <v>32</v>
      </c>
      <c r="V491" s="5">
        <v>42891.9</v>
      </c>
      <c r="W491" s="5">
        <v>12</v>
      </c>
      <c r="X491" s="5">
        <v>1</v>
      </c>
    </row>
    <row r="492" spans="1:24" ht="12.75" customHeight="1">
      <c r="A492" s="7"/>
      <c r="B492" s="5">
        <v>83619.899999999994</v>
      </c>
      <c r="C492" s="5">
        <v>18</v>
      </c>
      <c r="D492" s="5">
        <v>58208.7</v>
      </c>
      <c r="E492" s="5">
        <v>0</v>
      </c>
      <c r="G492" s="5">
        <v>115918</v>
      </c>
      <c r="H492" s="5">
        <v>70</v>
      </c>
      <c r="I492" s="5">
        <v>70391.199999999997</v>
      </c>
      <c r="J492" s="5">
        <v>10</v>
      </c>
      <c r="L492" s="5">
        <v>91473.2</v>
      </c>
      <c r="M492" s="5">
        <v>30</v>
      </c>
      <c r="N492" s="5">
        <v>83982.6</v>
      </c>
      <c r="O492" s="5">
        <v>52</v>
      </c>
      <c r="Q492" s="5">
        <v>83755.600000000006</v>
      </c>
      <c r="R492" s="5">
        <v>8</v>
      </c>
      <c r="S492" s="5">
        <v>77457.399999999994</v>
      </c>
      <c r="T492" s="5">
        <v>13</v>
      </c>
      <c r="V492" s="5">
        <v>58922.1</v>
      </c>
      <c r="W492" s="5">
        <v>7</v>
      </c>
      <c r="X492" s="5">
        <v>1</v>
      </c>
    </row>
    <row r="493" spans="1:24" ht="12.75" customHeight="1">
      <c r="A493" s="7"/>
      <c r="B493" s="5">
        <v>73626.399999999994</v>
      </c>
      <c r="C493" s="5">
        <v>0</v>
      </c>
      <c r="D493" s="5">
        <v>59210.6</v>
      </c>
      <c r="E493" s="5">
        <v>0</v>
      </c>
      <c r="G493" s="5">
        <v>79330.600000000006</v>
      </c>
      <c r="H493" s="5">
        <v>0</v>
      </c>
      <c r="I493" s="5">
        <v>75360.2</v>
      </c>
      <c r="J493" s="5">
        <v>31</v>
      </c>
      <c r="L493" s="5">
        <v>90319.5</v>
      </c>
      <c r="M493" s="5">
        <v>28</v>
      </c>
      <c r="N493" s="5">
        <v>90997.2</v>
      </c>
      <c r="O493" s="5">
        <v>68</v>
      </c>
      <c r="Q493" s="5">
        <v>100626</v>
      </c>
      <c r="R493" s="5">
        <v>47</v>
      </c>
      <c r="S493" s="5">
        <v>76877.7</v>
      </c>
      <c r="T493" s="5">
        <v>21</v>
      </c>
      <c r="V493" s="5">
        <v>53064.9</v>
      </c>
      <c r="W493" s="5">
        <v>0</v>
      </c>
      <c r="X493" s="5">
        <v>0</v>
      </c>
    </row>
    <row r="494" spans="1:24" ht="12.75" customHeight="1">
      <c r="A494" s="7"/>
      <c r="B494" s="5">
        <v>71417.899999999994</v>
      </c>
      <c r="C494" s="5">
        <v>0</v>
      </c>
      <c r="D494" s="5">
        <v>55990.8</v>
      </c>
      <c r="E494" s="5">
        <v>0</v>
      </c>
      <c r="G494" s="5">
        <v>63987.3</v>
      </c>
      <c r="H494" s="5">
        <v>0</v>
      </c>
      <c r="I494" s="5">
        <v>64110.3</v>
      </c>
      <c r="J494" s="5">
        <v>18</v>
      </c>
      <c r="L494" s="5">
        <v>64900.4</v>
      </c>
      <c r="M494" s="5">
        <v>0</v>
      </c>
      <c r="N494" s="5">
        <v>53259.4</v>
      </c>
      <c r="O494" s="5">
        <v>0</v>
      </c>
      <c r="Q494" s="5">
        <v>75119.399999999994</v>
      </c>
      <c r="R494" s="5">
        <v>17</v>
      </c>
      <c r="S494" s="5">
        <v>57207.5</v>
      </c>
      <c r="T494" s="5">
        <v>0</v>
      </c>
      <c r="V494" s="5">
        <v>50997.7</v>
      </c>
      <c r="W494" s="5">
        <v>0</v>
      </c>
      <c r="X494" s="5">
        <v>0</v>
      </c>
    </row>
    <row r="495" spans="1:24" ht="12.75" customHeight="1">
      <c r="A495" s="7"/>
      <c r="B495" s="5">
        <v>112425</v>
      </c>
      <c r="C495" s="5">
        <v>95</v>
      </c>
      <c r="D495" s="5">
        <v>112605</v>
      </c>
      <c r="E495" s="5">
        <v>121</v>
      </c>
      <c r="G495" s="5">
        <v>115786</v>
      </c>
      <c r="H495" s="5">
        <v>96</v>
      </c>
      <c r="I495" s="5">
        <v>98107.1</v>
      </c>
      <c r="J495" s="5">
        <v>87</v>
      </c>
      <c r="L495" s="5">
        <v>110802</v>
      </c>
      <c r="M495" s="5">
        <v>82</v>
      </c>
      <c r="N495" s="5">
        <v>94322.7</v>
      </c>
      <c r="O495" s="5">
        <v>85</v>
      </c>
      <c r="Q495" s="5">
        <v>94049.8</v>
      </c>
      <c r="R495" s="5">
        <v>57</v>
      </c>
      <c r="S495" s="5">
        <v>135391</v>
      </c>
      <c r="T495" s="5">
        <v>148</v>
      </c>
      <c r="V495" s="5">
        <v>74387.8</v>
      </c>
      <c r="W495" s="5">
        <v>50</v>
      </c>
      <c r="X495" s="5">
        <v>1</v>
      </c>
    </row>
    <row r="496" spans="1:24" ht="12.75" customHeight="1">
      <c r="A496" s="7"/>
      <c r="B496" s="5">
        <v>91461.1</v>
      </c>
      <c r="C496" s="5">
        <v>54</v>
      </c>
      <c r="D496" s="5">
        <v>83429.8</v>
      </c>
      <c r="E496" s="5">
        <v>64</v>
      </c>
      <c r="G496" s="5">
        <v>73528.899999999994</v>
      </c>
      <c r="H496" s="5">
        <v>16</v>
      </c>
      <c r="I496" s="5">
        <v>55831</v>
      </c>
      <c r="J496" s="5">
        <v>0</v>
      </c>
      <c r="L496" s="5">
        <v>95841.4</v>
      </c>
      <c r="M496" s="5">
        <v>63</v>
      </c>
      <c r="N496" s="5">
        <v>71682.5</v>
      </c>
      <c r="O496" s="5">
        <v>51</v>
      </c>
      <c r="Q496" s="5">
        <v>93425.3</v>
      </c>
      <c r="R496" s="5">
        <v>55</v>
      </c>
      <c r="S496" s="5">
        <v>77257</v>
      </c>
      <c r="T496" s="5">
        <v>36</v>
      </c>
      <c r="V496" s="5">
        <v>51897.599999999999</v>
      </c>
      <c r="W496" s="5">
        <v>15</v>
      </c>
      <c r="X496" s="5">
        <v>0</v>
      </c>
    </row>
    <row r="497" spans="1:24" ht="12.75" customHeight="1">
      <c r="A497" s="7"/>
      <c r="B497" s="5">
        <v>103239</v>
      </c>
      <c r="C497" s="5">
        <v>73</v>
      </c>
      <c r="D497" s="5">
        <v>58907.4</v>
      </c>
      <c r="E497" s="5">
        <v>0</v>
      </c>
      <c r="G497" s="5">
        <v>65102.5</v>
      </c>
      <c r="H497" s="5">
        <v>8</v>
      </c>
      <c r="I497" s="5">
        <v>52551.5</v>
      </c>
      <c r="J497" s="5">
        <v>0</v>
      </c>
      <c r="L497" s="5">
        <v>65469.7</v>
      </c>
      <c r="M497" s="5">
        <v>0</v>
      </c>
      <c r="N497" s="5">
        <v>61943.9</v>
      </c>
      <c r="O497" s="5">
        <v>18</v>
      </c>
      <c r="Q497" s="5">
        <v>70347.899999999994</v>
      </c>
      <c r="R497" s="5">
        <v>0</v>
      </c>
      <c r="S497" s="5">
        <v>66360.100000000006</v>
      </c>
      <c r="T497" s="5">
        <v>7</v>
      </c>
      <c r="V497" s="5">
        <v>45075.5</v>
      </c>
      <c r="W497" s="5">
        <v>0</v>
      </c>
      <c r="X497" s="5">
        <v>1</v>
      </c>
    </row>
    <row r="498" spans="1:24" ht="12.75" customHeight="1">
      <c r="A498" s="7"/>
      <c r="B498" s="5">
        <v>61319.5</v>
      </c>
      <c r="C498" s="5">
        <v>0</v>
      </c>
      <c r="D498" s="5">
        <v>46799.8</v>
      </c>
      <c r="E498" s="5">
        <v>0</v>
      </c>
      <c r="G498" s="5">
        <v>64142</v>
      </c>
      <c r="H498" s="5">
        <v>11</v>
      </c>
      <c r="I498" s="5">
        <v>56737.599999999999</v>
      </c>
      <c r="J498" s="5">
        <v>0</v>
      </c>
      <c r="L498" s="5">
        <v>65169.2</v>
      </c>
      <c r="M498" s="5">
        <v>8</v>
      </c>
      <c r="N498" s="5">
        <v>45308</v>
      </c>
      <c r="O498" s="5">
        <v>0</v>
      </c>
      <c r="Q498" s="5">
        <v>75740.800000000003</v>
      </c>
      <c r="R498" s="5">
        <v>34</v>
      </c>
      <c r="S498" s="5">
        <v>55646.9</v>
      </c>
      <c r="T498" s="5">
        <v>0</v>
      </c>
      <c r="V498" s="5">
        <v>41270</v>
      </c>
      <c r="W498" s="5">
        <v>0</v>
      </c>
      <c r="X498" s="5">
        <v>0</v>
      </c>
    </row>
    <row r="499" spans="1:24" ht="12.75" customHeight="1">
      <c r="A499" s="7"/>
      <c r="B499" s="5">
        <v>93742.399999999994</v>
      </c>
      <c r="C499" s="5">
        <v>43</v>
      </c>
      <c r="D499" s="5">
        <v>82135.5</v>
      </c>
      <c r="E499" s="5">
        <v>44</v>
      </c>
      <c r="G499" s="5">
        <v>69228.100000000006</v>
      </c>
      <c r="H499" s="5">
        <v>0</v>
      </c>
      <c r="I499" s="5">
        <v>57342.7</v>
      </c>
      <c r="J499" s="5">
        <v>0</v>
      </c>
      <c r="L499" s="5">
        <v>76994.600000000006</v>
      </c>
      <c r="M499" s="5">
        <v>0</v>
      </c>
      <c r="N499" s="5">
        <v>54180.9</v>
      </c>
      <c r="O499" s="5">
        <v>0</v>
      </c>
      <c r="Q499" s="5">
        <v>77905.5</v>
      </c>
      <c r="R499" s="5">
        <v>7</v>
      </c>
      <c r="S499" s="5">
        <v>94238</v>
      </c>
      <c r="T499" s="5">
        <v>54</v>
      </c>
      <c r="V499" s="5">
        <v>48224.5</v>
      </c>
      <c r="W499" s="5">
        <v>0</v>
      </c>
      <c r="X499" s="5">
        <v>1</v>
      </c>
    </row>
    <row r="500" spans="1:24" ht="12.75" customHeight="1">
      <c r="A500" s="7"/>
      <c r="B500" s="5">
        <v>111507</v>
      </c>
      <c r="C500" s="5">
        <v>93</v>
      </c>
      <c r="D500" s="5">
        <v>62615.7</v>
      </c>
      <c r="E500" s="5">
        <v>31</v>
      </c>
      <c r="G500" s="5">
        <v>107179</v>
      </c>
      <c r="H500" s="5">
        <v>70</v>
      </c>
      <c r="I500" s="5">
        <v>54013</v>
      </c>
      <c r="J500" s="5">
        <v>0</v>
      </c>
      <c r="L500" s="5">
        <v>66111.100000000006</v>
      </c>
      <c r="M500" s="5">
        <v>0</v>
      </c>
      <c r="N500" s="5">
        <v>67539.899999999994</v>
      </c>
      <c r="O500" s="5">
        <v>40</v>
      </c>
      <c r="Q500" s="5">
        <v>67575.7</v>
      </c>
      <c r="R500" s="5">
        <v>7</v>
      </c>
      <c r="S500" s="5">
        <v>86637.2</v>
      </c>
      <c r="T500" s="5">
        <v>54</v>
      </c>
      <c r="V500" s="5">
        <v>45796.7</v>
      </c>
      <c r="W500" s="5">
        <v>0</v>
      </c>
      <c r="X500" s="5">
        <v>0</v>
      </c>
    </row>
    <row r="501" spans="1:24" ht="12.75" customHeight="1">
      <c r="A501" s="7"/>
      <c r="B501" s="5">
        <v>87009.4</v>
      </c>
      <c r="C501" s="5">
        <v>0</v>
      </c>
      <c r="D501" s="5">
        <v>101502</v>
      </c>
      <c r="E501" s="5">
        <v>60</v>
      </c>
      <c r="G501" s="5">
        <v>96775.8</v>
      </c>
      <c r="H501" s="5">
        <v>15</v>
      </c>
      <c r="I501" s="5">
        <v>75575.899999999994</v>
      </c>
      <c r="J501" s="5">
        <v>0</v>
      </c>
      <c r="L501" s="5">
        <v>153073</v>
      </c>
      <c r="M501" s="5">
        <v>139</v>
      </c>
      <c r="N501" s="5">
        <v>68718</v>
      </c>
      <c r="O501" s="5">
        <v>15</v>
      </c>
      <c r="Q501" s="5">
        <v>93712.2</v>
      </c>
      <c r="R501" s="5">
        <v>22</v>
      </c>
      <c r="S501" s="5">
        <v>88803.4</v>
      </c>
      <c r="T501" s="5">
        <v>27</v>
      </c>
      <c r="V501" s="5">
        <v>67357.399999999994</v>
      </c>
      <c r="W501" s="5">
        <v>0</v>
      </c>
      <c r="X501" s="5">
        <v>0</v>
      </c>
    </row>
    <row r="502" spans="1:24" ht="12.75" customHeight="1">
      <c r="A502" s="7"/>
      <c r="B502" s="5">
        <v>62687.8</v>
      </c>
      <c r="C502" s="5">
        <v>0</v>
      </c>
      <c r="D502" s="5">
        <v>59285</v>
      </c>
      <c r="E502" s="5">
        <v>0</v>
      </c>
      <c r="G502" s="5">
        <v>74039.5</v>
      </c>
      <c r="H502" s="5">
        <v>11</v>
      </c>
      <c r="I502" s="5">
        <v>66705.600000000006</v>
      </c>
      <c r="J502" s="5">
        <v>13</v>
      </c>
      <c r="L502" s="5">
        <v>69712.899999999994</v>
      </c>
      <c r="M502" s="5">
        <v>7</v>
      </c>
      <c r="N502" s="5">
        <v>60865.2</v>
      </c>
      <c r="O502" s="5">
        <v>8</v>
      </c>
      <c r="Q502" s="5">
        <v>99314.6</v>
      </c>
      <c r="R502" s="5">
        <v>62</v>
      </c>
      <c r="S502" s="5">
        <v>68861.399999999994</v>
      </c>
      <c r="T502" s="5">
        <v>18</v>
      </c>
      <c r="V502" s="5">
        <v>60602.7</v>
      </c>
      <c r="W502" s="5">
        <v>17</v>
      </c>
      <c r="X502" s="5">
        <v>1</v>
      </c>
    </row>
    <row r="503" spans="1:24" ht="12.75" customHeight="1">
      <c r="A503" s="7"/>
      <c r="B503" s="5">
        <v>64611</v>
      </c>
      <c r="C503" s="5">
        <v>0</v>
      </c>
      <c r="D503" s="5">
        <v>53913.1</v>
      </c>
      <c r="E503" s="5">
        <v>0</v>
      </c>
      <c r="G503" s="5">
        <v>68329.3</v>
      </c>
      <c r="H503" s="5">
        <v>0</v>
      </c>
      <c r="I503" s="5">
        <v>58371.199999999997</v>
      </c>
      <c r="J503" s="5">
        <v>0</v>
      </c>
      <c r="L503" s="5">
        <v>67948.3</v>
      </c>
      <c r="M503" s="5">
        <v>0</v>
      </c>
      <c r="N503" s="5">
        <v>77817.600000000006</v>
      </c>
      <c r="O503" s="5">
        <v>47</v>
      </c>
      <c r="Q503" s="5">
        <v>70453.8</v>
      </c>
      <c r="R503" s="5">
        <v>0</v>
      </c>
      <c r="S503" s="5">
        <v>62247.6</v>
      </c>
      <c r="T503" s="5">
        <v>0</v>
      </c>
      <c r="V503" s="5">
        <v>48318.7</v>
      </c>
      <c r="W503" s="5">
        <v>0</v>
      </c>
      <c r="X503" s="5">
        <v>0</v>
      </c>
    </row>
    <row r="504" spans="1:24" ht="12.75" customHeight="1">
      <c r="A504" s="7"/>
      <c r="B504" s="5">
        <v>77441.899999999994</v>
      </c>
      <c r="C504" s="5">
        <v>8</v>
      </c>
      <c r="D504" s="5">
        <v>65314.1</v>
      </c>
      <c r="E504" s="5">
        <v>0</v>
      </c>
      <c r="G504" s="5">
        <v>76952.600000000006</v>
      </c>
      <c r="H504" s="5">
        <v>0</v>
      </c>
      <c r="I504" s="5">
        <v>83328.800000000003</v>
      </c>
      <c r="J504" s="5">
        <v>39</v>
      </c>
      <c r="L504" s="5">
        <v>109595</v>
      </c>
      <c r="M504" s="5">
        <v>64</v>
      </c>
      <c r="N504" s="5">
        <v>75152.399999999994</v>
      </c>
      <c r="O504" s="5">
        <v>25</v>
      </c>
      <c r="Q504" s="5">
        <v>76161.2</v>
      </c>
      <c r="R504" s="5">
        <v>0</v>
      </c>
      <c r="S504" s="5">
        <v>86606</v>
      </c>
      <c r="T504" s="5">
        <v>25</v>
      </c>
      <c r="V504" s="5">
        <v>69711.3</v>
      </c>
      <c r="W504" s="5">
        <v>18</v>
      </c>
      <c r="X504" s="5">
        <v>1</v>
      </c>
    </row>
    <row r="505" spans="1:24" ht="12.75" customHeight="1">
      <c r="A505" s="7"/>
      <c r="B505" s="5">
        <v>88764.800000000003</v>
      </c>
      <c r="C505" s="5">
        <v>0</v>
      </c>
      <c r="D505" s="5">
        <v>83963.7</v>
      </c>
      <c r="E505" s="5">
        <v>20</v>
      </c>
      <c r="G505" s="5">
        <v>85466.1</v>
      </c>
      <c r="H505" s="5">
        <v>2</v>
      </c>
      <c r="I505" s="5">
        <v>69405.399999999994</v>
      </c>
      <c r="J505" s="5">
        <v>0</v>
      </c>
      <c r="L505" s="5">
        <v>110409</v>
      </c>
      <c r="M505" s="5">
        <v>50</v>
      </c>
      <c r="N505" s="5">
        <v>66078.5</v>
      </c>
      <c r="O505" s="5">
        <v>0</v>
      </c>
      <c r="Q505" s="5">
        <v>78377.8</v>
      </c>
      <c r="R505" s="5">
        <v>0</v>
      </c>
      <c r="S505" s="5">
        <v>76214.100000000006</v>
      </c>
      <c r="T505" s="5">
        <v>0</v>
      </c>
      <c r="V505" s="5">
        <v>59634.1</v>
      </c>
      <c r="W505" s="5">
        <v>0</v>
      </c>
      <c r="X505" s="5">
        <v>0</v>
      </c>
    </row>
    <row r="506" spans="1:24" ht="12.75" customHeight="1">
      <c r="A506" s="7"/>
      <c r="B506" s="5">
        <v>80820.5</v>
      </c>
      <c r="C506" s="5">
        <v>10</v>
      </c>
      <c r="D506" s="5">
        <v>66936.600000000006</v>
      </c>
      <c r="E506" s="5">
        <v>0</v>
      </c>
      <c r="G506" s="5">
        <v>79985.600000000006</v>
      </c>
      <c r="H506" s="5">
        <v>0</v>
      </c>
      <c r="I506" s="5">
        <v>65948.600000000006</v>
      </c>
      <c r="J506" s="5">
        <v>0</v>
      </c>
      <c r="L506" s="5">
        <v>78190.8</v>
      </c>
      <c r="M506" s="5">
        <v>0</v>
      </c>
      <c r="N506" s="5">
        <v>57636.7</v>
      </c>
      <c r="O506" s="5">
        <v>0</v>
      </c>
      <c r="Q506" s="5">
        <v>84461.4</v>
      </c>
      <c r="R506" s="5">
        <v>8</v>
      </c>
      <c r="S506" s="5">
        <v>70050.399999999994</v>
      </c>
      <c r="T506" s="5">
        <v>0</v>
      </c>
      <c r="V506" s="5">
        <v>55943.6</v>
      </c>
      <c r="W506" s="5">
        <v>0</v>
      </c>
      <c r="X506" s="5">
        <v>0</v>
      </c>
    </row>
    <row r="507" spans="1:24" ht="12.75" customHeight="1">
      <c r="A507" s="7"/>
      <c r="B507" s="5">
        <v>91198.8</v>
      </c>
      <c r="C507" s="5">
        <v>0</v>
      </c>
      <c r="D507" s="5">
        <v>71548.2</v>
      </c>
      <c r="E507" s="5">
        <v>0</v>
      </c>
      <c r="G507" s="5">
        <v>107373</v>
      </c>
      <c r="H507" s="5">
        <v>43</v>
      </c>
      <c r="I507" s="5">
        <v>78543.5</v>
      </c>
      <c r="J507" s="5">
        <v>0</v>
      </c>
      <c r="L507" s="5">
        <v>91788.2</v>
      </c>
      <c r="M507" s="5">
        <v>0</v>
      </c>
      <c r="N507" s="5">
        <v>62782.2</v>
      </c>
      <c r="O507" s="5">
        <v>0</v>
      </c>
      <c r="Q507" s="5">
        <v>87991.6</v>
      </c>
      <c r="R507" s="5">
        <v>0</v>
      </c>
      <c r="S507" s="5">
        <v>76813</v>
      </c>
      <c r="T507" s="5">
        <v>0</v>
      </c>
      <c r="V507" s="5">
        <v>67914.3</v>
      </c>
      <c r="W507" s="5">
        <v>0</v>
      </c>
      <c r="X507" s="5">
        <v>1</v>
      </c>
    </row>
    <row r="508" spans="1:24" ht="12.75" customHeight="1">
      <c r="A508" s="7"/>
      <c r="B508" s="5">
        <v>114757</v>
      </c>
      <c r="C508" s="5">
        <v>79</v>
      </c>
      <c r="D508" s="5">
        <v>61650.9</v>
      </c>
      <c r="E508" s="5">
        <v>0</v>
      </c>
      <c r="G508" s="5">
        <v>96675.5</v>
      </c>
      <c r="H508" s="5">
        <v>43</v>
      </c>
      <c r="I508" s="5">
        <v>71807.3</v>
      </c>
      <c r="J508" s="5">
        <v>23</v>
      </c>
      <c r="L508" s="5">
        <v>79158</v>
      </c>
      <c r="M508" s="5">
        <v>9</v>
      </c>
      <c r="N508" s="5">
        <v>64829.4</v>
      </c>
      <c r="O508" s="5">
        <v>0</v>
      </c>
      <c r="Q508" s="5">
        <v>90593.7</v>
      </c>
      <c r="R508" s="5">
        <v>29</v>
      </c>
      <c r="S508" s="5">
        <v>72545.7</v>
      </c>
      <c r="T508" s="5">
        <v>0</v>
      </c>
      <c r="V508" s="5">
        <v>59140.3</v>
      </c>
      <c r="W508" s="5">
        <v>0</v>
      </c>
      <c r="X508" s="5">
        <v>0</v>
      </c>
    </row>
    <row r="509" spans="1:24" ht="12.75" customHeight="1">
      <c r="A509" s="7"/>
      <c r="B509" s="5">
        <v>76734.600000000006</v>
      </c>
      <c r="C509" s="5">
        <v>23</v>
      </c>
      <c r="D509" s="5">
        <v>53703.5</v>
      </c>
      <c r="E509" s="5">
        <v>0</v>
      </c>
      <c r="G509" s="5">
        <v>75789.399999999994</v>
      </c>
      <c r="H509" s="5">
        <v>22</v>
      </c>
      <c r="I509" s="5">
        <v>69141.8</v>
      </c>
      <c r="J509" s="5">
        <v>30</v>
      </c>
      <c r="L509" s="5">
        <v>72099.600000000006</v>
      </c>
      <c r="M509" s="5">
        <v>10</v>
      </c>
      <c r="N509" s="5">
        <v>83283.899999999994</v>
      </c>
      <c r="O509" s="5">
        <v>64</v>
      </c>
      <c r="Q509" s="5">
        <v>106284</v>
      </c>
      <c r="R509" s="5">
        <v>72</v>
      </c>
      <c r="S509" s="5">
        <v>95446.8</v>
      </c>
      <c r="T509" s="5">
        <v>80</v>
      </c>
      <c r="V509" s="5">
        <v>50650.1</v>
      </c>
      <c r="W509" s="5">
        <v>0</v>
      </c>
      <c r="X509" s="5">
        <v>0</v>
      </c>
    </row>
    <row r="510" spans="1:24" ht="12.75" customHeight="1">
      <c r="A510" s="7"/>
      <c r="B510" s="5">
        <v>93654.8</v>
      </c>
      <c r="C510" s="5">
        <v>54</v>
      </c>
      <c r="D510" s="5">
        <v>52771.7</v>
      </c>
      <c r="E510" s="5">
        <v>0</v>
      </c>
      <c r="G510" s="5">
        <v>97935.8</v>
      </c>
      <c r="H510" s="5">
        <v>65</v>
      </c>
      <c r="I510" s="5">
        <v>81283.899999999994</v>
      </c>
      <c r="J510" s="5">
        <v>42</v>
      </c>
      <c r="L510" s="5">
        <v>100417</v>
      </c>
      <c r="M510" s="5">
        <v>73</v>
      </c>
      <c r="N510" s="5">
        <v>57754.9</v>
      </c>
      <c r="O510" s="5">
        <v>17</v>
      </c>
      <c r="Q510" s="5">
        <v>96921.7</v>
      </c>
      <c r="R510" s="5">
        <v>72</v>
      </c>
      <c r="S510" s="5">
        <v>78298.3</v>
      </c>
      <c r="T510" s="5">
        <v>44</v>
      </c>
      <c r="V510" s="5">
        <v>46188.2</v>
      </c>
      <c r="W510" s="5">
        <v>0</v>
      </c>
      <c r="X510" s="5">
        <v>1</v>
      </c>
    </row>
    <row r="511" spans="1:24" ht="12.75" customHeight="1">
      <c r="A511" s="7"/>
      <c r="B511" s="5">
        <v>75053.100000000006</v>
      </c>
      <c r="C511" s="5">
        <v>20</v>
      </c>
      <c r="D511" s="5">
        <v>88249.600000000006</v>
      </c>
      <c r="E511" s="5">
        <v>57</v>
      </c>
      <c r="G511" s="5">
        <v>98551.3</v>
      </c>
      <c r="H511" s="5">
        <v>55</v>
      </c>
      <c r="I511" s="5">
        <v>66899.199999999997</v>
      </c>
      <c r="J511" s="5">
        <v>21</v>
      </c>
      <c r="L511" s="5">
        <v>85055</v>
      </c>
      <c r="M511" s="5">
        <v>41</v>
      </c>
      <c r="N511" s="5">
        <v>86048.6</v>
      </c>
      <c r="O511" s="5">
        <v>57</v>
      </c>
      <c r="Q511" s="5">
        <v>78069.7</v>
      </c>
      <c r="R511" s="5">
        <v>18</v>
      </c>
      <c r="S511" s="5">
        <v>61296.800000000003</v>
      </c>
      <c r="T511" s="5">
        <v>0</v>
      </c>
      <c r="V511" s="5">
        <v>44156.4</v>
      </c>
      <c r="W511" s="5">
        <v>0</v>
      </c>
      <c r="X511" s="5">
        <v>0</v>
      </c>
    </row>
    <row r="512" spans="1:24" ht="12.75" customHeight="1">
      <c r="A512" s="7"/>
      <c r="B512" s="5">
        <v>91461.3</v>
      </c>
      <c r="C512" s="5">
        <v>27</v>
      </c>
      <c r="D512" s="5">
        <v>90352.4</v>
      </c>
      <c r="E512" s="5">
        <v>63</v>
      </c>
      <c r="G512" s="5">
        <v>79051</v>
      </c>
      <c r="H512" s="5">
        <v>11</v>
      </c>
      <c r="I512" s="5">
        <v>86532.7</v>
      </c>
      <c r="J512" s="5">
        <v>42</v>
      </c>
      <c r="L512" s="5">
        <v>106537</v>
      </c>
      <c r="M512" s="5">
        <v>58</v>
      </c>
      <c r="N512" s="5">
        <v>56999.5</v>
      </c>
      <c r="O512" s="5">
        <v>0</v>
      </c>
      <c r="Q512" s="5">
        <v>83954.6</v>
      </c>
      <c r="R512" s="5">
        <v>0</v>
      </c>
      <c r="S512" s="5">
        <v>103312</v>
      </c>
      <c r="T512" s="5">
        <v>52</v>
      </c>
      <c r="V512" s="5">
        <v>55873.3</v>
      </c>
      <c r="W512" s="5">
        <v>0</v>
      </c>
      <c r="X512" s="5">
        <v>0</v>
      </c>
    </row>
    <row r="513" spans="1:24" ht="12.75" customHeight="1">
      <c r="A513" s="7"/>
      <c r="B513" s="5">
        <v>87982.3</v>
      </c>
      <c r="C513" s="5">
        <v>0</v>
      </c>
      <c r="D513" s="5">
        <v>77347.100000000006</v>
      </c>
      <c r="E513" s="5">
        <v>0</v>
      </c>
      <c r="G513" s="5">
        <v>89897.1</v>
      </c>
      <c r="H513" s="5">
        <v>0</v>
      </c>
      <c r="I513" s="5">
        <v>84792.9</v>
      </c>
      <c r="J513" s="5">
        <v>0</v>
      </c>
      <c r="L513" s="5">
        <v>88534.2</v>
      </c>
      <c r="M513" s="5">
        <v>0</v>
      </c>
      <c r="N513" s="5">
        <v>78048.5</v>
      </c>
      <c r="O513" s="5">
        <v>0</v>
      </c>
      <c r="Q513" s="5">
        <v>91934.3</v>
      </c>
      <c r="R513" s="5">
        <v>0</v>
      </c>
      <c r="S513" s="5">
        <v>83988.7</v>
      </c>
      <c r="T513" s="5">
        <v>0</v>
      </c>
      <c r="V513" s="5">
        <v>71497.100000000006</v>
      </c>
      <c r="W513" s="5">
        <v>0</v>
      </c>
      <c r="X513" s="5">
        <v>1</v>
      </c>
    </row>
    <row r="514" spans="1:24" ht="12.75" customHeight="1">
      <c r="A514" s="7"/>
      <c r="B514" s="5">
        <v>83011.3</v>
      </c>
      <c r="C514" s="5">
        <v>36</v>
      </c>
      <c r="D514" s="5">
        <v>61977.5</v>
      </c>
      <c r="E514" s="5">
        <v>13</v>
      </c>
      <c r="G514" s="5">
        <v>83014.399999999994</v>
      </c>
      <c r="H514" s="5">
        <v>17</v>
      </c>
      <c r="I514" s="5">
        <v>56008.9</v>
      </c>
      <c r="J514" s="5">
        <v>0</v>
      </c>
      <c r="L514" s="5">
        <v>74008.5</v>
      </c>
      <c r="M514" s="5">
        <v>12</v>
      </c>
      <c r="N514" s="5">
        <v>56652.2</v>
      </c>
      <c r="O514" s="5">
        <v>0</v>
      </c>
      <c r="Q514" s="5">
        <v>82226.7</v>
      </c>
      <c r="R514" s="5">
        <v>19</v>
      </c>
      <c r="S514" s="5">
        <v>65467.9</v>
      </c>
      <c r="T514" s="5">
        <v>0</v>
      </c>
      <c r="V514" s="5">
        <v>51639.3</v>
      </c>
      <c r="W514" s="5">
        <v>0</v>
      </c>
      <c r="X514" s="5">
        <v>0</v>
      </c>
    </row>
    <row r="515" spans="1:24" ht="12.75" customHeight="1">
      <c r="A515" s="7"/>
      <c r="B515" s="5">
        <v>92569.4</v>
      </c>
      <c r="C515" s="5">
        <v>0</v>
      </c>
      <c r="D515" s="5">
        <v>73797</v>
      </c>
      <c r="E515" s="5">
        <v>0</v>
      </c>
      <c r="G515" s="5">
        <v>95054.5</v>
      </c>
      <c r="H515" s="5">
        <v>0</v>
      </c>
      <c r="I515" s="5">
        <v>82121.5</v>
      </c>
      <c r="J515" s="5">
        <v>0</v>
      </c>
      <c r="L515" s="5">
        <v>93942.3</v>
      </c>
      <c r="M515" s="5">
        <v>0</v>
      </c>
      <c r="N515" s="5">
        <v>84205.5</v>
      </c>
      <c r="O515" s="5">
        <v>0</v>
      </c>
      <c r="Q515" s="5">
        <v>91660.4</v>
      </c>
      <c r="R515" s="5">
        <v>0</v>
      </c>
      <c r="S515" s="5">
        <v>89930.4</v>
      </c>
      <c r="T515" s="5">
        <v>0</v>
      </c>
      <c r="V515" s="5">
        <v>67885.2</v>
      </c>
      <c r="W515" s="5">
        <v>0</v>
      </c>
      <c r="X515" s="5">
        <v>1</v>
      </c>
    </row>
    <row r="516" spans="1:24" ht="12.75" customHeight="1">
      <c r="A516" s="7"/>
      <c r="B516" s="5">
        <v>82285.2</v>
      </c>
      <c r="C516" s="5">
        <v>0</v>
      </c>
      <c r="D516" s="5">
        <v>78110</v>
      </c>
      <c r="E516" s="5">
        <v>14</v>
      </c>
      <c r="G516" s="5">
        <v>85796.5</v>
      </c>
      <c r="H516" s="5">
        <v>0</v>
      </c>
      <c r="I516" s="5">
        <v>75801.8</v>
      </c>
      <c r="J516" s="5">
        <v>0</v>
      </c>
      <c r="L516" s="5">
        <v>102915</v>
      </c>
      <c r="M516" s="5">
        <v>31</v>
      </c>
      <c r="N516" s="5">
        <v>55785.5</v>
      </c>
      <c r="O516" s="5">
        <v>0</v>
      </c>
      <c r="Q516" s="5">
        <v>94471.2</v>
      </c>
      <c r="R516" s="5">
        <v>23</v>
      </c>
      <c r="S516" s="5">
        <v>128270</v>
      </c>
      <c r="T516" s="5">
        <v>103</v>
      </c>
      <c r="V516" s="5">
        <v>64071.8</v>
      </c>
      <c r="W516" s="5">
        <v>0</v>
      </c>
      <c r="X516" s="5">
        <v>0</v>
      </c>
    </row>
    <row r="517" spans="1:24" ht="12.75" customHeight="1">
      <c r="A517" s="7"/>
      <c r="B517" s="5">
        <v>69454.8</v>
      </c>
      <c r="C517" s="5">
        <v>0</v>
      </c>
      <c r="D517" s="5">
        <v>60947.199999999997</v>
      </c>
      <c r="E517" s="5">
        <v>0</v>
      </c>
      <c r="G517" s="5">
        <v>71395.7</v>
      </c>
      <c r="H517" s="5">
        <v>0</v>
      </c>
      <c r="I517" s="5">
        <v>64671.1</v>
      </c>
      <c r="J517" s="5">
        <v>0</v>
      </c>
      <c r="L517" s="5">
        <v>90749.1</v>
      </c>
      <c r="M517" s="5">
        <v>38</v>
      </c>
      <c r="N517" s="5">
        <v>54397.3</v>
      </c>
      <c r="O517" s="5">
        <v>0</v>
      </c>
      <c r="Q517" s="5">
        <v>73001.100000000006</v>
      </c>
      <c r="R517" s="5">
        <v>0</v>
      </c>
      <c r="S517" s="5">
        <v>64106.8</v>
      </c>
      <c r="T517" s="5">
        <v>0</v>
      </c>
      <c r="V517" s="5">
        <v>52329.4</v>
      </c>
      <c r="W517" s="5">
        <v>0</v>
      </c>
      <c r="X517" s="5">
        <v>1</v>
      </c>
    </row>
    <row r="518" spans="1:24" ht="12.75" customHeight="1">
      <c r="A518" s="7"/>
      <c r="B518" s="5">
        <v>85846.2</v>
      </c>
      <c r="C518" s="5">
        <v>22</v>
      </c>
      <c r="D518" s="5">
        <v>69446.2</v>
      </c>
      <c r="E518" s="5">
        <v>23</v>
      </c>
      <c r="G518" s="5">
        <v>76857.8</v>
      </c>
      <c r="H518" s="5">
        <v>0</v>
      </c>
      <c r="I518" s="5">
        <v>90173.2</v>
      </c>
      <c r="J518" s="5">
        <v>49</v>
      </c>
      <c r="L518" s="5">
        <v>118215</v>
      </c>
      <c r="M518" s="5">
        <v>83</v>
      </c>
      <c r="N518" s="5">
        <v>152671</v>
      </c>
      <c r="O518" s="5">
        <v>170</v>
      </c>
      <c r="Q518" s="5">
        <v>100360</v>
      </c>
      <c r="R518" s="5">
        <v>40</v>
      </c>
      <c r="S518" s="5">
        <v>79022.8</v>
      </c>
      <c r="T518" s="5">
        <v>0</v>
      </c>
      <c r="V518" s="5">
        <v>57179.3</v>
      </c>
      <c r="W518" s="5">
        <v>0</v>
      </c>
      <c r="X518" s="5">
        <v>0</v>
      </c>
    </row>
    <row r="519" spans="1:24" ht="12.75" customHeight="1">
      <c r="A519" s="7"/>
      <c r="B519" s="5">
        <v>66627.899999999994</v>
      </c>
      <c r="C519" s="5">
        <v>1</v>
      </c>
      <c r="D519" s="5">
        <v>71716.3</v>
      </c>
      <c r="E519" s="5">
        <v>42</v>
      </c>
      <c r="G519" s="5">
        <v>87663.6</v>
      </c>
      <c r="H519" s="5">
        <v>43</v>
      </c>
      <c r="I519" s="5">
        <v>61499.8</v>
      </c>
      <c r="J519" s="5">
        <v>0</v>
      </c>
      <c r="L519" s="5">
        <v>71349.2</v>
      </c>
      <c r="M519" s="5">
        <v>0</v>
      </c>
      <c r="N519" s="5">
        <v>52398.9</v>
      </c>
      <c r="O519" s="5">
        <v>0</v>
      </c>
      <c r="Q519" s="5">
        <v>71573</v>
      </c>
      <c r="R519" s="5">
        <v>0</v>
      </c>
      <c r="S519" s="5">
        <v>55941.5</v>
      </c>
      <c r="T519" s="5">
        <v>0</v>
      </c>
      <c r="V519" s="5">
        <v>49595</v>
      </c>
      <c r="W519" s="5">
        <v>0</v>
      </c>
      <c r="X519" s="5">
        <v>0</v>
      </c>
    </row>
    <row r="520" spans="1:24" ht="12.75" customHeight="1">
      <c r="A520" s="7"/>
      <c r="B520" s="5">
        <v>72806.3</v>
      </c>
      <c r="C520" s="5">
        <v>0</v>
      </c>
      <c r="D520" s="5">
        <v>67060.7</v>
      </c>
      <c r="E520" s="5">
        <v>1</v>
      </c>
      <c r="G520" s="5">
        <v>71039</v>
      </c>
      <c r="H520" s="5">
        <v>0</v>
      </c>
      <c r="I520" s="5">
        <v>62137.5</v>
      </c>
      <c r="J520" s="5">
        <v>0</v>
      </c>
      <c r="L520" s="5">
        <v>73899.899999999994</v>
      </c>
      <c r="M520" s="5">
        <v>0</v>
      </c>
      <c r="N520" s="5">
        <v>54923.9</v>
      </c>
      <c r="O520" s="5">
        <v>0</v>
      </c>
      <c r="Q520" s="5">
        <v>78315.399999999994</v>
      </c>
      <c r="R520" s="5">
        <v>7</v>
      </c>
      <c r="S520" s="5">
        <v>64351</v>
      </c>
      <c r="T520" s="5">
        <v>0</v>
      </c>
      <c r="V520" s="5">
        <v>49575.5</v>
      </c>
      <c r="W520" s="5">
        <v>0</v>
      </c>
      <c r="X520" s="5">
        <v>1</v>
      </c>
    </row>
    <row r="521" spans="1:24" ht="12.75" customHeight="1">
      <c r="A521" s="7"/>
      <c r="B521" s="5">
        <v>78479.7</v>
      </c>
      <c r="C521" s="5">
        <v>0</v>
      </c>
      <c r="D521" s="5">
        <v>84511.4</v>
      </c>
      <c r="E521" s="5">
        <v>43</v>
      </c>
      <c r="G521" s="5">
        <v>75371</v>
      </c>
      <c r="H521" s="5">
        <v>0</v>
      </c>
      <c r="I521" s="5">
        <v>71042.399999999994</v>
      </c>
      <c r="J521" s="5">
        <v>0</v>
      </c>
      <c r="L521" s="5">
        <v>84645.4</v>
      </c>
      <c r="M521" s="5">
        <v>0</v>
      </c>
      <c r="N521" s="5">
        <v>64304</v>
      </c>
      <c r="O521" s="5">
        <v>0</v>
      </c>
      <c r="Q521" s="5">
        <v>79567.5</v>
      </c>
      <c r="R521" s="5">
        <v>0</v>
      </c>
      <c r="S521" s="5">
        <v>72161.3</v>
      </c>
      <c r="T521" s="5">
        <v>0</v>
      </c>
      <c r="V521" s="5">
        <v>60252.1</v>
      </c>
      <c r="W521" s="5">
        <v>0</v>
      </c>
      <c r="X521" s="5">
        <v>0</v>
      </c>
    </row>
    <row r="522" spans="1:24" ht="12.75" customHeight="1">
      <c r="A522" s="7"/>
      <c r="B522" s="5">
        <v>94424</v>
      </c>
      <c r="C522" s="5">
        <v>54</v>
      </c>
      <c r="D522" s="5">
        <v>68570.3</v>
      </c>
      <c r="E522" s="5">
        <v>21</v>
      </c>
      <c r="G522" s="5">
        <v>82983.3</v>
      </c>
      <c r="H522" s="5">
        <v>22</v>
      </c>
      <c r="I522" s="5">
        <v>52715.6</v>
      </c>
      <c r="J522" s="5">
        <v>0</v>
      </c>
      <c r="L522" s="5">
        <v>104196</v>
      </c>
      <c r="M522" s="5">
        <v>78</v>
      </c>
      <c r="N522" s="5">
        <v>67295.100000000006</v>
      </c>
      <c r="O522" s="5">
        <v>37</v>
      </c>
      <c r="Q522" s="5">
        <v>73648.899999999994</v>
      </c>
      <c r="R522" s="5">
        <v>6</v>
      </c>
      <c r="S522" s="5">
        <v>65406</v>
      </c>
      <c r="T522" s="5">
        <v>1</v>
      </c>
      <c r="V522" s="5">
        <v>60503.199999999997</v>
      </c>
      <c r="W522" s="5">
        <v>25</v>
      </c>
      <c r="X522" s="5">
        <v>0</v>
      </c>
    </row>
    <row r="523" spans="1:24" ht="12.75" customHeight="1">
      <c r="A523" s="7"/>
      <c r="B523" s="5">
        <v>65517.7</v>
      </c>
      <c r="C523" s="5">
        <v>0</v>
      </c>
      <c r="D523" s="5">
        <v>77429.7</v>
      </c>
      <c r="E523" s="5">
        <v>41</v>
      </c>
      <c r="G523" s="5">
        <v>65742.8</v>
      </c>
      <c r="H523" s="5">
        <v>0</v>
      </c>
      <c r="I523" s="5">
        <v>60992.4</v>
      </c>
      <c r="J523" s="5">
        <v>4</v>
      </c>
      <c r="L523" s="5">
        <v>84019.8</v>
      </c>
      <c r="M523" s="5">
        <v>33</v>
      </c>
      <c r="N523" s="5">
        <v>66600.3</v>
      </c>
      <c r="O523" s="5">
        <v>24</v>
      </c>
      <c r="Q523" s="5">
        <v>83872.5</v>
      </c>
      <c r="R523" s="5">
        <v>31</v>
      </c>
      <c r="S523" s="5">
        <v>64390.400000000001</v>
      </c>
      <c r="T523" s="5">
        <v>0</v>
      </c>
      <c r="V523" s="5">
        <v>47418.5</v>
      </c>
      <c r="W523" s="5">
        <v>0</v>
      </c>
      <c r="X523" s="5">
        <v>1</v>
      </c>
    </row>
    <row r="524" spans="1:24" ht="12.75" customHeight="1">
      <c r="A524" s="7"/>
      <c r="B524" s="5">
        <v>71937.7</v>
      </c>
      <c r="C524" s="5">
        <v>0</v>
      </c>
      <c r="D524" s="5">
        <v>60671.199999999997</v>
      </c>
      <c r="E524" s="5">
        <v>0</v>
      </c>
      <c r="G524" s="5">
        <v>73278.5</v>
      </c>
      <c r="H524" s="5">
        <v>0</v>
      </c>
      <c r="I524" s="5">
        <v>59499.6</v>
      </c>
      <c r="J524" s="5">
        <v>0</v>
      </c>
      <c r="L524" s="5">
        <v>73445.3</v>
      </c>
      <c r="M524" s="5">
        <v>8</v>
      </c>
      <c r="N524" s="5">
        <v>53038.9</v>
      </c>
      <c r="O524" s="5">
        <v>0</v>
      </c>
      <c r="Q524" s="5">
        <v>75308.399999999994</v>
      </c>
      <c r="R524" s="5">
        <v>0</v>
      </c>
      <c r="S524" s="5">
        <v>68493.7</v>
      </c>
      <c r="T524" s="5">
        <v>0</v>
      </c>
      <c r="V524" s="5">
        <v>52768</v>
      </c>
      <c r="W524" s="5">
        <v>0</v>
      </c>
      <c r="X524" s="5">
        <v>0</v>
      </c>
    </row>
    <row r="525" spans="1:24" ht="12.75" customHeight="1">
      <c r="A525" s="7"/>
      <c r="B525" s="5">
        <v>62393.1</v>
      </c>
      <c r="C525" s="5">
        <v>0</v>
      </c>
      <c r="D525" s="5">
        <v>49252.5</v>
      </c>
      <c r="E525" s="5">
        <v>0</v>
      </c>
      <c r="G525" s="5">
        <v>63539.5</v>
      </c>
      <c r="H525" s="5">
        <v>0</v>
      </c>
      <c r="I525" s="5">
        <v>52125.3</v>
      </c>
      <c r="J525" s="5">
        <v>0</v>
      </c>
      <c r="L525" s="5">
        <v>62106.3</v>
      </c>
      <c r="M525" s="5">
        <v>3</v>
      </c>
      <c r="N525" s="5">
        <v>55495.3</v>
      </c>
      <c r="O525" s="5">
        <v>27</v>
      </c>
      <c r="Q525" s="5">
        <v>70380</v>
      </c>
      <c r="R525" s="5">
        <v>20</v>
      </c>
      <c r="S525" s="5">
        <v>58919.4</v>
      </c>
      <c r="T525" s="5">
        <v>0</v>
      </c>
      <c r="V525" s="5">
        <v>43920.800000000003</v>
      </c>
      <c r="W525" s="5">
        <v>0</v>
      </c>
      <c r="X525" s="5">
        <v>1</v>
      </c>
    </row>
    <row r="526" spans="1:24" ht="12.75" customHeight="1">
      <c r="A526" s="7"/>
      <c r="B526" s="5">
        <v>76933.3</v>
      </c>
      <c r="C526" s="5">
        <v>0</v>
      </c>
      <c r="D526" s="5">
        <v>137675</v>
      </c>
      <c r="E526" s="5">
        <v>147</v>
      </c>
      <c r="G526" s="5">
        <v>107152</v>
      </c>
      <c r="H526" s="5">
        <v>53</v>
      </c>
      <c r="I526" s="5">
        <v>73693.5</v>
      </c>
      <c r="J526" s="5">
        <v>2</v>
      </c>
      <c r="L526" s="5">
        <v>116755</v>
      </c>
      <c r="M526" s="5">
        <v>69</v>
      </c>
      <c r="N526" s="5">
        <v>107965</v>
      </c>
      <c r="O526" s="5">
        <v>91</v>
      </c>
      <c r="Q526" s="5">
        <v>123851</v>
      </c>
      <c r="R526" s="5">
        <v>86</v>
      </c>
      <c r="S526" s="5">
        <v>71439.899999999994</v>
      </c>
      <c r="T526" s="5">
        <v>2</v>
      </c>
      <c r="V526" s="5">
        <v>67866.5</v>
      </c>
      <c r="W526" s="5">
        <v>14</v>
      </c>
      <c r="X526" s="5">
        <v>0</v>
      </c>
    </row>
    <row r="527" spans="1:24" ht="12.75" customHeight="1">
      <c r="A527" s="7"/>
      <c r="B527" s="5">
        <v>65369.599999999999</v>
      </c>
      <c r="C527" s="5">
        <v>0</v>
      </c>
      <c r="D527" s="5">
        <v>69323.100000000006</v>
      </c>
      <c r="E527" s="5">
        <v>47</v>
      </c>
      <c r="G527" s="5">
        <v>67463.199999999997</v>
      </c>
      <c r="H527" s="5">
        <v>0</v>
      </c>
      <c r="I527" s="5">
        <v>58902.7</v>
      </c>
      <c r="J527" s="5">
        <v>0</v>
      </c>
      <c r="L527" s="5">
        <v>88394.9</v>
      </c>
      <c r="M527" s="5">
        <v>37</v>
      </c>
      <c r="N527" s="5">
        <v>70796.100000000006</v>
      </c>
      <c r="O527" s="5">
        <v>45</v>
      </c>
      <c r="Q527" s="5">
        <v>66305.899999999994</v>
      </c>
      <c r="R527" s="5">
        <v>0</v>
      </c>
      <c r="S527" s="5">
        <v>78297.5</v>
      </c>
      <c r="T527" s="5">
        <v>24</v>
      </c>
      <c r="V527" s="5">
        <v>51120.9</v>
      </c>
      <c r="W527" s="5">
        <v>0</v>
      </c>
      <c r="X527" s="5">
        <v>1</v>
      </c>
    </row>
    <row r="528" spans="1:24" ht="12.75" customHeight="1">
      <c r="A528" s="7"/>
      <c r="B528" s="5">
        <v>75035</v>
      </c>
      <c r="C528" s="5">
        <v>3</v>
      </c>
      <c r="D528" s="5">
        <v>67499.199999999997</v>
      </c>
      <c r="E528" s="5">
        <v>9</v>
      </c>
      <c r="G528" s="5">
        <v>119288</v>
      </c>
      <c r="H528" s="5">
        <v>88</v>
      </c>
      <c r="I528" s="5">
        <v>109935</v>
      </c>
      <c r="J528" s="5">
        <v>97</v>
      </c>
      <c r="L528" s="5">
        <v>73926.7</v>
      </c>
      <c r="M528" s="5">
        <v>4</v>
      </c>
      <c r="N528" s="5">
        <v>72381.7</v>
      </c>
      <c r="O528" s="5">
        <v>22</v>
      </c>
      <c r="Q528" s="5">
        <v>89904</v>
      </c>
      <c r="R528" s="5">
        <v>33</v>
      </c>
      <c r="S528" s="5">
        <v>97034.1</v>
      </c>
      <c r="T528" s="5">
        <v>57</v>
      </c>
      <c r="V528" s="5">
        <v>70944.3</v>
      </c>
      <c r="W528" s="5">
        <v>29</v>
      </c>
      <c r="X528" s="5">
        <v>0</v>
      </c>
    </row>
    <row r="529" spans="1:24" ht="12.75" customHeight="1">
      <c r="A529" s="7"/>
      <c r="B529" s="5">
        <v>78730.100000000006</v>
      </c>
      <c r="C529" s="5">
        <v>33</v>
      </c>
      <c r="D529" s="5">
        <v>83128.3</v>
      </c>
      <c r="E529" s="5">
        <v>61</v>
      </c>
      <c r="G529" s="5">
        <v>115794</v>
      </c>
      <c r="H529" s="5">
        <v>106</v>
      </c>
      <c r="I529" s="5">
        <v>86960.1</v>
      </c>
      <c r="J529" s="5">
        <v>62</v>
      </c>
      <c r="L529" s="5">
        <v>132865</v>
      </c>
      <c r="M529" s="5">
        <v>136</v>
      </c>
      <c r="N529" s="5">
        <v>63412.6</v>
      </c>
      <c r="O529" s="5">
        <v>30</v>
      </c>
      <c r="Q529" s="5">
        <v>93690.2</v>
      </c>
      <c r="R529" s="5">
        <v>60</v>
      </c>
      <c r="S529" s="5">
        <v>78222</v>
      </c>
      <c r="T529" s="5">
        <v>35</v>
      </c>
      <c r="V529" s="5">
        <v>59898</v>
      </c>
      <c r="W529" s="5">
        <v>27</v>
      </c>
      <c r="X529" s="5">
        <v>1</v>
      </c>
    </row>
    <row r="530" spans="1:24" ht="12.75" customHeight="1">
      <c r="A530" s="7"/>
      <c r="B530" s="5">
        <v>71144.5</v>
      </c>
      <c r="C530" s="5">
        <v>0</v>
      </c>
      <c r="D530" s="5">
        <v>70152.2</v>
      </c>
      <c r="E530" s="5">
        <v>11</v>
      </c>
      <c r="G530" s="5">
        <v>99746.6</v>
      </c>
      <c r="H530" s="5">
        <v>51</v>
      </c>
      <c r="I530" s="5">
        <v>75185.399999999994</v>
      </c>
      <c r="J530" s="5">
        <v>6</v>
      </c>
      <c r="L530" s="5">
        <v>93865.1</v>
      </c>
      <c r="M530" s="5">
        <v>44</v>
      </c>
      <c r="N530" s="5">
        <v>76720.7</v>
      </c>
      <c r="O530" s="5">
        <v>40</v>
      </c>
      <c r="Q530" s="5">
        <v>117283</v>
      </c>
      <c r="R530" s="5">
        <v>78</v>
      </c>
      <c r="S530" s="5">
        <v>94485.8</v>
      </c>
      <c r="T530" s="5">
        <v>62</v>
      </c>
      <c r="V530" s="5">
        <v>58417.599999999999</v>
      </c>
      <c r="W530" s="5">
        <v>4</v>
      </c>
      <c r="X530" s="5">
        <v>0</v>
      </c>
    </row>
    <row r="531" spans="1:24" ht="12.75" customHeight="1">
      <c r="A531" s="7"/>
      <c r="B531" s="5">
        <v>78791.7</v>
      </c>
      <c r="C531" s="5">
        <v>35</v>
      </c>
      <c r="D531" s="5">
        <v>90353.9</v>
      </c>
      <c r="E531" s="5">
        <v>61</v>
      </c>
      <c r="G531" s="5">
        <v>69222.5</v>
      </c>
      <c r="H531" s="5">
        <v>8</v>
      </c>
      <c r="I531" s="5">
        <v>55010</v>
      </c>
      <c r="J531" s="5">
        <v>0</v>
      </c>
      <c r="L531" s="5">
        <v>102149</v>
      </c>
      <c r="M531" s="5">
        <v>73</v>
      </c>
      <c r="N531" s="5">
        <v>63233.8</v>
      </c>
      <c r="O531" s="5">
        <v>31</v>
      </c>
      <c r="Q531" s="5">
        <v>75575.3</v>
      </c>
      <c r="R531" s="5">
        <v>27</v>
      </c>
      <c r="S531" s="5">
        <v>92462.2</v>
      </c>
      <c r="T531" s="5">
        <v>63</v>
      </c>
      <c r="V531" s="5">
        <v>48671.6</v>
      </c>
      <c r="W531" s="5">
        <v>0</v>
      </c>
      <c r="X531" s="5">
        <v>1</v>
      </c>
    </row>
    <row r="532" spans="1:24" ht="12.75" customHeight="1">
      <c r="A532" s="7"/>
      <c r="B532" s="5">
        <v>72229.399999999994</v>
      </c>
      <c r="C532" s="5">
        <v>3</v>
      </c>
      <c r="D532" s="5">
        <v>60788</v>
      </c>
      <c r="E532" s="5">
        <v>24</v>
      </c>
      <c r="G532" s="5">
        <v>101228</v>
      </c>
      <c r="H532" s="5">
        <v>65</v>
      </c>
      <c r="I532" s="5">
        <v>118829</v>
      </c>
      <c r="J532" s="5">
        <v>105</v>
      </c>
      <c r="L532" s="5">
        <v>68775</v>
      </c>
      <c r="M532" s="5">
        <v>1</v>
      </c>
      <c r="N532" s="5">
        <v>72063.100000000006</v>
      </c>
      <c r="O532" s="5">
        <v>50</v>
      </c>
      <c r="Q532" s="5">
        <v>79495.100000000006</v>
      </c>
      <c r="R532" s="5">
        <v>10</v>
      </c>
      <c r="S532" s="5">
        <v>69593.3</v>
      </c>
      <c r="T532" s="5">
        <v>14</v>
      </c>
      <c r="V532" s="5">
        <v>49473.4</v>
      </c>
      <c r="W532" s="5">
        <v>0</v>
      </c>
      <c r="X532" s="5">
        <v>0</v>
      </c>
    </row>
    <row r="533" spans="1:24" ht="12.75" customHeight="1">
      <c r="A533" s="7"/>
      <c r="B533" s="5">
        <v>87526.8</v>
      </c>
      <c r="C533" s="5">
        <v>32</v>
      </c>
      <c r="D533" s="5">
        <v>53882.1</v>
      </c>
      <c r="E533" s="5">
        <v>0</v>
      </c>
      <c r="G533" s="5">
        <v>72568.100000000006</v>
      </c>
      <c r="H533" s="5">
        <v>0</v>
      </c>
      <c r="I533" s="5">
        <v>67569.899999999994</v>
      </c>
      <c r="J533" s="5">
        <v>0</v>
      </c>
      <c r="L533" s="5">
        <v>91065.600000000006</v>
      </c>
      <c r="M533" s="5">
        <v>44</v>
      </c>
      <c r="N533" s="5">
        <v>92346.5</v>
      </c>
      <c r="O533" s="5">
        <v>84</v>
      </c>
      <c r="Q533" s="5">
        <v>75785.7</v>
      </c>
      <c r="R533" s="5">
        <v>0</v>
      </c>
      <c r="S533" s="5">
        <v>86290.7</v>
      </c>
      <c r="T533" s="5">
        <v>36</v>
      </c>
      <c r="V533" s="5">
        <v>55737.1</v>
      </c>
      <c r="W533" s="5">
        <v>0</v>
      </c>
      <c r="X533" s="5">
        <v>1</v>
      </c>
    </row>
    <row r="534" spans="1:24" ht="12.75" customHeight="1">
      <c r="A534" s="7"/>
      <c r="B534" s="5">
        <v>67271.600000000006</v>
      </c>
      <c r="C534" s="5">
        <v>0</v>
      </c>
      <c r="D534" s="5">
        <v>70114.399999999994</v>
      </c>
      <c r="E534" s="5">
        <v>32</v>
      </c>
      <c r="G534" s="5">
        <v>72106.3</v>
      </c>
      <c r="H534" s="5">
        <v>17</v>
      </c>
      <c r="I534" s="5">
        <v>65610.3</v>
      </c>
      <c r="J534" s="5">
        <v>9</v>
      </c>
      <c r="L534" s="5">
        <v>103632</v>
      </c>
      <c r="M534" s="5">
        <v>79</v>
      </c>
      <c r="N534" s="5">
        <v>56133.9</v>
      </c>
      <c r="O534" s="5">
        <v>9</v>
      </c>
      <c r="Q534" s="5">
        <v>82279.7</v>
      </c>
      <c r="R534" s="5">
        <v>31</v>
      </c>
      <c r="S534" s="5">
        <v>64067.199999999997</v>
      </c>
      <c r="T534" s="5">
        <v>2</v>
      </c>
      <c r="V534" s="5">
        <v>47894.9</v>
      </c>
      <c r="W534" s="5">
        <v>0</v>
      </c>
      <c r="X534" s="5">
        <v>0</v>
      </c>
    </row>
    <row r="535" spans="1:24" ht="12.75" customHeight="1">
      <c r="A535" s="7"/>
      <c r="B535" s="5">
        <v>81417.3</v>
      </c>
      <c r="C535" s="5">
        <v>10</v>
      </c>
      <c r="D535" s="5">
        <v>101087</v>
      </c>
      <c r="E535" s="5">
        <v>73</v>
      </c>
      <c r="G535" s="5">
        <v>101198</v>
      </c>
      <c r="H535" s="5">
        <v>48</v>
      </c>
      <c r="I535" s="5">
        <v>71763.100000000006</v>
      </c>
      <c r="J535" s="5">
        <v>11</v>
      </c>
      <c r="L535" s="5">
        <v>77271.7</v>
      </c>
      <c r="M535" s="5">
        <v>3</v>
      </c>
      <c r="N535" s="5">
        <v>90677.8</v>
      </c>
      <c r="O535" s="5">
        <v>52</v>
      </c>
      <c r="Q535" s="5">
        <v>93948.9</v>
      </c>
      <c r="R535" s="5">
        <v>26</v>
      </c>
      <c r="S535" s="5">
        <v>90770.2</v>
      </c>
      <c r="T535" s="5">
        <v>37</v>
      </c>
      <c r="V535" s="5">
        <v>57222.5</v>
      </c>
      <c r="W535" s="5">
        <v>0</v>
      </c>
      <c r="X535" s="5">
        <v>0</v>
      </c>
    </row>
    <row r="536" spans="1:24" ht="12.75" customHeight="1">
      <c r="A536" s="7"/>
      <c r="B536" s="5">
        <v>68254</v>
      </c>
      <c r="C536" s="5">
        <v>0</v>
      </c>
      <c r="D536" s="5">
        <v>59342.3</v>
      </c>
      <c r="E536" s="5">
        <v>0</v>
      </c>
      <c r="G536" s="5">
        <v>65138.3</v>
      </c>
      <c r="H536" s="5">
        <v>2</v>
      </c>
      <c r="I536" s="5">
        <v>83283</v>
      </c>
      <c r="J536" s="5">
        <v>41</v>
      </c>
      <c r="L536" s="5">
        <v>81851.899999999994</v>
      </c>
      <c r="M536" s="5">
        <v>36</v>
      </c>
      <c r="N536" s="5">
        <v>49737</v>
      </c>
      <c r="O536" s="5">
        <v>0</v>
      </c>
      <c r="Q536" s="5">
        <v>88333.2</v>
      </c>
      <c r="R536" s="5">
        <v>38</v>
      </c>
      <c r="S536" s="5">
        <v>69042</v>
      </c>
      <c r="T536" s="5">
        <v>11</v>
      </c>
      <c r="V536" s="5">
        <v>55338.9</v>
      </c>
      <c r="W536" s="5">
        <v>10</v>
      </c>
      <c r="X536" s="5">
        <v>1</v>
      </c>
    </row>
    <row r="537" spans="1:24" ht="12.75" customHeight="1">
      <c r="A537" s="7"/>
      <c r="B537" s="5">
        <v>67743.199999999997</v>
      </c>
      <c r="C537" s="5">
        <v>0</v>
      </c>
      <c r="D537" s="5">
        <v>57974.6</v>
      </c>
      <c r="E537" s="5">
        <v>2</v>
      </c>
      <c r="G537" s="5">
        <v>104602</v>
      </c>
      <c r="H537" s="5">
        <v>65</v>
      </c>
      <c r="I537" s="5">
        <v>87187.7</v>
      </c>
      <c r="J537" s="5">
        <v>42</v>
      </c>
      <c r="L537" s="5">
        <v>122364</v>
      </c>
      <c r="M537" s="5">
        <v>95</v>
      </c>
      <c r="N537" s="5">
        <v>86771</v>
      </c>
      <c r="O537" s="5">
        <v>72</v>
      </c>
      <c r="Q537" s="5">
        <v>110659</v>
      </c>
      <c r="R537" s="5">
        <v>69</v>
      </c>
      <c r="S537" s="5">
        <v>69707.7</v>
      </c>
      <c r="T537" s="5">
        <v>0</v>
      </c>
      <c r="V537" s="5">
        <v>50979.8</v>
      </c>
      <c r="W537" s="5">
        <v>0</v>
      </c>
      <c r="X537" s="5">
        <v>0</v>
      </c>
    </row>
    <row r="538" spans="1:24" ht="12.75" customHeight="1">
      <c r="A538" s="7"/>
      <c r="B538" s="5">
        <v>69574.2</v>
      </c>
      <c r="C538" s="5">
        <v>0</v>
      </c>
      <c r="D538" s="5">
        <v>79370.8</v>
      </c>
      <c r="E538" s="5">
        <v>40</v>
      </c>
      <c r="G538" s="5">
        <v>73878.7</v>
      </c>
      <c r="H538" s="5">
        <v>17</v>
      </c>
      <c r="I538" s="5">
        <v>63664.800000000003</v>
      </c>
      <c r="J538" s="5">
        <v>0</v>
      </c>
      <c r="L538" s="5">
        <v>90660.5</v>
      </c>
      <c r="M538" s="5">
        <v>41</v>
      </c>
      <c r="N538" s="5">
        <v>64321.1</v>
      </c>
      <c r="O538" s="5">
        <v>14</v>
      </c>
      <c r="Q538" s="5">
        <v>75184.2</v>
      </c>
      <c r="R538" s="5">
        <v>3</v>
      </c>
      <c r="S538" s="5">
        <v>64821.7</v>
      </c>
      <c r="T538" s="5">
        <v>0</v>
      </c>
      <c r="V538" s="5">
        <v>51704.9</v>
      </c>
      <c r="W538" s="5">
        <v>0</v>
      </c>
      <c r="X538" s="5">
        <v>1</v>
      </c>
    </row>
    <row r="539" spans="1:24" ht="12.75" customHeight="1">
      <c r="A539" s="7"/>
      <c r="B539" s="5">
        <v>116556</v>
      </c>
      <c r="C539" s="5">
        <v>81</v>
      </c>
      <c r="D539" s="5">
        <v>137732</v>
      </c>
      <c r="E539" s="5">
        <v>160</v>
      </c>
      <c r="G539" s="5">
        <v>134570</v>
      </c>
      <c r="H539" s="5">
        <v>113</v>
      </c>
      <c r="I539" s="5">
        <v>126090</v>
      </c>
      <c r="J539" s="5">
        <v>119</v>
      </c>
      <c r="L539" s="5">
        <v>159468</v>
      </c>
      <c r="M539" s="5">
        <v>165</v>
      </c>
      <c r="N539" s="5">
        <v>105556</v>
      </c>
      <c r="O539" s="5">
        <v>92</v>
      </c>
      <c r="Q539" s="5">
        <v>145175</v>
      </c>
      <c r="R539" s="5">
        <v>141</v>
      </c>
      <c r="S539" s="5">
        <v>122278</v>
      </c>
      <c r="T539" s="5">
        <v>106</v>
      </c>
      <c r="V539" s="5">
        <v>75176.899999999994</v>
      </c>
      <c r="W539" s="5">
        <v>46</v>
      </c>
      <c r="X539" s="5">
        <v>0</v>
      </c>
    </row>
    <row r="540" spans="1:24" ht="12.75" customHeight="1">
      <c r="A540" s="7"/>
      <c r="B540" s="5">
        <v>76466.2</v>
      </c>
      <c r="C540" s="5">
        <v>10</v>
      </c>
      <c r="D540" s="5">
        <v>75666.2</v>
      </c>
      <c r="E540" s="5">
        <v>30</v>
      </c>
      <c r="G540" s="5">
        <v>76770.3</v>
      </c>
      <c r="H540" s="5">
        <v>5</v>
      </c>
      <c r="I540" s="5">
        <v>86689</v>
      </c>
      <c r="J540" s="5">
        <v>44</v>
      </c>
      <c r="L540" s="5">
        <v>119238</v>
      </c>
      <c r="M540" s="5">
        <v>96</v>
      </c>
      <c r="N540" s="5">
        <v>96810.7</v>
      </c>
      <c r="O540" s="5">
        <v>88</v>
      </c>
      <c r="Q540" s="5">
        <v>106355</v>
      </c>
      <c r="R540" s="5">
        <v>69</v>
      </c>
      <c r="S540" s="5">
        <v>95538</v>
      </c>
      <c r="T540" s="5">
        <v>54</v>
      </c>
      <c r="V540" s="5">
        <v>61624.3</v>
      </c>
      <c r="W540" s="5">
        <v>21</v>
      </c>
      <c r="X540" s="5">
        <v>1</v>
      </c>
    </row>
    <row r="541" spans="1:24" ht="12.75" customHeight="1">
      <c r="A541" s="7"/>
      <c r="B541" s="5">
        <v>95635.5</v>
      </c>
      <c r="C541" s="5">
        <v>53</v>
      </c>
      <c r="D541" s="5">
        <v>75064.600000000006</v>
      </c>
      <c r="E541" s="5">
        <v>45</v>
      </c>
      <c r="G541" s="5">
        <v>70189.100000000006</v>
      </c>
      <c r="H541" s="5">
        <v>0</v>
      </c>
      <c r="I541" s="5">
        <v>67315.399999999994</v>
      </c>
      <c r="J541" s="5">
        <v>14</v>
      </c>
      <c r="L541" s="5">
        <v>67949.600000000006</v>
      </c>
      <c r="M541" s="5">
        <v>0</v>
      </c>
      <c r="N541" s="5">
        <v>84048.6</v>
      </c>
      <c r="O541" s="5">
        <v>63</v>
      </c>
      <c r="Q541" s="5">
        <v>84448.3</v>
      </c>
      <c r="R541" s="5">
        <v>36</v>
      </c>
      <c r="S541" s="5">
        <v>81144.7</v>
      </c>
      <c r="T541" s="5">
        <v>42</v>
      </c>
      <c r="V541" s="5">
        <v>51207.4</v>
      </c>
      <c r="W541" s="5">
        <v>0</v>
      </c>
      <c r="X541" s="5">
        <v>0</v>
      </c>
    </row>
    <row r="542" spans="1:24" ht="12.75" customHeight="1">
      <c r="A542" s="7"/>
      <c r="B542" s="5">
        <v>75188.100000000006</v>
      </c>
      <c r="C542" s="5">
        <v>0</v>
      </c>
      <c r="D542" s="5">
        <v>83742</v>
      </c>
      <c r="E542" s="5">
        <v>42</v>
      </c>
      <c r="G542" s="5">
        <v>76956.7</v>
      </c>
      <c r="H542" s="5">
        <v>3</v>
      </c>
      <c r="I542" s="5">
        <v>99834</v>
      </c>
      <c r="J542" s="5">
        <v>60</v>
      </c>
      <c r="L542" s="5">
        <v>72941.899999999994</v>
      </c>
      <c r="M542" s="5">
        <v>0</v>
      </c>
      <c r="N542" s="5">
        <v>63185.599999999999</v>
      </c>
      <c r="O542" s="5">
        <v>15</v>
      </c>
      <c r="Q542" s="5">
        <v>74761.100000000006</v>
      </c>
      <c r="R542" s="5">
        <v>3</v>
      </c>
      <c r="S542" s="5">
        <v>68014.600000000006</v>
      </c>
      <c r="T542" s="5">
        <v>0</v>
      </c>
      <c r="V542" s="5">
        <v>54447.8</v>
      </c>
      <c r="W542" s="5">
        <v>0</v>
      </c>
      <c r="X542" s="5">
        <v>0</v>
      </c>
    </row>
    <row r="543" spans="1:24" ht="12.75" customHeight="1">
      <c r="A543" s="7"/>
      <c r="B543" s="5">
        <v>93350.5</v>
      </c>
      <c r="C543" s="5">
        <v>52</v>
      </c>
      <c r="D543" s="5">
        <v>57052</v>
      </c>
      <c r="E543" s="5">
        <v>2</v>
      </c>
      <c r="G543" s="5">
        <v>101188</v>
      </c>
      <c r="H543" s="5">
        <v>55</v>
      </c>
      <c r="I543" s="5">
        <v>61886.2</v>
      </c>
      <c r="J543" s="5">
        <v>0</v>
      </c>
      <c r="L543" s="5">
        <v>98224.6</v>
      </c>
      <c r="M543" s="5">
        <v>52</v>
      </c>
      <c r="N543" s="5">
        <v>64444.4</v>
      </c>
      <c r="O543" s="5">
        <v>17</v>
      </c>
      <c r="Q543" s="5">
        <v>63419.6</v>
      </c>
      <c r="R543" s="5">
        <v>0</v>
      </c>
      <c r="S543" s="5">
        <v>107325</v>
      </c>
      <c r="T543" s="5">
        <v>74</v>
      </c>
      <c r="V543" s="5">
        <v>53976.3</v>
      </c>
      <c r="W543" s="5">
        <v>0</v>
      </c>
      <c r="X543" s="5">
        <v>1</v>
      </c>
    </row>
    <row r="544" spans="1:24" ht="12.75" customHeight="1">
      <c r="A544" s="7"/>
      <c r="B544" s="5">
        <v>72042.5</v>
      </c>
      <c r="C544" s="5">
        <v>0</v>
      </c>
      <c r="D544" s="5">
        <v>56810.400000000001</v>
      </c>
      <c r="E544" s="5">
        <v>0</v>
      </c>
      <c r="G544" s="5">
        <v>68448.399999999994</v>
      </c>
      <c r="H544" s="5">
        <v>0</v>
      </c>
      <c r="I544" s="5">
        <v>65154.3</v>
      </c>
      <c r="J544" s="5">
        <v>8</v>
      </c>
      <c r="L544" s="5">
        <v>75216.5</v>
      </c>
      <c r="M544" s="5">
        <v>12</v>
      </c>
      <c r="N544" s="5">
        <v>52849.2</v>
      </c>
      <c r="O544" s="5">
        <v>0</v>
      </c>
      <c r="Q544" s="5">
        <v>68498.7</v>
      </c>
      <c r="R544" s="5">
        <v>0</v>
      </c>
      <c r="S544" s="5">
        <v>63170.3</v>
      </c>
      <c r="T544" s="5">
        <v>0</v>
      </c>
      <c r="V544" s="5">
        <v>54891.9</v>
      </c>
      <c r="W544" s="5">
        <v>0</v>
      </c>
      <c r="X544" s="5">
        <v>0</v>
      </c>
    </row>
    <row r="545" spans="1:24" ht="12.75" customHeight="1">
      <c r="A545" s="7"/>
      <c r="B545" s="5">
        <v>78248.100000000006</v>
      </c>
      <c r="C545" s="5">
        <v>42</v>
      </c>
      <c r="D545" s="5">
        <v>60163.1</v>
      </c>
      <c r="E545" s="5">
        <v>30</v>
      </c>
      <c r="G545" s="5">
        <v>93600.5</v>
      </c>
      <c r="H545" s="5">
        <v>72</v>
      </c>
      <c r="I545" s="5">
        <v>77886.600000000006</v>
      </c>
      <c r="J545" s="5">
        <v>63</v>
      </c>
      <c r="L545" s="5">
        <v>114674</v>
      </c>
      <c r="M545" s="5">
        <v>108</v>
      </c>
      <c r="N545" s="5">
        <v>67592.100000000006</v>
      </c>
      <c r="O545" s="5">
        <v>49</v>
      </c>
      <c r="Q545" s="5">
        <v>118865</v>
      </c>
      <c r="R545" s="5">
        <v>115</v>
      </c>
      <c r="S545" s="5">
        <v>77493.8</v>
      </c>
      <c r="T545" s="5">
        <v>42</v>
      </c>
      <c r="V545" s="5">
        <v>42057.3</v>
      </c>
      <c r="W545" s="5">
        <v>3</v>
      </c>
      <c r="X545" s="5">
        <v>1</v>
      </c>
    </row>
    <row r="546" spans="1:24" ht="12.75" customHeight="1">
      <c r="A546" s="7"/>
      <c r="B546" s="5">
        <v>68601.399999999994</v>
      </c>
      <c r="C546" s="5">
        <v>0</v>
      </c>
      <c r="D546" s="5">
        <v>70560.800000000003</v>
      </c>
      <c r="E546" s="5">
        <v>20</v>
      </c>
      <c r="G546" s="5">
        <v>68244.7</v>
      </c>
      <c r="H546" s="5">
        <v>0</v>
      </c>
      <c r="I546" s="5">
        <v>74085.3</v>
      </c>
      <c r="J546" s="5">
        <v>27</v>
      </c>
      <c r="L546" s="5">
        <v>72263.199999999997</v>
      </c>
      <c r="M546" s="5">
        <v>13</v>
      </c>
      <c r="N546" s="5">
        <v>74726.2</v>
      </c>
      <c r="O546" s="5">
        <v>33</v>
      </c>
      <c r="Q546" s="5">
        <v>72299.399999999994</v>
      </c>
      <c r="R546" s="5">
        <v>0</v>
      </c>
      <c r="S546" s="5">
        <v>68790</v>
      </c>
      <c r="T546" s="5">
        <v>0</v>
      </c>
      <c r="V546" s="5">
        <v>51483.6</v>
      </c>
      <c r="W546" s="5">
        <v>0</v>
      </c>
      <c r="X546" s="5">
        <v>0</v>
      </c>
    </row>
    <row r="547" spans="1:24" ht="12.75" customHeight="1">
      <c r="A547" s="7"/>
      <c r="B547" s="5">
        <v>92611.6</v>
      </c>
      <c r="C547" s="5">
        <v>34</v>
      </c>
      <c r="D547" s="5">
        <v>96868</v>
      </c>
      <c r="E547" s="5">
        <v>56</v>
      </c>
      <c r="G547" s="5">
        <v>86093.7</v>
      </c>
      <c r="H547" s="5">
        <v>7</v>
      </c>
      <c r="I547" s="5">
        <v>129545</v>
      </c>
      <c r="J547" s="5">
        <v>117</v>
      </c>
      <c r="L547" s="5">
        <v>81590</v>
      </c>
      <c r="M547" s="5">
        <v>0</v>
      </c>
      <c r="N547" s="5">
        <v>63408.6</v>
      </c>
      <c r="O547" s="5">
        <v>9</v>
      </c>
      <c r="Q547" s="5">
        <v>93841.3</v>
      </c>
      <c r="R547" s="5">
        <v>24</v>
      </c>
      <c r="S547" s="5">
        <v>95251.7</v>
      </c>
      <c r="T547" s="5">
        <v>49</v>
      </c>
      <c r="V547" s="5">
        <v>54363.3</v>
      </c>
      <c r="W547" s="5">
        <v>0</v>
      </c>
      <c r="X547" s="5">
        <v>0</v>
      </c>
    </row>
    <row r="548" spans="1:24" ht="12.75" customHeight="1">
      <c r="A548" s="7"/>
      <c r="B548" s="5">
        <v>70931.5</v>
      </c>
      <c r="C548" s="5">
        <v>0</v>
      </c>
      <c r="D548" s="5">
        <v>52969.8</v>
      </c>
      <c r="E548" s="5">
        <v>0</v>
      </c>
      <c r="G548" s="5">
        <v>81487.100000000006</v>
      </c>
      <c r="H548" s="5">
        <v>14</v>
      </c>
      <c r="I548" s="5">
        <v>67475.399999999994</v>
      </c>
      <c r="J548" s="5">
        <v>5</v>
      </c>
      <c r="L548" s="5">
        <v>83295.3</v>
      </c>
      <c r="M548" s="5">
        <v>25</v>
      </c>
      <c r="N548" s="5">
        <v>92201.9</v>
      </c>
      <c r="O548" s="5">
        <v>72</v>
      </c>
      <c r="Q548" s="5">
        <v>94619.9</v>
      </c>
      <c r="R548" s="5">
        <v>38</v>
      </c>
      <c r="S548" s="5">
        <v>114691</v>
      </c>
      <c r="T548" s="5">
        <v>85</v>
      </c>
      <c r="V548" s="5">
        <v>81726.7</v>
      </c>
      <c r="W548" s="5">
        <v>61</v>
      </c>
      <c r="X548" s="5">
        <v>1</v>
      </c>
    </row>
    <row r="549" spans="1:24" ht="12.75" customHeight="1">
      <c r="A549" s="7"/>
      <c r="B549" s="5">
        <v>97916.4</v>
      </c>
      <c r="C549" s="5">
        <v>35</v>
      </c>
      <c r="D549" s="5">
        <v>67146.399999999994</v>
      </c>
      <c r="E549" s="5">
        <v>0</v>
      </c>
      <c r="G549" s="5">
        <v>85875.5</v>
      </c>
      <c r="H549" s="5">
        <v>6</v>
      </c>
      <c r="I549" s="5">
        <v>77879.399999999994</v>
      </c>
      <c r="J549" s="5">
        <v>0</v>
      </c>
      <c r="L549" s="5">
        <v>116281</v>
      </c>
      <c r="M549" s="5">
        <v>70</v>
      </c>
      <c r="N549" s="5">
        <v>56249.599999999999</v>
      </c>
      <c r="O549" s="5">
        <v>0</v>
      </c>
      <c r="Q549" s="5">
        <v>92659.8</v>
      </c>
      <c r="R549" s="5">
        <v>16</v>
      </c>
      <c r="S549" s="5">
        <v>108503</v>
      </c>
      <c r="T549" s="5">
        <v>65</v>
      </c>
      <c r="V549" s="5">
        <v>61370.9</v>
      </c>
      <c r="W549" s="5">
        <v>8</v>
      </c>
      <c r="X549" s="5">
        <v>1</v>
      </c>
    </row>
    <row r="550" spans="1:24" ht="12.75" customHeight="1">
      <c r="A550" s="7"/>
      <c r="B550" s="5">
        <v>110113</v>
      </c>
      <c r="C550" s="5">
        <v>91</v>
      </c>
      <c r="D550" s="5">
        <v>120101</v>
      </c>
      <c r="E550" s="5">
        <v>140</v>
      </c>
      <c r="G550" s="5">
        <v>74165</v>
      </c>
      <c r="H550" s="5">
        <v>22</v>
      </c>
      <c r="I550" s="5">
        <v>69430</v>
      </c>
      <c r="J550" s="5">
        <v>31</v>
      </c>
      <c r="L550" s="5">
        <v>98023.9</v>
      </c>
      <c r="M550" s="5">
        <v>66</v>
      </c>
      <c r="N550" s="5">
        <v>66208.100000000006</v>
      </c>
      <c r="O550" s="5">
        <v>28</v>
      </c>
      <c r="Q550" s="5">
        <v>100570</v>
      </c>
      <c r="R550" s="5">
        <v>72</v>
      </c>
      <c r="S550" s="5">
        <v>113140</v>
      </c>
      <c r="T550" s="5">
        <v>113</v>
      </c>
      <c r="V550" s="5">
        <v>46595</v>
      </c>
      <c r="W550" s="5">
        <v>0</v>
      </c>
      <c r="X550" s="5">
        <v>0</v>
      </c>
    </row>
    <row r="551" spans="1:24" ht="12.75" customHeight="1">
      <c r="A551" s="7"/>
      <c r="B551" s="5">
        <v>95943.7</v>
      </c>
      <c r="C551" s="5">
        <v>51</v>
      </c>
      <c r="D551" s="5">
        <v>59683.4</v>
      </c>
      <c r="E551" s="5">
        <v>11</v>
      </c>
      <c r="G551" s="5">
        <v>102152</v>
      </c>
      <c r="H551" s="5">
        <v>61</v>
      </c>
      <c r="I551" s="5">
        <v>66976.5</v>
      </c>
      <c r="J551" s="5">
        <v>14</v>
      </c>
      <c r="L551" s="5">
        <v>71067.600000000006</v>
      </c>
      <c r="M551" s="5">
        <v>0</v>
      </c>
      <c r="N551" s="5">
        <v>72042.8</v>
      </c>
      <c r="O551" s="5">
        <v>26</v>
      </c>
      <c r="Q551" s="5">
        <v>68319</v>
      </c>
      <c r="R551" s="5">
        <v>0</v>
      </c>
      <c r="S551" s="5">
        <v>75586.899999999994</v>
      </c>
      <c r="T551" s="5">
        <v>30</v>
      </c>
      <c r="V551" s="5">
        <v>49927.1</v>
      </c>
      <c r="W551" s="5">
        <v>0</v>
      </c>
      <c r="X551" s="5">
        <v>0</v>
      </c>
    </row>
    <row r="552" spans="1:24" ht="12.75" customHeight="1">
      <c r="A552" s="7"/>
      <c r="B552" s="5">
        <v>77735.600000000006</v>
      </c>
      <c r="C552" s="5">
        <v>22</v>
      </c>
      <c r="D552" s="5">
        <v>59945.599999999999</v>
      </c>
      <c r="E552" s="5">
        <v>0</v>
      </c>
      <c r="G552" s="5">
        <v>67293.3</v>
      </c>
      <c r="H552" s="5">
        <v>0</v>
      </c>
      <c r="I552" s="5">
        <v>59391.199999999997</v>
      </c>
      <c r="J552" s="5">
        <v>0</v>
      </c>
      <c r="L552" s="5">
        <v>85625.4</v>
      </c>
      <c r="M552" s="5">
        <v>28</v>
      </c>
      <c r="N552" s="5">
        <v>49508.1</v>
      </c>
      <c r="O552" s="5">
        <v>0</v>
      </c>
      <c r="Q552" s="5">
        <v>88986.8</v>
      </c>
      <c r="R552" s="5">
        <v>40</v>
      </c>
      <c r="S552" s="5">
        <v>59886.1</v>
      </c>
      <c r="T552" s="5">
        <v>0</v>
      </c>
      <c r="V552" s="5">
        <v>49206.5</v>
      </c>
      <c r="W552" s="5">
        <v>0</v>
      </c>
      <c r="X552" s="5">
        <v>1</v>
      </c>
    </row>
    <row r="553" spans="1:24" ht="12.75" customHeight="1">
      <c r="A553" s="7"/>
      <c r="B553" s="5">
        <v>71281.600000000006</v>
      </c>
      <c r="C553" s="5">
        <v>0</v>
      </c>
      <c r="D553" s="5">
        <v>58199</v>
      </c>
      <c r="E553" s="5">
        <v>0</v>
      </c>
      <c r="G553" s="5">
        <v>71334.3</v>
      </c>
      <c r="H553" s="5">
        <v>3</v>
      </c>
      <c r="I553" s="5">
        <v>66791.100000000006</v>
      </c>
      <c r="J553" s="5">
        <v>0</v>
      </c>
      <c r="L553" s="5">
        <v>66719.5</v>
      </c>
      <c r="M553" s="5">
        <v>0</v>
      </c>
      <c r="N553" s="5">
        <v>60330.2</v>
      </c>
      <c r="O553" s="5">
        <v>18</v>
      </c>
      <c r="Q553" s="5">
        <v>91227.3</v>
      </c>
      <c r="R553" s="5">
        <v>35</v>
      </c>
      <c r="S553" s="5">
        <v>76294.399999999994</v>
      </c>
      <c r="T553" s="5">
        <v>0</v>
      </c>
      <c r="V553" s="5">
        <v>51172.9</v>
      </c>
      <c r="W553" s="5">
        <v>0</v>
      </c>
      <c r="X553" s="5">
        <v>0</v>
      </c>
    </row>
    <row r="554" spans="1:24" ht="12.75" customHeight="1">
      <c r="A554" s="7"/>
      <c r="B554" s="5">
        <v>66032</v>
      </c>
      <c r="C554" s="5">
        <v>0</v>
      </c>
      <c r="D554" s="5">
        <v>55390.8</v>
      </c>
      <c r="E554" s="5">
        <v>0</v>
      </c>
      <c r="G554" s="5">
        <v>92888.1</v>
      </c>
      <c r="H554" s="5">
        <v>51</v>
      </c>
      <c r="I554" s="5">
        <v>65570.8</v>
      </c>
      <c r="J554" s="5">
        <v>3</v>
      </c>
      <c r="L554" s="5">
        <v>87061.4</v>
      </c>
      <c r="M554" s="5">
        <v>26</v>
      </c>
      <c r="N554" s="5">
        <v>57105.599999999999</v>
      </c>
      <c r="O554" s="5">
        <v>10</v>
      </c>
      <c r="Q554" s="5">
        <v>72733.600000000006</v>
      </c>
      <c r="R554" s="5">
        <v>3</v>
      </c>
      <c r="S554" s="5">
        <v>71678.2</v>
      </c>
      <c r="T554" s="5">
        <v>0</v>
      </c>
      <c r="V554" s="5">
        <v>54840.4</v>
      </c>
      <c r="W554" s="5">
        <v>0</v>
      </c>
      <c r="X554" s="5">
        <v>0</v>
      </c>
    </row>
    <row r="555" spans="1:24" ht="12.75" customHeight="1">
      <c r="A555" s="7"/>
      <c r="B555" s="5">
        <v>86005.1</v>
      </c>
      <c r="C555" s="5">
        <v>24</v>
      </c>
      <c r="D555" s="5">
        <v>61936.9</v>
      </c>
      <c r="E555" s="5">
        <v>0</v>
      </c>
      <c r="G555" s="5">
        <v>84019.5</v>
      </c>
      <c r="H555" s="5">
        <v>22</v>
      </c>
      <c r="I555" s="5">
        <v>64928.3</v>
      </c>
      <c r="J555" s="5">
        <v>0</v>
      </c>
      <c r="L555" s="5">
        <v>76238.600000000006</v>
      </c>
      <c r="M555" s="5">
        <v>0</v>
      </c>
      <c r="N555" s="5">
        <v>54414.2</v>
      </c>
      <c r="O555" s="5">
        <v>0</v>
      </c>
      <c r="Q555" s="5">
        <v>83656.3</v>
      </c>
      <c r="R555" s="5">
        <v>27</v>
      </c>
      <c r="S555" s="5">
        <v>71894</v>
      </c>
      <c r="T555" s="5">
        <v>0</v>
      </c>
      <c r="V555" s="5">
        <v>56831.6</v>
      </c>
      <c r="W555" s="5">
        <v>0</v>
      </c>
      <c r="X555" s="5">
        <v>1</v>
      </c>
    </row>
    <row r="556" spans="1:24" ht="12.75" customHeight="1">
      <c r="A556" s="7"/>
      <c r="B556" s="5">
        <v>82158.600000000006</v>
      </c>
      <c r="C556" s="5">
        <v>0</v>
      </c>
      <c r="D556" s="5">
        <v>64885.8</v>
      </c>
      <c r="E556" s="5">
        <v>0</v>
      </c>
      <c r="G556" s="5">
        <v>79286.899999999994</v>
      </c>
      <c r="H556" s="5">
        <v>0</v>
      </c>
      <c r="I556" s="5">
        <v>85173.6</v>
      </c>
      <c r="J556" s="5">
        <v>11</v>
      </c>
      <c r="L556" s="5">
        <v>79325.7</v>
      </c>
      <c r="M556" s="5">
        <v>0</v>
      </c>
      <c r="N556" s="5">
        <v>65827.3</v>
      </c>
      <c r="O556" s="5">
        <v>0</v>
      </c>
      <c r="Q556" s="5">
        <v>80347.399999999994</v>
      </c>
      <c r="R556" s="5">
        <v>0</v>
      </c>
      <c r="S556" s="5">
        <v>77839.100000000006</v>
      </c>
      <c r="T556" s="5">
        <v>0</v>
      </c>
      <c r="V556" s="5">
        <v>60728.7</v>
      </c>
      <c r="W556" s="5">
        <v>0</v>
      </c>
      <c r="X556" s="5">
        <v>0</v>
      </c>
    </row>
    <row r="557" spans="1:24" ht="12.75" customHeight="1">
      <c r="A557" s="7"/>
      <c r="B557" s="5">
        <v>113899</v>
      </c>
      <c r="C557" s="5">
        <v>56</v>
      </c>
      <c r="D557" s="5">
        <v>72298.600000000006</v>
      </c>
      <c r="E557" s="5">
        <v>5</v>
      </c>
      <c r="G557" s="5">
        <v>141117</v>
      </c>
      <c r="H557" s="5">
        <v>112</v>
      </c>
      <c r="I557" s="5">
        <v>123164</v>
      </c>
      <c r="J557" s="5">
        <v>94</v>
      </c>
      <c r="L557" s="5">
        <v>86341.3</v>
      </c>
      <c r="M557" s="5">
        <v>0</v>
      </c>
      <c r="N557" s="5">
        <v>99693.7</v>
      </c>
      <c r="O557" s="5">
        <v>49</v>
      </c>
      <c r="Q557" s="5">
        <v>118991</v>
      </c>
      <c r="R557" s="5">
        <v>61</v>
      </c>
      <c r="S557" s="5">
        <v>104463</v>
      </c>
      <c r="T557" s="5">
        <v>50</v>
      </c>
      <c r="V557" s="5">
        <v>65981.3</v>
      </c>
      <c r="W557" s="5">
        <v>0</v>
      </c>
      <c r="X557" s="5">
        <v>0</v>
      </c>
    </row>
    <row r="558" spans="1:24" ht="12.75" customHeight="1">
      <c r="A558" s="7"/>
      <c r="B558" s="5">
        <v>61113</v>
      </c>
      <c r="C558" s="5">
        <v>0</v>
      </c>
      <c r="D558" s="5">
        <v>47269.5</v>
      </c>
      <c r="E558" s="5">
        <v>0</v>
      </c>
      <c r="G558" s="5">
        <v>60851</v>
      </c>
      <c r="H558" s="5">
        <v>0</v>
      </c>
      <c r="I558" s="5">
        <v>62469.8</v>
      </c>
      <c r="J558" s="5">
        <v>15</v>
      </c>
      <c r="L558" s="5">
        <v>57198.1</v>
      </c>
      <c r="M558" s="5">
        <v>0</v>
      </c>
      <c r="N558" s="5">
        <v>45474.2</v>
      </c>
      <c r="O558" s="5">
        <v>0</v>
      </c>
      <c r="Q558" s="5">
        <v>62623.8</v>
      </c>
      <c r="R558" s="5">
        <v>0</v>
      </c>
      <c r="S558" s="5">
        <v>52740.5</v>
      </c>
      <c r="T558" s="5">
        <v>0</v>
      </c>
      <c r="V558" s="5">
        <v>43456.6</v>
      </c>
      <c r="W558" s="5">
        <v>0</v>
      </c>
      <c r="X558" s="5">
        <v>1</v>
      </c>
    </row>
    <row r="559" spans="1:24" ht="12.75" customHeight="1">
      <c r="A559" s="7"/>
      <c r="B559" s="5">
        <v>115960</v>
      </c>
      <c r="C559" s="5">
        <v>67</v>
      </c>
      <c r="D559" s="5">
        <v>100780</v>
      </c>
      <c r="E559" s="5">
        <v>63</v>
      </c>
      <c r="G559" s="5">
        <v>81091.600000000006</v>
      </c>
      <c r="H559" s="5">
        <v>0</v>
      </c>
      <c r="I559" s="5">
        <v>73566.600000000006</v>
      </c>
      <c r="J559" s="5">
        <v>9</v>
      </c>
      <c r="L559" s="5">
        <v>86711.7</v>
      </c>
      <c r="M559" s="5">
        <v>5</v>
      </c>
      <c r="N559" s="5">
        <v>65169.9</v>
      </c>
      <c r="O559" s="5">
        <v>0</v>
      </c>
      <c r="Q559" s="5">
        <v>87205.5</v>
      </c>
      <c r="R559" s="5">
        <v>0</v>
      </c>
      <c r="S559" s="5">
        <v>88706.5</v>
      </c>
      <c r="T559" s="5">
        <v>33</v>
      </c>
      <c r="V559" s="5">
        <v>61066.1</v>
      </c>
      <c r="W559" s="5">
        <v>0</v>
      </c>
      <c r="X559" s="5">
        <v>0</v>
      </c>
    </row>
    <row r="560" spans="1:24" ht="12.75" customHeight="1">
      <c r="A560" s="7"/>
      <c r="B560" s="5">
        <v>73184.800000000003</v>
      </c>
      <c r="C560" s="5">
        <v>0</v>
      </c>
      <c r="D560" s="5">
        <v>63365.599999999999</v>
      </c>
      <c r="E560" s="5">
        <v>6</v>
      </c>
      <c r="G560" s="5">
        <v>81671.600000000006</v>
      </c>
      <c r="H560" s="5">
        <v>12</v>
      </c>
      <c r="I560" s="5">
        <v>71176.3</v>
      </c>
      <c r="J560" s="5">
        <v>0</v>
      </c>
      <c r="L560" s="5">
        <v>112992</v>
      </c>
      <c r="M560" s="5">
        <v>75</v>
      </c>
      <c r="N560" s="5">
        <v>62184</v>
      </c>
      <c r="O560" s="5">
        <v>0</v>
      </c>
      <c r="Q560" s="5">
        <v>77347.100000000006</v>
      </c>
      <c r="R560" s="5">
        <v>0</v>
      </c>
      <c r="S560" s="5">
        <v>67139.600000000006</v>
      </c>
      <c r="T560" s="5">
        <v>0</v>
      </c>
      <c r="V560" s="5">
        <v>62837.5</v>
      </c>
      <c r="W560" s="5">
        <v>8</v>
      </c>
      <c r="X560" s="5">
        <v>1</v>
      </c>
    </row>
    <row r="561" spans="1:24" ht="12.75" customHeight="1">
      <c r="A561" s="7"/>
      <c r="B561" s="5">
        <v>99888.8</v>
      </c>
      <c r="C561" s="5">
        <v>42</v>
      </c>
      <c r="D561" s="5">
        <v>88560.5</v>
      </c>
      <c r="E561" s="5">
        <v>62</v>
      </c>
      <c r="G561" s="5">
        <v>119164</v>
      </c>
      <c r="H561" s="5">
        <v>84</v>
      </c>
      <c r="I561" s="5">
        <v>84587.5</v>
      </c>
      <c r="J561" s="5">
        <v>41</v>
      </c>
      <c r="L561" s="5">
        <v>96092.3</v>
      </c>
      <c r="M561" s="5">
        <v>40</v>
      </c>
      <c r="N561" s="5">
        <v>74587.399999999994</v>
      </c>
      <c r="O561" s="5">
        <v>24</v>
      </c>
      <c r="Q561" s="5">
        <v>86348.7</v>
      </c>
      <c r="R561" s="5">
        <v>19</v>
      </c>
      <c r="S561" s="5">
        <v>90724.6</v>
      </c>
      <c r="T561" s="5">
        <v>21</v>
      </c>
      <c r="V561" s="5">
        <v>87765.2</v>
      </c>
      <c r="W561" s="5">
        <v>62</v>
      </c>
      <c r="X561" s="5">
        <v>0</v>
      </c>
    </row>
    <row r="562" spans="1:24" ht="12.75" customHeight="1">
      <c r="A562" s="7"/>
      <c r="B562" s="5">
        <v>80992.5</v>
      </c>
      <c r="C562" s="5">
        <v>0</v>
      </c>
      <c r="D562" s="5">
        <v>69468.600000000006</v>
      </c>
      <c r="E562" s="5">
        <v>7</v>
      </c>
      <c r="G562" s="5">
        <v>98566.9</v>
      </c>
      <c r="H562" s="5">
        <v>36</v>
      </c>
      <c r="I562" s="5">
        <v>69349.7</v>
      </c>
      <c r="J562" s="5">
        <v>0</v>
      </c>
      <c r="L562" s="5">
        <v>80662.100000000006</v>
      </c>
      <c r="M562" s="5">
        <v>0</v>
      </c>
      <c r="N562" s="5">
        <v>78225.5</v>
      </c>
      <c r="O562" s="5">
        <v>35</v>
      </c>
      <c r="Q562" s="5">
        <v>81397</v>
      </c>
      <c r="R562" s="5">
        <v>0</v>
      </c>
      <c r="S562" s="5">
        <v>80937.8</v>
      </c>
      <c r="T562" s="5">
        <v>15</v>
      </c>
      <c r="V562" s="5">
        <v>57880.1</v>
      </c>
      <c r="W562" s="5">
        <v>0</v>
      </c>
      <c r="X562" s="5">
        <v>1</v>
      </c>
    </row>
    <row r="563" spans="1:24" ht="12.75" customHeight="1">
      <c r="A563" s="7"/>
      <c r="B563" s="5">
        <v>107346</v>
      </c>
      <c r="C563" s="5">
        <v>49</v>
      </c>
      <c r="D563" s="5">
        <v>97135.3</v>
      </c>
      <c r="E563" s="5">
        <v>68</v>
      </c>
      <c r="G563" s="5">
        <v>104347</v>
      </c>
      <c r="H563" s="5">
        <v>50</v>
      </c>
      <c r="I563" s="5">
        <v>84545.2</v>
      </c>
      <c r="J563" s="5">
        <v>35</v>
      </c>
      <c r="L563" s="5">
        <v>130691</v>
      </c>
      <c r="M563" s="5">
        <v>97</v>
      </c>
      <c r="N563" s="5">
        <v>66971.8</v>
      </c>
      <c r="O563" s="5">
        <v>12</v>
      </c>
      <c r="Q563" s="5">
        <v>101619</v>
      </c>
      <c r="R563" s="5">
        <v>39</v>
      </c>
      <c r="S563" s="5">
        <v>118632</v>
      </c>
      <c r="T563" s="5">
        <v>82</v>
      </c>
      <c r="V563" s="5">
        <v>63562.8</v>
      </c>
      <c r="W563" s="5">
        <v>0</v>
      </c>
      <c r="X563" s="5">
        <v>0</v>
      </c>
    </row>
    <row r="564" spans="1:24" ht="12.75" customHeight="1">
      <c r="A564" s="7"/>
      <c r="B564" s="5">
        <v>94971.6</v>
      </c>
      <c r="C564" s="5">
        <v>50</v>
      </c>
      <c r="D564" s="5">
        <v>59425.7</v>
      </c>
      <c r="E564" s="5">
        <v>0</v>
      </c>
      <c r="G564" s="5">
        <v>75580.5</v>
      </c>
      <c r="H564" s="5">
        <v>10</v>
      </c>
      <c r="I564" s="5">
        <v>63136.9</v>
      </c>
      <c r="J564" s="5">
        <v>0</v>
      </c>
      <c r="L564" s="5">
        <v>69665.600000000006</v>
      </c>
      <c r="M564" s="5">
        <v>2</v>
      </c>
      <c r="N564" s="5">
        <v>54397.1</v>
      </c>
      <c r="O564" s="5">
        <v>0</v>
      </c>
      <c r="Q564" s="5">
        <v>75048.3</v>
      </c>
      <c r="R564" s="5">
        <v>0</v>
      </c>
      <c r="S564" s="5">
        <v>77959.5</v>
      </c>
      <c r="T564" s="5">
        <v>11</v>
      </c>
      <c r="V564" s="5">
        <v>51408.800000000003</v>
      </c>
      <c r="W564" s="5">
        <v>0</v>
      </c>
      <c r="X564" s="5">
        <v>1</v>
      </c>
    </row>
    <row r="565" spans="1:24" ht="12.75" customHeight="1">
      <c r="A565" s="7"/>
      <c r="B565" s="5">
        <v>164434</v>
      </c>
      <c r="C565" s="5">
        <v>150</v>
      </c>
      <c r="D565" s="5">
        <v>123660</v>
      </c>
      <c r="E565" s="5">
        <v>93</v>
      </c>
      <c r="G565" s="5">
        <v>100023</v>
      </c>
      <c r="H565" s="5">
        <v>16</v>
      </c>
      <c r="I565" s="5">
        <v>75154.2</v>
      </c>
      <c r="J565" s="5">
        <v>5</v>
      </c>
      <c r="L565" s="5">
        <v>101500</v>
      </c>
      <c r="M565" s="5">
        <v>22</v>
      </c>
      <c r="N565" s="5">
        <v>81888.899999999994</v>
      </c>
      <c r="O565" s="5">
        <v>30</v>
      </c>
      <c r="Q565" s="5">
        <v>90241.1</v>
      </c>
      <c r="R565" s="5">
        <v>0</v>
      </c>
      <c r="S565" s="5">
        <v>87163.199999999997</v>
      </c>
      <c r="T565" s="5">
        <v>0</v>
      </c>
      <c r="V565" s="5">
        <v>67389.8</v>
      </c>
      <c r="W565" s="5">
        <v>7</v>
      </c>
      <c r="X565" s="5">
        <v>0</v>
      </c>
    </row>
    <row r="566" spans="1:24" ht="12.75" customHeight="1">
      <c r="A566" s="7"/>
      <c r="B566" s="5">
        <v>90281.4</v>
      </c>
      <c r="C566" s="5">
        <v>9</v>
      </c>
      <c r="D566" s="5">
        <v>74664.399999999994</v>
      </c>
      <c r="E566" s="5">
        <v>4</v>
      </c>
      <c r="G566" s="5">
        <v>92203</v>
      </c>
      <c r="H566" s="5">
        <v>10</v>
      </c>
      <c r="I566" s="5">
        <v>126854</v>
      </c>
      <c r="J566" s="5">
        <v>96</v>
      </c>
      <c r="L566" s="5">
        <v>135647</v>
      </c>
      <c r="M566" s="5">
        <v>97</v>
      </c>
      <c r="N566" s="5">
        <v>97515.5</v>
      </c>
      <c r="O566" s="5">
        <v>63</v>
      </c>
      <c r="Q566" s="5">
        <v>98630</v>
      </c>
      <c r="R566" s="5">
        <v>21</v>
      </c>
      <c r="S566" s="5">
        <v>106675</v>
      </c>
      <c r="T566" s="5">
        <v>57</v>
      </c>
      <c r="V566" s="5">
        <v>67834</v>
      </c>
      <c r="W566" s="5">
        <v>0</v>
      </c>
      <c r="X566" s="5">
        <v>0</v>
      </c>
    </row>
    <row r="567" spans="1:24" ht="12.75" customHeight="1">
      <c r="A567" s="7"/>
      <c r="B567" s="5">
        <v>72458.3</v>
      </c>
      <c r="C567" s="5">
        <v>0</v>
      </c>
      <c r="D567" s="5">
        <v>83825.399999999994</v>
      </c>
      <c r="E567" s="5">
        <v>39</v>
      </c>
      <c r="G567" s="5">
        <v>69568</v>
      </c>
      <c r="H567" s="5">
        <v>0</v>
      </c>
      <c r="I567" s="5">
        <v>94236.800000000003</v>
      </c>
      <c r="J567" s="5">
        <v>60</v>
      </c>
      <c r="L567" s="5">
        <v>76463.100000000006</v>
      </c>
      <c r="M567" s="5">
        <v>12</v>
      </c>
      <c r="N567" s="5">
        <v>68246.3</v>
      </c>
      <c r="O567" s="5">
        <v>31</v>
      </c>
      <c r="Q567" s="5">
        <v>73677.899999999994</v>
      </c>
      <c r="R567" s="5">
        <v>2</v>
      </c>
      <c r="S567" s="5">
        <v>65825.600000000006</v>
      </c>
      <c r="T567" s="5">
        <v>0</v>
      </c>
      <c r="V567" s="5">
        <v>65755.100000000006</v>
      </c>
      <c r="W567" s="5">
        <v>22</v>
      </c>
      <c r="X567" s="5">
        <v>1</v>
      </c>
    </row>
    <row r="568" spans="1:24" ht="12.75" customHeight="1">
      <c r="A568" s="7"/>
      <c r="B568" s="5">
        <v>60423.9</v>
      </c>
      <c r="C568" s="5">
        <v>16</v>
      </c>
      <c r="D568" s="5">
        <v>40692.9</v>
      </c>
      <c r="E568" s="5">
        <v>0</v>
      </c>
      <c r="G568" s="5">
        <v>52290.8</v>
      </c>
      <c r="H568" s="5">
        <v>7</v>
      </c>
      <c r="I568" s="5">
        <v>45721.9</v>
      </c>
      <c r="J568" s="5">
        <v>0</v>
      </c>
      <c r="L568" s="5">
        <v>70236</v>
      </c>
      <c r="M568" s="5">
        <v>26</v>
      </c>
      <c r="N568" s="5">
        <v>42803.3</v>
      </c>
      <c r="O568" s="5">
        <v>0</v>
      </c>
      <c r="Q568" s="5">
        <v>61162.6</v>
      </c>
      <c r="R568" s="5">
        <v>18</v>
      </c>
      <c r="S568" s="5">
        <v>43217.3</v>
      </c>
      <c r="T568" s="5">
        <v>0</v>
      </c>
      <c r="V568" s="5">
        <v>36669.800000000003</v>
      </c>
      <c r="W568" s="5">
        <v>0</v>
      </c>
      <c r="X568" s="5">
        <v>1</v>
      </c>
    </row>
    <row r="569" spans="1:24" ht="12.75" customHeight="1">
      <c r="A569" s="7"/>
      <c r="B569" s="5">
        <v>66976</v>
      </c>
      <c r="C569" s="5">
        <v>0</v>
      </c>
      <c r="D569" s="5">
        <v>81957.100000000006</v>
      </c>
      <c r="E569" s="5">
        <v>56</v>
      </c>
      <c r="G569" s="5">
        <v>87804.9</v>
      </c>
      <c r="H569" s="5">
        <v>44</v>
      </c>
      <c r="I569" s="5">
        <v>59230.6</v>
      </c>
      <c r="J569" s="5">
        <v>0</v>
      </c>
      <c r="L569" s="5">
        <v>67800</v>
      </c>
      <c r="M569" s="5">
        <v>0</v>
      </c>
      <c r="N569" s="5">
        <v>56610</v>
      </c>
      <c r="O569" s="5">
        <v>0</v>
      </c>
      <c r="Q569" s="5">
        <v>93932.4</v>
      </c>
      <c r="R569" s="5">
        <v>55</v>
      </c>
      <c r="S569" s="5">
        <v>65673.2</v>
      </c>
      <c r="T569" s="5">
        <v>0</v>
      </c>
      <c r="V569" s="5">
        <v>70572.399999999994</v>
      </c>
      <c r="W569" s="5">
        <v>40</v>
      </c>
      <c r="X569" s="5">
        <v>0</v>
      </c>
    </row>
    <row r="570" spans="1:24" ht="12.75" customHeight="1">
      <c r="A570" s="7"/>
      <c r="B570" s="5">
        <v>77386.600000000006</v>
      </c>
      <c r="C570" s="5">
        <v>0</v>
      </c>
      <c r="D570" s="5">
        <v>64837.9</v>
      </c>
      <c r="E570" s="5">
        <v>3</v>
      </c>
      <c r="G570" s="5">
        <v>81807.7</v>
      </c>
      <c r="H570" s="5">
        <v>0</v>
      </c>
      <c r="I570" s="5">
        <v>71887.5</v>
      </c>
      <c r="J570" s="5">
        <v>0</v>
      </c>
      <c r="L570" s="5">
        <v>115808</v>
      </c>
      <c r="M570" s="5">
        <v>71</v>
      </c>
      <c r="N570" s="5">
        <v>89578.9</v>
      </c>
      <c r="O570" s="5">
        <v>43</v>
      </c>
      <c r="Q570" s="5">
        <v>84947.5</v>
      </c>
      <c r="R570" s="5">
        <v>10</v>
      </c>
      <c r="S570" s="5">
        <v>72041.600000000006</v>
      </c>
      <c r="T570" s="5">
        <v>0</v>
      </c>
      <c r="V570" s="5">
        <v>57752.7</v>
      </c>
      <c r="W570" s="5">
        <v>0</v>
      </c>
      <c r="X570" s="5">
        <v>1</v>
      </c>
    </row>
    <row r="571" spans="1:24" ht="12.75" customHeight="1">
      <c r="A571" s="7"/>
      <c r="B571" s="5">
        <v>72148.899999999994</v>
      </c>
      <c r="C571" s="5">
        <v>2</v>
      </c>
      <c r="D571" s="5">
        <v>64083.5</v>
      </c>
      <c r="E571" s="5">
        <v>0</v>
      </c>
      <c r="G571" s="5">
        <v>89046.3</v>
      </c>
      <c r="H571" s="5">
        <v>32</v>
      </c>
      <c r="I571" s="5">
        <v>61332.6</v>
      </c>
      <c r="J571" s="5">
        <v>0</v>
      </c>
      <c r="L571" s="5">
        <v>84048.7</v>
      </c>
      <c r="M571" s="5">
        <v>19</v>
      </c>
      <c r="N571" s="5">
        <v>56919.3</v>
      </c>
      <c r="O571" s="5">
        <v>0</v>
      </c>
      <c r="Q571" s="5">
        <v>73820.800000000003</v>
      </c>
      <c r="R571" s="5">
        <v>7</v>
      </c>
      <c r="S571" s="5">
        <v>72252.800000000003</v>
      </c>
      <c r="T571" s="5">
        <v>0</v>
      </c>
      <c r="V571" s="5">
        <v>56131.4</v>
      </c>
      <c r="W571" s="5">
        <v>0</v>
      </c>
      <c r="X571" s="5">
        <v>0</v>
      </c>
    </row>
    <row r="572" spans="1:24" ht="12.75" customHeight="1">
      <c r="A572" s="7"/>
      <c r="B572" s="5">
        <v>104486</v>
      </c>
      <c r="C572" s="5">
        <v>69</v>
      </c>
      <c r="D572" s="5">
        <v>102108</v>
      </c>
      <c r="E572" s="5">
        <v>75</v>
      </c>
      <c r="G572" s="5">
        <v>115136</v>
      </c>
      <c r="H572" s="5">
        <v>82</v>
      </c>
      <c r="I572" s="5">
        <v>62509.8</v>
      </c>
      <c r="J572" s="5">
        <v>6</v>
      </c>
      <c r="L572" s="5">
        <v>70637</v>
      </c>
      <c r="M572" s="5">
        <v>0</v>
      </c>
      <c r="N572" s="5">
        <v>80123.899999999994</v>
      </c>
      <c r="O572" s="5">
        <v>48</v>
      </c>
      <c r="Q572" s="5">
        <v>76026</v>
      </c>
      <c r="R572" s="5">
        <v>16</v>
      </c>
      <c r="S572" s="5">
        <v>66794.5</v>
      </c>
      <c r="T572" s="5">
        <v>0</v>
      </c>
      <c r="V572" s="5">
        <v>47466.3</v>
      </c>
      <c r="W572" s="5">
        <v>0</v>
      </c>
      <c r="X572" s="5">
        <v>1</v>
      </c>
    </row>
    <row r="573" spans="1:24" ht="12.75" customHeight="1">
      <c r="A573" s="7"/>
      <c r="B573" s="5">
        <v>69297.7</v>
      </c>
      <c r="C573" s="5">
        <v>0</v>
      </c>
      <c r="D573" s="5">
        <v>64872.5</v>
      </c>
      <c r="E573" s="5">
        <v>2</v>
      </c>
      <c r="G573" s="5">
        <v>69226.5</v>
      </c>
      <c r="H573" s="5">
        <v>0</v>
      </c>
      <c r="I573" s="5">
        <v>67074.2</v>
      </c>
      <c r="J573" s="5">
        <v>5</v>
      </c>
      <c r="L573" s="5">
        <v>91259.1</v>
      </c>
      <c r="M573" s="5">
        <v>40</v>
      </c>
      <c r="N573" s="5">
        <v>58264.2</v>
      </c>
      <c r="O573" s="5">
        <v>7</v>
      </c>
      <c r="Q573" s="5">
        <v>106934</v>
      </c>
      <c r="R573" s="5">
        <v>80</v>
      </c>
      <c r="S573" s="5">
        <v>77995</v>
      </c>
      <c r="T573" s="5">
        <v>18</v>
      </c>
      <c r="V573" s="5">
        <v>53066.8</v>
      </c>
      <c r="W573" s="5">
        <v>0</v>
      </c>
      <c r="X573" s="5">
        <v>0</v>
      </c>
    </row>
    <row r="574" spans="1:24" ht="12.75" customHeight="1">
      <c r="A574" s="7"/>
      <c r="B574" s="5">
        <v>102153</v>
      </c>
      <c r="C574" s="5">
        <v>55</v>
      </c>
      <c r="D574" s="5">
        <v>58029.4</v>
      </c>
      <c r="E574" s="5">
        <v>0</v>
      </c>
      <c r="G574" s="5">
        <v>73703.899999999994</v>
      </c>
      <c r="H574" s="5">
        <v>2</v>
      </c>
      <c r="I574" s="5">
        <v>63636.7</v>
      </c>
      <c r="J574" s="5">
        <v>0</v>
      </c>
      <c r="L574" s="5">
        <v>85551.1</v>
      </c>
      <c r="M574" s="5">
        <v>36</v>
      </c>
      <c r="N574" s="5">
        <v>57719</v>
      </c>
      <c r="O574" s="5">
        <v>0</v>
      </c>
      <c r="Q574" s="5">
        <v>85834.2</v>
      </c>
      <c r="R574" s="5">
        <v>28</v>
      </c>
      <c r="S574" s="5">
        <v>69885.399999999994</v>
      </c>
      <c r="T574" s="5">
        <v>0</v>
      </c>
      <c r="V574" s="5">
        <v>69654.7</v>
      </c>
      <c r="W574" s="5">
        <v>21</v>
      </c>
      <c r="X574" s="5">
        <v>1</v>
      </c>
    </row>
    <row r="575" spans="1:24" ht="12.75" customHeight="1">
      <c r="A575" s="7"/>
      <c r="B575" s="5">
        <v>60076.800000000003</v>
      </c>
      <c r="C575" s="5">
        <v>1</v>
      </c>
      <c r="D575" s="5">
        <v>49764.800000000003</v>
      </c>
      <c r="E575" s="5">
        <v>15</v>
      </c>
      <c r="G575" s="5">
        <v>81471.899999999994</v>
      </c>
      <c r="H575" s="5">
        <v>45</v>
      </c>
      <c r="I575" s="5">
        <v>51702.1</v>
      </c>
      <c r="J575" s="5">
        <v>0</v>
      </c>
      <c r="L575" s="5">
        <v>83775</v>
      </c>
      <c r="M575" s="5">
        <v>48</v>
      </c>
      <c r="N575" s="5">
        <v>41683.199999999997</v>
      </c>
      <c r="O575" s="5">
        <v>0</v>
      </c>
      <c r="Q575" s="5">
        <v>60796.4</v>
      </c>
      <c r="R575" s="5">
        <v>5</v>
      </c>
      <c r="S575" s="5">
        <v>67447.399999999994</v>
      </c>
      <c r="T575" s="5">
        <v>24</v>
      </c>
      <c r="V575" s="5">
        <v>42422.400000000001</v>
      </c>
      <c r="W575" s="5">
        <v>0</v>
      </c>
      <c r="X575" s="5">
        <v>0</v>
      </c>
    </row>
    <row r="576" spans="1:24" ht="12.75" customHeight="1">
      <c r="A576" s="7"/>
      <c r="B576" s="5">
        <v>77292.3</v>
      </c>
      <c r="C576" s="5">
        <v>4</v>
      </c>
      <c r="D576" s="5">
        <v>75930.2</v>
      </c>
      <c r="E576" s="5">
        <v>26</v>
      </c>
      <c r="G576" s="5">
        <v>77684.3</v>
      </c>
      <c r="H576" s="5">
        <v>0</v>
      </c>
      <c r="I576" s="5">
        <v>96405</v>
      </c>
      <c r="J576" s="5">
        <v>44</v>
      </c>
      <c r="L576" s="5">
        <v>79890.5</v>
      </c>
      <c r="M576" s="5">
        <v>0</v>
      </c>
      <c r="N576" s="5">
        <v>62139</v>
      </c>
      <c r="O576" s="5">
        <v>9</v>
      </c>
      <c r="Q576" s="5">
        <v>81291.100000000006</v>
      </c>
      <c r="R576" s="5">
        <v>12</v>
      </c>
      <c r="S576" s="5">
        <v>78965.3</v>
      </c>
      <c r="T576" s="5">
        <v>12</v>
      </c>
      <c r="V576" s="5">
        <v>54365.2</v>
      </c>
      <c r="W576" s="5">
        <v>0</v>
      </c>
      <c r="X576" s="5">
        <v>1</v>
      </c>
    </row>
    <row r="577" spans="1:24" ht="12.75" customHeight="1">
      <c r="A577" s="7"/>
      <c r="B577" s="5">
        <v>65828.899999999994</v>
      </c>
      <c r="C577" s="5">
        <v>0</v>
      </c>
      <c r="D577" s="5">
        <v>50653.1</v>
      </c>
      <c r="E577" s="5">
        <v>0</v>
      </c>
      <c r="G577" s="5">
        <v>96676.9</v>
      </c>
      <c r="H577" s="5">
        <v>60</v>
      </c>
      <c r="I577" s="5">
        <v>71670.399999999994</v>
      </c>
      <c r="J577" s="5">
        <v>20</v>
      </c>
      <c r="L577" s="5">
        <v>64182.8</v>
      </c>
      <c r="M577" s="5">
        <v>1</v>
      </c>
      <c r="N577" s="5">
        <v>51857.1</v>
      </c>
      <c r="O577" s="5">
        <v>0</v>
      </c>
      <c r="Q577" s="5">
        <v>72169.2</v>
      </c>
      <c r="R577" s="5">
        <v>0</v>
      </c>
      <c r="S577" s="5">
        <v>85193.1</v>
      </c>
      <c r="T577" s="5">
        <v>40</v>
      </c>
      <c r="V577" s="5">
        <v>48594.2</v>
      </c>
      <c r="W577" s="5">
        <v>0</v>
      </c>
      <c r="X577" s="5">
        <v>0</v>
      </c>
    </row>
    <row r="578" spans="1:24" ht="12.75" customHeight="1">
      <c r="A578" s="7"/>
      <c r="B578" s="5">
        <v>78932</v>
      </c>
      <c r="C578" s="5">
        <v>0</v>
      </c>
      <c r="D578" s="5">
        <v>67278</v>
      </c>
      <c r="E578" s="5">
        <v>0</v>
      </c>
      <c r="G578" s="5">
        <v>110178</v>
      </c>
      <c r="H578" s="5">
        <v>61</v>
      </c>
      <c r="I578" s="5">
        <v>69641</v>
      </c>
      <c r="J578" s="5">
        <v>0</v>
      </c>
      <c r="L578" s="5">
        <v>81569.7</v>
      </c>
      <c r="M578" s="5">
        <v>7</v>
      </c>
      <c r="N578" s="5">
        <v>81787</v>
      </c>
      <c r="O578" s="5">
        <v>36</v>
      </c>
      <c r="Q578" s="5">
        <v>100286</v>
      </c>
      <c r="R578" s="5">
        <v>42</v>
      </c>
      <c r="S578" s="5">
        <v>85622.2</v>
      </c>
      <c r="T578" s="5">
        <v>28</v>
      </c>
      <c r="V578" s="5">
        <v>58394.1</v>
      </c>
      <c r="W578" s="5">
        <v>0</v>
      </c>
      <c r="X578" s="5">
        <v>0</v>
      </c>
    </row>
    <row r="579" spans="1:24" ht="12.75" customHeight="1">
      <c r="A579" s="7"/>
      <c r="B579" s="5">
        <v>99618</v>
      </c>
      <c r="C579" s="5">
        <v>28</v>
      </c>
      <c r="D579" s="5">
        <v>71388.100000000006</v>
      </c>
      <c r="E579" s="5">
        <v>0</v>
      </c>
      <c r="G579" s="5">
        <v>88360.8</v>
      </c>
      <c r="H579" s="5">
        <v>0</v>
      </c>
      <c r="I579" s="5">
        <v>84760.7</v>
      </c>
      <c r="J579" s="5">
        <v>0</v>
      </c>
      <c r="L579" s="5">
        <v>89130.1</v>
      </c>
      <c r="M579" s="5">
        <v>0</v>
      </c>
      <c r="N579" s="5">
        <v>69254.8</v>
      </c>
      <c r="O579" s="5">
        <v>0</v>
      </c>
      <c r="Q579" s="5">
        <v>83284.399999999994</v>
      </c>
      <c r="R579" s="5">
        <v>0</v>
      </c>
      <c r="S579" s="5">
        <v>80320.3</v>
      </c>
      <c r="T579" s="5">
        <v>0</v>
      </c>
      <c r="V579" s="5">
        <v>70990.399999999994</v>
      </c>
      <c r="W579" s="5">
        <v>0</v>
      </c>
      <c r="X579" s="5">
        <v>1</v>
      </c>
    </row>
    <row r="580" spans="1:24" ht="12.75" customHeight="1">
      <c r="A580" s="7"/>
      <c r="B580" s="5">
        <v>90475</v>
      </c>
      <c r="C580" s="5">
        <v>37</v>
      </c>
      <c r="D580" s="5">
        <v>82036.2</v>
      </c>
      <c r="E580" s="5">
        <v>44</v>
      </c>
      <c r="G580" s="5">
        <v>71157.2</v>
      </c>
      <c r="H580" s="5">
        <v>0</v>
      </c>
      <c r="I580" s="5">
        <v>62946.5</v>
      </c>
      <c r="J580" s="5">
        <v>0</v>
      </c>
      <c r="L580" s="5">
        <v>90199.3</v>
      </c>
      <c r="M580" s="5">
        <v>48</v>
      </c>
      <c r="N580" s="5">
        <v>63417.3</v>
      </c>
      <c r="O580" s="5">
        <v>11</v>
      </c>
      <c r="Q580" s="5">
        <v>105671</v>
      </c>
      <c r="R580" s="5">
        <v>65</v>
      </c>
      <c r="S580" s="5">
        <v>90023.7</v>
      </c>
      <c r="T580" s="5">
        <v>50</v>
      </c>
      <c r="V580" s="5">
        <v>54502</v>
      </c>
      <c r="W580" s="5">
        <v>0</v>
      </c>
      <c r="X580" s="5">
        <v>0</v>
      </c>
    </row>
    <row r="581" spans="1:24" ht="12.75" customHeight="1">
      <c r="A581" s="7"/>
      <c r="B581" s="5">
        <v>77120.5</v>
      </c>
      <c r="C581" s="5">
        <v>0</v>
      </c>
      <c r="D581" s="5">
        <v>70431</v>
      </c>
      <c r="E581" s="5">
        <v>16</v>
      </c>
      <c r="G581" s="5">
        <v>101143</v>
      </c>
      <c r="H581" s="5">
        <v>51</v>
      </c>
      <c r="I581" s="5">
        <v>62317.3</v>
      </c>
      <c r="J581" s="5">
        <v>0</v>
      </c>
      <c r="L581" s="5">
        <v>94116.7</v>
      </c>
      <c r="M581" s="5">
        <v>24</v>
      </c>
      <c r="N581" s="5">
        <v>62848.5</v>
      </c>
      <c r="O581" s="5">
        <v>0</v>
      </c>
      <c r="Q581" s="5">
        <v>76996.800000000003</v>
      </c>
      <c r="R581" s="5">
        <v>0</v>
      </c>
      <c r="S581" s="5">
        <v>81411.7</v>
      </c>
      <c r="T581" s="5">
        <v>16</v>
      </c>
      <c r="V581" s="5">
        <v>58655.4</v>
      </c>
      <c r="W581" s="5">
        <v>0</v>
      </c>
      <c r="X581" s="5">
        <v>1</v>
      </c>
    </row>
    <row r="582" spans="1:24" ht="12.75" customHeight="1">
      <c r="A582" s="7"/>
      <c r="B582" s="5">
        <v>76443.399999999994</v>
      </c>
      <c r="C582" s="5">
        <v>0</v>
      </c>
      <c r="D582" s="5">
        <v>63222</v>
      </c>
      <c r="E582" s="5">
        <v>0</v>
      </c>
      <c r="G582" s="5">
        <v>95403.199999999997</v>
      </c>
      <c r="H582" s="5">
        <v>36</v>
      </c>
      <c r="I582" s="5">
        <v>67996.399999999994</v>
      </c>
      <c r="J582" s="5">
        <v>0</v>
      </c>
      <c r="L582" s="5">
        <v>90455.8</v>
      </c>
      <c r="M582" s="5">
        <v>22</v>
      </c>
      <c r="N582" s="5">
        <v>63877.9</v>
      </c>
      <c r="O582" s="5">
        <v>4</v>
      </c>
      <c r="Q582" s="5">
        <v>77935.8</v>
      </c>
      <c r="R582" s="5">
        <v>0</v>
      </c>
      <c r="S582" s="5">
        <v>79607.5</v>
      </c>
      <c r="T582" s="5">
        <v>13</v>
      </c>
      <c r="V582" s="5">
        <v>62264.2</v>
      </c>
      <c r="W582" s="5">
        <v>0</v>
      </c>
      <c r="X582" s="5">
        <v>0</v>
      </c>
    </row>
    <row r="583" spans="1:24" ht="12.75" customHeight="1">
      <c r="A583" s="7"/>
      <c r="B583" s="5">
        <v>70663.600000000006</v>
      </c>
      <c r="C583" s="5">
        <v>7</v>
      </c>
      <c r="D583" s="5">
        <v>52381.599999999999</v>
      </c>
      <c r="E583" s="5">
        <v>0</v>
      </c>
      <c r="G583" s="5">
        <v>70780.600000000006</v>
      </c>
      <c r="H583" s="5">
        <v>0</v>
      </c>
      <c r="I583" s="5">
        <v>51783.9</v>
      </c>
      <c r="J583" s="5">
        <v>0</v>
      </c>
      <c r="L583" s="5">
        <v>112614</v>
      </c>
      <c r="M583" s="5">
        <v>92</v>
      </c>
      <c r="N583" s="5">
        <v>74424.7</v>
      </c>
      <c r="O583" s="5">
        <v>46</v>
      </c>
      <c r="Q583" s="5">
        <v>66864.5</v>
      </c>
      <c r="R583" s="5">
        <v>0</v>
      </c>
      <c r="S583" s="5">
        <v>62143.5</v>
      </c>
      <c r="T583" s="5">
        <v>0</v>
      </c>
      <c r="V583" s="5">
        <v>49846.3</v>
      </c>
      <c r="W583" s="5">
        <v>0</v>
      </c>
      <c r="X583" s="5">
        <v>0</v>
      </c>
    </row>
    <row r="584" spans="1:24" ht="12.75" customHeight="1">
      <c r="A584" s="7"/>
      <c r="B584" s="5">
        <v>59507.5</v>
      </c>
      <c r="C584" s="5">
        <v>0</v>
      </c>
      <c r="D584" s="5">
        <v>45445.7</v>
      </c>
      <c r="E584" s="5">
        <v>0</v>
      </c>
      <c r="G584" s="5">
        <v>55972.800000000003</v>
      </c>
      <c r="H584" s="5">
        <v>0</v>
      </c>
      <c r="I584" s="5">
        <v>55741.3</v>
      </c>
      <c r="J584" s="5">
        <v>6</v>
      </c>
      <c r="L584" s="5">
        <v>55699</v>
      </c>
      <c r="M584" s="5">
        <v>0</v>
      </c>
      <c r="N584" s="5">
        <v>44155.7</v>
      </c>
      <c r="O584" s="5">
        <v>0</v>
      </c>
      <c r="Q584" s="5">
        <v>53754.2</v>
      </c>
      <c r="R584" s="5">
        <v>0</v>
      </c>
      <c r="S584" s="5">
        <v>63377.599999999999</v>
      </c>
      <c r="T584" s="5">
        <v>18</v>
      </c>
      <c r="V584" s="5">
        <v>61055.6</v>
      </c>
      <c r="W584" s="5">
        <v>38</v>
      </c>
      <c r="X584" s="5">
        <v>1</v>
      </c>
    </row>
    <row r="585" spans="1:24" ht="12.75" customHeight="1">
      <c r="A585" s="7"/>
      <c r="B585" s="5">
        <v>73589.600000000006</v>
      </c>
      <c r="C585" s="5">
        <v>0</v>
      </c>
      <c r="D585" s="5">
        <v>58195.4</v>
      </c>
      <c r="E585" s="5">
        <v>0</v>
      </c>
      <c r="G585" s="5">
        <v>72184.600000000006</v>
      </c>
      <c r="H585" s="5">
        <v>0</v>
      </c>
      <c r="I585" s="5">
        <v>65985.7</v>
      </c>
      <c r="J585" s="5">
        <v>0</v>
      </c>
      <c r="L585" s="5">
        <v>73275.199999999997</v>
      </c>
      <c r="M585" s="5">
        <v>0</v>
      </c>
      <c r="N585" s="5">
        <v>58398.9</v>
      </c>
      <c r="O585" s="5">
        <v>0</v>
      </c>
      <c r="Q585" s="5">
        <v>75168.600000000006</v>
      </c>
      <c r="R585" s="5">
        <v>3</v>
      </c>
      <c r="S585" s="5">
        <v>67110</v>
      </c>
      <c r="T585" s="5">
        <v>3</v>
      </c>
      <c r="V585" s="5">
        <v>56371.4</v>
      </c>
      <c r="W585" s="5">
        <v>0</v>
      </c>
      <c r="X585" s="5">
        <v>0</v>
      </c>
    </row>
    <row r="586" spans="1:24" ht="12.75" customHeight="1">
      <c r="A586" s="7"/>
      <c r="B586" s="5">
        <v>67010.899999999994</v>
      </c>
      <c r="C586" s="5">
        <v>0</v>
      </c>
      <c r="D586" s="5">
        <v>57032.7</v>
      </c>
      <c r="E586" s="5">
        <v>0</v>
      </c>
      <c r="G586" s="5">
        <v>68918.600000000006</v>
      </c>
      <c r="H586" s="5">
        <v>0</v>
      </c>
      <c r="I586" s="5">
        <v>82020.600000000006</v>
      </c>
      <c r="J586" s="5">
        <v>46</v>
      </c>
      <c r="L586" s="5">
        <v>80669.2</v>
      </c>
      <c r="M586" s="5">
        <v>26</v>
      </c>
      <c r="N586" s="5">
        <v>57895.3</v>
      </c>
      <c r="O586" s="5">
        <v>0</v>
      </c>
      <c r="Q586" s="5">
        <v>71313.2</v>
      </c>
      <c r="R586" s="5">
        <v>0</v>
      </c>
      <c r="S586" s="5">
        <v>63814.3</v>
      </c>
      <c r="T586" s="5">
        <v>0</v>
      </c>
      <c r="V586" s="5">
        <v>54784.4</v>
      </c>
      <c r="W586" s="5">
        <v>0</v>
      </c>
      <c r="X586" s="5">
        <v>1</v>
      </c>
    </row>
    <row r="587" spans="1:24" ht="12.75" customHeight="1">
      <c r="A587" s="7"/>
      <c r="B587" s="5">
        <v>96851.7</v>
      </c>
      <c r="C587" s="5">
        <v>76</v>
      </c>
      <c r="D587" s="5">
        <v>66121.2</v>
      </c>
      <c r="E587" s="5">
        <v>32</v>
      </c>
      <c r="G587" s="5">
        <v>66485.600000000006</v>
      </c>
      <c r="H587" s="5">
        <v>8</v>
      </c>
      <c r="I587" s="5">
        <v>99738.6</v>
      </c>
      <c r="J587" s="5">
        <v>83</v>
      </c>
      <c r="L587" s="5">
        <v>59082.400000000001</v>
      </c>
      <c r="M587" s="5">
        <v>0</v>
      </c>
      <c r="N587" s="5">
        <v>44769.1</v>
      </c>
      <c r="O587" s="5">
        <v>0</v>
      </c>
      <c r="Q587" s="5">
        <v>94206.3</v>
      </c>
      <c r="R587" s="5">
        <v>67</v>
      </c>
      <c r="S587" s="5">
        <v>104421</v>
      </c>
      <c r="T587" s="5">
        <v>106</v>
      </c>
      <c r="V587" s="5">
        <v>45255.9</v>
      </c>
      <c r="W587" s="5">
        <v>0</v>
      </c>
      <c r="X587" s="5">
        <v>0</v>
      </c>
    </row>
    <row r="588" spans="1:24" ht="12.75" customHeight="1">
      <c r="A588" s="7"/>
      <c r="B588" s="5">
        <v>83104.2</v>
      </c>
      <c r="C588" s="5">
        <v>39</v>
      </c>
      <c r="D588" s="5">
        <v>73703.100000000006</v>
      </c>
      <c r="E588" s="5">
        <v>36</v>
      </c>
      <c r="G588" s="5">
        <v>65483</v>
      </c>
      <c r="H588" s="5">
        <v>0</v>
      </c>
      <c r="I588" s="5">
        <v>55738</v>
      </c>
      <c r="J588" s="5">
        <v>0</v>
      </c>
      <c r="L588" s="5">
        <v>63257.599999999999</v>
      </c>
      <c r="M588" s="5">
        <v>0</v>
      </c>
      <c r="N588" s="5">
        <v>60039.5</v>
      </c>
      <c r="O588" s="5">
        <v>15</v>
      </c>
      <c r="Q588" s="5">
        <v>61311.9</v>
      </c>
      <c r="R588" s="5">
        <v>0</v>
      </c>
      <c r="S588" s="5">
        <v>66512.600000000006</v>
      </c>
      <c r="T588" s="5">
        <v>14</v>
      </c>
      <c r="V588" s="5">
        <v>47780.7</v>
      </c>
      <c r="W588" s="5">
        <v>0</v>
      </c>
      <c r="X588" s="5">
        <v>0</v>
      </c>
    </row>
    <row r="589" spans="1:24" ht="12.75" customHeight="1">
      <c r="A589" s="7"/>
      <c r="B589" s="5">
        <v>69957.5</v>
      </c>
      <c r="C589" s="5">
        <v>0</v>
      </c>
      <c r="D589" s="5">
        <v>57215</v>
      </c>
      <c r="E589" s="5">
        <v>0</v>
      </c>
      <c r="G589" s="5">
        <v>70309.8</v>
      </c>
      <c r="H589" s="5">
        <v>0</v>
      </c>
      <c r="I589" s="5">
        <v>56439.1</v>
      </c>
      <c r="J589" s="5">
        <v>0</v>
      </c>
      <c r="L589" s="5">
        <v>102420</v>
      </c>
      <c r="M589" s="5">
        <v>65</v>
      </c>
      <c r="N589" s="5">
        <v>54477.3</v>
      </c>
      <c r="O589" s="5">
        <v>0</v>
      </c>
      <c r="Q589" s="5">
        <v>70330.100000000006</v>
      </c>
      <c r="R589" s="5">
        <v>0</v>
      </c>
      <c r="S589" s="5">
        <v>65386.7</v>
      </c>
      <c r="T589" s="5">
        <v>0</v>
      </c>
      <c r="V589" s="5">
        <v>52865.2</v>
      </c>
      <c r="W589" s="5">
        <v>0</v>
      </c>
      <c r="X589" s="5">
        <v>1</v>
      </c>
    </row>
    <row r="590" spans="1:24" ht="12.75" customHeight="1">
      <c r="A590" s="7"/>
      <c r="B590" s="5">
        <v>76395.199999999997</v>
      </c>
      <c r="C590" s="5">
        <v>0</v>
      </c>
      <c r="D590" s="5">
        <v>70206.2</v>
      </c>
      <c r="E590" s="5">
        <v>0</v>
      </c>
      <c r="G590" s="5">
        <v>77049.899999999994</v>
      </c>
      <c r="H590" s="5">
        <v>0</v>
      </c>
      <c r="I590" s="5">
        <v>68087.5</v>
      </c>
      <c r="J590" s="5">
        <v>0</v>
      </c>
      <c r="L590" s="5">
        <v>89531.4</v>
      </c>
      <c r="M590" s="5">
        <v>28</v>
      </c>
      <c r="N590" s="5">
        <v>63005.5</v>
      </c>
      <c r="O590" s="5">
        <v>0</v>
      </c>
      <c r="Q590" s="5">
        <v>104327</v>
      </c>
      <c r="R590" s="5">
        <v>54</v>
      </c>
      <c r="S590" s="5">
        <v>98638.1</v>
      </c>
      <c r="T590" s="5">
        <v>54</v>
      </c>
      <c r="V590" s="5">
        <v>58903.5</v>
      </c>
      <c r="W590" s="5">
        <v>0</v>
      </c>
      <c r="X590" s="5">
        <v>0</v>
      </c>
    </row>
    <row r="591" spans="1:24" ht="12.75" customHeight="1">
      <c r="A591" s="7"/>
      <c r="B591" s="5">
        <v>82958.399999999994</v>
      </c>
      <c r="C591" s="5">
        <v>14</v>
      </c>
      <c r="D591" s="5">
        <v>117166</v>
      </c>
      <c r="E591" s="5">
        <v>102</v>
      </c>
      <c r="G591" s="5">
        <v>84708.800000000003</v>
      </c>
      <c r="H591" s="5">
        <v>4</v>
      </c>
      <c r="I591" s="5">
        <v>139464</v>
      </c>
      <c r="J591" s="5">
        <v>125</v>
      </c>
      <c r="L591" s="5">
        <v>95547.199999999997</v>
      </c>
      <c r="M591" s="5">
        <v>29</v>
      </c>
      <c r="N591" s="5">
        <v>68341.8</v>
      </c>
      <c r="O591" s="5">
        <v>24</v>
      </c>
      <c r="Q591" s="5">
        <v>111066</v>
      </c>
      <c r="R591" s="5">
        <v>56</v>
      </c>
      <c r="S591" s="5">
        <v>66473.5</v>
      </c>
      <c r="T591" s="5">
        <v>0</v>
      </c>
      <c r="V591" s="5">
        <v>54710.8</v>
      </c>
      <c r="W591" s="5">
        <v>2</v>
      </c>
      <c r="X591" s="5">
        <v>1</v>
      </c>
    </row>
    <row r="592" spans="1:24" ht="12.75" customHeight="1">
      <c r="A592" s="7"/>
      <c r="B592" s="5">
        <v>130646</v>
      </c>
      <c r="C592" s="5">
        <v>127</v>
      </c>
      <c r="D592" s="5">
        <v>61008.4</v>
      </c>
      <c r="E592" s="5">
        <v>0</v>
      </c>
      <c r="G592" s="5">
        <v>129557</v>
      </c>
      <c r="H592" s="5">
        <v>114</v>
      </c>
      <c r="I592" s="5">
        <v>87881.600000000006</v>
      </c>
      <c r="J592" s="5">
        <v>63</v>
      </c>
      <c r="L592" s="5">
        <v>97353.3</v>
      </c>
      <c r="M592" s="5">
        <v>58</v>
      </c>
      <c r="N592" s="5">
        <v>84957.7</v>
      </c>
      <c r="O592" s="5">
        <v>72</v>
      </c>
      <c r="Q592" s="5">
        <v>73626.899999999994</v>
      </c>
      <c r="R592" s="5">
        <v>0</v>
      </c>
      <c r="S592" s="5">
        <v>93938.3</v>
      </c>
      <c r="T592" s="5">
        <v>54</v>
      </c>
      <c r="V592" s="5">
        <v>48710.6</v>
      </c>
      <c r="W592" s="5">
        <v>0</v>
      </c>
      <c r="X592" s="5">
        <v>0</v>
      </c>
    </row>
    <row r="593" spans="1:24" ht="12.75" customHeight="1">
      <c r="A593" s="7"/>
      <c r="B593" s="5">
        <v>83028.5</v>
      </c>
      <c r="C593" s="5">
        <v>0</v>
      </c>
      <c r="D593" s="5">
        <v>77735.8</v>
      </c>
      <c r="E593" s="5">
        <v>0</v>
      </c>
      <c r="G593" s="5">
        <v>97143.5</v>
      </c>
      <c r="H593" s="5">
        <v>19</v>
      </c>
      <c r="I593" s="5">
        <v>74590</v>
      </c>
      <c r="J593" s="5">
        <v>0</v>
      </c>
      <c r="L593" s="5">
        <v>87633.4</v>
      </c>
      <c r="M593" s="5">
        <v>0</v>
      </c>
      <c r="N593" s="5">
        <v>65089.3</v>
      </c>
      <c r="O593" s="5">
        <v>0</v>
      </c>
      <c r="Q593" s="5">
        <v>85518.399999999994</v>
      </c>
      <c r="R593" s="5">
        <v>0</v>
      </c>
      <c r="S593" s="5">
        <v>76318.2</v>
      </c>
      <c r="T593" s="5">
        <v>0</v>
      </c>
      <c r="V593" s="5">
        <v>61308.6</v>
      </c>
      <c r="W593" s="5">
        <v>0</v>
      </c>
      <c r="X593" s="5">
        <v>0</v>
      </c>
    </row>
    <row r="594" spans="1:24" ht="12.75" customHeight="1">
      <c r="A594" s="7"/>
      <c r="B594" s="5">
        <v>88134.3</v>
      </c>
      <c r="C594" s="5">
        <v>0</v>
      </c>
      <c r="D594" s="5">
        <v>78727.100000000006</v>
      </c>
      <c r="E594" s="5">
        <v>20</v>
      </c>
      <c r="G594" s="5">
        <v>89670.1</v>
      </c>
      <c r="H594" s="5">
        <v>0</v>
      </c>
      <c r="I594" s="5">
        <v>86305</v>
      </c>
      <c r="J594" s="5">
        <v>20</v>
      </c>
      <c r="L594" s="5">
        <v>88920.2</v>
      </c>
      <c r="M594" s="5">
        <v>0</v>
      </c>
      <c r="N594" s="5">
        <v>65841.7</v>
      </c>
      <c r="O594" s="5">
        <v>0</v>
      </c>
      <c r="Q594" s="5">
        <v>82693.2</v>
      </c>
      <c r="R594" s="5">
        <v>0</v>
      </c>
      <c r="S594" s="5">
        <v>115651</v>
      </c>
      <c r="T594" s="5">
        <v>66</v>
      </c>
      <c r="V594" s="5">
        <v>64620.2</v>
      </c>
      <c r="W594" s="5">
        <v>0</v>
      </c>
      <c r="X594" s="5">
        <v>1</v>
      </c>
    </row>
    <row r="595" spans="1:24" ht="12.75" customHeight="1">
      <c r="A595" s="7"/>
      <c r="B595" s="5">
        <v>80548</v>
      </c>
      <c r="C595" s="5">
        <v>4</v>
      </c>
      <c r="D595" s="5">
        <v>85898.9</v>
      </c>
      <c r="E595" s="5">
        <v>43</v>
      </c>
      <c r="G595" s="5">
        <v>90612.4</v>
      </c>
      <c r="H595" s="5">
        <v>27</v>
      </c>
      <c r="I595" s="5">
        <v>72714.899999999994</v>
      </c>
      <c r="J595" s="5">
        <v>0</v>
      </c>
      <c r="L595" s="5">
        <v>110403</v>
      </c>
      <c r="M595" s="5">
        <v>57</v>
      </c>
      <c r="N595" s="5">
        <v>119417</v>
      </c>
      <c r="O595" s="5">
        <v>118</v>
      </c>
      <c r="Q595" s="5">
        <v>79193.899999999994</v>
      </c>
      <c r="R595" s="5">
        <v>0</v>
      </c>
      <c r="S595" s="5">
        <v>102648</v>
      </c>
      <c r="T595" s="5">
        <v>50</v>
      </c>
      <c r="V595" s="5">
        <v>62254.3</v>
      </c>
      <c r="W595" s="5">
        <v>0</v>
      </c>
      <c r="X595" s="5">
        <v>0</v>
      </c>
    </row>
    <row r="596" spans="1:24" ht="12.75" customHeight="1">
      <c r="A596" s="7"/>
      <c r="B596" s="5">
        <v>78582.100000000006</v>
      </c>
      <c r="C596" s="5">
        <v>0</v>
      </c>
      <c r="D596" s="5">
        <v>59682.8</v>
      </c>
      <c r="E596" s="5">
        <v>0</v>
      </c>
      <c r="G596" s="5">
        <v>81069</v>
      </c>
      <c r="H596" s="5">
        <v>0</v>
      </c>
      <c r="I596" s="5">
        <v>69329.399999999994</v>
      </c>
      <c r="J596" s="5">
        <v>0</v>
      </c>
      <c r="L596" s="5">
        <v>78852.2</v>
      </c>
      <c r="M596" s="5">
        <v>0</v>
      </c>
      <c r="N596" s="5">
        <v>59644.800000000003</v>
      </c>
      <c r="O596" s="5">
        <v>0</v>
      </c>
      <c r="Q596" s="5">
        <v>84146.1</v>
      </c>
      <c r="R596" s="5">
        <v>5</v>
      </c>
      <c r="S596" s="5">
        <v>69794.2</v>
      </c>
      <c r="T596" s="5">
        <v>0</v>
      </c>
      <c r="V596" s="5">
        <v>57099.199999999997</v>
      </c>
      <c r="W596" s="5">
        <v>0</v>
      </c>
      <c r="X596" s="5">
        <v>0</v>
      </c>
    </row>
    <row r="597" spans="1:24" ht="12.75" customHeight="1">
      <c r="A597" s="7"/>
      <c r="B597" s="5">
        <v>84877.5</v>
      </c>
      <c r="C597" s="5">
        <v>4</v>
      </c>
      <c r="D597" s="5">
        <v>69806.8</v>
      </c>
      <c r="E597" s="5">
        <v>0</v>
      </c>
      <c r="G597" s="5">
        <v>81695.5</v>
      </c>
      <c r="H597" s="5">
        <v>0</v>
      </c>
      <c r="I597" s="5">
        <v>79397.399999999994</v>
      </c>
      <c r="J597" s="5">
        <v>13</v>
      </c>
      <c r="L597" s="5">
        <v>79843.7</v>
      </c>
      <c r="M597" s="5">
        <v>0</v>
      </c>
      <c r="N597" s="5">
        <v>67252.3</v>
      </c>
      <c r="O597" s="5">
        <v>0</v>
      </c>
      <c r="Q597" s="5">
        <v>79902.2</v>
      </c>
      <c r="R597" s="5">
        <v>0</v>
      </c>
      <c r="S597" s="5">
        <v>80752.100000000006</v>
      </c>
      <c r="T597" s="5">
        <v>0</v>
      </c>
      <c r="V597" s="5">
        <v>67701.100000000006</v>
      </c>
      <c r="W597" s="5">
        <v>0</v>
      </c>
      <c r="X597" s="5">
        <v>1</v>
      </c>
    </row>
    <row r="598" spans="1:24" ht="12.75" customHeight="1">
      <c r="A598" s="7"/>
      <c r="B598" s="5">
        <v>74238.899999999994</v>
      </c>
      <c r="C598" s="5">
        <v>0</v>
      </c>
      <c r="D598" s="5">
        <v>60629.9</v>
      </c>
      <c r="E598" s="5">
        <v>5</v>
      </c>
      <c r="G598" s="5">
        <v>77999.899999999994</v>
      </c>
      <c r="H598" s="5">
        <v>0</v>
      </c>
      <c r="I598" s="5">
        <v>64935.199999999997</v>
      </c>
      <c r="J598" s="5">
        <v>0</v>
      </c>
      <c r="L598" s="5">
        <v>108012</v>
      </c>
      <c r="M598" s="5">
        <v>72</v>
      </c>
      <c r="N598" s="5">
        <v>75585.5</v>
      </c>
      <c r="O598" s="5">
        <v>40</v>
      </c>
      <c r="Q598" s="5">
        <v>93569.5</v>
      </c>
      <c r="R598" s="5">
        <v>39</v>
      </c>
      <c r="S598" s="5">
        <v>71893.600000000006</v>
      </c>
      <c r="T598" s="5">
        <v>4</v>
      </c>
      <c r="V598" s="5">
        <v>55141.5</v>
      </c>
      <c r="W598" s="5">
        <v>0</v>
      </c>
      <c r="X598" s="5">
        <v>0</v>
      </c>
    </row>
    <row r="599" spans="1:24" ht="12.75" customHeight="1">
      <c r="A599" s="7"/>
      <c r="B599" s="5">
        <v>68971.7</v>
      </c>
      <c r="C599" s="5">
        <v>0</v>
      </c>
      <c r="D599" s="5">
        <v>61390.2</v>
      </c>
      <c r="E599" s="5">
        <v>0</v>
      </c>
      <c r="G599" s="5">
        <v>71283.399999999994</v>
      </c>
      <c r="H599" s="5">
        <v>0</v>
      </c>
      <c r="I599" s="5">
        <v>61831.8</v>
      </c>
      <c r="J599" s="5">
        <v>0</v>
      </c>
      <c r="L599" s="5">
        <v>71165.2</v>
      </c>
      <c r="M599" s="5">
        <v>0</v>
      </c>
      <c r="N599" s="5">
        <v>59966.9</v>
      </c>
      <c r="O599" s="5">
        <v>0</v>
      </c>
      <c r="Q599" s="5">
        <v>74325.2</v>
      </c>
      <c r="R599" s="5">
        <v>3</v>
      </c>
      <c r="S599" s="5">
        <v>71664.899999999994</v>
      </c>
      <c r="T599" s="5">
        <v>0</v>
      </c>
      <c r="V599" s="5">
        <v>52637.4</v>
      </c>
      <c r="W599" s="5">
        <v>0</v>
      </c>
      <c r="X599" s="5">
        <v>0</v>
      </c>
    </row>
    <row r="600" spans="1:24" ht="12.75" customHeight="1">
      <c r="A600" s="7"/>
      <c r="B600" s="5">
        <v>78873.3</v>
      </c>
      <c r="C600" s="5">
        <v>0</v>
      </c>
      <c r="D600" s="5">
        <v>60380.7</v>
      </c>
      <c r="E600" s="5">
        <v>0</v>
      </c>
      <c r="G600" s="5">
        <v>118206</v>
      </c>
      <c r="H600" s="5">
        <v>84</v>
      </c>
      <c r="I600" s="5">
        <v>71439</v>
      </c>
      <c r="J600" s="5">
        <v>0</v>
      </c>
      <c r="L600" s="5">
        <v>73099</v>
      </c>
      <c r="M600" s="5">
        <v>0</v>
      </c>
      <c r="N600" s="5">
        <v>81600.399999999994</v>
      </c>
      <c r="O600" s="5">
        <v>48</v>
      </c>
      <c r="Q600" s="5">
        <v>69306.3</v>
      </c>
      <c r="R600" s="5">
        <v>0</v>
      </c>
      <c r="S600" s="5">
        <v>88338.5</v>
      </c>
      <c r="T600" s="5">
        <v>38</v>
      </c>
      <c r="V600" s="5">
        <v>51870.2</v>
      </c>
      <c r="W600" s="5">
        <v>0</v>
      </c>
      <c r="X600" s="5">
        <v>1</v>
      </c>
    </row>
    <row r="601" spans="1:24" ht="12.75" customHeight="1">
      <c r="A601" s="7"/>
      <c r="B601" s="5">
        <v>64794</v>
      </c>
      <c r="C601" s="5">
        <v>0</v>
      </c>
      <c r="D601" s="5">
        <v>63740.7</v>
      </c>
      <c r="E601" s="5">
        <v>29</v>
      </c>
      <c r="G601" s="5">
        <v>66366.2</v>
      </c>
      <c r="H601" s="5">
        <v>0</v>
      </c>
      <c r="I601" s="5">
        <v>59890</v>
      </c>
      <c r="J601" s="5">
        <v>7</v>
      </c>
      <c r="L601" s="5">
        <v>70251.899999999994</v>
      </c>
      <c r="M601" s="5">
        <v>0</v>
      </c>
      <c r="N601" s="5">
        <v>50417.1</v>
      </c>
      <c r="O601" s="5">
        <v>0</v>
      </c>
      <c r="Q601" s="5">
        <v>69119.399999999994</v>
      </c>
      <c r="R601" s="5">
        <v>0</v>
      </c>
      <c r="S601" s="5">
        <v>64161.2</v>
      </c>
      <c r="T601" s="5">
        <v>0</v>
      </c>
      <c r="V601" s="5">
        <v>47200.3</v>
      </c>
      <c r="W601" s="5">
        <v>0</v>
      </c>
      <c r="X601" s="5">
        <v>0</v>
      </c>
    </row>
    <row r="602" spans="1:24" ht="12.75" customHeight="1">
      <c r="A602" s="7"/>
      <c r="B602" s="5">
        <v>57001.599999999999</v>
      </c>
      <c r="C602" s="5">
        <v>0</v>
      </c>
      <c r="D602" s="5">
        <v>52035.199999999997</v>
      </c>
      <c r="E602" s="5">
        <v>21</v>
      </c>
      <c r="G602" s="5">
        <v>58071.4</v>
      </c>
      <c r="H602" s="5">
        <v>0</v>
      </c>
      <c r="I602" s="5">
        <v>89772.7</v>
      </c>
      <c r="J602" s="5">
        <v>71</v>
      </c>
      <c r="L602" s="5">
        <v>75172.5</v>
      </c>
      <c r="M602" s="5">
        <v>31</v>
      </c>
      <c r="N602" s="5">
        <v>50253.5</v>
      </c>
      <c r="O602" s="5">
        <v>19</v>
      </c>
      <c r="Q602" s="5">
        <v>67065.100000000006</v>
      </c>
      <c r="R602" s="5">
        <v>13</v>
      </c>
      <c r="S602" s="5">
        <v>92304.8</v>
      </c>
      <c r="T602" s="5">
        <v>70</v>
      </c>
      <c r="V602" s="5">
        <v>39112.699999999997</v>
      </c>
      <c r="W602" s="5">
        <v>0</v>
      </c>
      <c r="X602" s="5">
        <v>1</v>
      </c>
    </row>
    <row r="603" spans="1:24" ht="12.75" customHeight="1">
      <c r="A603" s="8" t="s">
        <v>13</v>
      </c>
      <c r="B603" s="5">
        <v>463307</v>
      </c>
      <c r="C603" s="5">
        <v>0</v>
      </c>
      <c r="D603" s="5">
        <v>413879</v>
      </c>
      <c r="E603" s="5">
        <v>36</v>
      </c>
      <c r="G603" s="5">
        <v>496614</v>
      </c>
      <c r="H603" s="5">
        <v>0</v>
      </c>
      <c r="I603" s="5">
        <v>419920</v>
      </c>
      <c r="J603" s="5">
        <v>0</v>
      </c>
      <c r="L603" s="5">
        <v>525783</v>
      </c>
      <c r="M603" s="5">
        <v>34</v>
      </c>
      <c r="N603" s="5">
        <v>355962</v>
      </c>
      <c r="O603" s="5">
        <v>0</v>
      </c>
      <c r="Q603" s="5">
        <v>497620</v>
      </c>
      <c r="R603" s="5">
        <v>0</v>
      </c>
      <c r="S603" s="5">
        <v>377537</v>
      </c>
      <c r="T603" s="5">
        <v>0</v>
      </c>
      <c r="V603" s="5">
        <v>337584</v>
      </c>
      <c r="W603" s="5">
        <v>0</v>
      </c>
      <c r="X603" s="5">
        <v>0</v>
      </c>
    </row>
    <row r="604" spans="1:24" ht="12.75" customHeight="1">
      <c r="A604" s="9"/>
      <c r="B604" s="5">
        <v>598771</v>
      </c>
      <c r="C604" s="5">
        <v>84</v>
      </c>
      <c r="D604" s="5">
        <v>450172</v>
      </c>
      <c r="E604" s="5">
        <v>23</v>
      </c>
      <c r="G604" s="5">
        <v>498925</v>
      </c>
      <c r="H604" s="5">
        <v>0</v>
      </c>
      <c r="I604" s="5">
        <v>463835</v>
      </c>
      <c r="J604" s="5">
        <v>38</v>
      </c>
      <c r="L604" s="5">
        <v>498364</v>
      </c>
      <c r="M604" s="5">
        <v>0</v>
      </c>
      <c r="N604" s="5">
        <v>400869</v>
      </c>
      <c r="O604" s="5">
        <v>0</v>
      </c>
      <c r="Q604" s="5">
        <v>553669</v>
      </c>
      <c r="R604" s="5">
        <v>51</v>
      </c>
      <c r="S604" s="5">
        <v>422742</v>
      </c>
      <c r="T604" s="5">
        <v>0</v>
      </c>
      <c r="V604" s="5">
        <v>352215</v>
      </c>
      <c r="W604" s="5">
        <v>2</v>
      </c>
      <c r="X604" s="5">
        <v>2</v>
      </c>
    </row>
    <row r="605" spans="1:24" ht="12.75" customHeight="1">
      <c r="A605" s="9"/>
      <c r="B605" s="5">
        <v>567213</v>
      </c>
      <c r="C605" s="5">
        <v>0</v>
      </c>
      <c r="D605" s="5">
        <v>500339</v>
      </c>
      <c r="E605" s="5">
        <v>34</v>
      </c>
      <c r="G605" s="5">
        <v>581203</v>
      </c>
      <c r="H605" s="5">
        <v>0</v>
      </c>
      <c r="I605" s="5">
        <v>461427</v>
      </c>
      <c r="J605" s="5">
        <v>0</v>
      </c>
      <c r="L605" s="5">
        <v>568330</v>
      </c>
      <c r="M605" s="5">
        <v>0</v>
      </c>
      <c r="N605" s="5">
        <v>436570</v>
      </c>
      <c r="O605" s="5">
        <v>0</v>
      </c>
      <c r="Q605" s="5">
        <v>571659</v>
      </c>
      <c r="R605" s="5">
        <v>3</v>
      </c>
      <c r="S605" s="5">
        <v>455496</v>
      </c>
      <c r="T605" s="5">
        <v>0</v>
      </c>
      <c r="V605" s="5">
        <v>349872</v>
      </c>
      <c r="W605" s="5">
        <v>0</v>
      </c>
      <c r="X605" s="5">
        <v>1</v>
      </c>
    </row>
    <row r="606" spans="1:24" ht="12.75" customHeight="1">
      <c r="A606" s="9"/>
      <c r="B606" s="5">
        <v>572496</v>
      </c>
      <c r="C606" s="5">
        <v>60</v>
      </c>
      <c r="D606" s="5">
        <v>415289</v>
      </c>
      <c r="E606" s="5">
        <v>0</v>
      </c>
      <c r="G606" s="5">
        <v>510228</v>
      </c>
      <c r="H606" s="5">
        <v>0</v>
      </c>
      <c r="I606" s="5">
        <v>422600</v>
      </c>
      <c r="J606" s="5">
        <v>11</v>
      </c>
      <c r="L606" s="5">
        <v>595222</v>
      </c>
      <c r="M606" s="5">
        <v>70</v>
      </c>
      <c r="N606" s="5">
        <v>491938</v>
      </c>
      <c r="O606" s="5">
        <v>96</v>
      </c>
      <c r="Q606" s="5">
        <v>505149</v>
      </c>
      <c r="R606" s="5">
        <v>9</v>
      </c>
      <c r="S606" s="5">
        <v>441624</v>
      </c>
      <c r="T606" s="5">
        <v>18</v>
      </c>
      <c r="V606" s="5">
        <v>314874</v>
      </c>
      <c r="W606" s="5">
        <v>0</v>
      </c>
      <c r="X606" s="5">
        <v>2</v>
      </c>
    </row>
    <row r="607" spans="1:24" ht="12.75" customHeight="1">
      <c r="A607" s="9"/>
      <c r="B607" s="5">
        <v>504766</v>
      </c>
      <c r="C607" s="5">
        <v>0</v>
      </c>
      <c r="D607" s="5">
        <v>393351</v>
      </c>
      <c r="E607" s="5">
        <v>0</v>
      </c>
      <c r="G607" s="5">
        <v>512557</v>
      </c>
      <c r="H607" s="5">
        <v>21</v>
      </c>
      <c r="I607" s="5">
        <v>450709</v>
      </c>
      <c r="J607" s="5">
        <v>35</v>
      </c>
      <c r="L607" s="5">
        <v>505830</v>
      </c>
      <c r="M607" s="5">
        <v>0</v>
      </c>
      <c r="N607" s="5">
        <v>344085</v>
      </c>
      <c r="O607" s="5">
        <v>0</v>
      </c>
      <c r="Q607" s="5">
        <v>484237</v>
      </c>
      <c r="R607" s="5">
        <v>0</v>
      </c>
      <c r="S607" s="5">
        <v>419065</v>
      </c>
      <c r="T607" s="5">
        <v>0</v>
      </c>
      <c r="V607" s="5">
        <v>324954</v>
      </c>
      <c r="W607" s="5">
        <v>0</v>
      </c>
      <c r="X607" s="5">
        <v>1</v>
      </c>
    </row>
    <row r="608" spans="1:24" ht="12.75" customHeight="1">
      <c r="A608" s="9"/>
      <c r="B608" s="5">
        <v>583869</v>
      </c>
      <c r="C608" s="5">
        <v>51</v>
      </c>
      <c r="D608" s="5">
        <v>440674</v>
      </c>
      <c r="E608" s="5">
        <v>43</v>
      </c>
      <c r="G608" s="5">
        <v>536717</v>
      </c>
      <c r="H608" s="5">
        <v>0</v>
      </c>
      <c r="I608" s="5">
        <v>449187</v>
      </c>
      <c r="J608" s="5">
        <v>0</v>
      </c>
      <c r="L608" s="5">
        <v>536599</v>
      </c>
      <c r="M608" s="5">
        <v>0</v>
      </c>
      <c r="N608" s="5">
        <v>371416</v>
      </c>
      <c r="O608" s="5">
        <v>0</v>
      </c>
      <c r="Q608" s="5">
        <v>548124</v>
      </c>
      <c r="R608" s="5">
        <v>2</v>
      </c>
      <c r="S608" s="5">
        <v>393086</v>
      </c>
      <c r="T608" s="5">
        <v>0</v>
      </c>
      <c r="V608" s="5">
        <v>331916</v>
      </c>
      <c r="W608" s="5">
        <v>4</v>
      </c>
      <c r="X608" s="5">
        <v>2</v>
      </c>
    </row>
    <row r="609" spans="1:24" ht="12.75" customHeight="1">
      <c r="A609" s="9"/>
      <c r="B609" s="5">
        <v>483021</v>
      </c>
      <c r="C609" s="5">
        <v>0</v>
      </c>
      <c r="D609" s="5">
        <v>427617</v>
      </c>
      <c r="E609" s="5">
        <v>0</v>
      </c>
      <c r="G609" s="5">
        <v>527767</v>
      </c>
      <c r="H609" s="5">
        <v>13</v>
      </c>
      <c r="I609" s="5">
        <v>403937</v>
      </c>
      <c r="J609" s="5">
        <v>0</v>
      </c>
      <c r="L609" s="5">
        <v>547125</v>
      </c>
      <c r="M609" s="5">
        <v>38</v>
      </c>
      <c r="N609" s="5">
        <v>427688</v>
      </c>
      <c r="O609" s="5">
        <v>84</v>
      </c>
      <c r="Q609" s="5">
        <v>524215</v>
      </c>
      <c r="R609" s="5">
        <v>0</v>
      </c>
      <c r="S609" s="5">
        <v>393904</v>
      </c>
      <c r="T609" s="5">
        <v>0</v>
      </c>
      <c r="V609" s="5">
        <v>344364</v>
      </c>
      <c r="W609" s="5">
        <v>0</v>
      </c>
      <c r="X609" s="5">
        <v>2</v>
      </c>
    </row>
    <row r="610" spans="1:24" ht="12.75" customHeight="1">
      <c r="A610" s="9"/>
      <c r="B610" s="5">
        <v>586454</v>
      </c>
      <c r="C610" s="5">
        <v>20</v>
      </c>
      <c r="D610" s="5">
        <v>560096</v>
      </c>
      <c r="E610" s="5">
        <v>98</v>
      </c>
      <c r="G610" s="5">
        <v>573323</v>
      </c>
      <c r="H610" s="5">
        <v>0</v>
      </c>
      <c r="I610" s="5">
        <v>624667</v>
      </c>
      <c r="J610" s="5">
        <v>140</v>
      </c>
      <c r="L610" s="5">
        <v>597227</v>
      </c>
      <c r="M610" s="5">
        <v>0</v>
      </c>
      <c r="N610" s="5">
        <v>417813</v>
      </c>
      <c r="O610" s="5">
        <v>0</v>
      </c>
      <c r="Q610" s="5">
        <v>609121</v>
      </c>
      <c r="R610" s="5">
        <v>18</v>
      </c>
      <c r="S610" s="5">
        <v>491466</v>
      </c>
      <c r="T610" s="5">
        <v>0</v>
      </c>
      <c r="V610" s="5">
        <v>384805</v>
      </c>
      <c r="W610" s="5">
        <v>0</v>
      </c>
      <c r="X610" s="5">
        <v>0</v>
      </c>
    </row>
    <row r="611" spans="1:24" ht="12.75" customHeight="1">
      <c r="A611" s="9"/>
      <c r="B611" s="5">
        <v>474662</v>
      </c>
      <c r="C611" s="5">
        <v>0</v>
      </c>
      <c r="D611" s="5">
        <v>364309</v>
      </c>
      <c r="E611" s="5">
        <v>0</v>
      </c>
      <c r="G611" s="5">
        <v>468769</v>
      </c>
      <c r="H611" s="5">
        <v>0</v>
      </c>
      <c r="I611" s="5">
        <v>401290</v>
      </c>
      <c r="J611" s="5">
        <v>0</v>
      </c>
      <c r="L611" s="5">
        <v>479951</v>
      </c>
      <c r="M611" s="5">
        <v>0</v>
      </c>
      <c r="N611" s="5">
        <v>363382</v>
      </c>
      <c r="O611" s="5">
        <v>28</v>
      </c>
      <c r="Q611" s="5">
        <v>482667</v>
      </c>
      <c r="R611" s="5">
        <v>0</v>
      </c>
      <c r="S611" s="5">
        <v>368680</v>
      </c>
      <c r="T611" s="5">
        <v>0</v>
      </c>
      <c r="V611" s="5">
        <v>340106</v>
      </c>
      <c r="W611" s="5">
        <v>0</v>
      </c>
      <c r="X611" s="5">
        <v>1</v>
      </c>
    </row>
    <row r="612" spans="1:24" ht="12.75" customHeight="1">
      <c r="A612" s="9"/>
      <c r="B612" s="5">
        <v>549564</v>
      </c>
      <c r="C612" s="5">
        <v>0</v>
      </c>
      <c r="D612" s="5">
        <v>458488</v>
      </c>
      <c r="E612" s="5">
        <v>0</v>
      </c>
      <c r="G612" s="5">
        <v>561375</v>
      </c>
      <c r="H612" s="5">
        <v>0</v>
      </c>
      <c r="I612" s="5">
        <v>476752</v>
      </c>
      <c r="J612" s="5">
        <v>0</v>
      </c>
      <c r="L612" s="5">
        <v>540185</v>
      </c>
      <c r="M612" s="5">
        <v>0</v>
      </c>
      <c r="N612" s="5">
        <v>416980</v>
      </c>
      <c r="O612" s="5">
        <v>0</v>
      </c>
      <c r="Q612" s="5">
        <v>561561</v>
      </c>
      <c r="R612" s="5">
        <v>0</v>
      </c>
      <c r="S612" s="5">
        <v>477087</v>
      </c>
      <c r="T612" s="5">
        <v>26</v>
      </c>
      <c r="V612" s="5">
        <v>364274</v>
      </c>
      <c r="W612" s="5">
        <v>0</v>
      </c>
      <c r="X612" s="5">
        <v>1</v>
      </c>
    </row>
    <row r="613" spans="1:24" ht="12.75" customHeight="1">
      <c r="A613" s="9"/>
      <c r="B613" s="5">
        <v>526709</v>
      </c>
      <c r="C613" s="5">
        <v>0</v>
      </c>
      <c r="D613" s="5">
        <v>401167</v>
      </c>
      <c r="E613" s="5">
        <v>0</v>
      </c>
      <c r="G613" s="5">
        <v>513921</v>
      </c>
      <c r="H613" s="5">
        <v>0</v>
      </c>
      <c r="I613" s="5">
        <v>415632</v>
      </c>
      <c r="J613" s="5">
        <v>0</v>
      </c>
      <c r="L613" s="5">
        <v>524090</v>
      </c>
      <c r="M613" s="5">
        <v>0</v>
      </c>
      <c r="N613" s="5">
        <v>392220</v>
      </c>
      <c r="O613" s="5">
        <v>23</v>
      </c>
      <c r="Q613" s="5">
        <v>500214</v>
      </c>
      <c r="R613" s="5">
        <v>0</v>
      </c>
      <c r="S613" s="5">
        <v>429396</v>
      </c>
      <c r="T613" s="5">
        <v>0</v>
      </c>
      <c r="V613" s="5">
        <v>365073</v>
      </c>
      <c r="W613" s="5">
        <v>0</v>
      </c>
      <c r="X613" s="5">
        <v>1</v>
      </c>
    </row>
    <row r="614" spans="1:24" ht="12.75" customHeight="1">
      <c r="A614" s="9"/>
      <c r="B614" s="5">
        <v>487789</v>
      </c>
      <c r="C614" s="5">
        <v>0</v>
      </c>
      <c r="D614" s="5">
        <v>429348</v>
      </c>
      <c r="E614" s="5">
        <v>0</v>
      </c>
      <c r="G614" s="5">
        <v>511498</v>
      </c>
      <c r="H614" s="5">
        <v>0</v>
      </c>
      <c r="I614" s="5">
        <v>401080</v>
      </c>
      <c r="J614" s="5">
        <v>19</v>
      </c>
      <c r="L614" s="5">
        <v>504382</v>
      </c>
      <c r="M614" s="5">
        <v>0</v>
      </c>
      <c r="N614" s="5">
        <v>401349</v>
      </c>
      <c r="O614" s="5">
        <v>0</v>
      </c>
      <c r="Q614" s="5">
        <v>498767</v>
      </c>
      <c r="R614" s="5">
        <v>0</v>
      </c>
      <c r="S614" s="5">
        <v>410868</v>
      </c>
      <c r="T614" s="5">
        <v>0</v>
      </c>
      <c r="V614" s="5">
        <v>341991</v>
      </c>
      <c r="W614" s="5">
        <v>0</v>
      </c>
      <c r="X614" s="5">
        <v>1</v>
      </c>
    </row>
    <row r="615" spans="1:24" ht="12.75" customHeight="1">
      <c r="A615" s="9"/>
      <c r="B615" s="5">
        <v>498664</v>
      </c>
      <c r="C615" s="5">
        <v>29</v>
      </c>
      <c r="D615" s="5">
        <v>383862</v>
      </c>
      <c r="E615" s="5">
        <v>0</v>
      </c>
      <c r="G615" s="5">
        <v>473386</v>
      </c>
      <c r="H615" s="5">
        <v>0</v>
      </c>
      <c r="I615" s="5">
        <v>404588</v>
      </c>
      <c r="J615" s="5">
        <v>0</v>
      </c>
      <c r="L615" s="5">
        <v>481874</v>
      </c>
      <c r="M615" s="5">
        <v>0</v>
      </c>
      <c r="N615" s="5">
        <v>373220</v>
      </c>
      <c r="O615" s="5">
        <v>0</v>
      </c>
      <c r="Q615" s="5">
        <v>492301</v>
      </c>
      <c r="R615" s="5">
        <v>0</v>
      </c>
      <c r="S615" s="5">
        <v>370533</v>
      </c>
      <c r="T615" s="5">
        <v>0</v>
      </c>
      <c r="V615" s="5">
        <v>315021</v>
      </c>
      <c r="W615" s="5">
        <v>0</v>
      </c>
      <c r="X615" s="5">
        <v>2</v>
      </c>
    </row>
    <row r="616" spans="1:24" ht="12.75" customHeight="1">
      <c r="A616" s="9"/>
      <c r="B616" s="5">
        <v>627216</v>
      </c>
      <c r="C616" s="5">
        <v>0</v>
      </c>
      <c r="D616" s="5">
        <v>514597</v>
      </c>
      <c r="E616" s="5">
        <v>0</v>
      </c>
      <c r="G616" s="5">
        <v>588080</v>
      </c>
      <c r="H616" s="5">
        <v>0</v>
      </c>
      <c r="I616" s="5">
        <v>520047</v>
      </c>
      <c r="J616" s="5">
        <v>0</v>
      </c>
      <c r="L616" s="5">
        <v>593150</v>
      </c>
      <c r="M616" s="5">
        <v>37</v>
      </c>
      <c r="N616" s="5">
        <v>445397</v>
      </c>
      <c r="O616" s="5">
        <v>0</v>
      </c>
      <c r="Q616" s="5">
        <v>597215</v>
      </c>
      <c r="R616" s="5">
        <v>0</v>
      </c>
      <c r="S616" s="5">
        <v>451446</v>
      </c>
      <c r="T616" s="5">
        <v>0</v>
      </c>
      <c r="V616" s="5">
        <v>399994</v>
      </c>
      <c r="W616" s="5">
        <v>0</v>
      </c>
      <c r="X616" s="5">
        <v>2</v>
      </c>
    </row>
    <row r="617" spans="1:24" ht="12.75" customHeight="1">
      <c r="A617" s="9"/>
      <c r="B617" s="5">
        <v>497830</v>
      </c>
      <c r="C617" s="5">
        <v>0</v>
      </c>
      <c r="D617" s="5">
        <v>419870</v>
      </c>
      <c r="E617" s="5">
        <v>0</v>
      </c>
      <c r="G617" s="5">
        <v>513859</v>
      </c>
      <c r="H617" s="5">
        <v>0</v>
      </c>
      <c r="I617" s="5">
        <v>407461</v>
      </c>
      <c r="J617" s="5">
        <v>0</v>
      </c>
      <c r="L617" s="5">
        <v>501193</v>
      </c>
      <c r="M617" s="5">
        <v>0</v>
      </c>
      <c r="N617" s="5">
        <v>375741</v>
      </c>
      <c r="O617" s="5">
        <v>23</v>
      </c>
      <c r="Q617" s="5">
        <v>514596</v>
      </c>
      <c r="R617" s="5">
        <v>0</v>
      </c>
      <c r="S617" s="5">
        <v>395226</v>
      </c>
      <c r="T617" s="5">
        <v>8</v>
      </c>
      <c r="V617" s="5">
        <v>351862</v>
      </c>
      <c r="W617" s="5">
        <v>0</v>
      </c>
      <c r="X617" s="5">
        <v>1</v>
      </c>
    </row>
    <row r="618" spans="1:24" ht="12.75" customHeight="1">
      <c r="A618" s="9"/>
      <c r="B618" s="5">
        <v>549332</v>
      </c>
      <c r="C618" s="5">
        <v>16</v>
      </c>
      <c r="D618" s="5">
        <v>465444</v>
      </c>
      <c r="E618" s="5">
        <v>0</v>
      </c>
      <c r="G618" s="5">
        <v>557210</v>
      </c>
      <c r="H618" s="5">
        <v>3</v>
      </c>
      <c r="I618" s="5">
        <v>466802</v>
      </c>
      <c r="J618" s="5">
        <v>0</v>
      </c>
      <c r="L618" s="5">
        <v>559563</v>
      </c>
      <c r="M618" s="5">
        <v>0</v>
      </c>
      <c r="N618" s="5">
        <v>414158</v>
      </c>
      <c r="O618" s="5">
        <v>0</v>
      </c>
      <c r="Q618" s="5">
        <v>528948</v>
      </c>
      <c r="R618" s="5">
        <v>0</v>
      </c>
      <c r="S618" s="5">
        <v>445435</v>
      </c>
      <c r="T618" s="5">
        <v>0</v>
      </c>
      <c r="V618" s="5">
        <v>398788</v>
      </c>
      <c r="W618" s="5">
        <v>32</v>
      </c>
      <c r="X618" s="5">
        <v>3</v>
      </c>
    </row>
    <row r="619" spans="1:24" ht="12.75" customHeight="1">
      <c r="A619" s="9"/>
      <c r="B619" s="5">
        <v>542212</v>
      </c>
      <c r="C619" s="5">
        <v>0</v>
      </c>
      <c r="D619" s="5">
        <v>449942</v>
      </c>
      <c r="E619" s="5">
        <v>1</v>
      </c>
      <c r="G619" s="5">
        <v>541114</v>
      </c>
      <c r="H619" s="5">
        <v>0</v>
      </c>
      <c r="I619" s="5">
        <v>457130</v>
      </c>
      <c r="J619" s="5">
        <v>0</v>
      </c>
      <c r="L619" s="5">
        <v>528882</v>
      </c>
      <c r="M619" s="5">
        <v>0</v>
      </c>
      <c r="N619" s="5">
        <v>486868</v>
      </c>
      <c r="O619" s="5">
        <v>54</v>
      </c>
      <c r="Q619" s="5">
        <v>536459</v>
      </c>
      <c r="R619" s="5">
        <v>0</v>
      </c>
      <c r="S619" s="5">
        <v>442376</v>
      </c>
      <c r="T619" s="5">
        <v>0</v>
      </c>
      <c r="V619" s="5">
        <v>386424</v>
      </c>
      <c r="W619" s="5">
        <v>0</v>
      </c>
      <c r="X619" s="5">
        <v>3</v>
      </c>
    </row>
    <row r="620" spans="1:24" ht="12.75" customHeight="1">
      <c r="A620" s="9"/>
      <c r="B620" s="5">
        <v>732658</v>
      </c>
      <c r="C620" s="5">
        <v>188</v>
      </c>
      <c r="D620" s="5">
        <v>515725</v>
      </c>
      <c r="E620" s="5">
        <v>26</v>
      </c>
      <c r="G620" s="5">
        <v>549051</v>
      </c>
      <c r="H620" s="5">
        <v>0</v>
      </c>
      <c r="I620" s="5">
        <v>444490</v>
      </c>
      <c r="J620" s="5">
        <v>0</v>
      </c>
      <c r="L620" s="5">
        <v>566405</v>
      </c>
      <c r="M620" s="5">
        <v>7</v>
      </c>
      <c r="N620" s="5">
        <v>447478</v>
      </c>
      <c r="O620" s="5">
        <v>0</v>
      </c>
      <c r="Q620" s="5">
        <v>553132</v>
      </c>
      <c r="R620" s="5">
        <v>0</v>
      </c>
      <c r="S620" s="5">
        <v>447591</v>
      </c>
      <c r="T620" s="5">
        <v>0</v>
      </c>
      <c r="V620" s="5">
        <v>372747</v>
      </c>
      <c r="W620" s="5">
        <v>0</v>
      </c>
      <c r="X620" s="5">
        <v>1</v>
      </c>
    </row>
    <row r="621" spans="1:24" ht="12.75" customHeight="1">
      <c r="A621" s="9"/>
      <c r="B621" s="5">
        <v>583573</v>
      </c>
      <c r="C621" s="5">
        <v>3</v>
      </c>
      <c r="D621" s="5">
        <v>487793</v>
      </c>
      <c r="E621" s="5">
        <v>0</v>
      </c>
      <c r="G621" s="5">
        <v>607569</v>
      </c>
      <c r="H621" s="5">
        <v>0</v>
      </c>
      <c r="I621" s="5">
        <v>542425</v>
      </c>
      <c r="J621" s="5">
        <v>45</v>
      </c>
      <c r="L621" s="5">
        <v>581989</v>
      </c>
      <c r="M621" s="5">
        <v>0</v>
      </c>
      <c r="N621" s="5">
        <v>485139</v>
      </c>
      <c r="O621" s="5">
        <v>0</v>
      </c>
      <c r="Q621" s="5">
        <v>542588</v>
      </c>
      <c r="R621" s="5">
        <v>0</v>
      </c>
      <c r="S621" s="5">
        <v>494313</v>
      </c>
      <c r="T621" s="5">
        <v>16</v>
      </c>
      <c r="V621" s="5">
        <v>420711</v>
      </c>
      <c r="W621" s="5">
        <v>0</v>
      </c>
      <c r="X621" s="5">
        <v>1</v>
      </c>
    </row>
    <row r="622" spans="1:24" ht="12.75" customHeight="1">
      <c r="A622" s="9"/>
      <c r="B622" s="5">
        <v>538352</v>
      </c>
      <c r="C622" s="5">
        <v>0</v>
      </c>
      <c r="D622" s="5">
        <v>446408</v>
      </c>
      <c r="E622" s="5">
        <v>0</v>
      </c>
      <c r="G622" s="5">
        <v>561221</v>
      </c>
      <c r="H622" s="5">
        <v>0</v>
      </c>
      <c r="I622" s="5">
        <v>460237</v>
      </c>
      <c r="J622" s="5">
        <v>20</v>
      </c>
      <c r="L622" s="5">
        <v>571178</v>
      </c>
      <c r="M622" s="5">
        <v>0</v>
      </c>
      <c r="N622" s="5">
        <v>454567</v>
      </c>
      <c r="O622" s="5">
        <v>15</v>
      </c>
      <c r="Q622" s="5">
        <v>527696</v>
      </c>
      <c r="R622" s="5">
        <v>0</v>
      </c>
      <c r="S622" s="5">
        <v>436702</v>
      </c>
      <c r="T622" s="5">
        <v>0</v>
      </c>
      <c r="V622" s="5">
        <v>372405</v>
      </c>
      <c r="W622" s="5">
        <v>0</v>
      </c>
      <c r="X622" s="5">
        <v>1</v>
      </c>
    </row>
    <row r="623" spans="1:24" ht="12.75" customHeight="1">
      <c r="A623" s="9"/>
      <c r="B623" s="5">
        <v>522651</v>
      </c>
      <c r="C623" s="5">
        <v>0</v>
      </c>
      <c r="D623" s="5">
        <v>429507</v>
      </c>
      <c r="E623" s="5">
        <v>0</v>
      </c>
      <c r="G623" s="5">
        <v>527202</v>
      </c>
      <c r="H623" s="5">
        <v>0</v>
      </c>
      <c r="I623" s="5">
        <v>452950</v>
      </c>
      <c r="J623" s="5">
        <v>0</v>
      </c>
      <c r="L623" s="5">
        <v>564743</v>
      </c>
      <c r="M623" s="5">
        <v>25</v>
      </c>
      <c r="N623" s="5">
        <v>484991</v>
      </c>
      <c r="O623" s="5">
        <v>31</v>
      </c>
      <c r="Q623" s="5">
        <v>543760</v>
      </c>
      <c r="R623" s="5">
        <v>0</v>
      </c>
      <c r="S623" s="5">
        <v>422034</v>
      </c>
      <c r="T623" s="5">
        <v>4</v>
      </c>
      <c r="V623" s="5">
        <v>358893</v>
      </c>
      <c r="W623" s="5">
        <v>0</v>
      </c>
      <c r="X623" s="5">
        <v>1</v>
      </c>
    </row>
    <row r="624" spans="1:24" ht="12.75" customHeight="1">
      <c r="A624" s="9"/>
      <c r="B624" s="5">
        <v>567617</v>
      </c>
      <c r="C624" s="5">
        <v>0</v>
      </c>
      <c r="D624" s="5">
        <v>471547</v>
      </c>
      <c r="E624" s="5">
        <v>0</v>
      </c>
      <c r="G624" s="5">
        <v>569239</v>
      </c>
      <c r="H624" s="5">
        <v>0</v>
      </c>
      <c r="I624" s="5">
        <v>469173</v>
      </c>
      <c r="J624" s="5">
        <v>9</v>
      </c>
      <c r="L624" s="5">
        <v>561534</v>
      </c>
      <c r="M624" s="5">
        <v>0</v>
      </c>
      <c r="N624" s="5">
        <v>468079</v>
      </c>
      <c r="O624" s="5">
        <v>0</v>
      </c>
      <c r="Q624" s="5">
        <v>561735</v>
      </c>
      <c r="R624" s="5">
        <v>13</v>
      </c>
      <c r="S624" s="5">
        <v>419070</v>
      </c>
      <c r="T624" s="5">
        <v>0</v>
      </c>
      <c r="V624" s="5">
        <v>420718</v>
      </c>
      <c r="W624" s="5">
        <v>24</v>
      </c>
      <c r="X624" s="5">
        <v>1</v>
      </c>
    </row>
    <row r="625" spans="1:24" ht="12.75" customHeight="1">
      <c r="A625" s="9"/>
      <c r="B625" s="5">
        <v>535076</v>
      </c>
      <c r="C625" s="5">
        <v>0</v>
      </c>
      <c r="D625" s="5">
        <v>461794</v>
      </c>
      <c r="E625" s="5">
        <v>0</v>
      </c>
      <c r="G625" s="5">
        <v>554499</v>
      </c>
      <c r="H625" s="5">
        <v>5</v>
      </c>
      <c r="I625" s="5">
        <v>453612</v>
      </c>
      <c r="J625" s="5">
        <v>0</v>
      </c>
      <c r="L625" s="5">
        <v>534667</v>
      </c>
      <c r="M625" s="5">
        <v>0</v>
      </c>
      <c r="N625" s="5">
        <v>389373</v>
      </c>
      <c r="O625" s="5">
        <v>0</v>
      </c>
      <c r="Q625" s="5">
        <v>548375</v>
      </c>
      <c r="R625" s="5">
        <v>0</v>
      </c>
      <c r="S625" s="5">
        <v>451331</v>
      </c>
      <c r="T625" s="5">
        <v>0</v>
      </c>
      <c r="V625" s="5">
        <v>356032</v>
      </c>
      <c r="W625" s="5">
        <v>0</v>
      </c>
      <c r="X625" s="5">
        <v>1</v>
      </c>
    </row>
    <row r="626" spans="1:24" ht="12.75" customHeight="1">
      <c r="A626" s="9"/>
      <c r="B626" s="5">
        <v>565225</v>
      </c>
      <c r="C626" s="5">
        <v>0</v>
      </c>
      <c r="D626" s="5">
        <v>477599</v>
      </c>
      <c r="E626" s="5">
        <v>0</v>
      </c>
      <c r="G626" s="5">
        <v>570616</v>
      </c>
      <c r="H626" s="5">
        <v>0</v>
      </c>
      <c r="I626" s="5">
        <v>469373</v>
      </c>
      <c r="J626" s="5">
        <v>0</v>
      </c>
      <c r="L626" s="5">
        <v>542918</v>
      </c>
      <c r="M626" s="5">
        <v>0</v>
      </c>
      <c r="N626" s="5">
        <v>423553</v>
      </c>
      <c r="O626" s="5">
        <v>17</v>
      </c>
      <c r="Q626" s="5">
        <v>570563</v>
      </c>
      <c r="R626" s="5">
        <v>0</v>
      </c>
      <c r="S626" s="5">
        <v>472763</v>
      </c>
      <c r="T626" s="5">
        <v>33</v>
      </c>
      <c r="V626" s="5">
        <v>365131</v>
      </c>
      <c r="W626" s="5">
        <v>0</v>
      </c>
      <c r="X626" s="5">
        <v>1</v>
      </c>
    </row>
    <row r="627" spans="1:24" ht="12.75" customHeight="1">
      <c r="A627" s="9"/>
      <c r="B627" s="5">
        <v>527851</v>
      </c>
      <c r="C627" s="5">
        <v>0</v>
      </c>
      <c r="D627" s="5">
        <v>422362</v>
      </c>
      <c r="E627" s="5">
        <v>0</v>
      </c>
      <c r="G627" s="5">
        <v>541032</v>
      </c>
      <c r="H627" s="5">
        <v>0</v>
      </c>
      <c r="I627" s="5">
        <v>460643</v>
      </c>
      <c r="J627" s="5">
        <v>0</v>
      </c>
      <c r="L627" s="5">
        <v>519120</v>
      </c>
      <c r="M627" s="5">
        <v>0</v>
      </c>
      <c r="N627" s="5">
        <v>402130</v>
      </c>
      <c r="O627" s="5">
        <v>0</v>
      </c>
      <c r="Q627" s="5">
        <v>523660</v>
      </c>
      <c r="R627" s="5">
        <v>0</v>
      </c>
      <c r="S627" s="5">
        <v>408027</v>
      </c>
      <c r="T627" s="5">
        <v>0</v>
      </c>
      <c r="V627" s="5">
        <v>346673</v>
      </c>
      <c r="W627" s="5">
        <v>0</v>
      </c>
      <c r="X627" s="5">
        <v>2</v>
      </c>
    </row>
    <row r="628" spans="1:24" ht="12.75" customHeight="1">
      <c r="A628" s="9"/>
      <c r="B628" s="5">
        <v>592919</v>
      </c>
      <c r="C628" s="5">
        <v>20</v>
      </c>
      <c r="D628" s="5">
        <v>473118</v>
      </c>
      <c r="E628" s="5">
        <v>0</v>
      </c>
      <c r="G628" s="5">
        <v>573765</v>
      </c>
      <c r="H628" s="5">
        <v>0</v>
      </c>
      <c r="I628" s="5">
        <v>589109</v>
      </c>
      <c r="J628" s="5">
        <v>100</v>
      </c>
      <c r="L628" s="5">
        <v>578268</v>
      </c>
      <c r="M628" s="5">
        <v>15</v>
      </c>
      <c r="N628" s="5">
        <v>457544</v>
      </c>
      <c r="O628" s="5">
        <v>0</v>
      </c>
      <c r="Q628" s="5">
        <v>573530</v>
      </c>
      <c r="R628" s="5">
        <v>0</v>
      </c>
      <c r="S628" s="5">
        <v>455040</v>
      </c>
      <c r="T628" s="5">
        <v>0</v>
      </c>
      <c r="V628" s="5">
        <v>411444</v>
      </c>
      <c r="W628" s="5">
        <v>0</v>
      </c>
      <c r="X628" s="5">
        <v>1</v>
      </c>
    </row>
    <row r="629" spans="1:24" ht="12.75" customHeight="1">
      <c r="A629" s="9"/>
      <c r="B629" s="5">
        <v>523069</v>
      </c>
      <c r="C629" s="5">
        <v>0</v>
      </c>
      <c r="D629" s="5">
        <v>378871</v>
      </c>
      <c r="E629" s="5">
        <v>0</v>
      </c>
      <c r="G629" s="5">
        <v>509949</v>
      </c>
      <c r="H629" s="5">
        <v>0</v>
      </c>
      <c r="I629" s="5">
        <v>450679</v>
      </c>
      <c r="J629" s="5">
        <v>0</v>
      </c>
      <c r="L629" s="5">
        <v>518159</v>
      </c>
      <c r="M629" s="5">
        <v>0</v>
      </c>
      <c r="N629" s="5">
        <v>396627</v>
      </c>
      <c r="O629" s="5">
        <v>0</v>
      </c>
      <c r="Q629" s="5">
        <v>501712</v>
      </c>
      <c r="R629" s="5">
        <v>0</v>
      </c>
      <c r="S629" s="5">
        <v>418427</v>
      </c>
      <c r="T629" s="5">
        <v>0</v>
      </c>
      <c r="V629" s="5">
        <v>363612</v>
      </c>
      <c r="W629" s="5">
        <v>0</v>
      </c>
      <c r="X629" s="5">
        <v>1</v>
      </c>
    </row>
    <row r="630" spans="1:24" ht="12.75" customHeight="1">
      <c r="A630" s="9"/>
      <c r="B630" s="5">
        <v>498848</v>
      </c>
      <c r="C630" s="5">
        <v>0</v>
      </c>
      <c r="D630" s="5">
        <v>378416</v>
      </c>
      <c r="E630" s="5">
        <v>0</v>
      </c>
      <c r="G630" s="5">
        <v>495280</v>
      </c>
      <c r="H630" s="5">
        <v>0</v>
      </c>
      <c r="I630" s="5">
        <v>455221</v>
      </c>
      <c r="J630" s="5">
        <v>0</v>
      </c>
      <c r="L630" s="5">
        <v>510963</v>
      </c>
      <c r="M630" s="5">
        <v>0</v>
      </c>
      <c r="N630" s="5">
        <v>377814</v>
      </c>
      <c r="O630" s="5">
        <v>0</v>
      </c>
      <c r="Q630" s="5">
        <v>563566</v>
      </c>
      <c r="R630" s="5">
        <v>68</v>
      </c>
      <c r="S630" s="5">
        <v>398198</v>
      </c>
      <c r="T630" s="5">
        <v>8</v>
      </c>
      <c r="V630" s="5">
        <v>355696</v>
      </c>
      <c r="W630" s="5">
        <v>0</v>
      </c>
      <c r="X630" s="5">
        <v>1</v>
      </c>
    </row>
    <row r="631" spans="1:24" ht="12.75" customHeight="1">
      <c r="A631" s="9"/>
      <c r="B631" s="5">
        <v>527355</v>
      </c>
      <c r="C631" s="5">
        <v>0</v>
      </c>
      <c r="D631" s="5">
        <v>419534</v>
      </c>
      <c r="E631" s="5">
        <v>0</v>
      </c>
      <c r="G631" s="5">
        <v>528161</v>
      </c>
      <c r="H631" s="5">
        <v>0</v>
      </c>
      <c r="I631" s="5">
        <v>429065</v>
      </c>
      <c r="J631" s="5">
        <v>0</v>
      </c>
      <c r="L631" s="5">
        <v>512073</v>
      </c>
      <c r="M631" s="5">
        <v>0</v>
      </c>
      <c r="N631" s="5">
        <v>419335</v>
      </c>
      <c r="O631" s="5">
        <v>17</v>
      </c>
      <c r="Q631" s="5">
        <v>531358</v>
      </c>
      <c r="R631" s="5">
        <v>0</v>
      </c>
      <c r="S631" s="5">
        <v>477495</v>
      </c>
      <c r="T631" s="5">
        <v>78</v>
      </c>
      <c r="V631" s="5">
        <v>337290</v>
      </c>
      <c r="W631" s="5">
        <v>0</v>
      </c>
      <c r="X631" s="5">
        <v>1</v>
      </c>
    </row>
    <row r="632" spans="1:24" ht="12.75" customHeight="1">
      <c r="A632" s="9"/>
      <c r="B632" s="5">
        <v>524808</v>
      </c>
      <c r="C632" s="5">
        <v>0</v>
      </c>
      <c r="D632" s="5">
        <v>486234</v>
      </c>
      <c r="E632" s="5">
        <v>29</v>
      </c>
      <c r="G632" s="5">
        <v>536955</v>
      </c>
      <c r="H632" s="5">
        <v>0</v>
      </c>
      <c r="I632" s="5">
        <v>464330</v>
      </c>
      <c r="J632" s="5">
        <v>0</v>
      </c>
      <c r="L632" s="5">
        <v>527220</v>
      </c>
      <c r="M632" s="5">
        <v>0</v>
      </c>
      <c r="N632" s="5">
        <v>428656</v>
      </c>
      <c r="O632" s="5">
        <v>0</v>
      </c>
      <c r="Q632" s="5">
        <v>546046</v>
      </c>
      <c r="R632" s="5">
        <v>0</v>
      </c>
      <c r="S632" s="5">
        <v>439837</v>
      </c>
      <c r="T632" s="5">
        <v>0</v>
      </c>
      <c r="V632" s="5">
        <v>367873</v>
      </c>
      <c r="W632" s="5">
        <v>0</v>
      </c>
      <c r="X632" s="5">
        <v>1</v>
      </c>
    </row>
    <row r="633" spans="1:24" ht="12.75" customHeight="1">
      <c r="A633" s="9"/>
      <c r="B633" s="5">
        <v>497646</v>
      </c>
      <c r="C633" s="5">
        <v>0</v>
      </c>
      <c r="D633" s="5">
        <v>440566</v>
      </c>
      <c r="E633" s="5">
        <v>0</v>
      </c>
      <c r="G633" s="5">
        <v>504899</v>
      </c>
      <c r="H633" s="5">
        <v>0</v>
      </c>
      <c r="I633" s="5">
        <v>427600</v>
      </c>
      <c r="J633" s="5">
        <v>0</v>
      </c>
      <c r="L633" s="5">
        <v>498155</v>
      </c>
      <c r="M633" s="5">
        <v>0</v>
      </c>
      <c r="N633" s="5">
        <v>389788</v>
      </c>
      <c r="O633" s="5">
        <v>0</v>
      </c>
      <c r="Q633" s="5">
        <v>489216</v>
      </c>
      <c r="R633" s="5">
        <v>0</v>
      </c>
      <c r="S633" s="5">
        <v>427453</v>
      </c>
      <c r="T633" s="5">
        <v>0</v>
      </c>
      <c r="V633" s="5">
        <v>353176</v>
      </c>
      <c r="W633" s="5">
        <v>0</v>
      </c>
      <c r="X633" s="5">
        <v>2</v>
      </c>
    </row>
    <row r="634" spans="1:24" ht="12.75" customHeight="1">
      <c r="A634" s="9"/>
      <c r="B634" s="5">
        <v>563977</v>
      </c>
      <c r="C634" s="5">
        <v>0</v>
      </c>
      <c r="D634" s="5">
        <v>485848</v>
      </c>
      <c r="E634" s="5">
        <v>24</v>
      </c>
      <c r="G634" s="5">
        <v>704427</v>
      </c>
      <c r="H634" s="5">
        <v>127</v>
      </c>
      <c r="I634" s="5">
        <v>497586</v>
      </c>
      <c r="J634" s="5">
        <v>0</v>
      </c>
      <c r="L634" s="5">
        <v>549751</v>
      </c>
      <c r="M634" s="5">
        <v>0</v>
      </c>
      <c r="N634" s="5">
        <v>590234</v>
      </c>
      <c r="O634" s="5">
        <v>153</v>
      </c>
      <c r="Q634" s="5">
        <v>568609</v>
      </c>
      <c r="R634" s="5">
        <v>0</v>
      </c>
      <c r="S634" s="5">
        <v>535670</v>
      </c>
      <c r="T634" s="5">
        <v>53</v>
      </c>
      <c r="V634" s="5">
        <v>375683</v>
      </c>
      <c r="W634" s="5">
        <v>0</v>
      </c>
      <c r="X634" s="5">
        <v>1</v>
      </c>
    </row>
    <row r="635" spans="1:24" ht="12.75" customHeight="1">
      <c r="A635" s="9"/>
      <c r="B635" s="5">
        <v>559392</v>
      </c>
      <c r="C635" s="5">
        <v>0</v>
      </c>
      <c r="D635" s="5">
        <v>574277</v>
      </c>
      <c r="E635" s="5">
        <v>132</v>
      </c>
      <c r="G635" s="5">
        <v>578223</v>
      </c>
      <c r="H635" s="5">
        <v>0</v>
      </c>
      <c r="I635" s="5">
        <v>495416</v>
      </c>
      <c r="J635" s="5">
        <v>0</v>
      </c>
      <c r="L635" s="5">
        <v>576514</v>
      </c>
      <c r="M635" s="5">
        <v>0</v>
      </c>
      <c r="N635" s="5">
        <v>409907</v>
      </c>
      <c r="O635" s="5">
        <v>0</v>
      </c>
      <c r="Q635" s="5">
        <v>565769</v>
      </c>
      <c r="R635" s="5">
        <v>0</v>
      </c>
      <c r="S635" s="5">
        <v>480371</v>
      </c>
      <c r="T635" s="5">
        <v>0</v>
      </c>
      <c r="V635" s="5">
        <v>409518</v>
      </c>
      <c r="W635" s="5">
        <v>0</v>
      </c>
      <c r="X635" s="5">
        <v>1</v>
      </c>
    </row>
    <row r="636" spans="1:24" ht="12.75" customHeight="1">
      <c r="A636" s="9"/>
      <c r="B636" s="5">
        <v>497440</v>
      </c>
      <c r="C636" s="5">
        <v>0</v>
      </c>
      <c r="D636" s="5">
        <v>409485</v>
      </c>
      <c r="E636" s="5">
        <v>0</v>
      </c>
      <c r="G636" s="5">
        <v>487706</v>
      </c>
      <c r="H636" s="5">
        <v>0</v>
      </c>
      <c r="I636" s="5">
        <v>429378</v>
      </c>
      <c r="J636" s="5">
        <v>0</v>
      </c>
      <c r="L636" s="5">
        <v>485985</v>
      </c>
      <c r="M636" s="5">
        <v>0</v>
      </c>
      <c r="N636" s="5">
        <v>401589</v>
      </c>
      <c r="O636" s="5">
        <v>0</v>
      </c>
      <c r="Q636" s="5">
        <v>497435</v>
      </c>
      <c r="R636" s="5">
        <v>0</v>
      </c>
      <c r="S636" s="5">
        <v>400079</v>
      </c>
      <c r="T636" s="5">
        <v>0</v>
      </c>
      <c r="V636" s="5">
        <v>364237</v>
      </c>
      <c r="W636" s="5">
        <v>0</v>
      </c>
      <c r="X636" s="5">
        <v>1</v>
      </c>
    </row>
    <row r="637" spans="1:24" ht="12.75" customHeight="1">
      <c r="A637" s="9"/>
      <c r="B637" s="5">
        <v>456540</v>
      </c>
      <c r="C637" s="5">
        <v>22</v>
      </c>
      <c r="D637" s="5">
        <v>371976</v>
      </c>
      <c r="E637" s="5">
        <v>0</v>
      </c>
      <c r="G637" s="5">
        <v>452498</v>
      </c>
      <c r="H637" s="5">
        <v>0</v>
      </c>
      <c r="I637" s="5">
        <v>490735</v>
      </c>
      <c r="J637" s="5">
        <v>80</v>
      </c>
      <c r="L637" s="5">
        <v>429107</v>
      </c>
      <c r="M637" s="5">
        <v>0</v>
      </c>
      <c r="N637" s="5">
        <v>316558</v>
      </c>
      <c r="O637" s="5">
        <v>0</v>
      </c>
      <c r="Q637" s="5">
        <v>440672</v>
      </c>
      <c r="R637" s="5">
        <v>0</v>
      </c>
      <c r="S637" s="5">
        <v>334753</v>
      </c>
      <c r="T637" s="5">
        <v>1</v>
      </c>
      <c r="V637" s="5">
        <v>292610</v>
      </c>
      <c r="W637" s="5">
        <v>0</v>
      </c>
      <c r="X637" s="5">
        <v>1</v>
      </c>
    </row>
    <row r="638" spans="1:24" ht="12.75" customHeight="1">
      <c r="A638" s="9"/>
      <c r="B638" s="5">
        <v>753412</v>
      </c>
      <c r="C638" s="5">
        <v>151</v>
      </c>
      <c r="D638" s="5">
        <v>458374</v>
      </c>
      <c r="E638" s="5">
        <v>0</v>
      </c>
      <c r="G638" s="5">
        <v>607594</v>
      </c>
      <c r="H638" s="5">
        <v>0</v>
      </c>
      <c r="I638" s="5">
        <v>535578</v>
      </c>
      <c r="J638" s="5">
        <v>0</v>
      </c>
      <c r="L638" s="5">
        <v>682964</v>
      </c>
      <c r="M638" s="5">
        <v>88</v>
      </c>
      <c r="N638" s="5">
        <v>500797</v>
      </c>
      <c r="O638" s="5">
        <v>41</v>
      </c>
      <c r="Q638" s="5">
        <v>587659</v>
      </c>
      <c r="R638" s="5">
        <v>0</v>
      </c>
      <c r="S638" s="5">
        <v>478517</v>
      </c>
      <c r="T638" s="5">
        <v>0</v>
      </c>
      <c r="V638" s="5">
        <v>443260</v>
      </c>
      <c r="W638" s="5">
        <v>27</v>
      </c>
      <c r="X638" s="5">
        <v>2</v>
      </c>
    </row>
    <row r="639" spans="1:24" ht="12.75" customHeight="1">
      <c r="A639" s="9"/>
      <c r="B639" s="5">
        <v>530014</v>
      </c>
      <c r="C639" s="5">
        <v>0</v>
      </c>
      <c r="D639" s="5">
        <v>479634</v>
      </c>
      <c r="E639" s="5">
        <v>18</v>
      </c>
      <c r="G639" s="5">
        <v>521853</v>
      </c>
      <c r="H639" s="5">
        <v>0</v>
      </c>
      <c r="I639" s="5">
        <v>457625</v>
      </c>
      <c r="J639" s="5">
        <v>0</v>
      </c>
      <c r="L639" s="5">
        <v>527417</v>
      </c>
      <c r="M639" s="5">
        <v>0</v>
      </c>
      <c r="N639" s="5">
        <v>418267</v>
      </c>
      <c r="O639" s="5">
        <v>0</v>
      </c>
      <c r="Q639" s="5">
        <v>529643</v>
      </c>
      <c r="R639" s="5">
        <v>0</v>
      </c>
      <c r="S639" s="5">
        <v>451704</v>
      </c>
      <c r="T639" s="5">
        <v>16</v>
      </c>
      <c r="V639" s="5">
        <v>400291</v>
      </c>
      <c r="W639" s="5">
        <v>10</v>
      </c>
      <c r="X639" s="5">
        <v>2</v>
      </c>
    </row>
    <row r="640" spans="1:24" ht="12.75" customHeight="1">
      <c r="A640" s="9"/>
      <c r="B640" s="5">
        <v>512466</v>
      </c>
      <c r="C640" s="5">
        <v>0</v>
      </c>
      <c r="D640" s="5">
        <v>451117</v>
      </c>
      <c r="E640" s="5">
        <v>0</v>
      </c>
      <c r="G640" s="5">
        <v>505456</v>
      </c>
      <c r="H640" s="5">
        <v>0</v>
      </c>
      <c r="I640" s="5">
        <v>462925</v>
      </c>
      <c r="J640" s="5">
        <v>0</v>
      </c>
      <c r="L640" s="5">
        <v>509670</v>
      </c>
      <c r="M640" s="5">
        <v>0</v>
      </c>
      <c r="N640" s="5">
        <v>397278</v>
      </c>
      <c r="O640" s="5">
        <v>0</v>
      </c>
      <c r="Q640" s="5">
        <v>508991</v>
      </c>
      <c r="R640" s="5">
        <v>0</v>
      </c>
      <c r="S640" s="5">
        <v>430485</v>
      </c>
      <c r="T640" s="5">
        <v>0</v>
      </c>
      <c r="V640" s="5">
        <v>367973</v>
      </c>
      <c r="W640" s="5">
        <v>0</v>
      </c>
      <c r="X640" s="5">
        <v>2</v>
      </c>
    </row>
    <row r="641" spans="1:24" ht="12.75" customHeight="1">
      <c r="A641" s="9"/>
      <c r="B641" s="5">
        <v>541144</v>
      </c>
      <c r="C641" s="5">
        <v>0</v>
      </c>
      <c r="D641" s="5">
        <v>462638</v>
      </c>
      <c r="E641" s="5">
        <v>0</v>
      </c>
      <c r="G641" s="5">
        <v>538449</v>
      </c>
      <c r="H641" s="5">
        <v>0</v>
      </c>
      <c r="I641" s="5">
        <v>478183</v>
      </c>
      <c r="J641" s="5">
        <v>0</v>
      </c>
      <c r="L641" s="5">
        <v>558725</v>
      </c>
      <c r="M641" s="5">
        <v>0</v>
      </c>
      <c r="N641" s="5">
        <v>403073</v>
      </c>
      <c r="O641" s="5">
        <v>0</v>
      </c>
      <c r="Q641" s="5">
        <v>521927</v>
      </c>
      <c r="R641" s="5">
        <v>0</v>
      </c>
      <c r="S641" s="5">
        <v>457454</v>
      </c>
      <c r="T641" s="5">
        <v>0</v>
      </c>
      <c r="V641" s="5">
        <v>377077</v>
      </c>
      <c r="W641" s="5">
        <v>0</v>
      </c>
      <c r="X641" s="5">
        <v>1</v>
      </c>
    </row>
    <row r="642" spans="1:24" ht="12.75" customHeight="1">
      <c r="A642" s="9"/>
      <c r="B642" s="5">
        <v>576806</v>
      </c>
      <c r="C642" s="5">
        <v>20</v>
      </c>
      <c r="D642" s="5">
        <v>489174</v>
      </c>
      <c r="E642" s="5">
        <v>0</v>
      </c>
      <c r="G642" s="5">
        <v>553632</v>
      </c>
      <c r="H642" s="5">
        <v>0</v>
      </c>
      <c r="I642" s="5">
        <v>449252</v>
      </c>
      <c r="J642" s="5">
        <v>3</v>
      </c>
      <c r="L642" s="5">
        <v>573768</v>
      </c>
      <c r="M642" s="5">
        <v>0</v>
      </c>
      <c r="N642" s="5">
        <v>437959</v>
      </c>
      <c r="O642" s="5">
        <v>0</v>
      </c>
      <c r="Q642" s="5">
        <v>570204</v>
      </c>
      <c r="R642" s="5">
        <v>0</v>
      </c>
      <c r="S642" s="5">
        <v>453603</v>
      </c>
      <c r="T642" s="5">
        <v>0</v>
      </c>
      <c r="V642" s="5">
        <v>410670</v>
      </c>
      <c r="W642" s="5">
        <v>0</v>
      </c>
      <c r="X642" s="5">
        <v>2</v>
      </c>
    </row>
    <row r="643" spans="1:24" ht="12.75" customHeight="1">
      <c r="A643" s="9"/>
      <c r="B643" s="5">
        <v>592478</v>
      </c>
      <c r="C643" s="5">
        <v>0</v>
      </c>
      <c r="D643" s="5">
        <v>619863</v>
      </c>
      <c r="E643" s="5">
        <v>94</v>
      </c>
      <c r="G643" s="5">
        <v>585228</v>
      </c>
      <c r="H643" s="5">
        <v>0</v>
      </c>
      <c r="I643" s="5">
        <v>508207</v>
      </c>
      <c r="J643" s="5">
        <v>0</v>
      </c>
      <c r="L643" s="5">
        <v>607713</v>
      </c>
      <c r="M643" s="5">
        <v>0</v>
      </c>
      <c r="N643" s="5">
        <v>428110</v>
      </c>
      <c r="O643" s="5">
        <v>0</v>
      </c>
      <c r="Q643" s="5">
        <v>587260</v>
      </c>
      <c r="R643" s="5">
        <v>0</v>
      </c>
      <c r="S643" s="5">
        <v>447968</v>
      </c>
      <c r="T643" s="5">
        <v>0</v>
      </c>
      <c r="V643" s="5">
        <v>384528</v>
      </c>
      <c r="W643" s="5">
        <v>0</v>
      </c>
      <c r="X643" s="5">
        <v>1</v>
      </c>
    </row>
    <row r="644" spans="1:24" ht="12.75" customHeight="1">
      <c r="A644" s="9"/>
      <c r="B644" s="5">
        <v>568722</v>
      </c>
      <c r="C644" s="5">
        <v>0</v>
      </c>
      <c r="D644" s="5">
        <v>500337</v>
      </c>
      <c r="E644" s="5">
        <v>0</v>
      </c>
      <c r="G644" s="5">
        <v>556356</v>
      </c>
      <c r="H644" s="5">
        <v>0</v>
      </c>
      <c r="I644" s="5">
        <v>491348</v>
      </c>
      <c r="J644" s="5">
        <v>0</v>
      </c>
      <c r="L644" s="5">
        <v>567835</v>
      </c>
      <c r="M644" s="5">
        <v>0</v>
      </c>
      <c r="N644" s="5">
        <v>434698</v>
      </c>
      <c r="O644" s="5">
        <v>0</v>
      </c>
      <c r="Q644" s="5">
        <v>571130</v>
      </c>
      <c r="R644" s="5">
        <v>0</v>
      </c>
      <c r="S644" s="5">
        <v>484775</v>
      </c>
      <c r="T644" s="5">
        <v>0</v>
      </c>
      <c r="V644" s="5">
        <v>407429</v>
      </c>
      <c r="W644" s="5">
        <v>0</v>
      </c>
      <c r="X644" s="5">
        <v>1</v>
      </c>
    </row>
    <row r="645" spans="1:24" ht="12.75" customHeight="1">
      <c r="A645" s="9"/>
      <c r="B645" s="5">
        <v>434766</v>
      </c>
      <c r="C645" s="5">
        <v>0</v>
      </c>
      <c r="D645" s="5">
        <v>406840</v>
      </c>
      <c r="E645" s="5">
        <v>27</v>
      </c>
      <c r="G645" s="5">
        <v>470652</v>
      </c>
      <c r="H645" s="5">
        <v>0</v>
      </c>
      <c r="I645" s="5">
        <v>375960</v>
      </c>
      <c r="J645" s="5">
        <v>0</v>
      </c>
      <c r="L645" s="5">
        <v>472070</v>
      </c>
      <c r="M645" s="5">
        <v>2</v>
      </c>
      <c r="N645" s="5">
        <v>361611</v>
      </c>
      <c r="O645" s="5">
        <v>0</v>
      </c>
      <c r="Q645" s="5">
        <v>454037</v>
      </c>
      <c r="R645" s="5">
        <v>0</v>
      </c>
      <c r="S645" s="5">
        <v>386812</v>
      </c>
      <c r="T645" s="5">
        <v>0</v>
      </c>
      <c r="V645" s="5">
        <v>328990</v>
      </c>
      <c r="W645" s="5">
        <v>0</v>
      </c>
      <c r="X645" s="5">
        <v>2</v>
      </c>
    </row>
    <row r="646" spans="1:24" ht="12.75" customHeight="1">
      <c r="A646" s="9"/>
      <c r="B646" s="5">
        <v>581584</v>
      </c>
      <c r="C646" s="5">
        <v>0</v>
      </c>
      <c r="D646" s="5">
        <v>526675</v>
      </c>
      <c r="E646" s="5">
        <v>0</v>
      </c>
      <c r="G646" s="5">
        <v>574845</v>
      </c>
      <c r="H646" s="5">
        <v>0</v>
      </c>
      <c r="I646" s="5">
        <v>504370</v>
      </c>
      <c r="J646" s="5">
        <v>0</v>
      </c>
      <c r="L646" s="5">
        <v>580049</v>
      </c>
      <c r="M646" s="5">
        <v>0</v>
      </c>
      <c r="N646" s="5">
        <v>452604</v>
      </c>
      <c r="O646" s="5">
        <v>0</v>
      </c>
      <c r="Q646" s="5">
        <v>586735</v>
      </c>
      <c r="R646" s="5">
        <v>0</v>
      </c>
      <c r="S646" s="5">
        <v>485916</v>
      </c>
      <c r="T646" s="5">
        <v>0</v>
      </c>
      <c r="V646" s="5">
        <v>397102</v>
      </c>
      <c r="W646" s="5">
        <v>0</v>
      </c>
      <c r="X646" s="5">
        <v>1</v>
      </c>
    </row>
    <row r="647" spans="1:24" ht="12.75" customHeight="1">
      <c r="A647" s="9"/>
      <c r="B647" s="5">
        <v>571746</v>
      </c>
      <c r="C647" s="5">
        <v>0</v>
      </c>
      <c r="D647" s="5">
        <v>430425</v>
      </c>
      <c r="E647" s="5">
        <v>0</v>
      </c>
      <c r="G647" s="5">
        <v>614559</v>
      </c>
      <c r="H647" s="5">
        <v>47</v>
      </c>
      <c r="I647" s="5">
        <v>467034</v>
      </c>
      <c r="J647" s="5">
        <v>0</v>
      </c>
      <c r="L647" s="5">
        <v>569408</v>
      </c>
      <c r="M647" s="5">
        <v>0</v>
      </c>
      <c r="N647" s="5">
        <v>413784</v>
      </c>
      <c r="O647" s="5">
        <v>0</v>
      </c>
      <c r="Q647" s="5">
        <v>557574</v>
      </c>
      <c r="R647" s="5">
        <v>0</v>
      </c>
      <c r="S647" s="5">
        <v>450172</v>
      </c>
      <c r="T647" s="5">
        <v>0</v>
      </c>
      <c r="V647" s="5">
        <v>381570</v>
      </c>
      <c r="W647" s="5">
        <v>0</v>
      </c>
      <c r="X647" s="5">
        <v>2</v>
      </c>
    </row>
    <row r="648" spans="1:24" ht="12.75" customHeight="1">
      <c r="A648" s="9"/>
      <c r="B648" s="5">
        <v>571452</v>
      </c>
      <c r="C648" s="5">
        <v>31</v>
      </c>
      <c r="D648" s="5">
        <v>507199</v>
      </c>
      <c r="E648" s="5">
        <v>5</v>
      </c>
      <c r="G648" s="5">
        <v>555195</v>
      </c>
      <c r="H648" s="5">
        <v>3</v>
      </c>
      <c r="I648" s="5">
        <v>481717</v>
      </c>
      <c r="J648" s="5">
        <v>0</v>
      </c>
      <c r="L648" s="5">
        <v>604768</v>
      </c>
      <c r="M648" s="5">
        <v>56</v>
      </c>
      <c r="N648" s="5">
        <v>403068</v>
      </c>
      <c r="O648" s="5">
        <v>0</v>
      </c>
      <c r="Q648" s="5">
        <v>673968</v>
      </c>
      <c r="R648" s="5">
        <v>131</v>
      </c>
      <c r="S648" s="5">
        <v>477216</v>
      </c>
      <c r="T648" s="5">
        <v>0</v>
      </c>
      <c r="V648" s="5">
        <v>399443</v>
      </c>
      <c r="W648" s="5">
        <v>18</v>
      </c>
      <c r="X648" s="5">
        <v>1</v>
      </c>
    </row>
    <row r="649" spans="1:24" ht="12.75" customHeight="1">
      <c r="A649" s="9"/>
      <c r="B649" s="5">
        <v>437339</v>
      </c>
      <c r="C649" s="5">
        <v>0</v>
      </c>
      <c r="D649" s="5">
        <v>415267</v>
      </c>
      <c r="E649" s="5">
        <v>18</v>
      </c>
      <c r="G649" s="5">
        <v>445103</v>
      </c>
      <c r="H649" s="5">
        <v>0</v>
      </c>
      <c r="I649" s="5">
        <v>374555</v>
      </c>
      <c r="J649" s="5">
        <v>0</v>
      </c>
      <c r="L649" s="5">
        <v>437098</v>
      </c>
      <c r="M649" s="5">
        <v>4</v>
      </c>
      <c r="N649" s="5">
        <v>319404</v>
      </c>
      <c r="O649" s="5">
        <v>0</v>
      </c>
      <c r="Q649" s="5">
        <v>486710</v>
      </c>
      <c r="R649" s="5">
        <v>54</v>
      </c>
      <c r="S649" s="5">
        <v>365475</v>
      </c>
      <c r="T649" s="5">
        <v>0</v>
      </c>
      <c r="V649" s="5">
        <v>283505</v>
      </c>
      <c r="W649" s="5">
        <v>0</v>
      </c>
      <c r="X649" s="5">
        <v>2</v>
      </c>
    </row>
    <row r="650" spans="1:24" ht="12.75" customHeight="1">
      <c r="A650" s="9"/>
      <c r="B650" s="5">
        <v>436891</v>
      </c>
      <c r="C650" s="5">
        <v>28</v>
      </c>
      <c r="D650" s="5">
        <v>342342</v>
      </c>
      <c r="E650" s="5">
        <v>0</v>
      </c>
      <c r="G650" s="5">
        <v>494327</v>
      </c>
      <c r="H650" s="5">
        <v>85</v>
      </c>
      <c r="I650" s="5">
        <v>375224</v>
      </c>
      <c r="J650" s="5">
        <v>6</v>
      </c>
      <c r="L650" s="5">
        <v>420763</v>
      </c>
      <c r="M650" s="5">
        <v>0</v>
      </c>
      <c r="N650" s="5">
        <v>331248</v>
      </c>
      <c r="O650" s="5">
        <v>0</v>
      </c>
      <c r="Q650" s="5">
        <v>419139</v>
      </c>
      <c r="R650" s="5">
        <v>0</v>
      </c>
      <c r="S650" s="5">
        <v>333974</v>
      </c>
      <c r="T650" s="5">
        <v>0</v>
      </c>
      <c r="V650" s="5">
        <v>280312</v>
      </c>
      <c r="W650" s="5">
        <v>0</v>
      </c>
      <c r="X650" s="5">
        <v>2</v>
      </c>
    </row>
    <row r="651" spans="1:24" ht="12.75" customHeight="1">
      <c r="A651" s="9"/>
      <c r="B651" s="5">
        <v>399361</v>
      </c>
      <c r="C651" s="5">
        <v>3</v>
      </c>
      <c r="D651" s="5">
        <v>360533</v>
      </c>
      <c r="E651" s="5">
        <v>0</v>
      </c>
      <c r="G651" s="5">
        <v>425584</v>
      </c>
      <c r="H651" s="5">
        <v>11</v>
      </c>
      <c r="I651" s="5">
        <v>372632</v>
      </c>
      <c r="J651" s="5">
        <v>0</v>
      </c>
      <c r="L651" s="5">
        <v>404173</v>
      </c>
      <c r="M651" s="5">
        <v>0</v>
      </c>
      <c r="N651" s="5">
        <v>319870</v>
      </c>
      <c r="O651" s="5">
        <v>0</v>
      </c>
      <c r="Q651" s="5">
        <v>403928</v>
      </c>
      <c r="R651" s="5">
        <v>0</v>
      </c>
      <c r="S651" s="5">
        <v>348313</v>
      </c>
      <c r="T651" s="5">
        <v>0</v>
      </c>
      <c r="V651" s="5">
        <v>276113</v>
      </c>
      <c r="W651" s="5">
        <v>0</v>
      </c>
      <c r="X651" s="5">
        <v>1</v>
      </c>
    </row>
    <row r="652" spans="1:24" ht="12.75" customHeight="1">
      <c r="A652" s="9"/>
      <c r="B652" s="5">
        <v>453921</v>
      </c>
      <c r="C652" s="5">
        <v>0</v>
      </c>
      <c r="D652" s="5">
        <v>397150</v>
      </c>
      <c r="E652" s="5">
        <v>0</v>
      </c>
      <c r="G652" s="5">
        <v>455862</v>
      </c>
      <c r="H652" s="5">
        <v>0</v>
      </c>
      <c r="I652" s="5">
        <v>373468</v>
      </c>
      <c r="J652" s="5">
        <v>0</v>
      </c>
      <c r="L652" s="5">
        <v>455367</v>
      </c>
      <c r="M652" s="5">
        <v>0</v>
      </c>
      <c r="N652" s="5">
        <v>373971</v>
      </c>
      <c r="O652" s="5">
        <v>0</v>
      </c>
      <c r="Q652" s="5">
        <v>455897</v>
      </c>
      <c r="R652" s="5">
        <v>0</v>
      </c>
      <c r="S652" s="5">
        <v>410327</v>
      </c>
      <c r="T652" s="5">
        <v>0</v>
      </c>
      <c r="V652" s="5">
        <v>356191</v>
      </c>
      <c r="W652" s="5">
        <v>49</v>
      </c>
      <c r="X652" s="5">
        <v>2</v>
      </c>
    </row>
    <row r="653" spans="1:24" ht="12.75" customHeight="1">
      <c r="A653" s="9"/>
      <c r="B653" s="5">
        <v>439263</v>
      </c>
      <c r="C653" s="5">
        <v>0</v>
      </c>
      <c r="D653" s="5">
        <v>511066</v>
      </c>
      <c r="E653" s="5">
        <v>132</v>
      </c>
      <c r="G653" s="5">
        <v>456500</v>
      </c>
      <c r="H653" s="5">
        <v>0</v>
      </c>
      <c r="I653" s="5">
        <v>416192</v>
      </c>
      <c r="J653" s="5">
        <v>0</v>
      </c>
      <c r="L653" s="5">
        <v>462776</v>
      </c>
      <c r="M653" s="5">
        <v>0</v>
      </c>
      <c r="N653" s="5">
        <v>446300</v>
      </c>
      <c r="O653" s="5">
        <v>110</v>
      </c>
      <c r="Q653" s="5">
        <v>482452</v>
      </c>
      <c r="R653" s="5">
        <v>31</v>
      </c>
      <c r="S653" s="5">
        <v>439052</v>
      </c>
      <c r="T653" s="5">
        <v>52</v>
      </c>
      <c r="V653" s="5">
        <v>304795</v>
      </c>
      <c r="W653" s="5">
        <v>0</v>
      </c>
      <c r="X653" s="5">
        <v>1</v>
      </c>
    </row>
    <row r="654" spans="1:24" ht="12.75" customHeight="1">
      <c r="A654" s="9"/>
      <c r="B654" s="5">
        <v>468880</v>
      </c>
      <c r="C654" s="5">
        <v>0</v>
      </c>
      <c r="D654" s="5">
        <v>375951</v>
      </c>
      <c r="E654" s="5">
        <v>8</v>
      </c>
      <c r="G654" s="5">
        <v>465247</v>
      </c>
      <c r="H654" s="5">
        <v>0</v>
      </c>
      <c r="I654" s="5">
        <v>420836</v>
      </c>
      <c r="J654" s="5">
        <v>8</v>
      </c>
      <c r="L654" s="5">
        <v>455104</v>
      </c>
      <c r="M654" s="5">
        <v>0</v>
      </c>
      <c r="N654" s="5">
        <v>441738</v>
      </c>
      <c r="O654" s="5">
        <v>43</v>
      </c>
      <c r="Q654" s="5">
        <v>455324</v>
      </c>
      <c r="R654" s="5">
        <v>0</v>
      </c>
      <c r="S654" s="5">
        <v>406383</v>
      </c>
      <c r="T654" s="5">
        <v>0</v>
      </c>
      <c r="V654" s="5">
        <v>314414</v>
      </c>
      <c r="W654" s="5">
        <v>0</v>
      </c>
      <c r="X654" s="5">
        <v>2</v>
      </c>
    </row>
    <row r="655" spans="1:24" ht="12.75" customHeight="1">
      <c r="A655" s="9"/>
      <c r="B655" s="5">
        <v>487193</v>
      </c>
      <c r="C655" s="5">
        <v>0</v>
      </c>
      <c r="D655" s="5">
        <v>420840</v>
      </c>
      <c r="E655" s="5">
        <v>0</v>
      </c>
      <c r="G655" s="5">
        <v>474455</v>
      </c>
      <c r="H655" s="5">
        <v>0</v>
      </c>
      <c r="I655" s="5">
        <v>406202</v>
      </c>
      <c r="J655" s="5">
        <v>0</v>
      </c>
      <c r="L655" s="5">
        <v>495586</v>
      </c>
      <c r="M655" s="5">
        <v>0</v>
      </c>
      <c r="N655" s="5">
        <v>383588</v>
      </c>
      <c r="O655" s="5">
        <v>0</v>
      </c>
      <c r="Q655" s="5">
        <v>489329</v>
      </c>
      <c r="R655" s="5">
        <v>0</v>
      </c>
      <c r="S655" s="5">
        <v>417413</v>
      </c>
      <c r="T655" s="5">
        <v>0</v>
      </c>
      <c r="V655" s="5">
        <v>324361</v>
      </c>
      <c r="W655" s="5">
        <v>0</v>
      </c>
      <c r="X655" s="5">
        <v>2</v>
      </c>
    </row>
    <row r="656" spans="1:24" ht="12.75" customHeight="1">
      <c r="A656" s="9"/>
      <c r="B656" s="5">
        <v>447532</v>
      </c>
      <c r="C656" s="5">
        <v>0</v>
      </c>
      <c r="D656" s="5">
        <v>447746</v>
      </c>
      <c r="E656" s="5">
        <v>78</v>
      </c>
      <c r="G656" s="5">
        <v>526586</v>
      </c>
      <c r="H656" s="5">
        <v>59</v>
      </c>
      <c r="I656" s="5">
        <v>442793</v>
      </c>
      <c r="J656" s="5">
        <v>0</v>
      </c>
      <c r="L656" s="5">
        <v>494582</v>
      </c>
      <c r="M656" s="5">
        <v>27</v>
      </c>
      <c r="N656" s="5">
        <v>412566</v>
      </c>
      <c r="O656" s="5">
        <v>66</v>
      </c>
      <c r="Q656" s="5">
        <v>472937</v>
      </c>
      <c r="R656" s="5">
        <v>0</v>
      </c>
      <c r="S656" s="5">
        <v>404537</v>
      </c>
      <c r="T656" s="5">
        <v>11</v>
      </c>
      <c r="V656" s="5">
        <v>321060</v>
      </c>
      <c r="W656" s="5">
        <v>18</v>
      </c>
      <c r="X656" s="5">
        <v>3</v>
      </c>
    </row>
    <row r="657" spans="1:24" ht="12.75" customHeight="1">
      <c r="A657" s="9"/>
      <c r="B657" s="5">
        <v>557887</v>
      </c>
      <c r="C657" s="5">
        <v>56</v>
      </c>
      <c r="D657" s="5">
        <v>428594</v>
      </c>
      <c r="E657" s="5">
        <v>0</v>
      </c>
      <c r="G657" s="5">
        <v>495850</v>
      </c>
      <c r="H657" s="5">
        <v>0</v>
      </c>
      <c r="I657" s="5">
        <v>483458</v>
      </c>
      <c r="J657" s="5">
        <v>40</v>
      </c>
      <c r="L657" s="5">
        <v>566434</v>
      </c>
      <c r="M657" s="5">
        <v>76</v>
      </c>
      <c r="N657" s="5">
        <v>439876</v>
      </c>
      <c r="O657" s="5">
        <v>40</v>
      </c>
      <c r="Q657" s="5">
        <v>536340</v>
      </c>
      <c r="R657" s="5">
        <v>30</v>
      </c>
      <c r="S657" s="5">
        <v>422823</v>
      </c>
      <c r="T657" s="5">
        <v>0</v>
      </c>
      <c r="V657" s="5">
        <v>349406</v>
      </c>
      <c r="W657" s="5">
        <v>28</v>
      </c>
      <c r="X657" s="5">
        <v>1</v>
      </c>
    </row>
    <row r="658" spans="1:24" ht="12.75" customHeight="1">
      <c r="A658" s="9"/>
      <c r="B658" s="5">
        <v>464712</v>
      </c>
      <c r="C658" s="5">
        <v>0</v>
      </c>
      <c r="D658" s="5">
        <v>391314</v>
      </c>
      <c r="E658" s="5">
        <v>0</v>
      </c>
      <c r="G658" s="5">
        <v>459194</v>
      </c>
      <c r="H658" s="5">
        <v>0</v>
      </c>
      <c r="I658" s="5">
        <v>391500</v>
      </c>
      <c r="J658" s="5">
        <v>0</v>
      </c>
      <c r="L658" s="5">
        <v>575777</v>
      </c>
      <c r="M658" s="5">
        <v>105</v>
      </c>
      <c r="N658" s="5">
        <v>375382</v>
      </c>
      <c r="O658" s="5">
        <v>0</v>
      </c>
      <c r="Q658" s="5">
        <v>473387</v>
      </c>
      <c r="R658" s="5">
        <v>0</v>
      </c>
      <c r="S658" s="5">
        <v>401426</v>
      </c>
      <c r="T658" s="5">
        <v>0</v>
      </c>
      <c r="V658" s="5">
        <v>332962</v>
      </c>
      <c r="W658" s="5">
        <v>0</v>
      </c>
      <c r="X658" s="5">
        <v>2</v>
      </c>
    </row>
    <row r="659" spans="1:24" ht="12.75" customHeight="1">
      <c r="A659" s="9"/>
      <c r="B659" s="5">
        <v>515513</v>
      </c>
      <c r="C659" s="5">
        <v>0</v>
      </c>
      <c r="D659" s="5">
        <v>438002</v>
      </c>
      <c r="E659" s="5">
        <v>42</v>
      </c>
      <c r="G659" s="5">
        <v>574842</v>
      </c>
      <c r="H659" s="5">
        <v>69</v>
      </c>
      <c r="I659" s="5">
        <v>449819</v>
      </c>
      <c r="J659" s="5">
        <v>0</v>
      </c>
      <c r="L659" s="5">
        <v>512262</v>
      </c>
      <c r="M659" s="5">
        <v>9</v>
      </c>
      <c r="N659" s="5">
        <v>420586</v>
      </c>
      <c r="O659" s="5">
        <v>19</v>
      </c>
      <c r="Q659" s="5">
        <v>512582</v>
      </c>
      <c r="R659" s="5">
        <v>10</v>
      </c>
      <c r="S659" s="5">
        <v>488949</v>
      </c>
      <c r="T659" s="5">
        <v>45</v>
      </c>
      <c r="V659" s="5">
        <v>364004</v>
      </c>
      <c r="W659" s="5">
        <v>0</v>
      </c>
      <c r="X659" s="5">
        <v>1</v>
      </c>
    </row>
    <row r="660" spans="1:24" ht="12.75" customHeight="1">
      <c r="A660" s="9"/>
      <c r="B660" s="5">
        <v>430229</v>
      </c>
      <c r="C660" s="5">
        <v>0</v>
      </c>
      <c r="D660" s="5">
        <v>356114</v>
      </c>
      <c r="E660" s="5">
        <v>0</v>
      </c>
      <c r="G660" s="5">
        <v>445319</v>
      </c>
      <c r="H660" s="5">
        <v>0</v>
      </c>
      <c r="I660" s="5">
        <v>379274</v>
      </c>
      <c r="J660" s="5">
        <v>0</v>
      </c>
      <c r="L660" s="5">
        <v>414582</v>
      </c>
      <c r="M660" s="5">
        <v>0</v>
      </c>
      <c r="N660" s="5">
        <v>362271</v>
      </c>
      <c r="O660" s="5">
        <v>0</v>
      </c>
      <c r="Q660" s="5">
        <v>447518</v>
      </c>
      <c r="R660" s="5">
        <v>0</v>
      </c>
      <c r="S660" s="5">
        <v>352165</v>
      </c>
      <c r="T660" s="5">
        <v>0</v>
      </c>
      <c r="V660" s="5">
        <v>301981</v>
      </c>
      <c r="W660" s="5">
        <v>0</v>
      </c>
      <c r="X660" s="5">
        <v>2</v>
      </c>
    </row>
    <row r="661" spans="1:24" ht="12.75" customHeight="1">
      <c r="A661" s="9"/>
      <c r="B661" s="5">
        <v>592344</v>
      </c>
      <c r="C661" s="5">
        <v>114</v>
      </c>
      <c r="D661" s="5">
        <v>438792</v>
      </c>
      <c r="E661" s="5">
        <v>44</v>
      </c>
      <c r="G661" s="5">
        <v>543571</v>
      </c>
      <c r="H661" s="5">
        <v>63</v>
      </c>
      <c r="I661" s="5">
        <v>401814</v>
      </c>
      <c r="J661" s="5">
        <v>0</v>
      </c>
      <c r="L661" s="5">
        <v>483624</v>
      </c>
      <c r="M661" s="5">
        <v>0</v>
      </c>
      <c r="N661" s="5">
        <v>362386</v>
      </c>
      <c r="O661" s="5">
        <v>0</v>
      </c>
      <c r="Q661" s="5">
        <v>522760</v>
      </c>
      <c r="R661" s="5">
        <v>44</v>
      </c>
      <c r="S661" s="5">
        <v>500845</v>
      </c>
      <c r="T661" s="5">
        <v>105</v>
      </c>
      <c r="V661" s="5">
        <v>348958</v>
      </c>
      <c r="W661" s="5">
        <v>33</v>
      </c>
      <c r="X661" s="5">
        <v>2</v>
      </c>
    </row>
    <row r="662" spans="1:24" ht="12.75" customHeight="1">
      <c r="A662" s="9"/>
      <c r="B662" s="5">
        <v>403540</v>
      </c>
      <c r="C662" s="5">
        <v>14</v>
      </c>
      <c r="D662" s="5">
        <v>318416</v>
      </c>
      <c r="E662" s="5">
        <v>0</v>
      </c>
      <c r="G662" s="5">
        <v>412935</v>
      </c>
      <c r="H662" s="5">
        <v>15</v>
      </c>
      <c r="I662" s="5">
        <v>336822</v>
      </c>
      <c r="J662" s="5">
        <v>0</v>
      </c>
      <c r="L662" s="5">
        <v>407444</v>
      </c>
      <c r="M662" s="5">
        <v>17</v>
      </c>
      <c r="N662" s="5">
        <v>279750</v>
      </c>
      <c r="O662" s="5">
        <v>0</v>
      </c>
      <c r="Q662" s="5">
        <v>403354</v>
      </c>
      <c r="R662" s="5">
        <v>10</v>
      </c>
      <c r="S662" s="5">
        <v>338329</v>
      </c>
      <c r="T662" s="5">
        <v>0</v>
      </c>
      <c r="V662" s="5">
        <v>290158</v>
      </c>
      <c r="W662" s="5">
        <v>0</v>
      </c>
      <c r="X662" s="5">
        <v>1</v>
      </c>
    </row>
    <row r="663" spans="1:24" ht="12.75" customHeight="1">
      <c r="A663" s="9"/>
      <c r="B663" s="5">
        <v>512797</v>
      </c>
      <c r="C663" s="5">
        <v>51</v>
      </c>
      <c r="D663" s="5">
        <v>367602</v>
      </c>
      <c r="E663" s="5">
        <v>33</v>
      </c>
      <c r="G663" s="5">
        <v>454339</v>
      </c>
      <c r="H663" s="5">
        <v>0</v>
      </c>
      <c r="I663" s="5">
        <v>410849</v>
      </c>
      <c r="J663" s="5">
        <v>0</v>
      </c>
      <c r="L663" s="5">
        <v>455968</v>
      </c>
      <c r="M663" s="5">
        <v>0</v>
      </c>
      <c r="N663" s="5">
        <v>373759</v>
      </c>
      <c r="O663" s="5">
        <v>2</v>
      </c>
      <c r="Q663" s="5">
        <v>440395</v>
      </c>
      <c r="R663" s="5">
        <v>0</v>
      </c>
      <c r="S663" s="5">
        <v>390612</v>
      </c>
      <c r="T663" s="5">
        <v>0</v>
      </c>
      <c r="V663" s="5">
        <v>304341</v>
      </c>
      <c r="W663" s="5">
        <v>0</v>
      </c>
      <c r="X663" s="5">
        <v>2</v>
      </c>
    </row>
    <row r="664" spans="1:24" ht="12.75" customHeight="1">
      <c r="A664" s="9"/>
      <c r="B664" s="5">
        <v>558790</v>
      </c>
      <c r="C664" s="5">
        <v>0</v>
      </c>
      <c r="D664" s="5">
        <v>480391</v>
      </c>
      <c r="E664" s="5">
        <v>12</v>
      </c>
      <c r="G664" s="5">
        <v>544131</v>
      </c>
      <c r="H664" s="5">
        <v>0</v>
      </c>
      <c r="I664" s="5">
        <v>489514</v>
      </c>
      <c r="J664" s="5">
        <v>0</v>
      </c>
      <c r="L664" s="5">
        <v>535496</v>
      </c>
      <c r="M664" s="5">
        <v>0</v>
      </c>
      <c r="N664" s="5">
        <v>451708</v>
      </c>
      <c r="O664" s="5">
        <v>29</v>
      </c>
      <c r="Q664" s="5">
        <v>569494</v>
      </c>
      <c r="R664" s="5">
        <v>0</v>
      </c>
      <c r="S664" s="5">
        <v>524760</v>
      </c>
      <c r="T664" s="5">
        <v>39</v>
      </c>
      <c r="V664" s="5">
        <v>392018</v>
      </c>
      <c r="W664" s="5">
        <v>0</v>
      </c>
      <c r="X664" s="5">
        <v>1</v>
      </c>
    </row>
    <row r="665" spans="1:24" ht="12.75" customHeight="1">
      <c r="A665" s="9"/>
      <c r="B665" s="5">
        <v>476520</v>
      </c>
      <c r="C665" s="5">
        <v>0</v>
      </c>
      <c r="D665" s="5">
        <v>416758</v>
      </c>
      <c r="E665" s="5">
        <v>0</v>
      </c>
      <c r="G665" s="5">
        <v>516469</v>
      </c>
      <c r="H665" s="5">
        <v>0</v>
      </c>
      <c r="I665" s="5">
        <v>441496</v>
      </c>
      <c r="J665" s="5">
        <v>0</v>
      </c>
      <c r="L665" s="5">
        <v>543012</v>
      </c>
      <c r="M665" s="5">
        <v>26</v>
      </c>
      <c r="N665" s="5">
        <v>388518</v>
      </c>
      <c r="O665" s="5">
        <v>0</v>
      </c>
      <c r="Q665" s="5">
        <v>500215</v>
      </c>
      <c r="R665" s="5">
        <v>0</v>
      </c>
      <c r="S665" s="5">
        <v>414522</v>
      </c>
      <c r="T665" s="5">
        <v>0</v>
      </c>
      <c r="V665" s="5">
        <v>362200</v>
      </c>
      <c r="W665" s="5">
        <v>0</v>
      </c>
      <c r="X665" s="5">
        <v>1</v>
      </c>
    </row>
    <row r="666" spans="1:24" ht="12.75" customHeight="1">
      <c r="A666" s="9"/>
      <c r="B666" s="5">
        <v>498189</v>
      </c>
      <c r="C666" s="5">
        <v>0</v>
      </c>
      <c r="D666" s="5">
        <v>418512</v>
      </c>
      <c r="E666" s="5">
        <v>0</v>
      </c>
      <c r="G666" s="5">
        <v>489744</v>
      </c>
      <c r="H666" s="5">
        <v>0</v>
      </c>
      <c r="I666" s="5">
        <v>429717</v>
      </c>
      <c r="J666" s="5">
        <v>0</v>
      </c>
      <c r="L666" s="5">
        <v>482208</v>
      </c>
      <c r="M666" s="5">
        <v>0</v>
      </c>
      <c r="N666" s="5">
        <v>391320</v>
      </c>
      <c r="O666" s="5">
        <v>0</v>
      </c>
      <c r="Q666" s="5">
        <v>514551</v>
      </c>
      <c r="R666" s="5">
        <v>18</v>
      </c>
      <c r="S666" s="5">
        <v>408671</v>
      </c>
      <c r="T666" s="5">
        <v>0</v>
      </c>
      <c r="V666" s="5">
        <v>348217</v>
      </c>
      <c r="W666" s="5">
        <v>0</v>
      </c>
      <c r="X666" s="5">
        <v>2</v>
      </c>
    </row>
    <row r="667" spans="1:24" ht="12.75" customHeight="1">
      <c r="A667" s="9"/>
      <c r="B667" s="5">
        <v>481231</v>
      </c>
      <c r="C667" s="5">
        <v>0</v>
      </c>
      <c r="D667" s="5">
        <v>416338</v>
      </c>
      <c r="E667" s="5">
        <v>0</v>
      </c>
      <c r="G667" s="5">
        <v>491512</v>
      </c>
      <c r="H667" s="5">
        <v>0</v>
      </c>
      <c r="I667" s="5">
        <v>418022</v>
      </c>
      <c r="J667" s="5">
        <v>0</v>
      </c>
      <c r="L667" s="5">
        <v>483394</v>
      </c>
      <c r="M667" s="5">
        <v>0</v>
      </c>
      <c r="N667" s="5">
        <v>354606</v>
      </c>
      <c r="O667" s="5">
        <v>0</v>
      </c>
      <c r="Q667" s="5">
        <v>466977</v>
      </c>
      <c r="R667" s="5">
        <v>0</v>
      </c>
      <c r="S667" s="5">
        <v>414797</v>
      </c>
      <c r="T667" s="5">
        <v>0</v>
      </c>
      <c r="V667" s="5">
        <v>337348</v>
      </c>
      <c r="W667" s="5">
        <v>0</v>
      </c>
      <c r="X667" s="5">
        <v>2</v>
      </c>
    </row>
    <row r="668" spans="1:24" ht="12.75" customHeight="1">
      <c r="A668" s="9"/>
      <c r="B668" s="5">
        <v>476893</v>
      </c>
      <c r="C668" s="5">
        <v>0</v>
      </c>
      <c r="D668" s="5">
        <v>394419</v>
      </c>
      <c r="E668" s="5">
        <v>0</v>
      </c>
      <c r="G668" s="5">
        <v>473284</v>
      </c>
      <c r="H668" s="5">
        <v>0</v>
      </c>
      <c r="I668" s="5">
        <v>431437</v>
      </c>
      <c r="J668" s="5">
        <v>0</v>
      </c>
      <c r="L668" s="5">
        <v>493760</v>
      </c>
      <c r="M668" s="5">
        <v>0</v>
      </c>
      <c r="N668" s="5">
        <v>388662</v>
      </c>
      <c r="O668" s="5">
        <v>0</v>
      </c>
      <c r="Q668" s="5">
        <v>500206</v>
      </c>
      <c r="R668" s="5">
        <v>0</v>
      </c>
      <c r="S668" s="5">
        <v>413020</v>
      </c>
      <c r="T668" s="5">
        <v>0</v>
      </c>
      <c r="V668" s="5">
        <v>357496</v>
      </c>
      <c r="W668" s="5">
        <v>0</v>
      </c>
      <c r="X668" s="5">
        <v>2</v>
      </c>
    </row>
    <row r="669" spans="1:24" ht="12.75" customHeight="1">
      <c r="A669" s="9"/>
      <c r="B669" s="5">
        <v>480632</v>
      </c>
      <c r="C669" s="5">
        <v>0</v>
      </c>
      <c r="D669" s="5">
        <v>376314</v>
      </c>
      <c r="E669" s="5">
        <v>0</v>
      </c>
      <c r="G669" s="5">
        <v>464472</v>
      </c>
      <c r="H669" s="5">
        <v>0</v>
      </c>
      <c r="I669" s="5">
        <v>392716</v>
      </c>
      <c r="J669" s="5">
        <v>8</v>
      </c>
      <c r="L669" s="5">
        <v>460455</v>
      </c>
      <c r="M669" s="5">
        <v>0</v>
      </c>
      <c r="N669" s="5">
        <v>420404</v>
      </c>
      <c r="O669" s="5">
        <v>57</v>
      </c>
      <c r="Q669" s="5">
        <v>464676</v>
      </c>
      <c r="R669" s="5">
        <v>0</v>
      </c>
      <c r="S669" s="5">
        <v>414088</v>
      </c>
      <c r="T669" s="5">
        <v>15</v>
      </c>
      <c r="V669" s="5">
        <v>327445</v>
      </c>
      <c r="W669" s="5">
        <v>13</v>
      </c>
      <c r="X669" s="5">
        <v>2</v>
      </c>
    </row>
    <row r="670" spans="1:24" ht="12.75" customHeight="1">
      <c r="A670" s="9"/>
      <c r="B670" s="5">
        <v>464419</v>
      </c>
      <c r="C670" s="5">
        <v>0</v>
      </c>
      <c r="D670" s="5">
        <v>379766</v>
      </c>
      <c r="E670" s="5">
        <v>0</v>
      </c>
      <c r="G670" s="5">
        <v>467169</v>
      </c>
      <c r="H670" s="5">
        <v>0</v>
      </c>
      <c r="I670" s="5">
        <v>416387</v>
      </c>
      <c r="J670" s="5">
        <v>0</v>
      </c>
      <c r="L670" s="5">
        <v>443851</v>
      </c>
      <c r="M670" s="5">
        <v>0</v>
      </c>
      <c r="N670" s="5">
        <v>349069</v>
      </c>
      <c r="O670" s="5">
        <v>0</v>
      </c>
      <c r="Q670" s="5">
        <v>484969</v>
      </c>
      <c r="R670" s="5">
        <v>0</v>
      </c>
      <c r="S670" s="5">
        <v>369324</v>
      </c>
      <c r="T670" s="5">
        <v>0</v>
      </c>
      <c r="V670" s="5">
        <v>334564</v>
      </c>
      <c r="W670" s="5">
        <v>0</v>
      </c>
      <c r="X670" s="5">
        <v>1</v>
      </c>
    </row>
    <row r="671" spans="1:24" ht="12.75" customHeight="1">
      <c r="A671" s="9"/>
      <c r="B671" s="5">
        <v>416261</v>
      </c>
      <c r="C671" s="5">
        <v>0</v>
      </c>
      <c r="D671" s="5">
        <v>336125</v>
      </c>
      <c r="E671" s="5">
        <v>0</v>
      </c>
      <c r="G671" s="5">
        <v>428714</v>
      </c>
      <c r="H671" s="5">
        <v>0</v>
      </c>
      <c r="I671" s="5">
        <v>360444</v>
      </c>
      <c r="J671" s="5">
        <v>0</v>
      </c>
      <c r="L671" s="5">
        <v>415624</v>
      </c>
      <c r="M671" s="5">
        <v>0</v>
      </c>
      <c r="N671" s="5">
        <v>330670</v>
      </c>
      <c r="O671" s="5">
        <v>0</v>
      </c>
      <c r="Q671" s="5">
        <v>421797</v>
      </c>
      <c r="R671" s="5">
        <v>0</v>
      </c>
      <c r="S671" s="5">
        <v>389102</v>
      </c>
      <c r="T671" s="5">
        <v>24</v>
      </c>
      <c r="V671" s="5">
        <v>297897</v>
      </c>
      <c r="W671" s="5">
        <v>0</v>
      </c>
      <c r="X671" s="5">
        <v>2</v>
      </c>
    </row>
    <row r="672" spans="1:24" ht="12.75" customHeight="1">
      <c r="A672" s="9"/>
      <c r="B672" s="5">
        <v>502198</v>
      </c>
      <c r="C672" s="5">
        <v>0</v>
      </c>
      <c r="D672" s="5">
        <v>391609</v>
      </c>
      <c r="E672" s="5">
        <v>0</v>
      </c>
      <c r="G672" s="5">
        <v>490370</v>
      </c>
      <c r="H672" s="5">
        <v>0</v>
      </c>
      <c r="I672" s="5">
        <v>438550</v>
      </c>
      <c r="J672" s="5">
        <v>0</v>
      </c>
      <c r="L672" s="5">
        <v>553947</v>
      </c>
      <c r="M672" s="5">
        <v>60</v>
      </c>
      <c r="N672" s="5">
        <v>359271</v>
      </c>
      <c r="O672" s="5">
        <v>0</v>
      </c>
      <c r="Q672" s="5">
        <v>505389</v>
      </c>
      <c r="R672" s="5">
        <v>0</v>
      </c>
      <c r="S672" s="5">
        <v>455064</v>
      </c>
      <c r="T672" s="5">
        <v>20</v>
      </c>
      <c r="V672" s="5">
        <v>338970</v>
      </c>
      <c r="W672" s="5">
        <v>0</v>
      </c>
      <c r="X672" s="5">
        <v>1</v>
      </c>
    </row>
    <row r="673" spans="1:24" ht="12.75" customHeight="1">
      <c r="A673" s="9"/>
      <c r="B673" s="5">
        <v>502558</v>
      </c>
      <c r="C673" s="5">
        <v>0</v>
      </c>
      <c r="D673" s="5">
        <v>422163</v>
      </c>
      <c r="E673" s="5">
        <v>0</v>
      </c>
      <c r="G673" s="5">
        <v>521579</v>
      </c>
      <c r="H673" s="5">
        <v>14</v>
      </c>
      <c r="I673" s="5">
        <v>447052</v>
      </c>
      <c r="J673" s="5">
        <v>20</v>
      </c>
      <c r="L673" s="5">
        <v>539661</v>
      </c>
      <c r="M673" s="5">
        <v>9</v>
      </c>
      <c r="N673" s="5">
        <v>415765</v>
      </c>
      <c r="O673" s="5">
        <v>0</v>
      </c>
      <c r="Q673" s="5">
        <v>527181</v>
      </c>
      <c r="R673" s="5">
        <v>0</v>
      </c>
      <c r="S673" s="5">
        <v>461697</v>
      </c>
      <c r="T673" s="5">
        <v>0</v>
      </c>
      <c r="V673" s="5">
        <v>375170</v>
      </c>
      <c r="W673" s="5">
        <v>0</v>
      </c>
      <c r="X673" s="5">
        <v>2</v>
      </c>
    </row>
    <row r="674" spans="1:24" ht="12.75" customHeight="1">
      <c r="A674" s="9"/>
      <c r="B674" s="5">
        <v>521061</v>
      </c>
      <c r="C674" s="5">
        <v>32</v>
      </c>
      <c r="D674" s="5">
        <v>481046</v>
      </c>
      <c r="E674" s="5">
        <v>36</v>
      </c>
      <c r="G674" s="5">
        <v>495540</v>
      </c>
      <c r="H674" s="5">
        <v>0</v>
      </c>
      <c r="I674" s="5">
        <v>423601</v>
      </c>
      <c r="J674" s="5">
        <v>0</v>
      </c>
      <c r="L674" s="5">
        <v>511380</v>
      </c>
      <c r="M674" s="5">
        <v>16</v>
      </c>
      <c r="N674" s="5">
        <v>419755</v>
      </c>
      <c r="O674" s="5">
        <v>38</v>
      </c>
      <c r="Q674" s="5">
        <v>470797</v>
      </c>
      <c r="R674" s="5">
        <v>0</v>
      </c>
      <c r="S674" s="5">
        <v>465363</v>
      </c>
      <c r="T674" s="5">
        <v>31</v>
      </c>
      <c r="V674" s="5">
        <v>348135</v>
      </c>
      <c r="W674" s="5">
        <v>0</v>
      </c>
      <c r="X674" s="5">
        <v>1</v>
      </c>
    </row>
    <row r="675" spans="1:24" ht="12.75" customHeight="1">
      <c r="A675" s="9"/>
      <c r="B675" s="5">
        <v>457336</v>
      </c>
      <c r="C675" s="5">
        <v>0</v>
      </c>
      <c r="D675" s="5">
        <v>363518</v>
      </c>
      <c r="E675" s="5">
        <v>0</v>
      </c>
      <c r="G675" s="5">
        <v>460671</v>
      </c>
      <c r="H675" s="5">
        <v>0</v>
      </c>
      <c r="I675" s="5">
        <v>377503</v>
      </c>
      <c r="J675" s="5">
        <v>0</v>
      </c>
      <c r="L675" s="5">
        <v>457653</v>
      </c>
      <c r="M675" s="5">
        <v>0</v>
      </c>
      <c r="N675" s="5">
        <v>447678</v>
      </c>
      <c r="O675" s="5">
        <v>49</v>
      </c>
      <c r="Q675" s="5">
        <v>486350</v>
      </c>
      <c r="R675" s="5">
        <v>29</v>
      </c>
      <c r="S675" s="5">
        <v>401157</v>
      </c>
      <c r="T675" s="5">
        <v>4</v>
      </c>
      <c r="V675" s="5">
        <v>333180</v>
      </c>
      <c r="W675" s="5">
        <v>0</v>
      </c>
      <c r="X675" s="5">
        <v>1</v>
      </c>
    </row>
    <row r="676" spans="1:24" ht="12.75" customHeight="1">
      <c r="A676" s="9"/>
      <c r="B676" s="5">
        <v>442648</v>
      </c>
      <c r="C676" s="5">
        <v>0</v>
      </c>
      <c r="D676" s="5">
        <v>401014</v>
      </c>
      <c r="E676" s="5">
        <v>0</v>
      </c>
      <c r="G676" s="5">
        <v>451831</v>
      </c>
      <c r="H676" s="5">
        <v>0</v>
      </c>
      <c r="I676" s="5">
        <v>384136</v>
      </c>
      <c r="J676" s="5">
        <v>0</v>
      </c>
      <c r="L676" s="5">
        <v>565562</v>
      </c>
      <c r="M676" s="5">
        <v>91</v>
      </c>
      <c r="N676" s="5">
        <v>396129</v>
      </c>
      <c r="O676" s="5">
        <v>0</v>
      </c>
      <c r="Q676" s="5">
        <v>452335</v>
      </c>
      <c r="R676" s="5">
        <v>0</v>
      </c>
      <c r="S676" s="5">
        <v>398411</v>
      </c>
      <c r="T676" s="5">
        <v>0</v>
      </c>
      <c r="V676" s="5">
        <v>337118</v>
      </c>
      <c r="W676" s="5">
        <v>27</v>
      </c>
      <c r="X676" s="5">
        <v>2</v>
      </c>
    </row>
    <row r="677" spans="1:24" ht="12.75" customHeight="1">
      <c r="A677" s="9"/>
      <c r="B677" s="5">
        <v>588493</v>
      </c>
      <c r="C677" s="5">
        <v>78</v>
      </c>
      <c r="D677" s="5">
        <v>444452</v>
      </c>
      <c r="E677" s="5">
        <v>0</v>
      </c>
      <c r="G677" s="5">
        <v>512882</v>
      </c>
      <c r="H677" s="5">
        <v>0</v>
      </c>
      <c r="I677" s="5">
        <v>432420</v>
      </c>
      <c r="J677" s="5">
        <v>0</v>
      </c>
      <c r="L677" s="5">
        <v>551885</v>
      </c>
      <c r="M677" s="5">
        <v>31</v>
      </c>
      <c r="N677" s="5">
        <v>435902</v>
      </c>
      <c r="O677" s="5">
        <v>24</v>
      </c>
      <c r="Q677" s="5">
        <v>518927</v>
      </c>
      <c r="R677" s="5">
        <v>0</v>
      </c>
      <c r="S677" s="5">
        <v>478271</v>
      </c>
      <c r="T677" s="5">
        <v>31</v>
      </c>
      <c r="V677" s="5">
        <v>358592</v>
      </c>
      <c r="W677" s="5">
        <v>0</v>
      </c>
      <c r="X677" s="5">
        <v>2</v>
      </c>
    </row>
    <row r="678" spans="1:24" ht="12.75" customHeight="1">
      <c r="A678" s="9"/>
      <c r="B678" s="5">
        <v>473964</v>
      </c>
      <c r="C678" s="5">
        <v>0</v>
      </c>
      <c r="D678" s="5">
        <v>366093</v>
      </c>
      <c r="E678" s="5">
        <v>0</v>
      </c>
      <c r="G678" s="5">
        <v>510906</v>
      </c>
      <c r="H678" s="5">
        <v>0</v>
      </c>
      <c r="I678" s="5">
        <v>434936</v>
      </c>
      <c r="J678" s="5">
        <v>0</v>
      </c>
      <c r="L678" s="5">
        <v>474409</v>
      </c>
      <c r="M678" s="5">
        <v>0</v>
      </c>
      <c r="N678" s="5">
        <v>429707</v>
      </c>
      <c r="O678" s="5">
        <v>0</v>
      </c>
      <c r="Q678" s="5">
        <v>518313</v>
      </c>
      <c r="R678" s="5">
        <v>0</v>
      </c>
      <c r="S678" s="5">
        <v>412024</v>
      </c>
      <c r="T678" s="5">
        <v>0</v>
      </c>
      <c r="V678" s="5">
        <v>360217</v>
      </c>
      <c r="W678" s="5">
        <v>30</v>
      </c>
      <c r="X678" s="5">
        <v>4</v>
      </c>
    </row>
    <row r="679" spans="1:24" ht="12.75" customHeight="1">
      <c r="A679" s="9"/>
      <c r="B679" s="5">
        <v>523754</v>
      </c>
      <c r="C679" s="5">
        <v>0</v>
      </c>
      <c r="D679" s="5">
        <v>397186</v>
      </c>
      <c r="E679" s="5">
        <v>0</v>
      </c>
      <c r="G679" s="5">
        <v>526602</v>
      </c>
      <c r="H679" s="5">
        <v>0</v>
      </c>
      <c r="I679" s="5">
        <v>418970</v>
      </c>
      <c r="J679" s="5">
        <v>0</v>
      </c>
      <c r="L679" s="5">
        <v>546292</v>
      </c>
      <c r="M679" s="5">
        <v>34</v>
      </c>
      <c r="N679" s="5">
        <v>398200</v>
      </c>
      <c r="O679" s="5">
        <v>0</v>
      </c>
      <c r="Q679" s="5">
        <v>506702</v>
      </c>
      <c r="R679" s="5">
        <v>0</v>
      </c>
      <c r="S679" s="5">
        <v>423659</v>
      </c>
      <c r="T679" s="5">
        <v>0</v>
      </c>
      <c r="V679" s="5">
        <v>325843</v>
      </c>
      <c r="W679" s="5">
        <v>0</v>
      </c>
      <c r="X679" s="5">
        <v>2</v>
      </c>
    </row>
    <row r="680" spans="1:24" ht="12.75" customHeight="1">
      <c r="A680" s="9"/>
      <c r="B680" s="5">
        <v>585023</v>
      </c>
      <c r="C680" s="5">
        <v>44</v>
      </c>
      <c r="D680" s="5">
        <v>461672</v>
      </c>
      <c r="E680" s="5">
        <v>0</v>
      </c>
      <c r="G680" s="5">
        <v>619931</v>
      </c>
      <c r="H680" s="5">
        <v>80</v>
      </c>
      <c r="I680" s="5">
        <v>455582</v>
      </c>
      <c r="J680" s="5">
        <v>0</v>
      </c>
      <c r="L680" s="5">
        <v>599799</v>
      </c>
      <c r="M680" s="5">
        <v>44</v>
      </c>
      <c r="N680" s="5">
        <v>435437</v>
      </c>
      <c r="O680" s="5">
        <v>11</v>
      </c>
      <c r="Q680" s="5">
        <v>545577</v>
      </c>
      <c r="R680" s="5">
        <v>0</v>
      </c>
      <c r="S680" s="5">
        <v>462120</v>
      </c>
      <c r="T680" s="5">
        <v>0</v>
      </c>
      <c r="V680" s="5">
        <v>378212</v>
      </c>
      <c r="W680" s="5">
        <v>0</v>
      </c>
      <c r="X680" s="5">
        <v>2</v>
      </c>
    </row>
    <row r="681" spans="1:24" ht="12.75" customHeight="1">
      <c r="A681" s="9"/>
      <c r="B681" s="5">
        <v>489500</v>
      </c>
      <c r="C681" s="5">
        <v>0</v>
      </c>
      <c r="D681" s="5">
        <v>421166</v>
      </c>
      <c r="E681" s="5">
        <v>0</v>
      </c>
      <c r="G681" s="5">
        <v>502643</v>
      </c>
      <c r="H681" s="5">
        <v>0</v>
      </c>
      <c r="I681" s="5">
        <v>441584</v>
      </c>
      <c r="J681" s="5">
        <v>0</v>
      </c>
      <c r="L681" s="5">
        <v>503821</v>
      </c>
      <c r="M681" s="5">
        <v>20</v>
      </c>
      <c r="N681" s="5">
        <v>367193</v>
      </c>
      <c r="O681" s="5">
        <v>0</v>
      </c>
      <c r="Q681" s="5">
        <v>502609</v>
      </c>
      <c r="R681" s="5">
        <v>0</v>
      </c>
      <c r="S681" s="5">
        <v>413308</v>
      </c>
      <c r="T681" s="5">
        <v>0</v>
      </c>
      <c r="V681" s="5">
        <v>328127</v>
      </c>
      <c r="W681" s="5">
        <v>0</v>
      </c>
      <c r="X681" s="5">
        <v>2</v>
      </c>
    </row>
    <row r="682" spans="1:24" ht="12.75" customHeight="1">
      <c r="A682" s="9"/>
      <c r="B682" s="5">
        <v>511653</v>
      </c>
      <c r="C682" s="5">
        <v>0</v>
      </c>
      <c r="D682" s="5">
        <v>416041</v>
      </c>
      <c r="E682" s="5">
        <v>0</v>
      </c>
      <c r="G682" s="5">
        <v>519693</v>
      </c>
      <c r="H682" s="5">
        <v>0</v>
      </c>
      <c r="I682" s="5">
        <v>431971</v>
      </c>
      <c r="J682" s="5">
        <v>0</v>
      </c>
      <c r="L682" s="5">
        <v>523046</v>
      </c>
      <c r="M682" s="5">
        <v>13</v>
      </c>
      <c r="N682" s="5">
        <v>392196</v>
      </c>
      <c r="O682" s="5">
        <v>0</v>
      </c>
      <c r="Q682" s="5">
        <v>507199</v>
      </c>
      <c r="R682" s="5">
        <v>0</v>
      </c>
      <c r="S682" s="5">
        <v>438983</v>
      </c>
      <c r="T682" s="5">
        <v>0</v>
      </c>
      <c r="V682" s="5">
        <v>345165</v>
      </c>
      <c r="W682" s="5">
        <v>0</v>
      </c>
      <c r="X682" s="5">
        <v>2</v>
      </c>
    </row>
    <row r="683" spans="1:24" ht="12.75" customHeight="1">
      <c r="A683" s="9"/>
      <c r="B683" s="5">
        <v>468559</v>
      </c>
      <c r="C683" s="5">
        <v>0</v>
      </c>
      <c r="D683" s="5">
        <v>381821</v>
      </c>
      <c r="E683" s="5">
        <v>0</v>
      </c>
      <c r="G683" s="5">
        <v>471966</v>
      </c>
      <c r="H683" s="5">
        <v>0</v>
      </c>
      <c r="I683" s="5">
        <v>404866</v>
      </c>
      <c r="J683" s="5">
        <v>0</v>
      </c>
      <c r="L683" s="5">
        <v>483633</v>
      </c>
      <c r="M683" s="5">
        <v>0</v>
      </c>
      <c r="N683" s="5">
        <v>377760</v>
      </c>
      <c r="O683" s="5">
        <v>0</v>
      </c>
      <c r="Q683" s="5">
        <v>473145</v>
      </c>
      <c r="R683" s="5">
        <v>0</v>
      </c>
      <c r="S683" s="5">
        <v>405104</v>
      </c>
      <c r="T683" s="5">
        <v>0</v>
      </c>
      <c r="V683" s="5">
        <v>350490</v>
      </c>
      <c r="W683" s="5">
        <v>0</v>
      </c>
      <c r="X683" s="5">
        <v>1</v>
      </c>
    </row>
    <row r="684" spans="1:24" ht="12.75" customHeight="1">
      <c r="A684" s="9"/>
      <c r="B684" s="5">
        <v>566654</v>
      </c>
      <c r="C684" s="5">
        <v>0</v>
      </c>
      <c r="D684" s="5">
        <v>480107</v>
      </c>
      <c r="E684" s="5">
        <v>0</v>
      </c>
      <c r="G684" s="5">
        <v>558598</v>
      </c>
      <c r="H684" s="5">
        <v>0</v>
      </c>
      <c r="I684" s="5">
        <v>521894</v>
      </c>
      <c r="J684" s="5">
        <v>0</v>
      </c>
      <c r="L684" s="5">
        <v>551635</v>
      </c>
      <c r="M684" s="5">
        <v>0</v>
      </c>
      <c r="N684" s="5">
        <v>454899</v>
      </c>
      <c r="O684" s="5">
        <v>0</v>
      </c>
      <c r="Q684" s="5">
        <v>555598</v>
      </c>
      <c r="R684" s="5">
        <v>0</v>
      </c>
      <c r="S684" s="5">
        <v>477451</v>
      </c>
      <c r="T684" s="5">
        <v>1</v>
      </c>
      <c r="V684" s="5">
        <v>399942</v>
      </c>
      <c r="W684" s="5">
        <v>0</v>
      </c>
      <c r="X684" s="5">
        <v>2</v>
      </c>
    </row>
    <row r="685" spans="1:24" ht="12.75" customHeight="1">
      <c r="A685" s="9"/>
      <c r="B685" s="5">
        <v>548384</v>
      </c>
      <c r="C685" s="5">
        <v>0</v>
      </c>
      <c r="D685" s="5">
        <v>503909</v>
      </c>
      <c r="E685" s="5">
        <v>0</v>
      </c>
      <c r="G685" s="5">
        <v>551106</v>
      </c>
      <c r="H685" s="5">
        <v>0</v>
      </c>
      <c r="I685" s="5">
        <v>476158</v>
      </c>
      <c r="J685" s="5">
        <v>0</v>
      </c>
      <c r="L685" s="5">
        <v>560863</v>
      </c>
      <c r="M685" s="5">
        <v>0</v>
      </c>
      <c r="N685" s="5">
        <v>435712</v>
      </c>
      <c r="O685" s="5">
        <v>0</v>
      </c>
      <c r="Q685" s="5">
        <v>533383</v>
      </c>
      <c r="R685" s="5">
        <v>0</v>
      </c>
      <c r="S685" s="5">
        <v>490501</v>
      </c>
      <c r="T685" s="5">
        <v>0</v>
      </c>
      <c r="V685" s="5">
        <v>404260</v>
      </c>
      <c r="W685" s="5">
        <v>0</v>
      </c>
      <c r="X685" s="5">
        <v>1</v>
      </c>
    </row>
    <row r="686" spans="1:24" ht="12.75" customHeight="1">
      <c r="A686" s="9"/>
      <c r="B686" s="5">
        <v>591609</v>
      </c>
      <c r="C686" s="5">
        <v>94</v>
      </c>
      <c r="D686" s="5">
        <v>429073</v>
      </c>
      <c r="E686" s="5">
        <v>0</v>
      </c>
      <c r="G686" s="5">
        <v>519534</v>
      </c>
      <c r="H686" s="5">
        <v>0</v>
      </c>
      <c r="I686" s="5">
        <v>466869</v>
      </c>
      <c r="J686" s="5">
        <v>0</v>
      </c>
      <c r="L686" s="5">
        <v>516747</v>
      </c>
      <c r="M686" s="5">
        <v>0</v>
      </c>
      <c r="N686" s="5">
        <v>441813</v>
      </c>
      <c r="O686" s="5">
        <v>0</v>
      </c>
      <c r="Q686" s="5">
        <v>519988</v>
      </c>
      <c r="R686" s="5">
        <v>0</v>
      </c>
      <c r="S686" s="5">
        <v>444623</v>
      </c>
      <c r="T686" s="5">
        <v>0</v>
      </c>
      <c r="V686" s="5">
        <v>375018</v>
      </c>
      <c r="W686" s="5">
        <v>0</v>
      </c>
      <c r="X686" s="5">
        <v>2</v>
      </c>
    </row>
    <row r="687" spans="1:24" ht="12.75" customHeight="1">
      <c r="A687" s="9"/>
      <c r="B687" s="5">
        <v>531836</v>
      </c>
      <c r="C687" s="5">
        <v>0</v>
      </c>
      <c r="D687" s="5">
        <v>474000</v>
      </c>
      <c r="E687" s="5">
        <v>0</v>
      </c>
      <c r="G687" s="5">
        <v>520988</v>
      </c>
      <c r="H687" s="5">
        <v>0</v>
      </c>
      <c r="I687" s="5">
        <v>448421</v>
      </c>
      <c r="J687" s="5">
        <v>0</v>
      </c>
      <c r="L687" s="5">
        <v>529872</v>
      </c>
      <c r="M687" s="5">
        <v>0</v>
      </c>
      <c r="N687" s="5">
        <v>410358</v>
      </c>
      <c r="O687" s="5">
        <v>0</v>
      </c>
      <c r="Q687" s="5">
        <v>524628</v>
      </c>
      <c r="R687" s="5">
        <v>0</v>
      </c>
      <c r="S687" s="5">
        <v>520705</v>
      </c>
      <c r="T687" s="5">
        <v>67</v>
      </c>
      <c r="V687" s="5">
        <v>356374</v>
      </c>
      <c r="W687" s="5">
        <v>0</v>
      </c>
      <c r="X687" s="5">
        <v>1</v>
      </c>
    </row>
    <row r="688" spans="1:24" ht="12.75" customHeight="1">
      <c r="A688" s="9"/>
      <c r="B688" s="5">
        <v>478881</v>
      </c>
      <c r="C688" s="5">
        <v>0</v>
      </c>
      <c r="D688" s="5">
        <v>430604</v>
      </c>
      <c r="E688" s="5">
        <v>4</v>
      </c>
      <c r="G688" s="5">
        <v>498950</v>
      </c>
      <c r="H688" s="5">
        <v>0</v>
      </c>
      <c r="I688" s="5">
        <v>443705</v>
      </c>
      <c r="J688" s="5">
        <v>0</v>
      </c>
      <c r="L688" s="5">
        <v>494687</v>
      </c>
      <c r="M688" s="5">
        <v>0</v>
      </c>
      <c r="N688" s="5">
        <v>397086</v>
      </c>
      <c r="O688" s="5">
        <v>0</v>
      </c>
      <c r="Q688" s="5">
        <v>492566</v>
      </c>
      <c r="R688" s="5">
        <v>0</v>
      </c>
      <c r="S688" s="5">
        <v>429259</v>
      </c>
      <c r="T688" s="5">
        <v>23</v>
      </c>
      <c r="V688" s="5">
        <v>348253</v>
      </c>
      <c r="W688" s="5">
        <v>0</v>
      </c>
      <c r="X688" s="5">
        <v>2</v>
      </c>
    </row>
    <row r="689" spans="1:24" ht="12.75" customHeight="1">
      <c r="A689" s="9"/>
      <c r="B689" s="5">
        <v>471943</v>
      </c>
      <c r="C689" s="5">
        <v>0</v>
      </c>
      <c r="D689" s="5">
        <v>375668</v>
      </c>
      <c r="E689" s="5">
        <v>0</v>
      </c>
      <c r="G689" s="5">
        <v>478457</v>
      </c>
      <c r="H689" s="5">
        <v>0</v>
      </c>
      <c r="I689" s="5">
        <v>407981</v>
      </c>
      <c r="J689" s="5">
        <v>0</v>
      </c>
      <c r="L689" s="5">
        <v>474236</v>
      </c>
      <c r="M689" s="5">
        <v>0</v>
      </c>
      <c r="N689" s="5">
        <v>349581</v>
      </c>
      <c r="O689" s="5">
        <v>0</v>
      </c>
      <c r="Q689" s="5">
        <v>484853</v>
      </c>
      <c r="R689" s="5">
        <v>0</v>
      </c>
      <c r="S689" s="5">
        <v>393987</v>
      </c>
      <c r="T689" s="5">
        <v>0</v>
      </c>
      <c r="V689" s="5">
        <v>311665</v>
      </c>
      <c r="W689" s="5">
        <v>0</v>
      </c>
      <c r="X689" s="5">
        <v>1</v>
      </c>
    </row>
    <row r="690" spans="1:24" ht="12.75" customHeight="1">
      <c r="A690" s="9"/>
      <c r="B690" s="5">
        <v>532153</v>
      </c>
      <c r="C690" s="5">
        <v>0</v>
      </c>
      <c r="D690" s="5">
        <v>426620</v>
      </c>
      <c r="E690" s="5">
        <v>0</v>
      </c>
      <c r="G690" s="5">
        <v>524264</v>
      </c>
      <c r="H690" s="5">
        <v>0</v>
      </c>
      <c r="I690" s="5">
        <v>441897</v>
      </c>
      <c r="J690" s="5">
        <v>0</v>
      </c>
      <c r="L690" s="5">
        <v>506578</v>
      </c>
      <c r="M690" s="5">
        <v>0</v>
      </c>
      <c r="N690" s="5">
        <v>371029</v>
      </c>
      <c r="O690" s="5">
        <v>0</v>
      </c>
      <c r="Q690" s="5">
        <v>548175</v>
      </c>
      <c r="R690" s="5">
        <v>0</v>
      </c>
      <c r="S690" s="5">
        <v>461278</v>
      </c>
      <c r="T690" s="5">
        <v>0</v>
      </c>
      <c r="V690" s="5">
        <v>398130</v>
      </c>
      <c r="W690" s="5">
        <v>0</v>
      </c>
      <c r="X690" s="5">
        <v>2</v>
      </c>
    </row>
    <row r="691" spans="1:24" ht="12.75" customHeight="1">
      <c r="A691" s="9"/>
      <c r="B691" s="5">
        <v>566537</v>
      </c>
      <c r="C691" s="5">
        <v>100</v>
      </c>
      <c r="D691" s="5">
        <v>412733</v>
      </c>
      <c r="E691" s="5">
        <v>0</v>
      </c>
      <c r="G691" s="5">
        <v>480028</v>
      </c>
      <c r="H691" s="5">
        <v>0</v>
      </c>
      <c r="I691" s="5">
        <v>362447</v>
      </c>
      <c r="J691" s="5">
        <v>0</v>
      </c>
      <c r="L691" s="5">
        <v>464264</v>
      </c>
      <c r="M691" s="5">
        <v>0</v>
      </c>
      <c r="N691" s="5">
        <v>344560</v>
      </c>
      <c r="O691" s="5">
        <v>0</v>
      </c>
      <c r="Q691" s="5">
        <v>476981</v>
      </c>
      <c r="R691" s="5">
        <v>0</v>
      </c>
      <c r="S691" s="5">
        <v>381549</v>
      </c>
      <c r="T691" s="5">
        <v>0</v>
      </c>
      <c r="V691" s="5">
        <v>309122</v>
      </c>
      <c r="W691" s="5">
        <v>0</v>
      </c>
      <c r="X691" s="5">
        <v>1</v>
      </c>
    </row>
    <row r="692" spans="1:24" ht="12.75" customHeight="1">
      <c r="A692" s="9"/>
      <c r="B692" s="5">
        <v>578933</v>
      </c>
      <c r="C692" s="5">
        <v>15</v>
      </c>
      <c r="D692" s="5">
        <v>484016</v>
      </c>
      <c r="E692" s="5">
        <v>0</v>
      </c>
      <c r="G692" s="5">
        <v>531982</v>
      </c>
      <c r="H692" s="5">
        <v>0</v>
      </c>
      <c r="I692" s="5">
        <v>476291</v>
      </c>
      <c r="J692" s="5">
        <v>0</v>
      </c>
      <c r="L692" s="5">
        <v>539022</v>
      </c>
      <c r="M692" s="5">
        <v>0</v>
      </c>
      <c r="N692" s="5">
        <v>440729</v>
      </c>
      <c r="O692" s="5">
        <v>55</v>
      </c>
      <c r="Q692" s="5">
        <v>562099</v>
      </c>
      <c r="R692" s="5">
        <v>0</v>
      </c>
      <c r="S692" s="5">
        <v>469168</v>
      </c>
      <c r="T692" s="5">
        <v>0</v>
      </c>
      <c r="V692" s="5">
        <v>366242</v>
      </c>
      <c r="W692" s="5">
        <v>0</v>
      </c>
      <c r="X692" s="5">
        <v>1</v>
      </c>
    </row>
    <row r="693" spans="1:24" ht="12.75" customHeight="1">
      <c r="A693" s="9"/>
      <c r="B693" s="5">
        <v>423629</v>
      </c>
      <c r="C693" s="5">
        <v>0</v>
      </c>
      <c r="D693" s="5">
        <v>467179</v>
      </c>
      <c r="E693" s="5">
        <v>97</v>
      </c>
      <c r="G693" s="5">
        <v>416498</v>
      </c>
      <c r="H693" s="5">
        <v>0</v>
      </c>
      <c r="I693" s="5">
        <v>376286</v>
      </c>
      <c r="J693" s="5">
        <v>0</v>
      </c>
      <c r="L693" s="5">
        <v>439347</v>
      </c>
      <c r="M693" s="5">
        <v>0</v>
      </c>
      <c r="N693" s="5">
        <v>357378</v>
      </c>
      <c r="O693" s="5">
        <v>0</v>
      </c>
      <c r="Q693" s="5">
        <v>489129</v>
      </c>
      <c r="R693" s="5">
        <v>50</v>
      </c>
      <c r="S693" s="5">
        <v>401827</v>
      </c>
      <c r="T693" s="5">
        <v>0</v>
      </c>
      <c r="V693" s="5">
        <v>344639</v>
      </c>
      <c r="W693" s="5">
        <v>0</v>
      </c>
      <c r="X693" s="5">
        <v>1</v>
      </c>
    </row>
    <row r="694" spans="1:24" ht="12.75" customHeight="1">
      <c r="A694" s="9"/>
      <c r="B694" s="5">
        <v>396293</v>
      </c>
      <c r="C694" s="5">
        <v>0</v>
      </c>
      <c r="D694" s="5">
        <v>341588</v>
      </c>
      <c r="E694" s="5">
        <v>40</v>
      </c>
      <c r="G694" s="5">
        <v>410719</v>
      </c>
      <c r="H694" s="5">
        <v>8</v>
      </c>
      <c r="I694" s="5">
        <v>316650</v>
      </c>
      <c r="J694" s="5">
        <v>0</v>
      </c>
      <c r="L694" s="5">
        <v>381047</v>
      </c>
      <c r="M694" s="5">
        <v>0</v>
      </c>
      <c r="N694" s="5">
        <v>337298</v>
      </c>
      <c r="O694" s="5">
        <v>0</v>
      </c>
      <c r="Q694" s="5">
        <v>470541</v>
      </c>
      <c r="R694" s="5">
        <v>74</v>
      </c>
      <c r="S694" s="5">
        <v>358436</v>
      </c>
      <c r="T694" s="5">
        <v>0</v>
      </c>
      <c r="V694" s="5">
        <v>274046</v>
      </c>
      <c r="W694" s="5">
        <v>0</v>
      </c>
      <c r="X694" s="5">
        <v>2</v>
      </c>
    </row>
    <row r="695" spans="1:24" ht="12.75" customHeight="1">
      <c r="A695" s="9"/>
      <c r="B695" s="5">
        <v>525432</v>
      </c>
      <c r="C695" s="5">
        <v>76</v>
      </c>
      <c r="D695" s="5">
        <v>412374</v>
      </c>
      <c r="E695" s="5">
        <v>44</v>
      </c>
      <c r="G695" s="5">
        <v>449727</v>
      </c>
      <c r="H695" s="5">
        <v>0</v>
      </c>
      <c r="I695" s="5">
        <v>423408</v>
      </c>
      <c r="J695" s="5">
        <v>5</v>
      </c>
      <c r="L695" s="5">
        <v>531578</v>
      </c>
      <c r="M695" s="5">
        <v>92</v>
      </c>
      <c r="N695" s="5">
        <v>348354</v>
      </c>
      <c r="O695" s="5">
        <v>0</v>
      </c>
      <c r="Q695" s="5">
        <v>493536</v>
      </c>
      <c r="R695" s="5">
        <v>44</v>
      </c>
      <c r="S695" s="5">
        <v>401020</v>
      </c>
      <c r="T695" s="5">
        <v>14</v>
      </c>
      <c r="V695" s="5">
        <v>302791</v>
      </c>
      <c r="W695" s="5">
        <v>0</v>
      </c>
      <c r="X695" s="5">
        <v>2</v>
      </c>
    </row>
    <row r="696" spans="1:24" ht="12.75" customHeight="1">
      <c r="A696" s="9"/>
      <c r="B696" s="5">
        <v>466193</v>
      </c>
      <c r="C696" s="5">
        <v>30</v>
      </c>
      <c r="D696" s="5">
        <v>354401</v>
      </c>
      <c r="E696" s="5">
        <v>0</v>
      </c>
      <c r="G696" s="5">
        <v>443760</v>
      </c>
      <c r="H696" s="5">
        <v>0</v>
      </c>
      <c r="I696" s="5">
        <v>363833</v>
      </c>
      <c r="J696" s="5">
        <v>0</v>
      </c>
      <c r="L696" s="5">
        <v>450483</v>
      </c>
      <c r="M696" s="5">
        <v>5</v>
      </c>
      <c r="N696" s="5">
        <v>337790</v>
      </c>
      <c r="O696" s="5">
        <v>0</v>
      </c>
      <c r="Q696" s="5">
        <v>436168</v>
      </c>
      <c r="R696" s="5">
        <v>0</v>
      </c>
      <c r="S696" s="5">
        <v>377905</v>
      </c>
      <c r="T696" s="5">
        <v>0</v>
      </c>
      <c r="V696" s="5">
        <v>294099</v>
      </c>
      <c r="W696" s="5">
        <v>0</v>
      </c>
      <c r="X696" s="5">
        <v>3</v>
      </c>
    </row>
    <row r="697" spans="1:24" ht="12.75" customHeight="1">
      <c r="A697" s="9"/>
      <c r="B697" s="5">
        <v>425085</v>
      </c>
      <c r="C697" s="5">
        <v>0</v>
      </c>
      <c r="D697" s="5">
        <v>371202</v>
      </c>
      <c r="E697" s="5">
        <v>0</v>
      </c>
      <c r="G697" s="5">
        <v>462687</v>
      </c>
      <c r="H697" s="5">
        <v>20</v>
      </c>
      <c r="I697" s="5">
        <v>404759</v>
      </c>
      <c r="J697" s="5">
        <v>17</v>
      </c>
      <c r="L697" s="5">
        <v>465010</v>
      </c>
      <c r="M697" s="5">
        <v>14</v>
      </c>
      <c r="N697" s="5">
        <v>323983</v>
      </c>
      <c r="O697" s="5">
        <v>0</v>
      </c>
      <c r="Q697" s="5">
        <v>434471</v>
      </c>
      <c r="R697" s="5">
        <v>0</v>
      </c>
      <c r="S697" s="5">
        <v>397935</v>
      </c>
      <c r="T697" s="5">
        <v>17</v>
      </c>
      <c r="V697" s="5">
        <v>294159</v>
      </c>
      <c r="W697" s="5">
        <v>0</v>
      </c>
      <c r="X697" s="5">
        <v>2</v>
      </c>
    </row>
    <row r="698" spans="1:24" ht="12.75" customHeight="1">
      <c r="A698" s="9"/>
      <c r="B698" s="5">
        <v>459117</v>
      </c>
      <c r="C698" s="5">
        <v>0</v>
      </c>
      <c r="D698" s="5">
        <v>482459</v>
      </c>
      <c r="E698" s="5">
        <v>66</v>
      </c>
      <c r="G698" s="5">
        <v>518432</v>
      </c>
      <c r="H698" s="5">
        <v>33</v>
      </c>
      <c r="I698" s="5">
        <v>516545</v>
      </c>
      <c r="J698" s="5">
        <v>71</v>
      </c>
      <c r="L698" s="5">
        <v>470202</v>
      </c>
      <c r="M698" s="5">
        <v>0</v>
      </c>
      <c r="N698" s="5">
        <v>369729</v>
      </c>
      <c r="O698" s="5">
        <v>0</v>
      </c>
      <c r="Q698" s="5">
        <v>484498</v>
      </c>
      <c r="R698" s="5">
        <v>0</v>
      </c>
      <c r="S698" s="5">
        <v>428678</v>
      </c>
      <c r="T698" s="5">
        <v>0</v>
      </c>
      <c r="V698" s="5">
        <v>324851</v>
      </c>
      <c r="W698" s="5">
        <v>0</v>
      </c>
      <c r="X698" s="5">
        <v>1</v>
      </c>
    </row>
    <row r="699" spans="1:24" ht="12.75" customHeight="1">
      <c r="A699" s="9"/>
      <c r="B699" s="5">
        <v>437045</v>
      </c>
      <c r="C699" s="5">
        <v>0</v>
      </c>
      <c r="D699" s="5">
        <v>374988</v>
      </c>
      <c r="E699" s="5">
        <v>0</v>
      </c>
      <c r="G699" s="5">
        <v>449988</v>
      </c>
      <c r="H699" s="5">
        <v>0</v>
      </c>
      <c r="I699" s="5">
        <v>388773</v>
      </c>
      <c r="J699" s="5">
        <v>0</v>
      </c>
      <c r="L699" s="5">
        <v>446124</v>
      </c>
      <c r="M699" s="5">
        <v>9</v>
      </c>
      <c r="N699" s="5">
        <v>336976</v>
      </c>
      <c r="O699" s="5">
        <v>0</v>
      </c>
      <c r="Q699" s="5">
        <v>472256</v>
      </c>
      <c r="R699" s="5">
        <v>12</v>
      </c>
      <c r="S699" s="5">
        <v>416733</v>
      </c>
      <c r="T699" s="5">
        <v>16</v>
      </c>
      <c r="V699" s="5">
        <v>322403</v>
      </c>
      <c r="W699" s="5">
        <v>0</v>
      </c>
      <c r="X699" s="5">
        <v>2</v>
      </c>
    </row>
    <row r="700" spans="1:24" ht="12.75" customHeight="1">
      <c r="A700" s="9"/>
      <c r="B700" s="5">
        <v>411954</v>
      </c>
      <c r="C700" s="5">
        <v>0</v>
      </c>
      <c r="D700" s="5">
        <v>375526</v>
      </c>
      <c r="E700" s="5">
        <v>0</v>
      </c>
      <c r="G700" s="5">
        <v>434177</v>
      </c>
      <c r="H700" s="5">
        <v>0</v>
      </c>
      <c r="I700" s="5">
        <v>377144</v>
      </c>
      <c r="J700" s="5">
        <v>0</v>
      </c>
      <c r="L700" s="5">
        <v>436310</v>
      </c>
      <c r="M700" s="5">
        <v>0</v>
      </c>
      <c r="N700" s="5">
        <v>332724</v>
      </c>
      <c r="O700" s="5">
        <v>0</v>
      </c>
      <c r="Q700" s="5">
        <v>432286</v>
      </c>
      <c r="R700" s="5">
        <v>0</v>
      </c>
      <c r="S700" s="5">
        <v>380032</v>
      </c>
      <c r="T700" s="5">
        <v>0</v>
      </c>
      <c r="V700" s="5">
        <v>286123</v>
      </c>
      <c r="W700" s="5">
        <v>0</v>
      </c>
      <c r="X700" s="5">
        <v>1</v>
      </c>
    </row>
    <row r="701" spans="1:24" ht="12.75" customHeight="1">
      <c r="A701" s="9"/>
      <c r="B701" s="5">
        <v>445454</v>
      </c>
      <c r="C701" s="5">
        <v>0</v>
      </c>
      <c r="D701" s="5">
        <v>401916</v>
      </c>
      <c r="E701" s="5">
        <v>28</v>
      </c>
      <c r="G701" s="5">
        <v>491770</v>
      </c>
      <c r="H701" s="5">
        <v>61</v>
      </c>
      <c r="I701" s="5">
        <v>383988</v>
      </c>
      <c r="J701" s="5">
        <v>0</v>
      </c>
      <c r="L701" s="5">
        <v>446286</v>
      </c>
      <c r="M701" s="5">
        <v>17</v>
      </c>
      <c r="N701" s="5">
        <v>367464</v>
      </c>
      <c r="O701" s="5">
        <v>0</v>
      </c>
      <c r="Q701" s="5">
        <v>462458</v>
      </c>
      <c r="R701" s="5">
        <v>0</v>
      </c>
      <c r="S701" s="5">
        <v>391441</v>
      </c>
      <c r="T701" s="5">
        <v>0</v>
      </c>
      <c r="V701" s="5">
        <v>317133</v>
      </c>
      <c r="W701" s="5">
        <v>0</v>
      </c>
      <c r="X701" s="5">
        <v>2</v>
      </c>
    </row>
    <row r="702" spans="1:24" ht="12.75" customHeight="1">
      <c r="A702" s="9"/>
      <c r="B702" s="5">
        <v>548583</v>
      </c>
      <c r="C702" s="5">
        <v>66</v>
      </c>
      <c r="D702" s="5">
        <v>419818</v>
      </c>
      <c r="E702" s="5">
        <v>0</v>
      </c>
      <c r="G702" s="5">
        <v>469744</v>
      </c>
      <c r="H702" s="5">
        <v>0</v>
      </c>
      <c r="I702" s="5">
        <v>420704</v>
      </c>
      <c r="J702" s="5">
        <v>0</v>
      </c>
      <c r="L702" s="5">
        <v>496841</v>
      </c>
      <c r="M702" s="5">
        <v>0</v>
      </c>
      <c r="N702" s="5">
        <v>391554</v>
      </c>
      <c r="O702" s="5">
        <v>0</v>
      </c>
      <c r="Q702" s="5">
        <v>477543</v>
      </c>
      <c r="R702" s="5">
        <v>0</v>
      </c>
      <c r="S702" s="5">
        <v>427428</v>
      </c>
      <c r="T702" s="5">
        <v>0</v>
      </c>
      <c r="V702" s="5">
        <v>347441</v>
      </c>
      <c r="W702" s="5">
        <v>0</v>
      </c>
      <c r="X702" s="5">
        <v>1</v>
      </c>
    </row>
    <row r="703" spans="1:24" ht="12.75" customHeight="1">
      <c r="A703" s="9"/>
      <c r="B703" s="5">
        <v>431805</v>
      </c>
      <c r="C703" s="5">
        <v>0</v>
      </c>
      <c r="D703" s="5">
        <v>381081</v>
      </c>
      <c r="E703" s="5">
        <v>39</v>
      </c>
      <c r="G703" s="5">
        <v>421117</v>
      </c>
      <c r="H703" s="5">
        <v>0</v>
      </c>
      <c r="I703" s="5">
        <v>395670</v>
      </c>
      <c r="J703" s="5">
        <v>25</v>
      </c>
      <c r="L703" s="5">
        <v>424312</v>
      </c>
      <c r="M703" s="5">
        <v>0</v>
      </c>
      <c r="N703" s="5">
        <v>386286</v>
      </c>
      <c r="O703" s="5">
        <v>62</v>
      </c>
      <c r="Q703" s="5">
        <v>445343</v>
      </c>
      <c r="R703" s="5">
        <v>0</v>
      </c>
      <c r="S703" s="5">
        <v>446434</v>
      </c>
      <c r="T703" s="5">
        <v>78</v>
      </c>
      <c r="V703" s="5">
        <v>286616</v>
      </c>
      <c r="W703" s="5">
        <v>0</v>
      </c>
      <c r="X703" s="5">
        <v>1</v>
      </c>
    </row>
    <row r="704" spans="1:24" ht="12.75" customHeight="1">
      <c r="A704" s="9"/>
      <c r="B704" s="5">
        <v>454460</v>
      </c>
      <c r="C704" s="5">
        <v>13</v>
      </c>
      <c r="D704" s="5">
        <v>415520</v>
      </c>
      <c r="E704" s="5">
        <v>46</v>
      </c>
      <c r="G704" s="5">
        <v>438284</v>
      </c>
      <c r="H704" s="5">
        <v>0</v>
      </c>
      <c r="I704" s="5">
        <v>407351</v>
      </c>
      <c r="J704" s="5">
        <v>0</v>
      </c>
      <c r="L704" s="5">
        <v>433151</v>
      </c>
      <c r="M704" s="5">
        <v>0</v>
      </c>
      <c r="N704" s="5">
        <v>395080</v>
      </c>
      <c r="O704" s="5">
        <v>41</v>
      </c>
      <c r="Q704" s="5">
        <v>496277</v>
      </c>
      <c r="R704" s="5">
        <v>50</v>
      </c>
      <c r="S704" s="5">
        <v>398122</v>
      </c>
      <c r="T704" s="5">
        <v>0</v>
      </c>
      <c r="V704" s="5">
        <v>324992</v>
      </c>
      <c r="W704" s="5">
        <v>0</v>
      </c>
      <c r="X704" s="5">
        <v>1</v>
      </c>
    </row>
    <row r="705" spans="1:24" ht="12.75" customHeight="1">
      <c r="A705" s="9"/>
      <c r="B705" s="5">
        <v>405268</v>
      </c>
      <c r="C705" s="5">
        <v>0</v>
      </c>
      <c r="D705" s="5">
        <v>440159</v>
      </c>
      <c r="E705" s="5">
        <v>75</v>
      </c>
      <c r="G705" s="5">
        <v>414047</v>
      </c>
      <c r="H705" s="5">
        <v>0</v>
      </c>
      <c r="I705" s="5">
        <v>396944</v>
      </c>
      <c r="J705" s="5">
        <v>37</v>
      </c>
      <c r="L705" s="5">
        <v>467412</v>
      </c>
      <c r="M705" s="5">
        <v>52</v>
      </c>
      <c r="N705" s="5">
        <v>396687</v>
      </c>
      <c r="O705" s="5">
        <v>40</v>
      </c>
      <c r="Q705" s="5">
        <v>411780</v>
      </c>
      <c r="R705" s="5">
        <v>0</v>
      </c>
      <c r="S705" s="5">
        <v>485676</v>
      </c>
      <c r="T705" s="5">
        <v>131</v>
      </c>
      <c r="V705" s="5">
        <v>275624</v>
      </c>
      <c r="W705" s="5">
        <v>0</v>
      </c>
      <c r="X705" s="5">
        <v>1</v>
      </c>
    </row>
    <row r="706" spans="1:24" ht="12.75" customHeight="1">
      <c r="A706" s="9"/>
      <c r="B706" s="5">
        <v>438790</v>
      </c>
      <c r="C706" s="5">
        <v>0</v>
      </c>
      <c r="D706" s="5">
        <v>385486</v>
      </c>
      <c r="E706" s="5">
        <v>0</v>
      </c>
      <c r="G706" s="5">
        <v>452301</v>
      </c>
      <c r="H706" s="5">
        <v>0</v>
      </c>
      <c r="I706" s="5">
        <v>433476</v>
      </c>
      <c r="J706" s="5">
        <v>31</v>
      </c>
      <c r="L706" s="5">
        <v>446974</v>
      </c>
      <c r="M706" s="5">
        <v>0</v>
      </c>
      <c r="N706" s="5">
        <v>385174</v>
      </c>
      <c r="O706" s="5">
        <v>36</v>
      </c>
      <c r="Q706" s="5">
        <v>461690</v>
      </c>
      <c r="R706" s="5">
        <v>6</v>
      </c>
      <c r="S706" s="5">
        <v>381633</v>
      </c>
      <c r="T706" s="5">
        <v>0</v>
      </c>
      <c r="V706" s="5">
        <v>304876</v>
      </c>
      <c r="W706" s="5">
        <v>0</v>
      </c>
      <c r="X706" s="5">
        <v>3</v>
      </c>
    </row>
    <row r="707" spans="1:24" ht="12.75" customHeight="1">
      <c r="A707" s="9"/>
      <c r="B707" s="5">
        <v>549520</v>
      </c>
      <c r="C707" s="5">
        <v>110</v>
      </c>
      <c r="D707" s="5">
        <v>396463</v>
      </c>
      <c r="E707" s="5">
        <v>0</v>
      </c>
      <c r="G707" s="5">
        <v>446220</v>
      </c>
      <c r="H707" s="5">
        <v>0</v>
      </c>
      <c r="I707" s="5">
        <v>410213</v>
      </c>
      <c r="J707" s="5">
        <v>0</v>
      </c>
      <c r="L707" s="5">
        <v>448613</v>
      </c>
      <c r="M707" s="5">
        <v>0</v>
      </c>
      <c r="N707" s="5">
        <v>350734</v>
      </c>
      <c r="O707" s="5">
        <v>0</v>
      </c>
      <c r="Q707" s="5">
        <v>433744</v>
      </c>
      <c r="R707" s="5">
        <v>0</v>
      </c>
      <c r="S707" s="5">
        <v>421255</v>
      </c>
      <c r="T707" s="5">
        <v>0</v>
      </c>
      <c r="V707" s="5">
        <v>318814</v>
      </c>
      <c r="W707" s="5">
        <v>0</v>
      </c>
      <c r="X707" s="5">
        <v>1</v>
      </c>
    </row>
    <row r="708" spans="1:24" ht="12.75" customHeight="1">
      <c r="A708" s="9"/>
      <c r="B708" s="5">
        <v>440881</v>
      </c>
      <c r="C708" s="5">
        <v>0</v>
      </c>
      <c r="D708" s="5">
        <v>378622</v>
      </c>
      <c r="E708" s="5">
        <v>0</v>
      </c>
      <c r="G708" s="5">
        <v>446591</v>
      </c>
      <c r="H708" s="5">
        <v>0</v>
      </c>
      <c r="I708" s="5">
        <v>364522</v>
      </c>
      <c r="J708" s="5">
        <v>0</v>
      </c>
      <c r="L708" s="5">
        <v>462838</v>
      </c>
      <c r="M708" s="5">
        <v>0</v>
      </c>
      <c r="N708" s="5">
        <v>365441</v>
      </c>
      <c r="O708" s="5">
        <v>0</v>
      </c>
      <c r="Q708" s="5">
        <v>485578</v>
      </c>
      <c r="R708" s="5">
        <v>37</v>
      </c>
      <c r="S708" s="5">
        <v>389635</v>
      </c>
      <c r="T708" s="5">
        <v>0</v>
      </c>
      <c r="V708" s="5">
        <v>312474</v>
      </c>
      <c r="W708" s="5">
        <v>0</v>
      </c>
      <c r="X708" s="5">
        <v>2</v>
      </c>
    </row>
    <row r="709" spans="1:24" ht="12.75" customHeight="1">
      <c r="A709" s="9"/>
      <c r="B709" s="5">
        <v>451610</v>
      </c>
      <c r="C709" s="5">
        <v>0</v>
      </c>
      <c r="D709" s="5">
        <v>367745</v>
      </c>
      <c r="E709" s="5">
        <v>0</v>
      </c>
      <c r="G709" s="5">
        <v>448562</v>
      </c>
      <c r="H709" s="5">
        <v>0</v>
      </c>
      <c r="I709" s="5">
        <v>409932</v>
      </c>
      <c r="J709" s="5">
        <v>0</v>
      </c>
      <c r="L709" s="5">
        <v>443037</v>
      </c>
      <c r="M709" s="5">
        <v>0</v>
      </c>
      <c r="N709" s="5">
        <v>350985</v>
      </c>
      <c r="O709" s="5">
        <v>4</v>
      </c>
      <c r="Q709" s="5">
        <v>447616</v>
      </c>
      <c r="R709" s="5">
        <v>0</v>
      </c>
      <c r="S709" s="5">
        <v>396855</v>
      </c>
      <c r="T709" s="5">
        <v>0</v>
      </c>
      <c r="V709" s="5">
        <v>306397</v>
      </c>
      <c r="W709" s="5">
        <v>0</v>
      </c>
      <c r="X709" s="5">
        <v>1</v>
      </c>
    </row>
    <row r="710" spans="1:24" ht="12.75" customHeight="1">
      <c r="A710" s="9"/>
      <c r="B710" s="5">
        <v>438481</v>
      </c>
      <c r="C710" s="5">
        <v>0</v>
      </c>
      <c r="D710" s="5">
        <v>382769</v>
      </c>
      <c r="E710" s="5">
        <v>0</v>
      </c>
      <c r="G710" s="5">
        <v>431759</v>
      </c>
      <c r="H710" s="5">
        <v>0</v>
      </c>
      <c r="I710" s="5">
        <v>419274</v>
      </c>
      <c r="J710" s="5">
        <v>0</v>
      </c>
      <c r="L710" s="5">
        <v>451890</v>
      </c>
      <c r="M710" s="5">
        <v>0</v>
      </c>
      <c r="N710" s="5">
        <v>368335</v>
      </c>
      <c r="O710" s="5">
        <v>0</v>
      </c>
      <c r="Q710" s="5">
        <v>427339</v>
      </c>
      <c r="R710" s="5">
        <v>0</v>
      </c>
      <c r="S710" s="5">
        <v>462519</v>
      </c>
      <c r="T710" s="5">
        <v>59</v>
      </c>
      <c r="V710" s="5">
        <v>315332</v>
      </c>
      <c r="W710" s="5">
        <v>0</v>
      </c>
      <c r="X710" s="5">
        <v>1</v>
      </c>
    </row>
    <row r="711" spans="1:24" ht="12.75" customHeight="1">
      <c r="A711" s="9"/>
      <c r="B711" s="5">
        <v>484345</v>
      </c>
      <c r="C711" s="5">
        <v>0</v>
      </c>
      <c r="D711" s="5">
        <v>412054</v>
      </c>
      <c r="E711" s="5">
        <v>0</v>
      </c>
      <c r="G711" s="5">
        <v>502932</v>
      </c>
      <c r="H711" s="5">
        <v>0</v>
      </c>
      <c r="I711" s="5">
        <v>434628</v>
      </c>
      <c r="J711" s="5">
        <v>0</v>
      </c>
      <c r="L711" s="5">
        <v>536332</v>
      </c>
      <c r="M711" s="5">
        <v>28</v>
      </c>
      <c r="N711" s="5">
        <v>408854</v>
      </c>
      <c r="O711" s="5">
        <v>0</v>
      </c>
      <c r="Q711" s="5">
        <v>488380</v>
      </c>
      <c r="R711" s="5">
        <v>0</v>
      </c>
      <c r="S711" s="5">
        <v>423986</v>
      </c>
      <c r="T711" s="5">
        <v>0</v>
      </c>
      <c r="V711" s="5">
        <v>339232</v>
      </c>
      <c r="W711" s="5">
        <v>0</v>
      </c>
      <c r="X711" s="5">
        <v>2</v>
      </c>
    </row>
    <row r="712" spans="1:24" ht="12.75" customHeight="1">
      <c r="A712" s="9"/>
      <c r="B712" s="5">
        <v>462027</v>
      </c>
      <c r="C712" s="5">
        <v>0</v>
      </c>
      <c r="D712" s="5">
        <v>388059</v>
      </c>
      <c r="E712" s="5">
        <v>6</v>
      </c>
      <c r="G712" s="5">
        <v>475879</v>
      </c>
      <c r="H712" s="5">
        <v>24</v>
      </c>
      <c r="I712" s="5">
        <v>409956</v>
      </c>
      <c r="J712" s="5">
        <v>0</v>
      </c>
      <c r="L712" s="5">
        <v>462030</v>
      </c>
      <c r="M712" s="5">
        <v>0</v>
      </c>
      <c r="N712" s="5">
        <v>364327</v>
      </c>
      <c r="O712" s="5">
        <v>17</v>
      </c>
      <c r="Q712" s="5">
        <v>457119</v>
      </c>
      <c r="R712" s="5">
        <v>0</v>
      </c>
      <c r="S712" s="5">
        <v>406017</v>
      </c>
      <c r="T712" s="5">
        <v>0</v>
      </c>
      <c r="V712" s="5">
        <v>322317</v>
      </c>
      <c r="W712" s="5">
        <v>0</v>
      </c>
      <c r="X712" s="5">
        <v>2</v>
      </c>
    </row>
    <row r="713" spans="1:24" ht="12.75" customHeight="1">
      <c r="A713" s="9"/>
      <c r="B713" s="5">
        <v>454264</v>
      </c>
      <c r="C713" s="5">
        <v>0</v>
      </c>
      <c r="D713" s="5">
        <v>393573</v>
      </c>
      <c r="E713" s="5">
        <v>0</v>
      </c>
      <c r="G713" s="5">
        <v>446049</v>
      </c>
      <c r="H713" s="5">
        <v>0</v>
      </c>
      <c r="I713" s="5">
        <v>425102</v>
      </c>
      <c r="J713" s="5">
        <v>16</v>
      </c>
      <c r="L713" s="5">
        <v>454133</v>
      </c>
      <c r="M713" s="5">
        <v>0</v>
      </c>
      <c r="N713" s="5">
        <v>354112</v>
      </c>
      <c r="O713" s="5">
        <v>0</v>
      </c>
      <c r="Q713" s="5">
        <v>519703</v>
      </c>
      <c r="R713" s="5">
        <v>63</v>
      </c>
      <c r="S713" s="5">
        <v>428406</v>
      </c>
      <c r="T713" s="5">
        <v>24</v>
      </c>
      <c r="V713" s="5">
        <v>314360</v>
      </c>
      <c r="W713" s="5">
        <v>0</v>
      </c>
      <c r="X713" s="5">
        <v>2</v>
      </c>
    </row>
    <row r="714" spans="1:24" ht="12.75" customHeight="1">
      <c r="A714" s="9"/>
      <c r="B714" s="5">
        <v>438337</v>
      </c>
      <c r="C714" s="5">
        <v>0</v>
      </c>
      <c r="D714" s="5">
        <v>359882</v>
      </c>
      <c r="E714" s="5">
        <v>0</v>
      </c>
      <c r="G714" s="5">
        <v>466751</v>
      </c>
      <c r="H714" s="5">
        <v>15</v>
      </c>
      <c r="I714" s="5">
        <v>425784</v>
      </c>
      <c r="J714" s="5">
        <v>37</v>
      </c>
      <c r="L714" s="5">
        <v>442342</v>
      </c>
      <c r="M714" s="5">
        <v>0</v>
      </c>
      <c r="N714" s="5">
        <v>343164</v>
      </c>
      <c r="O714" s="5">
        <v>0</v>
      </c>
      <c r="Q714" s="5">
        <v>422588</v>
      </c>
      <c r="R714" s="5">
        <v>0</v>
      </c>
      <c r="S714" s="5">
        <v>444743</v>
      </c>
      <c r="T714" s="5">
        <v>47</v>
      </c>
      <c r="V714" s="5">
        <v>313120</v>
      </c>
      <c r="W714" s="5">
        <v>0</v>
      </c>
      <c r="X714" s="5">
        <v>2</v>
      </c>
    </row>
    <row r="715" spans="1:24" ht="12.75" customHeight="1">
      <c r="A715" s="9"/>
      <c r="B715" s="5">
        <v>421965</v>
      </c>
      <c r="C715" s="5">
        <v>0</v>
      </c>
      <c r="D715" s="5">
        <v>344729</v>
      </c>
      <c r="E715" s="5">
        <v>0</v>
      </c>
      <c r="G715" s="5">
        <v>425328</v>
      </c>
      <c r="H715" s="5">
        <v>0</v>
      </c>
      <c r="I715" s="5">
        <v>456235</v>
      </c>
      <c r="J715" s="5">
        <v>77</v>
      </c>
      <c r="L715" s="5">
        <v>429775</v>
      </c>
      <c r="M715" s="5">
        <v>0</v>
      </c>
      <c r="N715" s="5">
        <v>327673</v>
      </c>
      <c r="O715" s="5">
        <v>0</v>
      </c>
      <c r="Q715" s="5">
        <v>437680</v>
      </c>
      <c r="R715" s="5">
        <v>6</v>
      </c>
      <c r="S715" s="5">
        <v>371323</v>
      </c>
      <c r="T715" s="5">
        <v>0</v>
      </c>
      <c r="V715" s="5">
        <v>318382</v>
      </c>
      <c r="W715" s="5">
        <v>0</v>
      </c>
      <c r="X715" s="5">
        <v>2</v>
      </c>
    </row>
    <row r="716" spans="1:24" ht="12.75" customHeight="1">
      <c r="A716" s="9"/>
      <c r="B716" s="5">
        <v>523015</v>
      </c>
      <c r="C716" s="5">
        <v>0</v>
      </c>
      <c r="D716" s="5">
        <v>458988</v>
      </c>
      <c r="E716" s="5">
        <v>0</v>
      </c>
      <c r="G716" s="5">
        <v>533251</v>
      </c>
      <c r="H716" s="5">
        <v>0</v>
      </c>
      <c r="I716" s="5">
        <v>473284</v>
      </c>
      <c r="J716" s="5">
        <v>0</v>
      </c>
      <c r="L716" s="5">
        <v>533089</v>
      </c>
      <c r="M716" s="5">
        <v>0</v>
      </c>
      <c r="N716" s="5">
        <v>412931</v>
      </c>
      <c r="O716" s="5">
        <v>0</v>
      </c>
      <c r="Q716" s="5">
        <v>528683</v>
      </c>
      <c r="R716" s="5">
        <v>0</v>
      </c>
      <c r="S716" s="5">
        <v>482904</v>
      </c>
      <c r="T716" s="5">
        <v>0</v>
      </c>
      <c r="V716" s="5">
        <v>402066</v>
      </c>
      <c r="W716" s="5">
        <v>0</v>
      </c>
      <c r="X716" s="5">
        <v>1</v>
      </c>
    </row>
    <row r="717" spans="1:24" ht="12.75" customHeight="1">
      <c r="A717" s="9"/>
      <c r="B717" s="5">
        <v>508060</v>
      </c>
      <c r="C717" s="5">
        <v>0</v>
      </c>
      <c r="D717" s="5">
        <v>407704</v>
      </c>
      <c r="E717" s="5">
        <v>0</v>
      </c>
      <c r="G717" s="5">
        <v>505250</v>
      </c>
      <c r="H717" s="5">
        <v>0</v>
      </c>
      <c r="I717" s="5">
        <v>468857</v>
      </c>
      <c r="J717" s="5">
        <v>0</v>
      </c>
      <c r="L717" s="5">
        <v>504507</v>
      </c>
      <c r="M717" s="5">
        <v>0</v>
      </c>
      <c r="N717" s="5">
        <v>409994</v>
      </c>
      <c r="O717" s="5">
        <v>0</v>
      </c>
      <c r="Q717" s="5">
        <v>498528</v>
      </c>
      <c r="R717" s="5">
        <v>0</v>
      </c>
      <c r="S717" s="5">
        <v>449065</v>
      </c>
      <c r="T717" s="5">
        <v>0</v>
      </c>
      <c r="V717" s="5">
        <v>369206</v>
      </c>
      <c r="W717" s="5">
        <v>5</v>
      </c>
      <c r="X717" s="5">
        <v>2</v>
      </c>
    </row>
    <row r="718" spans="1:24" ht="12.75" customHeight="1">
      <c r="A718" s="9"/>
      <c r="B718" s="5">
        <v>440740</v>
      </c>
      <c r="C718" s="5">
        <v>0</v>
      </c>
      <c r="D718" s="5">
        <v>394257</v>
      </c>
      <c r="E718" s="5">
        <v>0</v>
      </c>
      <c r="G718" s="5">
        <v>453485</v>
      </c>
      <c r="H718" s="5">
        <v>0</v>
      </c>
      <c r="I718" s="5">
        <v>395273</v>
      </c>
      <c r="J718" s="5">
        <v>0</v>
      </c>
      <c r="L718" s="5">
        <v>462127</v>
      </c>
      <c r="M718" s="5">
        <v>0</v>
      </c>
      <c r="N718" s="5">
        <v>362877</v>
      </c>
      <c r="O718" s="5">
        <v>0</v>
      </c>
      <c r="Q718" s="5">
        <v>575770</v>
      </c>
      <c r="R718" s="5">
        <v>108</v>
      </c>
      <c r="S718" s="5">
        <v>406345</v>
      </c>
      <c r="T718" s="5">
        <v>0</v>
      </c>
      <c r="V718" s="5">
        <v>322362</v>
      </c>
      <c r="W718" s="5">
        <v>0</v>
      </c>
      <c r="X718" s="5">
        <v>2</v>
      </c>
    </row>
    <row r="719" spans="1:24" ht="12.75" customHeight="1">
      <c r="A719" s="9"/>
      <c r="B719" s="5">
        <v>422769</v>
      </c>
      <c r="C719" s="5">
        <v>5</v>
      </c>
      <c r="D719" s="5">
        <v>344002</v>
      </c>
      <c r="E719" s="5">
        <v>0</v>
      </c>
      <c r="G719" s="5">
        <v>407693</v>
      </c>
      <c r="H719" s="5">
        <v>0</v>
      </c>
      <c r="I719" s="5">
        <v>383138</v>
      </c>
      <c r="J719" s="5">
        <v>7</v>
      </c>
      <c r="L719" s="5">
        <v>412607</v>
      </c>
      <c r="M719" s="5">
        <v>0</v>
      </c>
      <c r="N719" s="5">
        <v>342398</v>
      </c>
      <c r="O719" s="5">
        <v>0</v>
      </c>
      <c r="Q719" s="5">
        <v>403727</v>
      </c>
      <c r="R719" s="5">
        <v>0</v>
      </c>
      <c r="S719" s="5">
        <v>455984</v>
      </c>
      <c r="T719" s="5">
        <v>82</v>
      </c>
      <c r="V719" s="5">
        <v>300298</v>
      </c>
      <c r="W719" s="5">
        <v>0</v>
      </c>
      <c r="X719" s="5">
        <v>1</v>
      </c>
    </row>
    <row r="720" spans="1:24" ht="12.75" customHeight="1">
      <c r="A720" s="9"/>
      <c r="B720" s="5">
        <v>437957</v>
      </c>
      <c r="C720" s="5">
        <v>0</v>
      </c>
      <c r="D720" s="5">
        <v>424431</v>
      </c>
      <c r="E720" s="5">
        <v>22</v>
      </c>
      <c r="G720" s="5">
        <v>505302</v>
      </c>
      <c r="H720" s="5">
        <v>67</v>
      </c>
      <c r="I720" s="5">
        <v>397609</v>
      </c>
      <c r="J720" s="5">
        <v>0</v>
      </c>
      <c r="L720" s="5">
        <v>446786</v>
      </c>
      <c r="M720" s="5">
        <v>0</v>
      </c>
      <c r="N720" s="5">
        <v>338638</v>
      </c>
      <c r="O720" s="5">
        <v>0</v>
      </c>
      <c r="Q720" s="5">
        <v>438645</v>
      </c>
      <c r="R720" s="5">
        <v>1</v>
      </c>
      <c r="S720" s="5">
        <v>401331</v>
      </c>
      <c r="T720" s="5">
        <v>0</v>
      </c>
      <c r="V720" s="5">
        <v>308995</v>
      </c>
      <c r="W720" s="5">
        <v>1</v>
      </c>
      <c r="X720" s="5">
        <v>2</v>
      </c>
    </row>
    <row r="721" spans="1:24" ht="12.75" customHeight="1">
      <c r="A721" s="9"/>
      <c r="B721" s="5">
        <v>423997</v>
      </c>
      <c r="C721" s="5">
        <v>0</v>
      </c>
      <c r="D721" s="5">
        <v>388216</v>
      </c>
      <c r="E721" s="5">
        <v>7</v>
      </c>
      <c r="G721" s="5">
        <v>441988</v>
      </c>
      <c r="H721" s="5">
        <v>0</v>
      </c>
      <c r="I721" s="5">
        <v>385862</v>
      </c>
      <c r="J721" s="5">
        <v>5</v>
      </c>
      <c r="L721" s="5">
        <v>504083</v>
      </c>
      <c r="M721" s="5">
        <v>60</v>
      </c>
      <c r="N721" s="5">
        <v>360586</v>
      </c>
      <c r="O721" s="5">
        <v>16</v>
      </c>
      <c r="Q721" s="5">
        <v>456694</v>
      </c>
      <c r="R721" s="5">
        <v>14</v>
      </c>
      <c r="S721" s="5">
        <v>399579</v>
      </c>
      <c r="T721" s="5">
        <v>0</v>
      </c>
      <c r="V721" s="5">
        <v>310988</v>
      </c>
      <c r="W721" s="5">
        <v>0</v>
      </c>
      <c r="X721" s="5">
        <v>2</v>
      </c>
    </row>
    <row r="722" spans="1:24" ht="12.75" customHeight="1">
      <c r="A722" s="9"/>
      <c r="B722" s="5">
        <v>486403</v>
      </c>
      <c r="C722" s="5">
        <v>0</v>
      </c>
      <c r="D722" s="5">
        <v>423814</v>
      </c>
      <c r="E722" s="5">
        <v>0</v>
      </c>
      <c r="G722" s="5">
        <v>480517</v>
      </c>
      <c r="H722" s="5">
        <v>0</v>
      </c>
      <c r="I722" s="5">
        <v>440122</v>
      </c>
      <c r="J722" s="5">
        <v>0</v>
      </c>
      <c r="L722" s="5">
        <v>524482</v>
      </c>
      <c r="M722" s="5">
        <v>25</v>
      </c>
      <c r="N722" s="5">
        <v>425013</v>
      </c>
      <c r="O722" s="5">
        <v>5</v>
      </c>
      <c r="Q722" s="5">
        <v>511309</v>
      </c>
      <c r="R722" s="5">
        <v>0</v>
      </c>
      <c r="S722" s="5">
        <v>433878</v>
      </c>
      <c r="T722" s="5">
        <v>0</v>
      </c>
      <c r="V722" s="5">
        <v>364791</v>
      </c>
      <c r="W722" s="5">
        <v>0</v>
      </c>
      <c r="X722" s="5">
        <v>1</v>
      </c>
    </row>
    <row r="723" spans="1:24" ht="12.75" customHeight="1">
      <c r="A723" s="9"/>
      <c r="B723" s="5">
        <v>437245</v>
      </c>
      <c r="C723" s="5">
        <v>0</v>
      </c>
      <c r="D723" s="5">
        <v>372482</v>
      </c>
      <c r="E723" s="5">
        <v>0</v>
      </c>
      <c r="G723" s="5">
        <v>444328</v>
      </c>
      <c r="H723" s="5">
        <v>8</v>
      </c>
      <c r="I723" s="5">
        <v>443762</v>
      </c>
      <c r="J723" s="5">
        <v>19</v>
      </c>
      <c r="L723" s="5">
        <v>444472</v>
      </c>
      <c r="M723" s="5">
        <v>0</v>
      </c>
      <c r="N723" s="5">
        <v>369316</v>
      </c>
      <c r="O723" s="5">
        <v>0</v>
      </c>
      <c r="Q723" s="5">
        <v>466691</v>
      </c>
      <c r="R723" s="5">
        <v>8</v>
      </c>
      <c r="S723" s="5">
        <v>481892</v>
      </c>
      <c r="T723" s="5">
        <v>95</v>
      </c>
      <c r="V723" s="5">
        <v>335254</v>
      </c>
      <c r="W723" s="5">
        <v>0</v>
      </c>
      <c r="X723" s="5">
        <v>2</v>
      </c>
    </row>
    <row r="724" spans="1:24" ht="12.75" customHeight="1">
      <c r="A724" s="9"/>
      <c r="B724" s="5">
        <v>567937</v>
      </c>
      <c r="C724" s="5">
        <v>83</v>
      </c>
      <c r="D724" s="5">
        <v>416921</v>
      </c>
      <c r="E724" s="5">
        <v>0</v>
      </c>
      <c r="G724" s="5">
        <v>492444</v>
      </c>
      <c r="H724" s="5">
        <v>0</v>
      </c>
      <c r="I724" s="5">
        <v>431219</v>
      </c>
      <c r="J724" s="5">
        <v>0</v>
      </c>
      <c r="L724" s="5">
        <v>539390</v>
      </c>
      <c r="M724" s="5">
        <v>44</v>
      </c>
      <c r="N724" s="5">
        <v>425746</v>
      </c>
      <c r="O724" s="5">
        <v>21</v>
      </c>
      <c r="Q724" s="5">
        <v>481980</v>
      </c>
      <c r="R724" s="5">
        <v>0</v>
      </c>
      <c r="S724" s="5">
        <v>435684</v>
      </c>
      <c r="T724" s="5">
        <v>0</v>
      </c>
      <c r="V724" s="5">
        <v>406721</v>
      </c>
      <c r="W724" s="5">
        <v>41</v>
      </c>
      <c r="X724" s="5">
        <v>3</v>
      </c>
    </row>
    <row r="725" spans="1:24" ht="12.75" customHeight="1">
      <c r="A725" s="9"/>
      <c r="B725" s="5">
        <v>433210</v>
      </c>
      <c r="C725" s="5">
        <v>0</v>
      </c>
      <c r="D725" s="5">
        <v>367683</v>
      </c>
      <c r="E725" s="5">
        <v>0</v>
      </c>
      <c r="G725" s="5">
        <v>437417</v>
      </c>
      <c r="H725" s="5">
        <v>0</v>
      </c>
      <c r="I725" s="5">
        <v>394601</v>
      </c>
      <c r="J725" s="5">
        <v>0</v>
      </c>
      <c r="L725" s="5">
        <v>422811</v>
      </c>
      <c r="M725" s="5">
        <v>0</v>
      </c>
      <c r="N725" s="5">
        <v>341110</v>
      </c>
      <c r="O725" s="5">
        <v>0</v>
      </c>
      <c r="Q725" s="5">
        <v>429579</v>
      </c>
      <c r="R725" s="5">
        <v>0</v>
      </c>
      <c r="S725" s="5">
        <v>399698</v>
      </c>
      <c r="T725" s="5">
        <v>0</v>
      </c>
      <c r="V725" s="5">
        <v>340369</v>
      </c>
      <c r="W725" s="5">
        <v>0</v>
      </c>
      <c r="X725" s="5">
        <v>1</v>
      </c>
    </row>
    <row r="726" spans="1:24" ht="12.75" customHeight="1">
      <c r="A726" s="9"/>
      <c r="B726" s="5">
        <v>462933</v>
      </c>
      <c r="C726" s="5">
        <v>0</v>
      </c>
      <c r="D726" s="5">
        <v>392477</v>
      </c>
      <c r="E726" s="5">
        <v>0</v>
      </c>
      <c r="G726" s="5">
        <v>525003</v>
      </c>
      <c r="H726" s="5">
        <v>58</v>
      </c>
      <c r="I726" s="5">
        <v>428223</v>
      </c>
      <c r="J726" s="5">
        <v>0</v>
      </c>
      <c r="L726" s="5">
        <v>486442</v>
      </c>
      <c r="M726" s="5">
        <v>0</v>
      </c>
      <c r="N726" s="5">
        <v>390626</v>
      </c>
      <c r="O726" s="5">
        <v>15</v>
      </c>
      <c r="Q726" s="5">
        <v>484417</v>
      </c>
      <c r="R726" s="5">
        <v>2</v>
      </c>
      <c r="S726" s="5">
        <v>475359</v>
      </c>
      <c r="T726" s="5">
        <v>44</v>
      </c>
      <c r="V726" s="5">
        <v>341381</v>
      </c>
      <c r="W726" s="5">
        <v>0</v>
      </c>
      <c r="X726" s="5">
        <v>2</v>
      </c>
    </row>
    <row r="727" spans="1:24" ht="12.75" customHeight="1">
      <c r="A727" s="9"/>
      <c r="B727" s="5">
        <v>487539</v>
      </c>
      <c r="C727" s="5">
        <v>27</v>
      </c>
      <c r="D727" s="5">
        <v>412884</v>
      </c>
      <c r="E727" s="5">
        <v>0</v>
      </c>
      <c r="G727" s="5">
        <v>472149</v>
      </c>
      <c r="H727" s="5">
        <v>0</v>
      </c>
      <c r="I727" s="5">
        <v>478975</v>
      </c>
      <c r="J727" s="5">
        <v>64</v>
      </c>
      <c r="L727" s="5">
        <v>457391</v>
      </c>
      <c r="M727" s="5">
        <v>0</v>
      </c>
      <c r="N727" s="5">
        <v>385654</v>
      </c>
      <c r="O727" s="5">
        <v>0</v>
      </c>
      <c r="Q727" s="5">
        <v>471941</v>
      </c>
      <c r="R727" s="5">
        <v>0</v>
      </c>
      <c r="S727" s="5">
        <v>421790</v>
      </c>
      <c r="T727" s="5">
        <v>0</v>
      </c>
      <c r="V727" s="5">
        <v>336103</v>
      </c>
      <c r="W727" s="5">
        <v>0</v>
      </c>
      <c r="X727" s="5">
        <v>3</v>
      </c>
    </row>
    <row r="728" spans="1:24" ht="12.75" customHeight="1">
      <c r="A728" s="9"/>
      <c r="B728" s="5">
        <v>478954</v>
      </c>
      <c r="C728" s="5">
        <v>15</v>
      </c>
      <c r="D728" s="5">
        <v>416409</v>
      </c>
      <c r="E728" s="5">
        <v>0</v>
      </c>
      <c r="G728" s="5">
        <v>472867</v>
      </c>
      <c r="H728" s="5">
        <v>0</v>
      </c>
      <c r="I728" s="5">
        <v>421860</v>
      </c>
      <c r="J728" s="5">
        <v>0</v>
      </c>
      <c r="L728" s="5">
        <v>481012</v>
      </c>
      <c r="M728" s="5">
        <v>21</v>
      </c>
      <c r="N728" s="5">
        <v>376429</v>
      </c>
      <c r="O728" s="5">
        <v>0</v>
      </c>
      <c r="Q728" s="5">
        <v>470917</v>
      </c>
      <c r="R728" s="5">
        <v>0</v>
      </c>
      <c r="S728" s="5">
        <v>412314</v>
      </c>
      <c r="T728" s="5">
        <v>0</v>
      </c>
      <c r="V728" s="5">
        <v>319586</v>
      </c>
      <c r="W728" s="5">
        <v>0</v>
      </c>
      <c r="X728" s="5">
        <v>1</v>
      </c>
    </row>
    <row r="729" spans="1:24" ht="12.75" customHeight="1">
      <c r="A729" s="9"/>
      <c r="B729" s="5">
        <v>448616</v>
      </c>
      <c r="C729" s="5">
        <v>0</v>
      </c>
      <c r="D729" s="5">
        <v>407262</v>
      </c>
      <c r="E729" s="5">
        <v>0</v>
      </c>
      <c r="G729" s="5">
        <v>460119</v>
      </c>
      <c r="H729" s="5">
        <v>0</v>
      </c>
      <c r="I729" s="5">
        <v>381580</v>
      </c>
      <c r="J729" s="5">
        <v>0</v>
      </c>
      <c r="L729" s="5">
        <v>447872</v>
      </c>
      <c r="M729" s="5">
        <v>0</v>
      </c>
      <c r="N729" s="5">
        <v>351524</v>
      </c>
      <c r="O729" s="5">
        <v>0</v>
      </c>
      <c r="Q729" s="5">
        <v>450550</v>
      </c>
      <c r="R729" s="5">
        <v>0</v>
      </c>
      <c r="S729" s="5">
        <v>422148</v>
      </c>
      <c r="T729" s="5">
        <v>0</v>
      </c>
      <c r="V729" s="5">
        <v>329938</v>
      </c>
      <c r="W729" s="5">
        <v>0</v>
      </c>
      <c r="X729" s="5">
        <v>1</v>
      </c>
    </row>
    <row r="730" spans="1:24" ht="12.75" customHeight="1">
      <c r="A730" s="9"/>
      <c r="B730" s="5">
        <v>484474</v>
      </c>
      <c r="C730" s="5">
        <v>0</v>
      </c>
      <c r="D730" s="5">
        <v>429393</v>
      </c>
      <c r="E730" s="5">
        <v>0</v>
      </c>
      <c r="G730" s="5">
        <v>461445</v>
      </c>
      <c r="H730" s="5">
        <v>0</v>
      </c>
      <c r="I730" s="5">
        <v>474977</v>
      </c>
      <c r="J730" s="5">
        <v>35</v>
      </c>
      <c r="L730" s="5">
        <v>520959</v>
      </c>
      <c r="M730" s="5">
        <v>39</v>
      </c>
      <c r="N730" s="5">
        <v>406180</v>
      </c>
      <c r="O730" s="5">
        <v>0</v>
      </c>
      <c r="Q730" s="5">
        <v>558639</v>
      </c>
      <c r="R730" s="5">
        <v>84</v>
      </c>
      <c r="S730" s="5">
        <v>438196</v>
      </c>
      <c r="T730" s="5">
        <v>0</v>
      </c>
      <c r="V730" s="5">
        <v>354874</v>
      </c>
      <c r="W730" s="5">
        <v>0</v>
      </c>
      <c r="X730" s="5">
        <v>1</v>
      </c>
    </row>
    <row r="731" spans="1:24" ht="12.75" customHeight="1">
      <c r="A731" s="9"/>
      <c r="B731" s="5">
        <v>450887</v>
      </c>
      <c r="C731" s="5">
        <v>0</v>
      </c>
      <c r="D731" s="5">
        <v>409206</v>
      </c>
      <c r="E731" s="5">
        <v>0</v>
      </c>
      <c r="G731" s="5">
        <v>526245</v>
      </c>
      <c r="H731" s="5">
        <v>49</v>
      </c>
      <c r="I731" s="5">
        <v>410177</v>
      </c>
      <c r="J731" s="5">
        <v>0</v>
      </c>
      <c r="L731" s="5">
        <v>474204</v>
      </c>
      <c r="M731" s="5">
        <v>0</v>
      </c>
      <c r="N731" s="5">
        <v>419757</v>
      </c>
      <c r="O731" s="5">
        <v>42</v>
      </c>
      <c r="Q731" s="5">
        <v>508825</v>
      </c>
      <c r="R731" s="5">
        <v>28</v>
      </c>
      <c r="S731" s="5">
        <v>426405</v>
      </c>
      <c r="T731" s="5">
        <v>0</v>
      </c>
      <c r="V731" s="5">
        <v>324260</v>
      </c>
      <c r="W731" s="5">
        <v>0</v>
      </c>
      <c r="X731" s="5">
        <v>3</v>
      </c>
    </row>
    <row r="732" spans="1:24" ht="12.75" customHeight="1">
      <c r="A732" s="9"/>
      <c r="B732" s="5">
        <v>397029</v>
      </c>
      <c r="C732" s="5">
        <v>0</v>
      </c>
      <c r="D732" s="5">
        <v>350614</v>
      </c>
      <c r="E732" s="5">
        <v>0</v>
      </c>
      <c r="G732" s="5">
        <v>411619</v>
      </c>
      <c r="H732" s="5">
        <v>0</v>
      </c>
      <c r="I732" s="5">
        <v>367672</v>
      </c>
      <c r="J732" s="5">
        <v>12</v>
      </c>
      <c r="L732" s="5">
        <v>402231</v>
      </c>
      <c r="M732" s="5">
        <v>0</v>
      </c>
      <c r="N732" s="5">
        <v>303632</v>
      </c>
      <c r="O732" s="5">
        <v>0</v>
      </c>
      <c r="Q732" s="5">
        <v>402153</v>
      </c>
      <c r="R732" s="5">
        <v>0</v>
      </c>
      <c r="S732" s="5">
        <v>360366</v>
      </c>
      <c r="T732" s="5">
        <v>0</v>
      </c>
      <c r="V732" s="5">
        <v>294547</v>
      </c>
      <c r="W732" s="5">
        <v>0</v>
      </c>
      <c r="X732" s="5">
        <v>1</v>
      </c>
    </row>
    <row r="733" spans="1:24" ht="12.75" customHeight="1">
      <c r="A733" s="9"/>
      <c r="B733" s="5">
        <v>479940</v>
      </c>
      <c r="C733" s="5">
        <v>0</v>
      </c>
      <c r="D733" s="5">
        <v>407525</v>
      </c>
      <c r="E733" s="5">
        <v>0</v>
      </c>
      <c r="G733" s="5">
        <v>469849</v>
      </c>
      <c r="H733" s="5">
        <v>0</v>
      </c>
      <c r="I733" s="5">
        <v>414579</v>
      </c>
      <c r="J733" s="5">
        <v>0</v>
      </c>
      <c r="L733" s="5">
        <v>477929</v>
      </c>
      <c r="M733" s="5">
        <v>0</v>
      </c>
      <c r="N733" s="5">
        <v>410217</v>
      </c>
      <c r="O733" s="5">
        <v>0</v>
      </c>
      <c r="Q733" s="5">
        <v>467543</v>
      </c>
      <c r="R733" s="5">
        <v>0</v>
      </c>
      <c r="S733" s="5">
        <v>414195</v>
      </c>
      <c r="T733" s="5">
        <v>0</v>
      </c>
      <c r="V733" s="5">
        <v>352913</v>
      </c>
      <c r="W733" s="5">
        <v>0</v>
      </c>
      <c r="X733" s="5">
        <v>1</v>
      </c>
    </row>
    <row r="734" spans="1:24" ht="12.75" customHeight="1">
      <c r="A734" s="9"/>
      <c r="B734" s="5">
        <v>453092</v>
      </c>
      <c r="C734" s="5">
        <v>0</v>
      </c>
      <c r="D734" s="5">
        <v>389604</v>
      </c>
      <c r="E734" s="5">
        <v>0</v>
      </c>
      <c r="G734" s="5">
        <v>467796</v>
      </c>
      <c r="H734" s="5">
        <v>0</v>
      </c>
      <c r="I734" s="5">
        <v>407478</v>
      </c>
      <c r="J734" s="5">
        <v>0</v>
      </c>
      <c r="L734" s="5">
        <v>478488</v>
      </c>
      <c r="M734" s="5">
        <v>4</v>
      </c>
      <c r="N734" s="5">
        <v>385911</v>
      </c>
      <c r="O734" s="5">
        <v>0</v>
      </c>
      <c r="Q734" s="5">
        <v>466632</v>
      </c>
      <c r="R734" s="5">
        <v>0</v>
      </c>
      <c r="S734" s="5">
        <v>423684</v>
      </c>
      <c r="T734" s="5">
        <v>0</v>
      </c>
      <c r="V734" s="5">
        <v>331530</v>
      </c>
      <c r="W734" s="5">
        <v>0</v>
      </c>
      <c r="X734" s="5">
        <v>1</v>
      </c>
    </row>
    <row r="735" spans="1:24" ht="12.75" customHeight="1">
      <c r="A735" s="9"/>
      <c r="B735" s="5">
        <v>473201</v>
      </c>
      <c r="C735" s="5">
        <v>0</v>
      </c>
      <c r="D735" s="5">
        <v>414390</v>
      </c>
      <c r="E735" s="5">
        <v>0</v>
      </c>
      <c r="G735" s="5">
        <v>488317</v>
      </c>
      <c r="H735" s="5">
        <v>0</v>
      </c>
      <c r="I735" s="5">
        <v>422519</v>
      </c>
      <c r="J735" s="5">
        <v>0</v>
      </c>
      <c r="L735" s="5">
        <v>460824</v>
      </c>
      <c r="M735" s="5">
        <v>0</v>
      </c>
      <c r="N735" s="5">
        <v>393495</v>
      </c>
      <c r="O735" s="5">
        <v>23</v>
      </c>
      <c r="Q735" s="5">
        <v>484092</v>
      </c>
      <c r="R735" s="5">
        <v>0</v>
      </c>
      <c r="S735" s="5">
        <v>407923</v>
      </c>
      <c r="T735" s="5">
        <v>0</v>
      </c>
      <c r="V735" s="5">
        <v>381906</v>
      </c>
      <c r="W735" s="5">
        <v>33</v>
      </c>
      <c r="X735" s="5">
        <v>3</v>
      </c>
    </row>
    <row r="736" spans="1:24" ht="12.75" customHeight="1">
      <c r="A736" s="9"/>
      <c r="B736" s="5">
        <v>470668</v>
      </c>
      <c r="C736" s="5">
        <v>0</v>
      </c>
      <c r="D736" s="5">
        <v>423116</v>
      </c>
      <c r="E736" s="5">
        <v>0</v>
      </c>
      <c r="G736" s="5">
        <v>472217</v>
      </c>
      <c r="H736" s="5">
        <v>0</v>
      </c>
      <c r="I736" s="5">
        <v>410156</v>
      </c>
      <c r="J736" s="5">
        <v>0</v>
      </c>
      <c r="L736" s="5">
        <v>459451</v>
      </c>
      <c r="M736" s="5">
        <v>0</v>
      </c>
      <c r="N736" s="5">
        <v>385331</v>
      </c>
      <c r="O736" s="5">
        <v>0</v>
      </c>
      <c r="Q736" s="5">
        <v>465728</v>
      </c>
      <c r="R736" s="5">
        <v>0</v>
      </c>
      <c r="S736" s="5">
        <v>453361</v>
      </c>
      <c r="T736" s="5">
        <v>26</v>
      </c>
      <c r="V736" s="5">
        <v>328623</v>
      </c>
      <c r="W736" s="5">
        <v>0</v>
      </c>
      <c r="X736" s="5">
        <v>1</v>
      </c>
    </row>
    <row r="737" spans="1:24" ht="12.75" customHeight="1">
      <c r="A737" s="9"/>
      <c r="B737" s="5">
        <v>423783</v>
      </c>
      <c r="C737" s="5">
        <v>0</v>
      </c>
      <c r="D737" s="5">
        <v>357213</v>
      </c>
      <c r="E737" s="5">
        <v>0</v>
      </c>
      <c r="G737" s="5">
        <v>423646</v>
      </c>
      <c r="H737" s="5">
        <v>0</v>
      </c>
      <c r="I737" s="5">
        <v>377394</v>
      </c>
      <c r="J737" s="5">
        <v>0</v>
      </c>
      <c r="L737" s="5">
        <v>425295</v>
      </c>
      <c r="M737" s="5">
        <v>1</v>
      </c>
      <c r="N737" s="5">
        <v>299648</v>
      </c>
      <c r="O737" s="5">
        <v>0</v>
      </c>
      <c r="Q737" s="5">
        <v>491566</v>
      </c>
      <c r="R737" s="5">
        <v>73</v>
      </c>
      <c r="S737" s="5">
        <v>386862</v>
      </c>
      <c r="T737" s="5">
        <v>0</v>
      </c>
      <c r="V737" s="5">
        <v>285835</v>
      </c>
      <c r="W737" s="5">
        <v>0</v>
      </c>
      <c r="X737" s="5">
        <v>1</v>
      </c>
    </row>
    <row r="738" spans="1:24" ht="12.75" customHeight="1">
      <c r="A738" s="9"/>
      <c r="B738" s="5">
        <v>409414</v>
      </c>
      <c r="C738" s="5">
        <v>0</v>
      </c>
      <c r="D738" s="5">
        <v>475926</v>
      </c>
      <c r="E738" s="5">
        <v>122</v>
      </c>
      <c r="G738" s="5">
        <v>448807</v>
      </c>
      <c r="H738" s="5">
        <v>25</v>
      </c>
      <c r="I738" s="5">
        <v>381897</v>
      </c>
      <c r="J738" s="5">
        <v>0</v>
      </c>
      <c r="L738" s="5">
        <v>406621</v>
      </c>
      <c r="M738" s="5">
        <v>0</v>
      </c>
      <c r="N738" s="5">
        <v>338910</v>
      </c>
      <c r="O738" s="5">
        <v>25</v>
      </c>
      <c r="Q738" s="5">
        <v>423125</v>
      </c>
      <c r="R738" s="5">
        <v>0</v>
      </c>
      <c r="S738" s="5">
        <v>419859</v>
      </c>
      <c r="T738" s="5">
        <v>44</v>
      </c>
      <c r="V738" s="5">
        <v>291855</v>
      </c>
      <c r="W738" s="5">
        <v>9</v>
      </c>
      <c r="X738" s="5">
        <v>3</v>
      </c>
    </row>
    <row r="739" spans="1:24" ht="12.75" customHeight="1">
      <c r="A739" s="9"/>
      <c r="B739" s="5">
        <v>424723</v>
      </c>
      <c r="C739" s="5">
        <v>0</v>
      </c>
      <c r="D739" s="5">
        <v>378658</v>
      </c>
      <c r="E739" s="5">
        <v>0</v>
      </c>
      <c r="G739" s="5">
        <v>420891</v>
      </c>
      <c r="H739" s="5">
        <v>0</v>
      </c>
      <c r="I739" s="5">
        <v>355615</v>
      </c>
      <c r="J739" s="5">
        <v>0</v>
      </c>
      <c r="L739" s="5">
        <v>409274</v>
      </c>
      <c r="M739" s="5">
        <v>0</v>
      </c>
      <c r="N739" s="5">
        <v>325097</v>
      </c>
      <c r="O739" s="5">
        <v>0</v>
      </c>
      <c r="Q739" s="5">
        <v>420947</v>
      </c>
      <c r="R739" s="5">
        <v>0</v>
      </c>
      <c r="S739" s="5">
        <v>371683</v>
      </c>
      <c r="T739" s="5">
        <v>1</v>
      </c>
      <c r="V739" s="5">
        <v>349990</v>
      </c>
      <c r="W739" s="5">
        <v>43</v>
      </c>
      <c r="X739" s="5">
        <v>3</v>
      </c>
    </row>
    <row r="740" spans="1:24" ht="12.75" customHeight="1">
      <c r="A740" s="9"/>
      <c r="B740" s="5">
        <v>400684</v>
      </c>
      <c r="C740" s="5">
        <v>0</v>
      </c>
      <c r="D740" s="5">
        <v>386939</v>
      </c>
      <c r="E740" s="5">
        <v>35</v>
      </c>
      <c r="G740" s="5">
        <v>520744</v>
      </c>
      <c r="H740" s="5">
        <v>116</v>
      </c>
      <c r="I740" s="5">
        <v>362620</v>
      </c>
      <c r="J740" s="5">
        <v>18</v>
      </c>
      <c r="L740" s="5">
        <v>429543</v>
      </c>
      <c r="M740" s="5">
        <v>18</v>
      </c>
      <c r="N740" s="5">
        <v>357351</v>
      </c>
      <c r="O740" s="5">
        <v>33</v>
      </c>
      <c r="Q740" s="5">
        <v>391619</v>
      </c>
      <c r="R740" s="5">
        <v>0</v>
      </c>
      <c r="S740" s="5">
        <v>394775</v>
      </c>
      <c r="T740" s="5">
        <v>22</v>
      </c>
      <c r="V740" s="5">
        <v>278888</v>
      </c>
      <c r="W740" s="5">
        <v>0</v>
      </c>
      <c r="X740" s="5">
        <v>2</v>
      </c>
    </row>
    <row r="741" spans="1:24" ht="12.75" customHeight="1">
      <c r="A741" s="9"/>
      <c r="B741" s="5">
        <v>475878</v>
      </c>
      <c r="C741" s="5">
        <v>0</v>
      </c>
      <c r="D741" s="5">
        <v>487422</v>
      </c>
      <c r="E741" s="5">
        <v>63</v>
      </c>
      <c r="G741" s="5">
        <v>485591</v>
      </c>
      <c r="H741" s="5">
        <v>0</v>
      </c>
      <c r="I741" s="5">
        <v>447978</v>
      </c>
      <c r="J741" s="5">
        <v>0</v>
      </c>
      <c r="L741" s="5">
        <v>471733</v>
      </c>
      <c r="M741" s="5">
        <v>0</v>
      </c>
      <c r="N741" s="5">
        <v>448209</v>
      </c>
      <c r="O741" s="5">
        <v>0</v>
      </c>
      <c r="Q741" s="5">
        <v>533893</v>
      </c>
      <c r="R741" s="5">
        <v>36</v>
      </c>
      <c r="S741" s="5">
        <v>428759</v>
      </c>
      <c r="T741" s="5">
        <v>0</v>
      </c>
      <c r="V741" s="5">
        <v>362661</v>
      </c>
      <c r="W741" s="5">
        <v>0</v>
      </c>
      <c r="X741" s="5">
        <v>2</v>
      </c>
    </row>
    <row r="742" spans="1:24" ht="12.75" customHeight="1">
      <c r="A742" s="9"/>
      <c r="B742" s="5">
        <v>448397</v>
      </c>
      <c r="C742" s="5">
        <v>10</v>
      </c>
      <c r="D742" s="5">
        <v>353501</v>
      </c>
      <c r="E742" s="5">
        <v>0</v>
      </c>
      <c r="G742" s="5">
        <v>429286</v>
      </c>
      <c r="H742" s="5">
        <v>0</v>
      </c>
      <c r="I742" s="5">
        <v>402771</v>
      </c>
      <c r="J742" s="5">
        <v>0</v>
      </c>
      <c r="L742" s="5">
        <v>427634</v>
      </c>
      <c r="M742" s="5">
        <v>0</v>
      </c>
      <c r="N742" s="5">
        <v>386584</v>
      </c>
      <c r="O742" s="5">
        <v>38</v>
      </c>
      <c r="Q742" s="5">
        <v>453646</v>
      </c>
      <c r="R742" s="5">
        <v>16</v>
      </c>
      <c r="S742" s="5">
        <v>382853</v>
      </c>
      <c r="T742" s="5">
        <v>0</v>
      </c>
      <c r="V742" s="5">
        <v>312791</v>
      </c>
      <c r="W742" s="5">
        <v>0</v>
      </c>
      <c r="X742" s="5">
        <v>1</v>
      </c>
    </row>
    <row r="743" spans="1:24" ht="12.75" customHeight="1">
      <c r="A743" s="9"/>
      <c r="B743" s="5">
        <v>400663</v>
      </c>
      <c r="C743" s="5">
        <v>0</v>
      </c>
      <c r="D743" s="5">
        <v>428003</v>
      </c>
      <c r="E743" s="5">
        <v>75</v>
      </c>
      <c r="G743" s="5">
        <v>423216</v>
      </c>
      <c r="H743" s="5">
        <v>0</v>
      </c>
      <c r="I743" s="5">
        <v>352492</v>
      </c>
      <c r="J743" s="5">
        <v>0</v>
      </c>
      <c r="L743" s="5">
        <v>418916</v>
      </c>
      <c r="M743" s="5">
        <v>0</v>
      </c>
      <c r="N743" s="5">
        <v>452129</v>
      </c>
      <c r="O743" s="5">
        <v>149</v>
      </c>
      <c r="Q743" s="5">
        <v>458879</v>
      </c>
      <c r="R743" s="5">
        <v>35</v>
      </c>
      <c r="S743" s="5">
        <v>355205</v>
      </c>
      <c r="T743" s="5">
        <v>0</v>
      </c>
      <c r="V743" s="5">
        <v>275602</v>
      </c>
      <c r="W743" s="5">
        <v>2</v>
      </c>
      <c r="X743" s="5">
        <v>2</v>
      </c>
    </row>
    <row r="744" spans="1:24" ht="12.75" customHeight="1">
      <c r="A744" s="9"/>
      <c r="B744" s="5">
        <v>415729</v>
      </c>
      <c r="C744" s="5">
        <v>0</v>
      </c>
      <c r="D744" s="5">
        <v>381783</v>
      </c>
      <c r="E744" s="5">
        <v>0</v>
      </c>
      <c r="G744" s="5">
        <v>465406</v>
      </c>
      <c r="H744" s="5">
        <v>21</v>
      </c>
      <c r="I744" s="5">
        <v>399352</v>
      </c>
      <c r="J744" s="5">
        <v>0</v>
      </c>
      <c r="L744" s="5">
        <v>442534</v>
      </c>
      <c r="M744" s="5">
        <v>0</v>
      </c>
      <c r="N744" s="5">
        <v>372688</v>
      </c>
      <c r="O744" s="5">
        <v>9</v>
      </c>
      <c r="Q744" s="5">
        <v>440093</v>
      </c>
      <c r="R744" s="5">
        <v>0</v>
      </c>
      <c r="S744" s="5">
        <v>417285</v>
      </c>
      <c r="T744" s="5">
        <v>14</v>
      </c>
      <c r="V744" s="5">
        <v>321647</v>
      </c>
      <c r="W744" s="5">
        <v>0</v>
      </c>
      <c r="X744" s="5">
        <v>1</v>
      </c>
    </row>
    <row r="745" spans="1:24" ht="12.75" customHeight="1">
      <c r="A745" s="9"/>
      <c r="B745" s="5">
        <v>451181</v>
      </c>
      <c r="C745" s="5">
        <v>54</v>
      </c>
      <c r="D745" s="5">
        <v>335595</v>
      </c>
      <c r="E745" s="5">
        <v>0</v>
      </c>
      <c r="G745" s="5">
        <v>418290</v>
      </c>
      <c r="H745" s="5">
        <v>17</v>
      </c>
      <c r="I745" s="5">
        <v>365101</v>
      </c>
      <c r="J745" s="5">
        <v>0</v>
      </c>
      <c r="L745" s="5">
        <v>438802</v>
      </c>
      <c r="M745" s="5">
        <v>30</v>
      </c>
      <c r="N745" s="5">
        <v>333231</v>
      </c>
      <c r="O745" s="5">
        <v>0</v>
      </c>
      <c r="Q745" s="5">
        <v>401753</v>
      </c>
      <c r="R745" s="5">
        <v>3</v>
      </c>
      <c r="S745" s="5">
        <v>367601</v>
      </c>
      <c r="T745" s="5">
        <v>0</v>
      </c>
      <c r="V745" s="5">
        <v>288131</v>
      </c>
      <c r="W745" s="5">
        <v>0</v>
      </c>
      <c r="X745" s="5">
        <v>2</v>
      </c>
    </row>
    <row r="746" spans="1:24" ht="12.75" customHeight="1">
      <c r="A746" s="9"/>
      <c r="B746" s="5">
        <v>422675</v>
      </c>
      <c r="C746" s="5">
        <v>0</v>
      </c>
      <c r="D746" s="5">
        <v>395169</v>
      </c>
      <c r="E746" s="5">
        <v>0</v>
      </c>
      <c r="G746" s="5">
        <v>427247</v>
      </c>
      <c r="H746" s="5">
        <v>16</v>
      </c>
      <c r="I746" s="5">
        <v>380877</v>
      </c>
      <c r="J746" s="5">
        <v>0</v>
      </c>
      <c r="L746" s="5">
        <v>424381</v>
      </c>
      <c r="M746" s="5">
        <v>18</v>
      </c>
      <c r="N746" s="5">
        <v>344263</v>
      </c>
      <c r="O746" s="5">
        <v>18</v>
      </c>
      <c r="Q746" s="5">
        <v>423820</v>
      </c>
      <c r="R746" s="5">
        <v>1</v>
      </c>
      <c r="S746" s="5">
        <v>350718</v>
      </c>
      <c r="T746" s="5">
        <v>2</v>
      </c>
      <c r="V746" s="5">
        <v>285626</v>
      </c>
      <c r="W746" s="5">
        <v>9</v>
      </c>
      <c r="X746" s="5">
        <v>3</v>
      </c>
    </row>
    <row r="747" spans="1:24" ht="12.75" customHeight="1">
      <c r="A747" s="9"/>
      <c r="B747" s="5">
        <v>452687</v>
      </c>
      <c r="C747" s="5">
        <v>0</v>
      </c>
      <c r="D747" s="5">
        <v>550931</v>
      </c>
      <c r="E747" s="5">
        <v>134</v>
      </c>
      <c r="G747" s="5">
        <v>491053</v>
      </c>
      <c r="H747" s="5">
        <v>47</v>
      </c>
      <c r="I747" s="5">
        <v>409507</v>
      </c>
      <c r="J747" s="5">
        <v>0</v>
      </c>
      <c r="L747" s="5">
        <v>567220</v>
      </c>
      <c r="M747" s="5">
        <v>111</v>
      </c>
      <c r="N747" s="5">
        <v>424497</v>
      </c>
      <c r="O747" s="5">
        <v>87</v>
      </c>
      <c r="Q747" s="5">
        <v>482415</v>
      </c>
      <c r="R747" s="5">
        <v>34</v>
      </c>
      <c r="S747" s="5">
        <v>448948</v>
      </c>
      <c r="T747" s="5">
        <v>42</v>
      </c>
      <c r="V747" s="5">
        <v>331162</v>
      </c>
      <c r="W747" s="5">
        <v>0</v>
      </c>
      <c r="X747" s="5">
        <v>1</v>
      </c>
    </row>
    <row r="748" spans="1:24" ht="12.75" customHeight="1">
      <c r="A748" s="9"/>
      <c r="B748" s="5">
        <v>559756</v>
      </c>
      <c r="C748" s="5">
        <v>88</v>
      </c>
      <c r="D748" s="5">
        <v>422536</v>
      </c>
      <c r="E748" s="5">
        <v>4</v>
      </c>
      <c r="G748" s="5">
        <v>472029</v>
      </c>
      <c r="H748" s="5">
        <v>0</v>
      </c>
      <c r="I748" s="5">
        <v>434426</v>
      </c>
      <c r="J748" s="5">
        <v>0</v>
      </c>
      <c r="L748" s="5">
        <v>463965</v>
      </c>
      <c r="M748" s="5">
        <v>0</v>
      </c>
      <c r="N748" s="5">
        <v>409721</v>
      </c>
      <c r="O748" s="5">
        <v>7</v>
      </c>
      <c r="Q748" s="5">
        <v>470851</v>
      </c>
      <c r="R748" s="5">
        <v>0</v>
      </c>
      <c r="S748" s="5">
        <v>390520</v>
      </c>
      <c r="T748" s="5">
        <v>0</v>
      </c>
      <c r="V748" s="5">
        <v>339029</v>
      </c>
      <c r="W748" s="5">
        <v>0</v>
      </c>
      <c r="X748" s="5">
        <v>2</v>
      </c>
    </row>
    <row r="749" spans="1:24" ht="12.75" customHeight="1">
      <c r="A749" s="9"/>
      <c r="B749" s="5">
        <v>456793</v>
      </c>
      <c r="C749" s="5">
        <v>0</v>
      </c>
      <c r="D749" s="5">
        <v>388019</v>
      </c>
      <c r="E749" s="5">
        <v>0</v>
      </c>
      <c r="G749" s="5">
        <v>462818</v>
      </c>
      <c r="H749" s="5">
        <v>3</v>
      </c>
      <c r="I749" s="5">
        <v>401960</v>
      </c>
      <c r="J749" s="5">
        <v>0</v>
      </c>
      <c r="L749" s="5">
        <v>450248</v>
      </c>
      <c r="M749" s="5">
        <v>0</v>
      </c>
      <c r="N749" s="5">
        <v>341725</v>
      </c>
      <c r="O749" s="5">
        <v>0</v>
      </c>
      <c r="Q749" s="5">
        <v>444567</v>
      </c>
      <c r="R749" s="5">
        <v>4</v>
      </c>
      <c r="S749" s="5">
        <v>418673</v>
      </c>
      <c r="T749" s="5">
        <v>0</v>
      </c>
      <c r="V749" s="5">
        <v>313998</v>
      </c>
      <c r="W749" s="5">
        <v>0</v>
      </c>
      <c r="X749" s="5">
        <v>1</v>
      </c>
    </row>
    <row r="750" spans="1:24" ht="12.75" customHeight="1">
      <c r="A750" s="9"/>
      <c r="B750" s="5">
        <v>415624</v>
      </c>
      <c r="C750" s="5">
        <v>0</v>
      </c>
      <c r="D750" s="5">
        <v>349077</v>
      </c>
      <c r="E750" s="5">
        <v>12</v>
      </c>
      <c r="G750" s="5">
        <v>419508</v>
      </c>
      <c r="H750" s="5">
        <v>0</v>
      </c>
      <c r="I750" s="5">
        <v>375212</v>
      </c>
      <c r="J750" s="5">
        <v>3</v>
      </c>
      <c r="L750" s="5">
        <v>494942</v>
      </c>
      <c r="M750" s="5">
        <v>77</v>
      </c>
      <c r="N750" s="5">
        <v>334142</v>
      </c>
      <c r="O750" s="5">
        <v>0</v>
      </c>
      <c r="Q750" s="5">
        <v>415931</v>
      </c>
      <c r="R750" s="5">
        <v>0</v>
      </c>
      <c r="S750" s="5">
        <v>382160</v>
      </c>
      <c r="T750" s="5">
        <v>0</v>
      </c>
      <c r="V750" s="5">
        <v>295370</v>
      </c>
      <c r="W750" s="5">
        <v>0</v>
      </c>
      <c r="X750" s="5">
        <v>2</v>
      </c>
    </row>
    <row r="751" spans="1:24" ht="12.75" customHeight="1">
      <c r="A751" s="9"/>
      <c r="B751" s="5">
        <v>425865</v>
      </c>
      <c r="C751" s="5">
        <v>26</v>
      </c>
      <c r="D751" s="5">
        <v>358422</v>
      </c>
      <c r="E751" s="5">
        <v>0</v>
      </c>
      <c r="G751" s="5">
        <v>423564</v>
      </c>
      <c r="H751" s="5">
        <v>0</v>
      </c>
      <c r="I751" s="5">
        <v>420447</v>
      </c>
      <c r="J751" s="5">
        <v>28</v>
      </c>
      <c r="L751" s="5">
        <v>421193</v>
      </c>
      <c r="M751" s="5">
        <v>0</v>
      </c>
      <c r="N751" s="5">
        <v>318577</v>
      </c>
      <c r="O751" s="5">
        <v>0</v>
      </c>
      <c r="Q751" s="5">
        <v>428320</v>
      </c>
      <c r="R751" s="5">
        <v>7</v>
      </c>
      <c r="S751" s="5">
        <v>385769</v>
      </c>
      <c r="T751" s="5">
        <v>0</v>
      </c>
      <c r="V751" s="5">
        <v>315551</v>
      </c>
      <c r="W751" s="5">
        <v>0</v>
      </c>
      <c r="X751" s="5">
        <v>2</v>
      </c>
    </row>
    <row r="752" spans="1:24" ht="12.75" customHeight="1">
      <c r="A752" s="9"/>
      <c r="B752" s="5">
        <v>435996</v>
      </c>
      <c r="C752" s="5">
        <v>0</v>
      </c>
      <c r="D752" s="5">
        <v>339174</v>
      </c>
      <c r="E752" s="5">
        <v>1</v>
      </c>
      <c r="G752" s="5">
        <v>446944</v>
      </c>
      <c r="H752" s="5">
        <v>7</v>
      </c>
      <c r="I752" s="5">
        <v>431539</v>
      </c>
      <c r="J752" s="5">
        <v>33</v>
      </c>
      <c r="L752" s="5">
        <v>422953</v>
      </c>
      <c r="M752" s="5">
        <v>0</v>
      </c>
      <c r="N752" s="5">
        <v>336464</v>
      </c>
      <c r="O752" s="5">
        <v>1</v>
      </c>
      <c r="Q752" s="5">
        <v>430740</v>
      </c>
      <c r="R752" s="5">
        <v>0</v>
      </c>
      <c r="S752" s="5">
        <v>392038</v>
      </c>
      <c r="T752" s="5">
        <v>0</v>
      </c>
      <c r="V752" s="5">
        <v>307602</v>
      </c>
      <c r="W752" s="5">
        <v>0</v>
      </c>
      <c r="X752" s="5">
        <v>1</v>
      </c>
    </row>
    <row r="753" spans="1:24" ht="12.75" customHeight="1">
      <c r="A753" s="9"/>
      <c r="B753" s="5">
        <v>432598</v>
      </c>
      <c r="C753" s="5">
        <v>0</v>
      </c>
      <c r="D753" s="5">
        <v>380413</v>
      </c>
      <c r="E753" s="5">
        <v>0</v>
      </c>
      <c r="G753" s="5">
        <v>456953</v>
      </c>
      <c r="H753" s="5">
        <v>17</v>
      </c>
      <c r="I753" s="5">
        <v>381015</v>
      </c>
      <c r="J753" s="5">
        <v>0</v>
      </c>
      <c r="L753" s="5">
        <v>437607</v>
      </c>
      <c r="M753" s="5">
        <v>3</v>
      </c>
      <c r="N753" s="5">
        <v>381526</v>
      </c>
      <c r="O753" s="5">
        <v>22</v>
      </c>
      <c r="Q753" s="5">
        <v>451274</v>
      </c>
      <c r="R753" s="5">
        <v>0</v>
      </c>
      <c r="S753" s="5">
        <v>403619</v>
      </c>
      <c r="T753" s="5">
        <v>6</v>
      </c>
      <c r="V753" s="5">
        <v>325017</v>
      </c>
      <c r="W753" s="5">
        <v>0</v>
      </c>
      <c r="X753" s="5">
        <v>2</v>
      </c>
    </row>
    <row r="754" spans="1:24" ht="12.75" customHeight="1">
      <c r="A754" s="9"/>
      <c r="B754" s="5">
        <v>425728</v>
      </c>
      <c r="C754" s="5">
        <v>0</v>
      </c>
      <c r="D754" s="5">
        <v>358822</v>
      </c>
      <c r="E754" s="5">
        <v>0</v>
      </c>
      <c r="G754" s="5">
        <v>418670</v>
      </c>
      <c r="H754" s="5">
        <v>0</v>
      </c>
      <c r="I754" s="5">
        <v>370730</v>
      </c>
      <c r="J754" s="5">
        <v>0</v>
      </c>
      <c r="L754" s="5">
        <v>428228</v>
      </c>
      <c r="M754" s="5">
        <v>0</v>
      </c>
      <c r="N754" s="5">
        <v>389265</v>
      </c>
      <c r="O754" s="5">
        <v>64</v>
      </c>
      <c r="Q754" s="5">
        <v>440092</v>
      </c>
      <c r="R754" s="5">
        <v>9</v>
      </c>
      <c r="S754" s="5">
        <v>382947</v>
      </c>
      <c r="T754" s="5">
        <v>0</v>
      </c>
      <c r="V754" s="5">
        <v>302827</v>
      </c>
      <c r="W754" s="5">
        <v>0</v>
      </c>
      <c r="X754" s="5">
        <v>2</v>
      </c>
    </row>
    <row r="755" spans="1:24" ht="12.75" customHeight="1">
      <c r="A755" s="9"/>
      <c r="B755" s="5">
        <v>432210</v>
      </c>
      <c r="C755" s="5">
        <v>0</v>
      </c>
      <c r="D755" s="5">
        <v>372548</v>
      </c>
      <c r="E755" s="5">
        <v>0</v>
      </c>
      <c r="G755" s="5">
        <v>439497</v>
      </c>
      <c r="H755" s="5">
        <v>0</v>
      </c>
      <c r="I755" s="5">
        <v>418593</v>
      </c>
      <c r="J755" s="5">
        <v>0</v>
      </c>
      <c r="L755" s="5">
        <v>440368</v>
      </c>
      <c r="M755" s="5">
        <v>8</v>
      </c>
      <c r="N755" s="5">
        <v>344704</v>
      </c>
      <c r="O755" s="5">
        <v>0</v>
      </c>
      <c r="Q755" s="5">
        <v>435860</v>
      </c>
      <c r="R755" s="5">
        <v>0</v>
      </c>
      <c r="S755" s="5">
        <v>413484</v>
      </c>
      <c r="T755" s="5">
        <v>15</v>
      </c>
      <c r="V755" s="5">
        <v>314258</v>
      </c>
      <c r="W755" s="5">
        <v>0</v>
      </c>
      <c r="X755" s="5">
        <v>2</v>
      </c>
    </row>
    <row r="756" spans="1:24" ht="12.75" customHeight="1">
      <c r="A756" s="9"/>
      <c r="B756" s="5">
        <v>431792</v>
      </c>
      <c r="C756" s="5">
        <v>0</v>
      </c>
      <c r="D756" s="5">
        <v>382111</v>
      </c>
      <c r="E756" s="5">
        <v>0</v>
      </c>
      <c r="G756" s="5">
        <v>447679</v>
      </c>
      <c r="H756" s="5">
        <v>0</v>
      </c>
      <c r="I756" s="5">
        <v>392312</v>
      </c>
      <c r="J756" s="5">
        <v>0</v>
      </c>
      <c r="L756" s="5">
        <v>439045</v>
      </c>
      <c r="M756" s="5">
        <v>0</v>
      </c>
      <c r="N756" s="5">
        <v>339474</v>
      </c>
      <c r="O756" s="5">
        <v>0</v>
      </c>
      <c r="Q756" s="5">
        <v>438319</v>
      </c>
      <c r="R756" s="5">
        <v>0</v>
      </c>
      <c r="S756" s="5">
        <v>422120</v>
      </c>
      <c r="T756" s="5">
        <v>0</v>
      </c>
      <c r="V756" s="5">
        <v>329085</v>
      </c>
      <c r="W756" s="5">
        <v>0</v>
      </c>
      <c r="X756" s="5">
        <v>1</v>
      </c>
    </row>
    <row r="757" spans="1:24" ht="12.75" customHeight="1">
      <c r="A757" s="9"/>
      <c r="B757" s="5">
        <v>424136</v>
      </c>
      <c r="C757" s="5">
        <v>0</v>
      </c>
      <c r="D757" s="5">
        <v>426462</v>
      </c>
      <c r="E757" s="5">
        <v>47</v>
      </c>
      <c r="G757" s="5">
        <v>440294</v>
      </c>
      <c r="H757" s="5">
        <v>0</v>
      </c>
      <c r="I757" s="5">
        <v>401229</v>
      </c>
      <c r="J757" s="5">
        <v>0</v>
      </c>
      <c r="L757" s="5">
        <v>447689</v>
      </c>
      <c r="M757" s="5">
        <v>11</v>
      </c>
      <c r="N757" s="5">
        <v>412966</v>
      </c>
      <c r="O757" s="5">
        <v>54</v>
      </c>
      <c r="Q757" s="5">
        <v>432397</v>
      </c>
      <c r="R757" s="5">
        <v>0</v>
      </c>
      <c r="S757" s="5">
        <v>416820</v>
      </c>
      <c r="T757" s="5">
        <v>40</v>
      </c>
      <c r="V757" s="5">
        <v>329865</v>
      </c>
      <c r="W757" s="5">
        <v>0</v>
      </c>
      <c r="X757" s="5">
        <v>1</v>
      </c>
    </row>
    <row r="758" spans="1:24" ht="12.75" customHeight="1">
      <c r="A758" s="9"/>
      <c r="B758" s="5">
        <v>443199</v>
      </c>
      <c r="C758" s="5">
        <v>0</v>
      </c>
      <c r="D758" s="5">
        <v>391971</v>
      </c>
      <c r="E758" s="5">
        <v>0</v>
      </c>
      <c r="G758" s="5">
        <v>433486</v>
      </c>
      <c r="H758" s="5">
        <v>0</v>
      </c>
      <c r="I758" s="5">
        <v>438346</v>
      </c>
      <c r="J758" s="5">
        <v>29</v>
      </c>
      <c r="L758" s="5">
        <v>430535</v>
      </c>
      <c r="M758" s="5">
        <v>0</v>
      </c>
      <c r="N758" s="5">
        <v>344124</v>
      </c>
      <c r="O758" s="5">
        <v>0</v>
      </c>
      <c r="Q758" s="5">
        <v>451741</v>
      </c>
      <c r="R758" s="5">
        <v>0</v>
      </c>
      <c r="S758" s="5">
        <v>476829</v>
      </c>
      <c r="T758" s="5">
        <v>86</v>
      </c>
      <c r="V758" s="5">
        <v>320530</v>
      </c>
      <c r="W758" s="5">
        <v>0</v>
      </c>
      <c r="X758" s="5">
        <v>2</v>
      </c>
    </row>
    <row r="759" spans="1:24" ht="12.75" customHeight="1">
      <c r="A759" s="9"/>
      <c r="B759" s="5">
        <v>453124</v>
      </c>
      <c r="C759" s="5">
        <v>27</v>
      </c>
      <c r="D759" s="5">
        <v>359143</v>
      </c>
      <c r="E759" s="5">
        <v>0</v>
      </c>
      <c r="G759" s="5">
        <v>437391</v>
      </c>
      <c r="H759" s="5">
        <v>0</v>
      </c>
      <c r="I759" s="5">
        <v>415886</v>
      </c>
      <c r="J759" s="5">
        <v>0</v>
      </c>
      <c r="L759" s="5">
        <v>436343</v>
      </c>
      <c r="M759" s="5">
        <v>0</v>
      </c>
      <c r="N759" s="5">
        <v>380144</v>
      </c>
      <c r="O759" s="5">
        <v>34</v>
      </c>
      <c r="Q759" s="5">
        <v>441863</v>
      </c>
      <c r="R759" s="5">
        <v>0</v>
      </c>
      <c r="S759" s="5">
        <v>407482</v>
      </c>
      <c r="T759" s="5">
        <v>32</v>
      </c>
      <c r="V759" s="5">
        <v>305057</v>
      </c>
      <c r="W759" s="5">
        <v>0</v>
      </c>
      <c r="X759" s="5">
        <v>1</v>
      </c>
    </row>
    <row r="760" spans="1:24" ht="12.75" customHeight="1">
      <c r="A760" s="9"/>
      <c r="B760" s="5">
        <v>394977</v>
      </c>
      <c r="C760" s="5">
        <v>0</v>
      </c>
      <c r="D760" s="5">
        <v>318701</v>
      </c>
      <c r="E760" s="5">
        <v>14</v>
      </c>
      <c r="G760" s="5">
        <v>397076</v>
      </c>
      <c r="H760" s="5">
        <v>0</v>
      </c>
      <c r="I760" s="5">
        <v>367953</v>
      </c>
      <c r="J760" s="5">
        <v>0</v>
      </c>
      <c r="L760" s="5">
        <v>397822</v>
      </c>
      <c r="M760" s="5">
        <v>0</v>
      </c>
      <c r="N760" s="5">
        <v>293483</v>
      </c>
      <c r="O760" s="5">
        <v>0</v>
      </c>
      <c r="Q760" s="5">
        <v>392305</v>
      </c>
      <c r="R760" s="5">
        <v>0</v>
      </c>
      <c r="S760" s="5">
        <v>353275</v>
      </c>
      <c r="T760" s="5">
        <v>0</v>
      </c>
      <c r="V760" s="5">
        <v>276823</v>
      </c>
      <c r="W760" s="5">
        <v>0</v>
      </c>
      <c r="X760" s="5">
        <v>2</v>
      </c>
    </row>
    <row r="761" spans="1:24" ht="12.75" customHeight="1">
      <c r="A761" s="9"/>
      <c r="B761" s="5">
        <v>444976</v>
      </c>
      <c r="C761" s="5">
        <v>14</v>
      </c>
      <c r="D761" s="5">
        <v>394238</v>
      </c>
      <c r="E761" s="5">
        <v>0</v>
      </c>
      <c r="G761" s="5">
        <v>430878</v>
      </c>
      <c r="H761" s="5">
        <v>0</v>
      </c>
      <c r="I761" s="5">
        <v>420981</v>
      </c>
      <c r="J761" s="5">
        <v>0</v>
      </c>
      <c r="L761" s="5">
        <v>431754</v>
      </c>
      <c r="M761" s="5">
        <v>0</v>
      </c>
      <c r="N761" s="5">
        <v>377826</v>
      </c>
      <c r="O761" s="5">
        <v>0</v>
      </c>
      <c r="Q761" s="5">
        <v>420910</v>
      </c>
      <c r="R761" s="5">
        <v>0</v>
      </c>
      <c r="S761" s="5">
        <v>427586</v>
      </c>
      <c r="T761" s="5">
        <v>41</v>
      </c>
      <c r="V761" s="5">
        <v>331316</v>
      </c>
      <c r="W761" s="5">
        <v>0</v>
      </c>
      <c r="X761" s="5">
        <v>1</v>
      </c>
    </row>
    <row r="762" spans="1:24" ht="12.75" customHeight="1">
      <c r="A762" s="9"/>
      <c r="B762" s="5">
        <v>395790</v>
      </c>
      <c r="C762" s="5">
        <v>0</v>
      </c>
      <c r="D762" s="5">
        <v>370532</v>
      </c>
      <c r="E762" s="5">
        <v>0</v>
      </c>
      <c r="G762" s="5">
        <v>410225</v>
      </c>
      <c r="H762" s="5">
        <v>0</v>
      </c>
      <c r="I762" s="5">
        <v>382737</v>
      </c>
      <c r="J762" s="5">
        <v>0</v>
      </c>
      <c r="L762" s="5">
        <v>432739</v>
      </c>
      <c r="M762" s="5">
        <v>19</v>
      </c>
      <c r="N762" s="5">
        <v>381807</v>
      </c>
      <c r="O762" s="5">
        <v>44</v>
      </c>
      <c r="Q762" s="5">
        <v>416189</v>
      </c>
      <c r="R762" s="5">
        <v>0</v>
      </c>
      <c r="S762" s="5">
        <v>387646</v>
      </c>
      <c r="T762" s="5">
        <v>0</v>
      </c>
      <c r="V762" s="5">
        <v>315736</v>
      </c>
      <c r="W762" s="5">
        <v>0</v>
      </c>
      <c r="X762" s="5">
        <v>1</v>
      </c>
    </row>
    <row r="763" spans="1:24" ht="12.75" customHeight="1">
      <c r="A763" s="9"/>
      <c r="B763" s="5">
        <v>437826</v>
      </c>
      <c r="C763" s="5">
        <v>1</v>
      </c>
      <c r="D763" s="5">
        <v>358234</v>
      </c>
      <c r="E763" s="5">
        <v>0</v>
      </c>
      <c r="G763" s="5">
        <v>421969</v>
      </c>
      <c r="H763" s="5">
        <v>0</v>
      </c>
      <c r="I763" s="5">
        <v>396945</v>
      </c>
      <c r="J763" s="5">
        <v>0</v>
      </c>
      <c r="L763" s="5">
        <v>448055</v>
      </c>
      <c r="M763" s="5">
        <v>19</v>
      </c>
      <c r="N763" s="5">
        <v>337045</v>
      </c>
      <c r="O763" s="5">
        <v>0</v>
      </c>
      <c r="Q763" s="5">
        <v>420876</v>
      </c>
      <c r="R763" s="5">
        <v>0</v>
      </c>
      <c r="S763" s="5">
        <v>460717</v>
      </c>
      <c r="T763" s="5">
        <v>61</v>
      </c>
      <c r="V763" s="5">
        <v>286557</v>
      </c>
      <c r="W763" s="5">
        <v>0</v>
      </c>
      <c r="X763" s="5">
        <v>2</v>
      </c>
    </row>
    <row r="764" spans="1:24" ht="12.75" customHeight="1">
      <c r="A764" s="9"/>
      <c r="B764" s="5">
        <v>411914</v>
      </c>
      <c r="C764" s="5">
        <v>0</v>
      </c>
      <c r="D764" s="5">
        <v>356919</v>
      </c>
      <c r="E764" s="5">
        <v>0</v>
      </c>
      <c r="G764" s="5">
        <v>480344</v>
      </c>
      <c r="H764" s="5">
        <v>58</v>
      </c>
      <c r="I764" s="5">
        <v>382982</v>
      </c>
      <c r="J764" s="5">
        <v>0</v>
      </c>
      <c r="L764" s="5">
        <v>414384</v>
      </c>
      <c r="M764" s="5">
        <v>0</v>
      </c>
      <c r="N764" s="5">
        <v>400915</v>
      </c>
      <c r="O764" s="5">
        <v>65</v>
      </c>
      <c r="Q764" s="5">
        <v>426186</v>
      </c>
      <c r="R764" s="5">
        <v>0</v>
      </c>
      <c r="S764" s="5">
        <v>371990</v>
      </c>
      <c r="T764" s="5">
        <v>0</v>
      </c>
      <c r="V764" s="5">
        <v>306196</v>
      </c>
      <c r="W764" s="5">
        <v>0</v>
      </c>
      <c r="X764" s="5">
        <v>2</v>
      </c>
    </row>
    <row r="765" spans="1:24" ht="12.75" customHeight="1">
      <c r="A765" s="9"/>
      <c r="B765" s="5">
        <v>467321</v>
      </c>
      <c r="C765" s="5">
        <v>0</v>
      </c>
      <c r="D765" s="5">
        <v>413672</v>
      </c>
      <c r="E765" s="5">
        <v>0</v>
      </c>
      <c r="G765" s="5">
        <v>480191</v>
      </c>
      <c r="H765" s="5">
        <v>0</v>
      </c>
      <c r="I765" s="5">
        <v>474575</v>
      </c>
      <c r="J765" s="5">
        <v>0</v>
      </c>
      <c r="L765" s="5">
        <v>507458</v>
      </c>
      <c r="M765" s="5">
        <v>28</v>
      </c>
      <c r="N765" s="5">
        <v>382085</v>
      </c>
      <c r="O765" s="5">
        <v>0</v>
      </c>
      <c r="Q765" s="5">
        <v>491171</v>
      </c>
      <c r="R765" s="5">
        <v>0</v>
      </c>
      <c r="S765" s="5">
        <v>453483</v>
      </c>
      <c r="T765" s="5">
        <v>15</v>
      </c>
      <c r="V765" s="5">
        <v>355541</v>
      </c>
      <c r="W765" s="5">
        <v>0</v>
      </c>
      <c r="X765" s="5">
        <v>2</v>
      </c>
    </row>
    <row r="766" spans="1:24" ht="12.75" customHeight="1">
      <c r="A766" s="9"/>
      <c r="B766" s="5">
        <v>480886</v>
      </c>
      <c r="C766" s="5">
        <v>0</v>
      </c>
      <c r="D766" s="5">
        <v>428260</v>
      </c>
      <c r="E766" s="5">
        <v>0</v>
      </c>
      <c r="G766" s="5">
        <v>489218</v>
      </c>
      <c r="H766" s="5">
        <v>0</v>
      </c>
      <c r="I766" s="5">
        <v>505856</v>
      </c>
      <c r="J766" s="5">
        <v>16</v>
      </c>
      <c r="L766" s="5">
        <v>495496</v>
      </c>
      <c r="M766" s="5">
        <v>0</v>
      </c>
      <c r="N766" s="5">
        <v>400989</v>
      </c>
      <c r="O766" s="5">
        <v>0</v>
      </c>
      <c r="Q766" s="5">
        <v>502312</v>
      </c>
      <c r="R766" s="5">
        <v>0</v>
      </c>
      <c r="S766" s="5">
        <v>456332</v>
      </c>
      <c r="T766" s="5">
        <v>0</v>
      </c>
      <c r="V766" s="5">
        <v>347336</v>
      </c>
      <c r="W766" s="5">
        <v>0</v>
      </c>
      <c r="X766" s="5">
        <v>1</v>
      </c>
    </row>
    <row r="767" spans="1:24" ht="12.75" customHeight="1">
      <c r="A767" s="9"/>
      <c r="B767" s="5">
        <v>444304</v>
      </c>
      <c r="C767" s="5">
        <v>18</v>
      </c>
      <c r="D767" s="5">
        <v>423868</v>
      </c>
      <c r="E767" s="5">
        <v>37</v>
      </c>
      <c r="G767" s="5">
        <v>461575</v>
      </c>
      <c r="H767" s="5">
        <v>21</v>
      </c>
      <c r="I767" s="5">
        <v>381988</v>
      </c>
      <c r="J767" s="5">
        <v>0</v>
      </c>
      <c r="L767" s="5">
        <v>417000</v>
      </c>
      <c r="M767" s="5">
        <v>0</v>
      </c>
      <c r="N767" s="5">
        <v>351159</v>
      </c>
      <c r="O767" s="5">
        <v>0</v>
      </c>
      <c r="Q767" s="5">
        <v>435293</v>
      </c>
      <c r="R767" s="5">
        <v>0</v>
      </c>
      <c r="S767" s="5">
        <v>387031</v>
      </c>
      <c r="T767" s="5">
        <v>0</v>
      </c>
      <c r="V767" s="5">
        <v>328010</v>
      </c>
      <c r="W767" s="5">
        <v>0</v>
      </c>
      <c r="X767" s="5">
        <v>2</v>
      </c>
    </row>
    <row r="768" spans="1:24" ht="12.75" customHeight="1">
      <c r="A768" s="9"/>
      <c r="B768" s="5">
        <v>440462</v>
      </c>
      <c r="C768" s="5">
        <v>0</v>
      </c>
      <c r="D768" s="5">
        <v>386271</v>
      </c>
      <c r="E768" s="5">
        <v>0</v>
      </c>
      <c r="G768" s="5">
        <v>459328</v>
      </c>
      <c r="H768" s="5">
        <v>9</v>
      </c>
      <c r="I768" s="5">
        <v>388661</v>
      </c>
      <c r="J768" s="5">
        <v>3</v>
      </c>
      <c r="L768" s="5">
        <v>439318</v>
      </c>
      <c r="M768" s="5">
        <v>0</v>
      </c>
      <c r="N768" s="5">
        <v>333008</v>
      </c>
      <c r="O768" s="5">
        <v>0</v>
      </c>
      <c r="Q768" s="5">
        <v>452059</v>
      </c>
      <c r="R768" s="5">
        <v>0</v>
      </c>
      <c r="S768" s="5">
        <v>402149</v>
      </c>
      <c r="T768" s="5">
        <v>0</v>
      </c>
      <c r="V768" s="5">
        <v>332252</v>
      </c>
      <c r="W768" s="5">
        <v>0</v>
      </c>
      <c r="X768" s="5">
        <v>2</v>
      </c>
    </row>
    <row r="769" spans="1:24" ht="12.75" customHeight="1">
      <c r="A769" s="9"/>
      <c r="B769" s="5">
        <v>525649</v>
      </c>
      <c r="C769" s="5">
        <v>0</v>
      </c>
      <c r="D769" s="5">
        <v>453656</v>
      </c>
      <c r="E769" s="5">
        <v>0</v>
      </c>
      <c r="G769" s="5">
        <v>522581</v>
      </c>
      <c r="H769" s="5">
        <v>0</v>
      </c>
      <c r="I769" s="5">
        <v>484516</v>
      </c>
      <c r="J769" s="5">
        <v>0</v>
      </c>
      <c r="L769" s="5">
        <v>529652</v>
      </c>
      <c r="M769" s="5">
        <v>0</v>
      </c>
      <c r="N769" s="5">
        <v>471145</v>
      </c>
      <c r="O769" s="5">
        <v>0</v>
      </c>
      <c r="Q769" s="5">
        <v>581156</v>
      </c>
      <c r="R769" s="5">
        <v>43</v>
      </c>
      <c r="S769" s="5">
        <v>463633</v>
      </c>
      <c r="T769" s="5">
        <v>0</v>
      </c>
      <c r="V769" s="5">
        <v>398640</v>
      </c>
      <c r="W769" s="5">
        <v>0</v>
      </c>
      <c r="X769" s="5">
        <v>2</v>
      </c>
    </row>
    <row r="770" spans="1:24" ht="12.75" customHeight="1">
      <c r="A770" s="9"/>
      <c r="B770" s="5">
        <v>492725</v>
      </c>
      <c r="C770" s="5">
        <v>16</v>
      </c>
      <c r="D770" s="5">
        <v>396881</v>
      </c>
      <c r="E770" s="5">
        <v>0</v>
      </c>
      <c r="G770" s="5">
        <v>485249</v>
      </c>
      <c r="H770" s="5">
        <v>0</v>
      </c>
      <c r="I770" s="5">
        <v>441052</v>
      </c>
      <c r="J770" s="5">
        <v>0</v>
      </c>
      <c r="L770" s="5">
        <v>481329</v>
      </c>
      <c r="M770" s="5">
        <v>0</v>
      </c>
      <c r="N770" s="5">
        <v>358477</v>
      </c>
      <c r="O770" s="5">
        <v>0</v>
      </c>
      <c r="Q770" s="5">
        <v>479410</v>
      </c>
      <c r="R770" s="5">
        <v>0</v>
      </c>
      <c r="S770" s="5">
        <v>449344</v>
      </c>
      <c r="T770" s="5">
        <v>0</v>
      </c>
      <c r="V770" s="5">
        <v>351099</v>
      </c>
      <c r="W770" s="5">
        <v>0</v>
      </c>
      <c r="X770" s="5">
        <v>1</v>
      </c>
    </row>
    <row r="771" spans="1:24" ht="12.75" customHeight="1">
      <c r="A771" s="9"/>
      <c r="B771" s="5">
        <v>469172</v>
      </c>
      <c r="C771" s="5">
        <v>0</v>
      </c>
      <c r="D771" s="5">
        <v>396737</v>
      </c>
      <c r="E771" s="5">
        <v>0</v>
      </c>
      <c r="G771" s="5">
        <v>506553</v>
      </c>
      <c r="H771" s="5">
        <v>24</v>
      </c>
      <c r="I771" s="5">
        <v>421725</v>
      </c>
      <c r="J771" s="5">
        <v>0</v>
      </c>
      <c r="L771" s="5">
        <v>470188</v>
      </c>
      <c r="M771" s="5">
        <v>0</v>
      </c>
      <c r="N771" s="5">
        <v>400663</v>
      </c>
      <c r="O771" s="5">
        <v>0</v>
      </c>
      <c r="Q771" s="5">
        <v>464445</v>
      </c>
      <c r="R771" s="5">
        <v>0</v>
      </c>
      <c r="S771" s="5">
        <v>423461</v>
      </c>
      <c r="T771" s="5">
        <v>0</v>
      </c>
      <c r="V771" s="5">
        <v>354438</v>
      </c>
      <c r="W771" s="5">
        <v>0</v>
      </c>
      <c r="X771" s="5">
        <v>2</v>
      </c>
    </row>
    <row r="772" spans="1:24" ht="12.75" customHeight="1">
      <c r="A772" s="9"/>
      <c r="B772" s="5">
        <v>470498</v>
      </c>
      <c r="C772" s="5">
        <v>0</v>
      </c>
      <c r="D772" s="5">
        <v>412231</v>
      </c>
      <c r="E772" s="5">
        <v>0</v>
      </c>
      <c r="G772" s="5">
        <v>520911</v>
      </c>
      <c r="H772" s="5">
        <v>40</v>
      </c>
      <c r="I772" s="5">
        <v>434094</v>
      </c>
      <c r="J772" s="5">
        <v>0</v>
      </c>
      <c r="L772" s="5">
        <v>460682</v>
      </c>
      <c r="M772" s="5">
        <v>0</v>
      </c>
      <c r="N772" s="5">
        <v>376664</v>
      </c>
      <c r="O772" s="5">
        <v>0</v>
      </c>
      <c r="Q772" s="5">
        <v>474094</v>
      </c>
      <c r="R772" s="5">
        <v>0</v>
      </c>
      <c r="S772" s="5">
        <v>515791</v>
      </c>
      <c r="T772" s="5">
        <v>64</v>
      </c>
      <c r="V772" s="5">
        <v>334054</v>
      </c>
      <c r="W772" s="5">
        <v>0</v>
      </c>
      <c r="X772" s="5">
        <v>1</v>
      </c>
    </row>
    <row r="773" spans="1:24" ht="12.75" customHeight="1">
      <c r="A773" s="9"/>
      <c r="B773" s="5">
        <v>477646</v>
      </c>
      <c r="C773" s="5">
        <v>0</v>
      </c>
      <c r="D773" s="5">
        <v>422336</v>
      </c>
      <c r="E773" s="5">
        <v>0</v>
      </c>
      <c r="G773" s="5">
        <v>477747</v>
      </c>
      <c r="H773" s="5">
        <v>0</v>
      </c>
      <c r="I773" s="5">
        <v>434502</v>
      </c>
      <c r="J773" s="5">
        <v>0</v>
      </c>
      <c r="L773" s="5">
        <v>484351</v>
      </c>
      <c r="M773" s="5">
        <v>0</v>
      </c>
      <c r="N773" s="5">
        <v>412681</v>
      </c>
      <c r="O773" s="5">
        <v>0</v>
      </c>
      <c r="Q773" s="5">
        <v>487670</v>
      </c>
      <c r="R773" s="5">
        <v>0</v>
      </c>
      <c r="S773" s="5">
        <v>455464</v>
      </c>
      <c r="T773" s="5">
        <v>4</v>
      </c>
      <c r="V773" s="5">
        <v>374973</v>
      </c>
      <c r="W773" s="5">
        <v>0</v>
      </c>
      <c r="X773" s="5">
        <v>2</v>
      </c>
    </row>
    <row r="774" spans="1:24" ht="12.75" customHeight="1">
      <c r="A774" s="9"/>
      <c r="B774" s="5">
        <v>456078</v>
      </c>
      <c r="C774" s="5">
        <v>0</v>
      </c>
      <c r="D774" s="5">
        <v>384959</v>
      </c>
      <c r="E774" s="5">
        <v>0</v>
      </c>
      <c r="G774" s="5">
        <v>453715</v>
      </c>
      <c r="H774" s="5">
        <v>0</v>
      </c>
      <c r="I774" s="5">
        <v>405827</v>
      </c>
      <c r="J774" s="5">
        <v>0</v>
      </c>
      <c r="L774" s="5">
        <v>458671</v>
      </c>
      <c r="M774" s="5">
        <v>0</v>
      </c>
      <c r="N774" s="5">
        <v>449745</v>
      </c>
      <c r="O774" s="5">
        <v>89</v>
      </c>
      <c r="Q774" s="5">
        <v>463486</v>
      </c>
      <c r="R774" s="5">
        <v>10</v>
      </c>
      <c r="S774" s="5">
        <v>426501</v>
      </c>
      <c r="T774" s="5">
        <v>3</v>
      </c>
      <c r="V774" s="5">
        <v>339872</v>
      </c>
      <c r="W774" s="5">
        <v>0</v>
      </c>
      <c r="X774" s="5">
        <v>1</v>
      </c>
    </row>
    <row r="775" spans="1:24" ht="12.75" customHeight="1">
      <c r="A775" s="9"/>
      <c r="B775" s="5">
        <v>488465</v>
      </c>
      <c r="C775" s="5">
        <v>0</v>
      </c>
      <c r="D775" s="5">
        <v>406297</v>
      </c>
      <c r="E775" s="5">
        <v>14</v>
      </c>
      <c r="G775" s="5">
        <v>475282</v>
      </c>
      <c r="H775" s="5">
        <v>0</v>
      </c>
      <c r="I775" s="5">
        <v>446060</v>
      </c>
      <c r="J775" s="5">
        <v>0</v>
      </c>
      <c r="L775" s="5">
        <v>490995</v>
      </c>
      <c r="M775" s="5">
        <v>0</v>
      </c>
      <c r="N775" s="5">
        <v>410826</v>
      </c>
      <c r="O775" s="5">
        <v>0</v>
      </c>
      <c r="Q775" s="5">
        <v>488599</v>
      </c>
      <c r="R775" s="5">
        <v>0</v>
      </c>
      <c r="S775" s="5">
        <v>435112</v>
      </c>
      <c r="T775" s="5">
        <v>0</v>
      </c>
      <c r="V775" s="5">
        <v>352287</v>
      </c>
      <c r="W775" s="5">
        <v>0</v>
      </c>
      <c r="X775" s="5">
        <v>1</v>
      </c>
    </row>
    <row r="776" spans="1:24" ht="12.75" customHeight="1">
      <c r="A776" s="9"/>
      <c r="B776" s="5">
        <v>414870</v>
      </c>
      <c r="C776" s="5">
        <v>0</v>
      </c>
      <c r="D776" s="5">
        <v>358109</v>
      </c>
      <c r="E776" s="5">
        <v>0</v>
      </c>
      <c r="G776" s="5">
        <v>414926</v>
      </c>
      <c r="H776" s="5">
        <v>0</v>
      </c>
      <c r="I776" s="5">
        <v>348246</v>
      </c>
      <c r="J776" s="5">
        <v>0</v>
      </c>
      <c r="L776" s="5">
        <v>409320</v>
      </c>
      <c r="M776" s="5">
        <v>0</v>
      </c>
      <c r="N776" s="5">
        <v>345838</v>
      </c>
      <c r="O776" s="5">
        <v>0</v>
      </c>
      <c r="Q776" s="5">
        <v>417051</v>
      </c>
      <c r="R776" s="5">
        <v>0</v>
      </c>
      <c r="S776" s="5">
        <v>363018</v>
      </c>
      <c r="T776" s="5">
        <v>0</v>
      </c>
      <c r="V776" s="5">
        <v>309308</v>
      </c>
      <c r="W776" s="5">
        <v>0</v>
      </c>
      <c r="X776" s="5">
        <v>2</v>
      </c>
    </row>
    <row r="777" spans="1:24" ht="12.75" customHeight="1">
      <c r="A777" s="9"/>
      <c r="B777" s="5">
        <v>524676</v>
      </c>
      <c r="C777" s="5">
        <v>0</v>
      </c>
      <c r="D777" s="5">
        <v>452915</v>
      </c>
      <c r="E777" s="5">
        <v>0</v>
      </c>
      <c r="G777" s="5">
        <v>531005</v>
      </c>
      <c r="H777" s="5">
        <v>0</v>
      </c>
      <c r="I777" s="5">
        <v>469915</v>
      </c>
      <c r="J777" s="5">
        <v>0</v>
      </c>
      <c r="L777" s="5">
        <v>523126</v>
      </c>
      <c r="M777" s="5">
        <v>0</v>
      </c>
      <c r="N777" s="5">
        <v>467087</v>
      </c>
      <c r="O777" s="5">
        <v>0</v>
      </c>
      <c r="Q777" s="5">
        <v>575665</v>
      </c>
      <c r="R777" s="5">
        <v>43</v>
      </c>
      <c r="S777" s="5">
        <v>528752</v>
      </c>
      <c r="T777" s="5">
        <v>51</v>
      </c>
      <c r="V777" s="5">
        <v>424162</v>
      </c>
      <c r="W777" s="5">
        <v>0</v>
      </c>
      <c r="X777" s="5">
        <v>1</v>
      </c>
    </row>
    <row r="778" spans="1:24" ht="12.75" customHeight="1">
      <c r="A778" s="9"/>
      <c r="B778" s="5">
        <v>401365</v>
      </c>
      <c r="C778" s="5">
        <v>0</v>
      </c>
      <c r="D778" s="5">
        <v>359344</v>
      </c>
      <c r="E778" s="5">
        <v>0</v>
      </c>
      <c r="G778" s="5">
        <v>420134</v>
      </c>
      <c r="H778" s="5">
        <v>0</v>
      </c>
      <c r="I778" s="5">
        <v>374412</v>
      </c>
      <c r="J778" s="5">
        <v>0</v>
      </c>
      <c r="L778" s="5">
        <v>414037</v>
      </c>
      <c r="M778" s="5">
        <v>0</v>
      </c>
      <c r="N778" s="5">
        <v>342847</v>
      </c>
      <c r="O778" s="5">
        <v>0</v>
      </c>
      <c r="Q778" s="5">
        <v>408378</v>
      </c>
      <c r="R778" s="5">
        <v>0</v>
      </c>
      <c r="S778" s="5">
        <v>372107</v>
      </c>
      <c r="T778" s="5">
        <v>0</v>
      </c>
      <c r="V778" s="5">
        <v>310079</v>
      </c>
      <c r="W778" s="5">
        <v>0</v>
      </c>
      <c r="X778" s="5">
        <v>1</v>
      </c>
    </row>
    <row r="779" spans="1:24" ht="12.75" customHeight="1">
      <c r="A779" s="9"/>
      <c r="B779" s="5">
        <v>421197</v>
      </c>
      <c r="C779" s="5">
        <v>0</v>
      </c>
      <c r="D779" s="5">
        <v>380271</v>
      </c>
      <c r="E779" s="5">
        <v>0</v>
      </c>
      <c r="G779" s="5">
        <v>439833</v>
      </c>
      <c r="H779" s="5">
        <v>0</v>
      </c>
      <c r="I779" s="5">
        <v>369636</v>
      </c>
      <c r="J779" s="5">
        <v>0</v>
      </c>
      <c r="L779" s="5">
        <v>435957</v>
      </c>
      <c r="M779" s="5">
        <v>1</v>
      </c>
      <c r="N779" s="5">
        <v>411134</v>
      </c>
      <c r="O779" s="5">
        <v>81</v>
      </c>
      <c r="Q779" s="5">
        <v>440009</v>
      </c>
      <c r="R779" s="5">
        <v>4</v>
      </c>
      <c r="S779" s="5">
        <v>380779</v>
      </c>
      <c r="T779" s="5">
        <v>0</v>
      </c>
      <c r="V779" s="5">
        <v>287110</v>
      </c>
      <c r="W779" s="5">
        <v>0</v>
      </c>
      <c r="X779" s="5">
        <v>2</v>
      </c>
    </row>
    <row r="780" spans="1:24" ht="12.75" customHeight="1">
      <c r="A780" s="9"/>
      <c r="B780" s="5">
        <v>437528</v>
      </c>
      <c r="C780" s="5">
        <v>0</v>
      </c>
      <c r="D780" s="5">
        <v>370783</v>
      </c>
      <c r="E780" s="5">
        <v>24</v>
      </c>
      <c r="G780" s="5">
        <v>436496</v>
      </c>
      <c r="H780" s="5">
        <v>0</v>
      </c>
      <c r="I780" s="5">
        <v>404399</v>
      </c>
      <c r="J780" s="5">
        <v>27</v>
      </c>
      <c r="L780" s="5">
        <v>440440</v>
      </c>
      <c r="M780" s="5">
        <v>0</v>
      </c>
      <c r="N780" s="5">
        <v>328269</v>
      </c>
      <c r="O780" s="5">
        <v>0</v>
      </c>
      <c r="Q780" s="5">
        <v>492231</v>
      </c>
      <c r="R780" s="5">
        <v>66</v>
      </c>
      <c r="S780" s="5">
        <v>420567</v>
      </c>
      <c r="T780" s="5">
        <v>42</v>
      </c>
      <c r="V780" s="5">
        <v>337474</v>
      </c>
      <c r="W780" s="5">
        <v>29</v>
      </c>
      <c r="X780" s="5">
        <v>3</v>
      </c>
    </row>
    <row r="781" spans="1:24" ht="12.75" customHeight="1">
      <c r="A781" s="9"/>
      <c r="B781" s="5">
        <v>433867</v>
      </c>
      <c r="C781" s="5">
        <v>0</v>
      </c>
      <c r="D781" s="5">
        <v>379740</v>
      </c>
      <c r="E781" s="5">
        <v>0</v>
      </c>
      <c r="G781" s="5">
        <v>426338</v>
      </c>
      <c r="H781" s="5">
        <v>0</v>
      </c>
      <c r="I781" s="5">
        <v>391733</v>
      </c>
      <c r="J781" s="5">
        <v>0</v>
      </c>
      <c r="L781" s="5">
        <v>414905</v>
      </c>
      <c r="M781" s="5">
        <v>3</v>
      </c>
      <c r="N781" s="5">
        <v>331975</v>
      </c>
      <c r="O781" s="5">
        <v>0</v>
      </c>
      <c r="Q781" s="5">
        <v>477873</v>
      </c>
      <c r="R781" s="5">
        <v>46</v>
      </c>
      <c r="S781" s="5">
        <v>435094</v>
      </c>
      <c r="T781" s="5">
        <v>52</v>
      </c>
      <c r="V781" s="5">
        <v>325141</v>
      </c>
      <c r="W781" s="5">
        <v>0</v>
      </c>
      <c r="X781" s="5">
        <v>1</v>
      </c>
    </row>
    <row r="782" spans="1:24" ht="12.75" customHeight="1">
      <c r="A782" s="9"/>
      <c r="B782" s="5">
        <v>374723</v>
      </c>
      <c r="C782" s="5">
        <v>0</v>
      </c>
      <c r="D782" s="5">
        <v>332520</v>
      </c>
      <c r="E782" s="5">
        <v>5</v>
      </c>
      <c r="G782" s="5">
        <v>381231</v>
      </c>
      <c r="H782" s="5">
        <v>0</v>
      </c>
      <c r="I782" s="5">
        <v>337002</v>
      </c>
      <c r="J782" s="5">
        <v>0</v>
      </c>
      <c r="L782" s="5">
        <v>364290</v>
      </c>
      <c r="M782" s="5">
        <v>0</v>
      </c>
      <c r="N782" s="5">
        <v>299348</v>
      </c>
      <c r="O782" s="5">
        <v>0</v>
      </c>
      <c r="Q782" s="5">
        <v>399099</v>
      </c>
      <c r="R782" s="5">
        <v>33</v>
      </c>
      <c r="S782" s="5">
        <v>346092</v>
      </c>
      <c r="T782" s="5">
        <v>0</v>
      </c>
      <c r="V782" s="5">
        <v>271276</v>
      </c>
      <c r="W782" s="5">
        <v>0</v>
      </c>
      <c r="X782" s="5">
        <v>2</v>
      </c>
    </row>
    <row r="783" spans="1:24" ht="12.75" customHeight="1">
      <c r="A783" s="10" t="s">
        <v>14</v>
      </c>
      <c r="B783" s="5">
        <v>2126200</v>
      </c>
      <c r="C783" s="5">
        <v>0</v>
      </c>
      <c r="D783" s="5">
        <v>1557010</v>
      </c>
      <c r="E783" s="5">
        <v>0</v>
      </c>
      <c r="G783" s="5">
        <v>2117100</v>
      </c>
      <c r="H783" s="5">
        <v>20</v>
      </c>
      <c r="I783" s="5">
        <v>1768030</v>
      </c>
      <c r="J783" s="5">
        <v>0</v>
      </c>
      <c r="L783" s="5">
        <v>2052730</v>
      </c>
      <c r="M783" s="5">
        <v>4</v>
      </c>
      <c r="N783" s="5">
        <v>1567780</v>
      </c>
      <c r="O783" s="5">
        <v>0</v>
      </c>
      <c r="Q783" s="5">
        <v>2242220</v>
      </c>
      <c r="R783" s="5">
        <v>65</v>
      </c>
      <c r="S783" s="5">
        <v>1568330</v>
      </c>
      <c r="T783" s="5">
        <v>0</v>
      </c>
      <c r="V783" s="5">
        <v>1272840</v>
      </c>
      <c r="W783" s="5">
        <v>0</v>
      </c>
      <c r="X783" s="5">
        <v>8</v>
      </c>
    </row>
    <row r="784" spans="1:24" ht="12.75" customHeight="1">
      <c r="A784" s="11"/>
      <c r="B784" s="5">
        <v>1984270</v>
      </c>
      <c r="C784" s="5">
        <v>0</v>
      </c>
      <c r="D784" s="5">
        <v>1634940</v>
      </c>
      <c r="E784" s="5">
        <v>0</v>
      </c>
      <c r="G784" s="5">
        <v>1973140</v>
      </c>
      <c r="H784" s="5">
        <v>0</v>
      </c>
      <c r="I784" s="5">
        <v>1791750</v>
      </c>
      <c r="J784" s="5">
        <v>0</v>
      </c>
      <c r="L784" s="5">
        <v>1981070</v>
      </c>
      <c r="M784" s="5">
        <v>0</v>
      </c>
      <c r="N784" s="5">
        <v>1674260</v>
      </c>
      <c r="O784" s="5">
        <v>70</v>
      </c>
      <c r="Q784" s="5">
        <v>1988150</v>
      </c>
      <c r="R784" s="5">
        <v>0</v>
      </c>
      <c r="S784" s="5">
        <v>1488600</v>
      </c>
      <c r="T784" s="5">
        <v>0</v>
      </c>
      <c r="V784" s="5">
        <v>1271640</v>
      </c>
      <c r="W784" s="5">
        <v>0</v>
      </c>
      <c r="X784" s="5">
        <v>5</v>
      </c>
    </row>
    <row r="785" spans="1:24" ht="12.75" customHeight="1">
      <c r="A785" s="11"/>
      <c r="B785" s="5">
        <v>2436040</v>
      </c>
      <c r="C785" s="5">
        <v>32</v>
      </c>
      <c r="D785" s="5">
        <v>2222810</v>
      </c>
      <c r="E785" s="5">
        <v>297</v>
      </c>
      <c r="G785" s="5">
        <v>2490960</v>
      </c>
      <c r="H785" s="5">
        <v>71</v>
      </c>
      <c r="I785" s="5">
        <v>1996570</v>
      </c>
      <c r="J785" s="5">
        <v>14</v>
      </c>
      <c r="L785" s="5">
        <v>2380670</v>
      </c>
      <c r="M785" s="5">
        <v>48</v>
      </c>
      <c r="N785" s="5">
        <v>1826090</v>
      </c>
      <c r="O785" s="5">
        <v>0</v>
      </c>
      <c r="Q785" s="5">
        <v>2412410</v>
      </c>
      <c r="R785" s="5">
        <v>0</v>
      </c>
      <c r="S785" s="5">
        <v>2134570</v>
      </c>
      <c r="T785" s="5">
        <v>341</v>
      </c>
      <c r="V785" s="5">
        <v>1559020</v>
      </c>
      <c r="W785" s="5">
        <v>0</v>
      </c>
      <c r="X785" s="5">
        <v>8</v>
      </c>
    </row>
    <row r="786" spans="1:24" ht="12.75" customHeight="1">
      <c r="A786" s="11"/>
      <c r="B786" s="5">
        <v>2321270</v>
      </c>
      <c r="C786" s="5">
        <v>0</v>
      </c>
      <c r="D786" s="5">
        <v>1967960</v>
      </c>
      <c r="E786" s="5">
        <v>0</v>
      </c>
      <c r="G786" s="5">
        <v>2315810</v>
      </c>
      <c r="H786" s="5">
        <v>39</v>
      </c>
      <c r="I786" s="5">
        <v>1952160</v>
      </c>
      <c r="J786" s="5">
        <v>0</v>
      </c>
      <c r="L786" s="5">
        <v>2335920</v>
      </c>
      <c r="M786" s="5">
        <v>0</v>
      </c>
      <c r="N786" s="5">
        <v>1800310</v>
      </c>
      <c r="O786" s="5">
        <v>0</v>
      </c>
      <c r="Q786" s="5">
        <v>2242250</v>
      </c>
      <c r="R786" s="5">
        <v>0</v>
      </c>
      <c r="S786" s="5">
        <v>1918490</v>
      </c>
      <c r="T786" s="5">
        <v>36</v>
      </c>
      <c r="V786" s="5">
        <v>1504610</v>
      </c>
      <c r="W786" s="5">
        <v>29</v>
      </c>
      <c r="X786" s="5">
        <v>8</v>
      </c>
    </row>
    <row r="787" spans="1:24" ht="12.75" customHeight="1">
      <c r="A787" s="11"/>
      <c r="B787" s="5">
        <v>2282760</v>
      </c>
      <c r="C787" s="5">
        <v>0</v>
      </c>
      <c r="D787" s="5">
        <v>1952460</v>
      </c>
      <c r="E787" s="5">
        <v>0</v>
      </c>
      <c r="G787" s="5">
        <v>2360480</v>
      </c>
      <c r="H787" s="5">
        <v>45</v>
      </c>
      <c r="I787" s="5">
        <v>1759940</v>
      </c>
      <c r="J787" s="5">
        <v>18</v>
      </c>
      <c r="L787" s="5">
        <v>2342440</v>
      </c>
      <c r="M787" s="5">
        <v>0</v>
      </c>
      <c r="N787" s="5">
        <v>1837070</v>
      </c>
      <c r="O787" s="5">
        <v>0</v>
      </c>
      <c r="Q787" s="5">
        <v>2239000</v>
      </c>
      <c r="R787" s="5">
        <v>0</v>
      </c>
      <c r="S787" s="5">
        <v>1825630</v>
      </c>
      <c r="T787" s="5">
        <v>0</v>
      </c>
      <c r="V787" s="5">
        <v>1582110</v>
      </c>
      <c r="W787" s="5">
        <v>186</v>
      </c>
      <c r="X787" s="5">
        <v>14</v>
      </c>
    </row>
    <row r="788" spans="1:24" ht="12.75" customHeight="1">
      <c r="A788" s="11"/>
      <c r="B788" s="5">
        <v>2112790</v>
      </c>
      <c r="C788" s="5">
        <v>0</v>
      </c>
      <c r="D788" s="5">
        <v>1744830</v>
      </c>
      <c r="E788" s="5">
        <v>0</v>
      </c>
      <c r="G788" s="5">
        <v>2113730</v>
      </c>
      <c r="H788" s="5">
        <v>0</v>
      </c>
      <c r="I788" s="5">
        <v>1774470</v>
      </c>
      <c r="J788" s="5">
        <v>0</v>
      </c>
      <c r="L788" s="5">
        <v>2071820</v>
      </c>
      <c r="M788" s="5">
        <v>10</v>
      </c>
      <c r="N788" s="5">
        <v>1747210</v>
      </c>
      <c r="O788" s="5">
        <v>109</v>
      </c>
      <c r="Q788" s="5">
        <v>2076770</v>
      </c>
      <c r="R788" s="5">
        <v>0</v>
      </c>
      <c r="S788" s="5">
        <v>1616470</v>
      </c>
      <c r="T788" s="5">
        <v>0</v>
      </c>
      <c r="V788" s="5">
        <v>1271290</v>
      </c>
      <c r="W788" s="5">
        <v>0</v>
      </c>
      <c r="X788" s="5">
        <v>6</v>
      </c>
    </row>
    <row r="789" spans="1:24" ht="12.75" customHeight="1">
      <c r="A789" s="11"/>
      <c r="B789" s="5">
        <v>2187460</v>
      </c>
      <c r="C789" s="5">
        <v>0</v>
      </c>
      <c r="D789" s="5">
        <v>1874380</v>
      </c>
      <c r="E789" s="5">
        <v>5</v>
      </c>
      <c r="G789" s="5">
        <v>2158320</v>
      </c>
      <c r="H789" s="5">
        <v>57</v>
      </c>
      <c r="I789" s="5">
        <v>1745250</v>
      </c>
      <c r="J789" s="5">
        <v>0</v>
      </c>
      <c r="L789" s="5">
        <v>2199250</v>
      </c>
      <c r="M789" s="5">
        <v>0</v>
      </c>
      <c r="N789" s="5">
        <v>1658580</v>
      </c>
      <c r="O789" s="5">
        <v>45</v>
      </c>
      <c r="Q789" s="5">
        <v>2184870</v>
      </c>
      <c r="R789" s="5">
        <v>0</v>
      </c>
      <c r="S789" s="5">
        <v>1692770</v>
      </c>
      <c r="T789" s="5">
        <v>0</v>
      </c>
      <c r="V789" s="5">
        <v>1475130</v>
      </c>
      <c r="W789" s="5">
        <v>131</v>
      </c>
      <c r="X789" s="5">
        <v>10</v>
      </c>
    </row>
    <row r="790" spans="1:24" ht="12.75" customHeight="1">
      <c r="A790" s="11"/>
      <c r="B790" s="5">
        <v>2079390</v>
      </c>
      <c r="C790" s="5">
        <v>0</v>
      </c>
      <c r="D790" s="5">
        <v>1965610</v>
      </c>
      <c r="E790" s="5">
        <v>124</v>
      </c>
      <c r="G790" s="5">
        <v>2072500</v>
      </c>
      <c r="H790" s="5">
        <v>0</v>
      </c>
      <c r="I790" s="5">
        <v>1795810</v>
      </c>
      <c r="J790" s="5">
        <v>35</v>
      </c>
      <c r="L790" s="5">
        <v>2253980</v>
      </c>
      <c r="M790" s="5">
        <v>91</v>
      </c>
      <c r="N790" s="5">
        <v>1583890</v>
      </c>
      <c r="O790" s="5">
        <v>0</v>
      </c>
      <c r="Q790" s="5">
        <v>2193330</v>
      </c>
      <c r="R790" s="5">
        <v>0</v>
      </c>
      <c r="S790" s="5">
        <v>1723630</v>
      </c>
      <c r="T790" s="5">
        <v>67</v>
      </c>
      <c r="V790" s="5">
        <v>1310770</v>
      </c>
      <c r="W790" s="5">
        <v>0</v>
      </c>
      <c r="X790" s="5">
        <v>4</v>
      </c>
    </row>
    <row r="791" spans="1:24" ht="12.75" customHeight="1">
      <c r="A791" s="11"/>
      <c r="B791" s="5">
        <v>2400150</v>
      </c>
      <c r="C791" s="5">
        <v>59</v>
      </c>
      <c r="D791" s="5">
        <v>2027300</v>
      </c>
      <c r="E791" s="5">
        <v>0</v>
      </c>
      <c r="G791" s="5">
        <v>2362560</v>
      </c>
      <c r="H791" s="5">
        <v>0</v>
      </c>
      <c r="I791" s="5">
        <v>1995280</v>
      </c>
      <c r="J791" s="5">
        <v>10</v>
      </c>
      <c r="L791" s="5">
        <v>2371220</v>
      </c>
      <c r="M791" s="5">
        <v>0</v>
      </c>
      <c r="N791" s="5">
        <v>1997390</v>
      </c>
      <c r="O791" s="5">
        <v>154</v>
      </c>
      <c r="Q791" s="5">
        <v>2408280</v>
      </c>
      <c r="R791" s="5">
        <v>0</v>
      </c>
      <c r="S791" s="5">
        <v>1794400</v>
      </c>
      <c r="T791" s="5">
        <v>0</v>
      </c>
      <c r="V791" s="5">
        <v>1452220</v>
      </c>
      <c r="W791" s="5">
        <v>0</v>
      </c>
      <c r="X791" s="5">
        <v>7</v>
      </c>
    </row>
    <row r="792" spans="1:24" ht="12.75" customHeight="1">
      <c r="A792" s="11"/>
      <c r="B792" s="5">
        <v>2195850</v>
      </c>
      <c r="C792" s="5">
        <v>0</v>
      </c>
      <c r="D792" s="5">
        <v>1719760</v>
      </c>
      <c r="E792" s="5">
        <v>0</v>
      </c>
      <c r="G792" s="5">
        <v>2148780</v>
      </c>
      <c r="H792" s="5">
        <v>0</v>
      </c>
      <c r="I792" s="5">
        <v>1830390</v>
      </c>
      <c r="J792" s="5">
        <v>41</v>
      </c>
      <c r="L792" s="5">
        <v>2179280</v>
      </c>
      <c r="M792" s="5">
        <v>0</v>
      </c>
      <c r="N792" s="5">
        <v>1653660</v>
      </c>
      <c r="O792" s="5">
        <v>0</v>
      </c>
      <c r="Q792" s="5">
        <v>2236560</v>
      </c>
      <c r="R792" s="5">
        <v>0</v>
      </c>
      <c r="S792" s="5">
        <v>1760880</v>
      </c>
      <c r="T792" s="5">
        <v>0</v>
      </c>
      <c r="V792" s="5">
        <v>1370550</v>
      </c>
      <c r="W792" s="5">
        <v>0</v>
      </c>
      <c r="X792" s="5">
        <v>7</v>
      </c>
    </row>
    <row r="793" spans="1:24" ht="12.75" customHeight="1">
      <c r="A793" s="11"/>
      <c r="B793" s="5">
        <v>2203100</v>
      </c>
      <c r="C793" s="5">
        <v>0</v>
      </c>
      <c r="D793" s="5">
        <v>1983720</v>
      </c>
      <c r="E793" s="5">
        <v>0</v>
      </c>
      <c r="G793" s="5">
        <v>2230570</v>
      </c>
      <c r="H793" s="5">
        <v>0</v>
      </c>
      <c r="I793" s="5">
        <v>1867100</v>
      </c>
      <c r="J793" s="5">
        <v>0</v>
      </c>
      <c r="L793" s="5">
        <v>2281720</v>
      </c>
      <c r="M793" s="5">
        <v>0</v>
      </c>
      <c r="N793" s="5">
        <v>1897910</v>
      </c>
      <c r="O793" s="5">
        <v>0</v>
      </c>
      <c r="Q793" s="5">
        <v>2230950</v>
      </c>
      <c r="R793" s="5">
        <v>0</v>
      </c>
      <c r="S793" s="5">
        <v>1791340</v>
      </c>
      <c r="T793" s="5">
        <v>0</v>
      </c>
      <c r="V793" s="5">
        <v>1407630</v>
      </c>
      <c r="W793" s="5">
        <v>0</v>
      </c>
      <c r="X793" s="5">
        <v>6</v>
      </c>
    </row>
    <row r="794" spans="1:24" ht="12.75" customHeight="1">
      <c r="A794" s="11"/>
      <c r="B794" s="5">
        <v>2236310</v>
      </c>
      <c r="C794" s="5">
        <v>0</v>
      </c>
      <c r="D794" s="5">
        <v>1899630</v>
      </c>
      <c r="E794" s="5">
        <v>29</v>
      </c>
      <c r="G794" s="5">
        <v>2260930</v>
      </c>
      <c r="H794" s="5">
        <v>0</v>
      </c>
      <c r="I794" s="5">
        <v>1927810</v>
      </c>
      <c r="J794" s="5">
        <v>0</v>
      </c>
      <c r="L794" s="5">
        <v>2297230</v>
      </c>
      <c r="M794" s="5">
        <v>0</v>
      </c>
      <c r="N794" s="5">
        <v>1848180</v>
      </c>
      <c r="O794" s="5">
        <v>73</v>
      </c>
      <c r="Q794" s="5">
        <v>2310470</v>
      </c>
      <c r="R794" s="5">
        <v>0</v>
      </c>
      <c r="S794" s="5">
        <v>1660430</v>
      </c>
      <c r="T794" s="5">
        <v>41</v>
      </c>
      <c r="V794" s="5">
        <v>1385900</v>
      </c>
      <c r="W794" s="5">
        <v>0</v>
      </c>
      <c r="X794" s="5">
        <v>4</v>
      </c>
    </row>
    <row r="795" spans="1:24" ht="12.75" customHeight="1">
      <c r="A795" s="11"/>
      <c r="B795" s="5">
        <v>2056120</v>
      </c>
      <c r="C795" s="5">
        <v>0</v>
      </c>
      <c r="D795" s="5">
        <v>1848780</v>
      </c>
      <c r="E795" s="5">
        <v>0</v>
      </c>
      <c r="G795" s="5">
        <v>2109780</v>
      </c>
      <c r="H795" s="5">
        <v>13</v>
      </c>
      <c r="I795" s="5">
        <v>1743250</v>
      </c>
      <c r="J795" s="5">
        <v>0</v>
      </c>
      <c r="L795" s="5">
        <v>2091480</v>
      </c>
      <c r="M795" s="5">
        <v>0</v>
      </c>
      <c r="N795" s="5">
        <v>1584660</v>
      </c>
      <c r="O795" s="5">
        <v>0</v>
      </c>
      <c r="Q795" s="5">
        <v>2156920</v>
      </c>
      <c r="R795" s="5">
        <v>0</v>
      </c>
      <c r="S795" s="5">
        <v>1632940</v>
      </c>
      <c r="T795" s="5">
        <v>23</v>
      </c>
      <c r="V795" s="5">
        <v>1305790</v>
      </c>
      <c r="W795" s="5">
        <v>0</v>
      </c>
      <c r="X795" s="5">
        <v>6</v>
      </c>
    </row>
    <row r="796" spans="1:24" ht="12.75" customHeight="1">
      <c r="A796" s="11"/>
      <c r="B796" s="5">
        <v>2193560</v>
      </c>
      <c r="C796" s="5">
        <v>0</v>
      </c>
      <c r="D796" s="5">
        <v>1940860</v>
      </c>
      <c r="E796" s="5">
        <v>34</v>
      </c>
      <c r="G796" s="5">
        <v>2167130</v>
      </c>
      <c r="H796" s="5">
        <v>4</v>
      </c>
      <c r="I796" s="5">
        <v>1967070</v>
      </c>
      <c r="J796" s="5">
        <v>79</v>
      </c>
      <c r="L796" s="5">
        <v>2222460</v>
      </c>
      <c r="M796" s="5">
        <v>0</v>
      </c>
      <c r="N796" s="5">
        <v>1553950</v>
      </c>
      <c r="O796" s="5">
        <v>0</v>
      </c>
      <c r="Q796" s="5">
        <v>2194170</v>
      </c>
      <c r="R796" s="5">
        <v>5</v>
      </c>
      <c r="S796" s="5">
        <v>1747570</v>
      </c>
      <c r="T796" s="5">
        <v>56</v>
      </c>
      <c r="V796" s="5">
        <v>1433840</v>
      </c>
      <c r="W796" s="5">
        <v>50</v>
      </c>
      <c r="X796" s="5">
        <v>10</v>
      </c>
    </row>
    <row r="797" spans="1:24" ht="12.75" customHeight="1">
      <c r="A797" s="11"/>
      <c r="B797" s="5">
        <v>2278760</v>
      </c>
      <c r="C797" s="5">
        <v>12</v>
      </c>
      <c r="D797" s="5">
        <v>1893940</v>
      </c>
      <c r="E797" s="5">
        <v>0</v>
      </c>
      <c r="G797" s="5">
        <v>2250550</v>
      </c>
      <c r="H797" s="5">
        <v>0</v>
      </c>
      <c r="I797" s="5">
        <v>1827670</v>
      </c>
      <c r="J797" s="5">
        <v>0</v>
      </c>
      <c r="L797" s="5">
        <v>2372360</v>
      </c>
      <c r="M797" s="5">
        <v>74</v>
      </c>
      <c r="N797" s="5">
        <v>1825950</v>
      </c>
      <c r="O797" s="5">
        <v>0</v>
      </c>
      <c r="Q797" s="5">
        <v>2238500</v>
      </c>
      <c r="R797" s="5">
        <v>0</v>
      </c>
      <c r="S797" s="5">
        <v>1674570</v>
      </c>
      <c r="T797" s="5">
        <v>0</v>
      </c>
      <c r="V797" s="5">
        <v>1522680</v>
      </c>
      <c r="W797" s="5">
        <v>57</v>
      </c>
      <c r="X797" s="5">
        <v>9</v>
      </c>
    </row>
    <row r="798" spans="1:24" ht="12.75" customHeight="1">
      <c r="A798" s="11"/>
      <c r="B798" s="5">
        <v>2092680</v>
      </c>
      <c r="C798" s="5">
        <v>0</v>
      </c>
      <c r="D798" s="5">
        <v>1752830</v>
      </c>
      <c r="E798" s="5">
        <v>0</v>
      </c>
      <c r="G798" s="5">
        <v>2024400</v>
      </c>
      <c r="H798" s="5">
        <v>0</v>
      </c>
      <c r="I798" s="5">
        <v>1634470</v>
      </c>
      <c r="J798" s="5">
        <v>0</v>
      </c>
      <c r="L798" s="5">
        <v>2070480</v>
      </c>
      <c r="M798" s="5">
        <v>0</v>
      </c>
      <c r="N798" s="5">
        <v>1593750</v>
      </c>
      <c r="O798" s="5">
        <v>0</v>
      </c>
      <c r="Q798" s="5">
        <v>2058160</v>
      </c>
      <c r="R798" s="5">
        <v>0</v>
      </c>
      <c r="S798" s="5">
        <v>1504800</v>
      </c>
      <c r="T798" s="5">
        <v>0</v>
      </c>
      <c r="V798" s="5">
        <v>1298890</v>
      </c>
      <c r="W798" s="5">
        <v>0</v>
      </c>
      <c r="X798" s="5">
        <v>5</v>
      </c>
    </row>
    <row r="799" spans="1:24" ht="12.75" customHeight="1">
      <c r="A799" s="11"/>
      <c r="B799" s="5">
        <v>2229360</v>
      </c>
      <c r="C799" s="5">
        <v>0</v>
      </c>
      <c r="D799" s="5">
        <v>1916850</v>
      </c>
      <c r="E799" s="5">
        <v>0</v>
      </c>
      <c r="G799" s="5">
        <v>2193800</v>
      </c>
      <c r="H799" s="5">
        <v>0</v>
      </c>
      <c r="I799" s="5">
        <v>1865960</v>
      </c>
      <c r="J799" s="5">
        <v>0</v>
      </c>
      <c r="L799" s="5">
        <v>2296570</v>
      </c>
      <c r="M799" s="5">
        <v>0</v>
      </c>
      <c r="N799" s="5">
        <v>1863700</v>
      </c>
      <c r="O799" s="5">
        <v>0</v>
      </c>
      <c r="Q799" s="5">
        <v>2240480</v>
      </c>
      <c r="R799" s="5">
        <v>0</v>
      </c>
      <c r="S799" s="5">
        <v>1735460</v>
      </c>
      <c r="T799" s="5">
        <v>0</v>
      </c>
      <c r="V799" s="5">
        <v>1397800</v>
      </c>
      <c r="W799" s="5">
        <v>0</v>
      </c>
      <c r="X799" s="5">
        <v>5</v>
      </c>
    </row>
    <row r="800" spans="1:24" ht="12.75" customHeight="1">
      <c r="A800" s="11"/>
      <c r="B800" s="5">
        <v>2310580</v>
      </c>
      <c r="C800" s="5">
        <v>0</v>
      </c>
      <c r="D800" s="5">
        <v>2029610</v>
      </c>
      <c r="E800" s="5">
        <v>0</v>
      </c>
      <c r="G800" s="5">
        <v>2327910</v>
      </c>
      <c r="H800" s="5">
        <v>0</v>
      </c>
      <c r="I800" s="5">
        <v>1880370</v>
      </c>
      <c r="J800" s="5">
        <v>0</v>
      </c>
      <c r="L800" s="5">
        <v>2358350</v>
      </c>
      <c r="M800" s="5">
        <v>53</v>
      </c>
      <c r="N800" s="5">
        <v>1901000</v>
      </c>
      <c r="O800" s="5">
        <v>0</v>
      </c>
      <c r="Q800" s="5">
        <v>2254560</v>
      </c>
      <c r="R800" s="5">
        <v>23</v>
      </c>
      <c r="S800" s="5">
        <v>1784210</v>
      </c>
      <c r="T800" s="5">
        <v>8</v>
      </c>
      <c r="V800" s="5">
        <v>1404840</v>
      </c>
      <c r="W800" s="5">
        <v>0</v>
      </c>
      <c r="X800" s="5">
        <v>9</v>
      </c>
    </row>
    <row r="801" spans="1:24" ht="12.75" customHeight="1">
      <c r="A801" s="11"/>
      <c r="B801" s="5">
        <v>2101050</v>
      </c>
      <c r="C801" s="5">
        <v>0</v>
      </c>
      <c r="D801" s="5">
        <v>1787180</v>
      </c>
      <c r="E801" s="5">
        <v>0</v>
      </c>
      <c r="G801" s="5">
        <v>2084890</v>
      </c>
      <c r="H801" s="5">
        <v>0</v>
      </c>
      <c r="I801" s="5">
        <v>1793730</v>
      </c>
      <c r="J801" s="5">
        <v>0</v>
      </c>
      <c r="L801" s="5">
        <v>2114170</v>
      </c>
      <c r="M801" s="5">
        <v>0</v>
      </c>
      <c r="N801" s="5">
        <v>1788080</v>
      </c>
      <c r="O801" s="5">
        <v>74</v>
      </c>
      <c r="Q801" s="5">
        <v>2086350</v>
      </c>
      <c r="R801" s="5">
        <v>0</v>
      </c>
      <c r="S801" s="5">
        <v>1581040</v>
      </c>
      <c r="T801" s="5">
        <v>0</v>
      </c>
      <c r="V801" s="5">
        <v>1272740</v>
      </c>
      <c r="W801" s="5">
        <v>0</v>
      </c>
      <c r="X801" s="5">
        <v>5</v>
      </c>
    </row>
    <row r="802" spans="1:24" ht="12.75" customHeight="1">
      <c r="A802" s="11"/>
      <c r="B802" s="5">
        <v>2282700</v>
      </c>
      <c r="C802" s="5">
        <v>0</v>
      </c>
      <c r="D802" s="5">
        <v>2034740</v>
      </c>
      <c r="E802" s="5">
        <v>13</v>
      </c>
      <c r="G802" s="5">
        <v>2223040</v>
      </c>
      <c r="H802" s="5">
        <v>0</v>
      </c>
      <c r="I802" s="5">
        <v>2065410</v>
      </c>
      <c r="J802" s="5">
        <v>26</v>
      </c>
      <c r="L802" s="5">
        <v>2287430</v>
      </c>
      <c r="M802" s="5">
        <v>0</v>
      </c>
      <c r="N802" s="5">
        <v>1733050</v>
      </c>
      <c r="O802" s="5">
        <v>0</v>
      </c>
      <c r="Q802" s="5">
        <v>2294760</v>
      </c>
      <c r="R802" s="5">
        <v>0</v>
      </c>
      <c r="S802" s="5">
        <v>1727870</v>
      </c>
      <c r="T802" s="5">
        <v>0</v>
      </c>
      <c r="V802" s="5">
        <v>1453190</v>
      </c>
      <c r="W802" s="5">
        <v>76</v>
      </c>
      <c r="X802" s="5">
        <v>12</v>
      </c>
    </row>
    <row r="803" spans="1:24" ht="12.75" customHeight="1">
      <c r="A803" s="11"/>
      <c r="B803" s="5">
        <v>2113420</v>
      </c>
      <c r="C803" s="5">
        <v>0</v>
      </c>
      <c r="D803" s="5">
        <v>1669010</v>
      </c>
      <c r="E803" s="5">
        <v>0</v>
      </c>
      <c r="G803" s="5">
        <v>2081340</v>
      </c>
      <c r="H803" s="5">
        <v>0</v>
      </c>
      <c r="I803" s="5">
        <v>1714540</v>
      </c>
      <c r="J803" s="5">
        <v>0</v>
      </c>
      <c r="L803" s="5">
        <v>2105970</v>
      </c>
      <c r="M803" s="5">
        <v>0</v>
      </c>
      <c r="N803" s="5">
        <v>1606000</v>
      </c>
      <c r="O803" s="5">
        <v>0</v>
      </c>
      <c r="Q803" s="5">
        <v>2128140</v>
      </c>
      <c r="R803" s="5">
        <v>0</v>
      </c>
      <c r="S803" s="5">
        <v>1620880</v>
      </c>
      <c r="T803" s="5">
        <v>0</v>
      </c>
      <c r="V803" s="5">
        <v>1506830</v>
      </c>
      <c r="W803" s="5">
        <v>109</v>
      </c>
      <c r="X803" s="5">
        <v>13</v>
      </c>
    </row>
    <row r="804" spans="1:24" ht="12.75" customHeight="1">
      <c r="A804" s="11"/>
      <c r="B804" s="5">
        <v>2311150</v>
      </c>
      <c r="C804" s="5">
        <v>0</v>
      </c>
      <c r="D804" s="5">
        <v>1977600</v>
      </c>
      <c r="E804" s="5">
        <v>75</v>
      </c>
      <c r="G804" s="5">
        <v>2315530</v>
      </c>
      <c r="H804" s="5">
        <v>0</v>
      </c>
      <c r="I804" s="5">
        <v>1903970</v>
      </c>
      <c r="J804" s="5">
        <v>57</v>
      </c>
      <c r="L804" s="5">
        <v>2313950</v>
      </c>
      <c r="M804" s="5">
        <v>32</v>
      </c>
      <c r="N804" s="5">
        <v>1893550</v>
      </c>
      <c r="O804" s="5">
        <v>0</v>
      </c>
      <c r="Q804" s="5">
        <v>2367030</v>
      </c>
      <c r="R804" s="5">
        <v>49</v>
      </c>
      <c r="S804" s="5">
        <v>1798050</v>
      </c>
      <c r="T804" s="5">
        <v>0</v>
      </c>
      <c r="V804" s="5">
        <v>1642920</v>
      </c>
      <c r="W804" s="5">
        <v>175</v>
      </c>
      <c r="X804" s="5">
        <v>17</v>
      </c>
    </row>
    <row r="805" spans="1:24" ht="12.75" customHeight="1">
      <c r="A805" s="11"/>
      <c r="B805" s="5">
        <v>2160490</v>
      </c>
      <c r="C805" s="5">
        <v>0</v>
      </c>
      <c r="D805" s="5">
        <v>1905020</v>
      </c>
      <c r="E805" s="5">
        <v>0</v>
      </c>
      <c r="G805" s="5">
        <v>2139310</v>
      </c>
      <c r="H805" s="5">
        <v>0</v>
      </c>
      <c r="I805" s="5">
        <v>1916300</v>
      </c>
      <c r="J805" s="5">
        <v>0</v>
      </c>
      <c r="L805" s="5">
        <v>2176370</v>
      </c>
      <c r="M805" s="5">
        <v>0</v>
      </c>
      <c r="N805" s="5">
        <v>1563830</v>
      </c>
      <c r="O805" s="5">
        <v>0</v>
      </c>
      <c r="Q805" s="5">
        <v>2121570</v>
      </c>
      <c r="R805" s="5">
        <v>0</v>
      </c>
      <c r="S805" s="5">
        <v>1667310</v>
      </c>
      <c r="T805" s="5">
        <v>0</v>
      </c>
      <c r="V805" s="5">
        <v>1306770</v>
      </c>
      <c r="W805" s="5">
        <v>0</v>
      </c>
      <c r="X805" s="5">
        <v>4</v>
      </c>
    </row>
    <row r="806" spans="1:24" ht="12.75" customHeight="1">
      <c r="A806" s="11"/>
      <c r="B806" s="5">
        <v>2326000</v>
      </c>
      <c r="C806" s="5">
        <v>0</v>
      </c>
      <c r="D806" s="5">
        <v>1948800</v>
      </c>
      <c r="E806" s="5">
        <v>0</v>
      </c>
      <c r="G806" s="5">
        <v>2309330</v>
      </c>
      <c r="H806" s="5">
        <v>0</v>
      </c>
      <c r="I806" s="5">
        <v>1987440</v>
      </c>
      <c r="J806" s="5">
        <v>34</v>
      </c>
      <c r="L806" s="5">
        <v>2330260</v>
      </c>
      <c r="M806" s="5">
        <v>0</v>
      </c>
      <c r="N806" s="5">
        <v>2012360</v>
      </c>
      <c r="O806" s="5">
        <v>221</v>
      </c>
      <c r="Q806" s="5">
        <v>2482590</v>
      </c>
      <c r="R806" s="5">
        <v>154</v>
      </c>
      <c r="S806" s="5">
        <v>1830270</v>
      </c>
      <c r="T806" s="5">
        <v>0</v>
      </c>
      <c r="V806" s="5">
        <v>1564600</v>
      </c>
      <c r="W806" s="5">
        <v>0</v>
      </c>
      <c r="X806" s="5">
        <v>4</v>
      </c>
    </row>
    <row r="807" spans="1:24" ht="12.75" customHeight="1">
      <c r="A807" s="11"/>
      <c r="B807" s="5">
        <v>2383160</v>
      </c>
      <c r="C807" s="5">
        <v>0</v>
      </c>
      <c r="D807" s="5">
        <v>2121590</v>
      </c>
      <c r="E807" s="5">
        <v>0</v>
      </c>
      <c r="G807" s="5">
        <v>2394560</v>
      </c>
      <c r="H807" s="5">
        <v>0</v>
      </c>
      <c r="I807" s="5">
        <v>1940070</v>
      </c>
      <c r="J807" s="5">
        <v>0</v>
      </c>
      <c r="L807" s="5">
        <v>2350460</v>
      </c>
      <c r="M807" s="5">
        <v>0</v>
      </c>
      <c r="N807" s="5">
        <v>1817000</v>
      </c>
      <c r="O807" s="5">
        <v>0</v>
      </c>
      <c r="Q807" s="5">
        <v>2408070</v>
      </c>
      <c r="R807" s="5">
        <v>46</v>
      </c>
      <c r="S807" s="5">
        <v>1700540</v>
      </c>
      <c r="T807" s="5">
        <v>0</v>
      </c>
      <c r="V807" s="5">
        <v>1561160</v>
      </c>
      <c r="W807" s="5">
        <v>0</v>
      </c>
      <c r="X807" s="5">
        <v>5</v>
      </c>
    </row>
    <row r="808" spans="1:24" ht="12.75" customHeight="1">
      <c r="A808" s="11"/>
      <c r="B808" s="5">
        <v>2175190</v>
      </c>
      <c r="C808" s="5">
        <v>0</v>
      </c>
      <c r="D808" s="5">
        <v>1768710</v>
      </c>
      <c r="E808" s="5">
        <v>0</v>
      </c>
      <c r="G808" s="5">
        <v>2182270</v>
      </c>
      <c r="H808" s="5">
        <v>0</v>
      </c>
      <c r="I808" s="5">
        <v>1905750</v>
      </c>
      <c r="J808" s="5">
        <v>0</v>
      </c>
      <c r="L808" s="5">
        <v>2199920</v>
      </c>
      <c r="M808" s="5">
        <v>0</v>
      </c>
      <c r="N808" s="5">
        <v>1539180</v>
      </c>
      <c r="O808" s="5">
        <v>0</v>
      </c>
      <c r="Q808" s="5">
        <v>2188670</v>
      </c>
      <c r="R808" s="5">
        <v>0</v>
      </c>
      <c r="S808" s="5">
        <v>1504890</v>
      </c>
      <c r="T808" s="5">
        <v>0</v>
      </c>
      <c r="V808" s="5">
        <v>1286830</v>
      </c>
      <c r="W808" s="5">
        <v>23</v>
      </c>
      <c r="X808" s="5">
        <v>11</v>
      </c>
    </row>
    <row r="809" spans="1:24" ht="12.75" customHeight="1">
      <c r="A809" s="11"/>
      <c r="B809" s="5">
        <v>2274880</v>
      </c>
      <c r="C809" s="5">
        <v>39</v>
      </c>
      <c r="D809" s="5">
        <v>1903300</v>
      </c>
      <c r="E809" s="5">
        <v>0</v>
      </c>
      <c r="G809" s="5">
        <v>2248620</v>
      </c>
      <c r="H809" s="5">
        <v>0</v>
      </c>
      <c r="I809" s="5">
        <v>1918890</v>
      </c>
      <c r="J809" s="5">
        <v>0</v>
      </c>
      <c r="L809" s="5">
        <v>2284110</v>
      </c>
      <c r="M809" s="5">
        <v>0</v>
      </c>
      <c r="N809" s="5">
        <v>1609610</v>
      </c>
      <c r="O809" s="5">
        <v>0</v>
      </c>
      <c r="Q809" s="5">
        <v>2347040</v>
      </c>
      <c r="R809" s="5">
        <v>0</v>
      </c>
      <c r="S809" s="5">
        <v>1815270</v>
      </c>
      <c r="T809" s="5">
        <v>0</v>
      </c>
      <c r="V809" s="5">
        <v>1442320</v>
      </c>
      <c r="W809" s="5">
        <v>0</v>
      </c>
      <c r="X809" s="5">
        <v>4</v>
      </c>
    </row>
    <row r="810" spans="1:24" ht="12.75" customHeight="1">
      <c r="A810" s="11"/>
      <c r="B810" s="5">
        <v>2199580</v>
      </c>
      <c r="C810" s="5">
        <v>0</v>
      </c>
      <c r="D810" s="5">
        <v>1827220</v>
      </c>
      <c r="E810" s="5">
        <v>0</v>
      </c>
      <c r="G810" s="5">
        <v>2229820</v>
      </c>
      <c r="H810" s="5">
        <v>0</v>
      </c>
      <c r="I810" s="5">
        <v>1876620</v>
      </c>
      <c r="J810" s="5">
        <v>0</v>
      </c>
      <c r="L810" s="5">
        <v>2178610</v>
      </c>
      <c r="M810" s="5">
        <v>0</v>
      </c>
      <c r="N810" s="5">
        <v>1613000</v>
      </c>
      <c r="O810" s="5">
        <v>0</v>
      </c>
      <c r="Q810" s="5">
        <v>2172340</v>
      </c>
      <c r="R810" s="5">
        <v>0</v>
      </c>
      <c r="S810" s="5">
        <v>1840620</v>
      </c>
      <c r="T810" s="5">
        <v>0</v>
      </c>
      <c r="V810" s="5">
        <v>1388600</v>
      </c>
      <c r="W810" s="5">
        <v>0</v>
      </c>
      <c r="X810" s="5">
        <v>8</v>
      </c>
    </row>
    <row r="811" spans="1:24" ht="12.75" customHeight="1">
      <c r="A811" s="11"/>
      <c r="B811" s="5">
        <v>2319690</v>
      </c>
      <c r="C811" s="5">
        <v>0</v>
      </c>
      <c r="D811" s="5">
        <v>2086910</v>
      </c>
      <c r="E811" s="5">
        <v>0</v>
      </c>
      <c r="G811" s="5">
        <v>2447530</v>
      </c>
      <c r="H811" s="5">
        <v>134</v>
      </c>
      <c r="I811" s="5">
        <v>2188700</v>
      </c>
      <c r="J811" s="5">
        <v>221</v>
      </c>
      <c r="L811" s="5">
        <v>2427590</v>
      </c>
      <c r="M811" s="5">
        <v>0</v>
      </c>
      <c r="N811" s="5">
        <v>1875060</v>
      </c>
      <c r="O811" s="5">
        <v>45</v>
      </c>
      <c r="Q811" s="5">
        <v>2331730</v>
      </c>
      <c r="R811" s="5">
        <v>0</v>
      </c>
      <c r="S811" s="5">
        <v>1829070</v>
      </c>
      <c r="T811" s="5">
        <v>84</v>
      </c>
      <c r="V811" s="5">
        <v>1420890</v>
      </c>
      <c r="W811" s="5">
        <v>0</v>
      </c>
      <c r="X811" s="5">
        <v>5</v>
      </c>
    </row>
    <row r="812" spans="1:24" ht="12.75" customHeight="1">
      <c r="A812" s="11"/>
      <c r="B812" s="5">
        <v>2104420</v>
      </c>
      <c r="C812" s="5">
        <v>0</v>
      </c>
      <c r="D812" s="5">
        <v>1849100</v>
      </c>
      <c r="E812" s="5">
        <v>0</v>
      </c>
      <c r="G812" s="5">
        <v>2091190</v>
      </c>
      <c r="H812" s="5">
        <v>0</v>
      </c>
      <c r="I812" s="5">
        <v>1724700</v>
      </c>
      <c r="J812" s="5">
        <v>0</v>
      </c>
      <c r="L812" s="5">
        <v>2081450</v>
      </c>
      <c r="M812" s="5">
        <v>0</v>
      </c>
      <c r="N812" s="5">
        <v>1671970</v>
      </c>
      <c r="O812" s="5">
        <v>0</v>
      </c>
      <c r="Q812" s="5">
        <v>2130380</v>
      </c>
      <c r="R812" s="5">
        <v>0</v>
      </c>
      <c r="S812" s="5">
        <v>1670450</v>
      </c>
      <c r="T812" s="5">
        <v>0</v>
      </c>
      <c r="V812" s="5">
        <v>1346880</v>
      </c>
      <c r="W812" s="5">
        <v>0</v>
      </c>
      <c r="X812" s="5">
        <v>3</v>
      </c>
    </row>
    <row r="813" spans="1:24" ht="12.75" customHeight="1">
      <c r="A813" s="11"/>
      <c r="B813" s="5">
        <v>2300120</v>
      </c>
      <c r="C813" s="5">
        <v>0</v>
      </c>
      <c r="D813" s="5">
        <v>2050500</v>
      </c>
      <c r="E813" s="5">
        <v>0</v>
      </c>
      <c r="G813" s="5">
        <v>2308520</v>
      </c>
      <c r="H813" s="5">
        <v>0</v>
      </c>
      <c r="I813" s="5">
        <v>1922210</v>
      </c>
      <c r="J813" s="5">
        <v>0</v>
      </c>
      <c r="L813" s="5">
        <v>2351230</v>
      </c>
      <c r="M813" s="5">
        <v>0</v>
      </c>
      <c r="N813" s="5">
        <v>1931700</v>
      </c>
      <c r="O813" s="5">
        <v>0</v>
      </c>
      <c r="Q813" s="5">
        <v>2341030</v>
      </c>
      <c r="R813" s="5">
        <v>0</v>
      </c>
      <c r="S813" s="5">
        <v>1926610</v>
      </c>
      <c r="T813" s="5">
        <v>0</v>
      </c>
      <c r="V813" s="5">
        <v>1554120</v>
      </c>
      <c r="W813" s="5">
        <v>0</v>
      </c>
      <c r="X813" s="5">
        <v>4</v>
      </c>
    </row>
    <row r="814" spans="1:24" ht="12.75" customHeight="1">
      <c r="A814" s="11"/>
      <c r="B814" s="5">
        <v>2383530</v>
      </c>
      <c r="C814" s="5">
        <v>0</v>
      </c>
      <c r="D814" s="5">
        <v>2012990</v>
      </c>
      <c r="E814" s="5">
        <v>0</v>
      </c>
      <c r="G814" s="5">
        <v>2499040</v>
      </c>
      <c r="H814" s="5">
        <v>0</v>
      </c>
      <c r="I814" s="5">
        <v>2165770</v>
      </c>
      <c r="J814" s="5">
        <v>0</v>
      </c>
      <c r="L814" s="5">
        <v>2456610</v>
      </c>
      <c r="M814" s="5">
        <v>0</v>
      </c>
      <c r="N814" s="5">
        <v>2001330</v>
      </c>
      <c r="O814" s="5">
        <v>0</v>
      </c>
      <c r="Q814" s="5">
        <v>2538730</v>
      </c>
      <c r="R814" s="5">
        <v>0</v>
      </c>
      <c r="S814" s="5">
        <v>1889050</v>
      </c>
      <c r="T814" s="5">
        <v>0</v>
      </c>
      <c r="V814" s="5">
        <v>1622950</v>
      </c>
      <c r="W814" s="5">
        <v>0</v>
      </c>
      <c r="X814" s="5">
        <v>4</v>
      </c>
    </row>
    <row r="815" spans="1:24" ht="12.75" customHeight="1">
      <c r="A815" s="11"/>
      <c r="B815" s="5">
        <v>2349740</v>
      </c>
      <c r="C815" s="5">
        <v>0</v>
      </c>
      <c r="D815" s="5">
        <v>2035200</v>
      </c>
      <c r="E815" s="5">
        <v>0</v>
      </c>
      <c r="G815" s="5">
        <v>2369450</v>
      </c>
      <c r="H815" s="5">
        <v>0</v>
      </c>
      <c r="I815" s="5">
        <v>1946930</v>
      </c>
      <c r="J815" s="5">
        <v>0</v>
      </c>
      <c r="L815" s="5">
        <v>2376790</v>
      </c>
      <c r="M815" s="5">
        <v>0</v>
      </c>
      <c r="N815" s="5">
        <v>1859070</v>
      </c>
      <c r="O815" s="5">
        <v>0</v>
      </c>
      <c r="Q815" s="5">
        <v>2312180</v>
      </c>
      <c r="R815" s="5">
        <v>0</v>
      </c>
      <c r="S815" s="5">
        <v>1872870</v>
      </c>
      <c r="T815" s="5">
        <v>0</v>
      </c>
      <c r="V815" s="5">
        <v>1552570</v>
      </c>
      <c r="W815" s="5">
        <v>0</v>
      </c>
      <c r="X815" s="5">
        <v>5</v>
      </c>
    </row>
    <row r="816" spans="1:24" ht="12.75" customHeight="1">
      <c r="A816" s="11"/>
      <c r="B816" s="5">
        <v>2362340</v>
      </c>
      <c r="C816" s="5">
        <v>0</v>
      </c>
      <c r="D816" s="5">
        <v>1936820</v>
      </c>
      <c r="E816" s="5">
        <v>0</v>
      </c>
      <c r="G816" s="5">
        <v>2388110</v>
      </c>
      <c r="H816" s="5">
        <v>0</v>
      </c>
      <c r="I816" s="5">
        <v>2157550</v>
      </c>
      <c r="J816" s="5">
        <v>0</v>
      </c>
      <c r="L816" s="5">
        <v>2325070</v>
      </c>
      <c r="M816" s="5">
        <v>0</v>
      </c>
      <c r="N816" s="5">
        <v>1973180</v>
      </c>
      <c r="O816" s="5">
        <v>143</v>
      </c>
      <c r="Q816" s="5">
        <v>2493540</v>
      </c>
      <c r="R816" s="5">
        <v>124</v>
      </c>
      <c r="S816" s="5">
        <v>1796510</v>
      </c>
      <c r="T816" s="5">
        <v>0</v>
      </c>
      <c r="V816" s="5">
        <v>1522060</v>
      </c>
      <c r="W816" s="5">
        <v>0</v>
      </c>
      <c r="X816" s="5">
        <v>5</v>
      </c>
    </row>
    <row r="817" spans="1:24" ht="12.75" customHeight="1">
      <c r="A817" s="11"/>
      <c r="B817" s="5">
        <v>2262030</v>
      </c>
      <c r="C817" s="5">
        <v>0</v>
      </c>
      <c r="D817" s="5">
        <v>2006650</v>
      </c>
      <c r="E817" s="5">
        <v>91</v>
      </c>
      <c r="G817" s="5">
        <v>2390500</v>
      </c>
      <c r="H817" s="5">
        <v>56</v>
      </c>
      <c r="I817" s="5">
        <v>2029930</v>
      </c>
      <c r="J817" s="5">
        <v>0</v>
      </c>
      <c r="L817" s="5">
        <v>2328570</v>
      </c>
      <c r="M817" s="5">
        <v>41</v>
      </c>
      <c r="N817" s="5">
        <v>1768770</v>
      </c>
      <c r="O817" s="5">
        <v>0</v>
      </c>
      <c r="Q817" s="5">
        <v>2345160</v>
      </c>
      <c r="R817" s="5">
        <v>0</v>
      </c>
      <c r="S817" s="5">
        <v>1814660</v>
      </c>
      <c r="T817" s="5">
        <v>0</v>
      </c>
      <c r="V817" s="5">
        <v>1478460</v>
      </c>
      <c r="W817" s="5">
        <v>21</v>
      </c>
      <c r="X817" s="5">
        <v>14</v>
      </c>
    </row>
    <row r="818" spans="1:24" ht="12.75" customHeight="1">
      <c r="A818" s="11"/>
      <c r="B818" s="5">
        <v>2336170</v>
      </c>
      <c r="C818" s="5">
        <v>0</v>
      </c>
      <c r="D818" s="5">
        <v>1932190</v>
      </c>
      <c r="E818" s="5">
        <v>0</v>
      </c>
      <c r="G818" s="5">
        <v>2322300</v>
      </c>
      <c r="H818" s="5">
        <v>0</v>
      </c>
      <c r="I818" s="5">
        <v>1957700</v>
      </c>
      <c r="J818" s="5">
        <v>0</v>
      </c>
      <c r="L818" s="5">
        <v>2375720</v>
      </c>
      <c r="M818" s="5">
        <v>0</v>
      </c>
      <c r="N818" s="5">
        <v>1779380</v>
      </c>
      <c r="O818" s="5">
        <v>0</v>
      </c>
      <c r="Q818" s="5">
        <v>2388690</v>
      </c>
      <c r="R818" s="5">
        <v>0</v>
      </c>
      <c r="S818" s="5">
        <v>1810790</v>
      </c>
      <c r="T818" s="5">
        <v>0</v>
      </c>
      <c r="V818" s="5">
        <v>1591000</v>
      </c>
      <c r="W818" s="5">
        <v>0</v>
      </c>
      <c r="X818" s="5">
        <v>7</v>
      </c>
    </row>
    <row r="819" spans="1:24" ht="12.75" customHeight="1">
      <c r="A819" s="11"/>
      <c r="B819" s="5">
        <v>2252690</v>
      </c>
      <c r="C819" s="5">
        <v>0</v>
      </c>
      <c r="D819" s="5">
        <v>1903970</v>
      </c>
      <c r="E819" s="5">
        <v>0</v>
      </c>
      <c r="G819" s="5">
        <v>2252240</v>
      </c>
      <c r="H819" s="5">
        <v>0</v>
      </c>
      <c r="I819" s="5">
        <v>2062090</v>
      </c>
      <c r="J819" s="5">
        <v>0</v>
      </c>
      <c r="L819" s="5">
        <v>2313700</v>
      </c>
      <c r="M819" s="5">
        <v>0</v>
      </c>
      <c r="N819" s="5">
        <v>1748620</v>
      </c>
      <c r="O819" s="5">
        <v>0</v>
      </c>
      <c r="Q819" s="5">
        <v>2287640</v>
      </c>
      <c r="R819" s="5">
        <v>0</v>
      </c>
      <c r="S819" s="5">
        <v>1737340</v>
      </c>
      <c r="T819" s="5">
        <v>0</v>
      </c>
      <c r="V819" s="5">
        <v>1411650</v>
      </c>
      <c r="W819" s="5">
        <v>0</v>
      </c>
      <c r="X819" s="5">
        <v>6</v>
      </c>
    </row>
    <row r="820" spans="1:24" ht="12.75" customHeight="1">
      <c r="A820" s="11"/>
      <c r="B820" s="5">
        <v>2570650</v>
      </c>
      <c r="C820" s="5">
        <v>0</v>
      </c>
      <c r="D820" s="5">
        <v>2278100</v>
      </c>
      <c r="E820" s="5">
        <v>0</v>
      </c>
      <c r="G820" s="5">
        <v>2530130</v>
      </c>
      <c r="H820" s="5">
        <v>0</v>
      </c>
      <c r="I820" s="5">
        <v>2224680</v>
      </c>
      <c r="J820" s="5">
        <v>0</v>
      </c>
      <c r="L820" s="5">
        <v>2549780</v>
      </c>
      <c r="M820" s="5">
        <v>0</v>
      </c>
      <c r="N820" s="5">
        <v>2092040</v>
      </c>
      <c r="O820" s="5">
        <v>0</v>
      </c>
      <c r="Q820" s="5">
        <v>2487220</v>
      </c>
      <c r="R820" s="5">
        <v>0</v>
      </c>
      <c r="S820" s="5">
        <v>1965820</v>
      </c>
      <c r="T820" s="5">
        <v>0</v>
      </c>
      <c r="V820" s="5">
        <v>1683020</v>
      </c>
      <c r="W820" s="5">
        <v>0</v>
      </c>
      <c r="X820" s="5">
        <v>4</v>
      </c>
    </row>
    <row r="821" spans="1:24" ht="12.75" customHeight="1">
      <c r="A821" s="11"/>
      <c r="B821" s="5">
        <v>2255330</v>
      </c>
      <c r="C821" s="5">
        <v>0</v>
      </c>
      <c r="D821" s="5">
        <v>2046180</v>
      </c>
      <c r="E821" s="5">
        <v>0</v>
      </c>
      <c r="G821" s="5">
        <v>2299090</v>
      </c>
      <c r="H821" s="5">
        <v>0</v>
      </c>
      <c r="I821" s="5">
        <v>1906100</v>
      </c>
      <c r="J821" s="5">
        <v>0</v>
      </c>
      <c r="L821" s="5">
        <v>2232350</v>
      </c>
      <c r="M821" s="5">
        <v>0</v>
      </c>
      <c r="N821" s="5">
        <v>1776640</v>
      </c>
      <c r="O821" s="5">
        <v>0</v>
      </c>
      <c r="Q821" s="5">
        <v>2267930</v>
      </c>
      <c r="R821" s="5">
        <v>40</v>
      </c>
      <c r="S821" s="5">
        <v>1779490</v>
      </c>
      <c r="T821" s="5">
        <v>0</v>
      </c>
      <c r="V821" s="5">
        <v>1559040</v>
      </c>
      <c r="W821" s="5">
        <v>0</v>
      </c>
      <c r="X821" s="5">
        <v>5</v>
      </c>
    </row>
    <row r="822" spans="1:24" ht="12.75" customHeight="1">
      <c r="A822" s="11"/>
      <c r="B822" s="5">
        <v>2485910</v>
      </c>
      <c r="C822" s="5">
        <v>0</v>
      </c>
      <c r="D822" s="5">
        <v>2228070</v>
      </c>
      <c r="E822" s="5">
        <v>0</v>
      </c>
      <c r="G822" s="5">
        <v>2475230</v>
      </c>
      <c r="H822" s="5">
        <v>0</v>
      </c>
      <c r="I822" s="5">
        <v>1946130</v>
      </c>
      <c r="J822" s="5">
        <v>0</v>
      </c>
      <c r="L822" s="5">
        <v>2451770</v>
      </c>
      <c r="M822" s="5">
        <v>0</v>
      </c>
      <c r="N822" s="5">
        <v>2121080</v>
      </c>
      <c r="O822" s="5">
        <v>213</v>
      </c>
      <c r="Q822" s="5">
        <v>2448940</v>
      </c>
      <c r="R822" s="5">
        <v>0</v>
      </c>
      <c r="S822" s="5">
        <v>1895550</v>
      </c>
      <c r="T822" s="5">
        <v>0</v>
      </c>
      <c r="V822" s="5">
        <v>1587490</v>
      </c>
      <c r="W822" s="5">
        <v>0</v>
      </c>
      <c r="X822" s="5">
        <v>3</v>
      </c>
    </row>
    <row r="823" spans="1:24" ht="12.75" customHeight="1">
      <c r="A823" s="11"/>
      <c r="B823" s="5">
        <v>2301500</v>
      </c>
      <c r="C823" s="5">
        <v>0</v>
      </c>
      <c r="D823" s="5">
        <v>2131090</v>
      </c>
      <c r="E823" s="5">
        <v>98</v>
      </c>
      <c r="G823" s="5">
        <v>2330140</v>
      </c>
      <c r="H823" s="5">
        <v>0</v>
      </c>
      <c r="I823" s="5">
        <v>1874920</v>
      </c>
      <c r="J823" s="5">
        <v>0</v>
      </c>
      <c r="L823" s="5">
        <v>2327880</v>
      </c>
      <c r="M823" s="5">
        <v>0</v>
      </c>
      <c r="N823" s="5">
        <v>1864080</v>
      </c>
      <c r="O823" s="5">
        <v>0</v>
      </c>
      <c r="Q823" s="5">
        <v>2372600</v>
      </c>
      <c r="R823" s="5">
        <v>0</v>
      </c>
      <c r="S823" s="5">
        <v>1720120</v>
      </c>
      <c r="T823" s="5">
        <v>0</v>
      </c>
      <c r="V823" s="5">
        <v>1606920</v>
      </c>
      <c r="W823" s="5">
        <v>0</v>
      </c>
      <c r="X823" s="5">
        <v>3</v>
      </c>
    </row>
    <row r="824" spans="1:24" ht="12.75" customHeight="1">
      <c r="A824" s="11"/>
      <c r="B824" s="5">
        <v>2247380</v>
      </c>
      <c r="C824" s="5">
        <v>97</v>
      </c>
      <c r="D824" s="5">
        <v>1811630</v>
      </c>
      <c r="E824" s="5">
        <v>0</v>
      </c>
      <c r="G824" s="5">
        <v>2133340</v>
      </c>
      <c r="H824" s="5">
        <v>0</v>
      </c>
      <c r="I824" s="5">
        <v>1650600</v>
      </c>
      <c r="J824" s="5">
        <v>0</v>
      </c>
      <c r="L824" s="5">
        <v>2113760</v>
      </c>
      <c r="M824" s="5">
        <v>0</v>
      </c>
      <c r="N824" s="5">
        <v>1622030</v>
      </c>
      <c r="O824" s="5">
        <v>85</v>
      </c>
      <c r="Q824" s="5">
        <v>2129120</v>
      </c>
      <c r="R824" s="5">
        <v>0</v>
      </c>
      <c r="S824" s="5">
        <v>1589290</v>
      </c>
      <c r="T824" s="5">
        <v>0</v>
      </c>
      <c r="V824" s="5">
        <v>1292930</v>
      </c>
      <c r="W824" s="5">
        <v>0</v>
      </c>
      <c r="X824" s="5">
        <v>6</v>
      </c>
    </row>
    <row r="825" spans="1:24" ht="12.75" customHeight="1">
      <c r="A825" s="11"/>
      <c r="B825" s="5">
        <v>2301400</v>
      </c>
      <c r="C825" s="5">
        <v>0</v>
      </c>
      <c r="D825" s="5">
        <v>2051550</v>
      </c>
      <c r="E825" s="5">
        <v>74</v>
      </c>
      <c r="G825" s="5">
        <v>2302610</v>
      </c>
      <c r="H825" s="5">
        <v>0</v>
      </c>
      <c r="I825" s="5">
        <v>1932950</v>
      </c>
      <c r="J825" s="5">
        <v>0</v>
      </c>
      <c r="L825" s="5">
        <v>2290270</v>
      </c>
      <c r="M825" s="5">
        <v>0</v>
      </c>
      <c r="N825" s="5">
        <v>1969510</v>
      </c>
      <c r="O825" s="5">
        <v>0</v>
      </c>
      <c r="Q825" s="5">
        <v>2406890</v>
      </c>
      <c r="R825" s="5">
        <v>39</v>
      </c>
      <c r="S825" s="5">
        <v>1782000</v>
      </c>
      <c r="T825" s="5">
        <v>0</v>
      </c>
      <c r="V825" s="5">
        <v>1441890</v>
      </c>
      <c r="W825" s="5">
        <v>0</v>
      </c>
      <c r="X825" s="5">
        <v>7</v>
      </c>
    </row>
    <row r="826" spans="1:24" ht="12.75" customHeight="1">
      <c r="A826" s="11"/>
      <c r="B826" s="5">
        <v>2260810</v>
      </c>
      <c r="C826" s="5">
        <v>0</v>
      </c>
      <c r="D826" s="5">
        <v>1977080</v>
      </c>
      <c r="E826" s="5">
        <v>0</v>
      </c>
      <c r="G826" s="5">
        <v>2219410</v>
      </c>
      <c r="H826" s="5">
        <v>0</v>
      </c>
      <c r="I826" s="5">
        <v>1940340</v>
      </c>
      <c r="J826" s="5">
        <v>0</v>
      </c>
      <c r="L826" s="5">
        <v>2262330</v>
      </c>
      <c r="M826" s="5">
        <v>0</v>
      </c>
      <c r="N826" s="5">
        <v>1790770</v>
      </c>
      <c r="O826" s="5">
        <v>0</v>
      </c>
      <c r="Q826" s="5">
        <v>2226880</v>
      </c>
      <c r="R826" s="5">
        <v>0</v>
      </c>
      <c r="S826" s="5">
        <v>1648400</v>
      </c>
      <c r="T826" s="5">
        <v>0</v>
      </c>
      <c r="V826" s="5">
        <v>1372800</v>
      </c>
      <c r="W826" s="5">
        <v>0</v>
      </c>
      <c r="X826" s="5">
        <v>9</v>
      </c>
    </row>
    <row r="827" spans="1:24" ht="12.75" customHeight="1">
      <c r="A827" s="11"/>
      <c r="B827" s="5">
        <v>2301140</v>
      </c>
      <c r="C827" s="5">
        <v>0</v>
      </c>
      <c r="D827" s="5">
        <v>1935960</v>
      </c>
      <c r="E827" s="5">
        <v>0</v>
      </c>
      <c r="G827" s="5">
        <v>2353580</v>
      </c>
      <c r="H827" s="5">
        <v>0</v>
      </c>
      <c r="I827" s="5">
        <v>1894990</v>
      </c>
      <c r="J827" s="5">
        <v>0</v>
      </c>
      <c r="L827" s="5">
        <v>2259860</v>
      </c>
      <c r="M827" s="5">
        <v>0</v>
      </c>
      <c r="N827" s="5">
        <v>1782830</v>
      </c>
      <c r="O827" s="5">
        <v>92</v>
      </c>
      <c r="Q827" s="5">
        <v>2305220</v>
      </c>
      <c r="R827" s="5">
        <v>0</v>
      </c>
      <c r="S827" s="5">
        <v>1773370</v>
      </c>
      <c r="T827" s="5">
        <v>0</v>
      </c>
      <c r="V827" s="5">
        <v>1504780</v>
      </c>
      <c r="W827" s="5">
        <v>0</v>
      </c>
      <c r="X827" s="5">
        <v>3</v>
      </c>
    </row>
    <row r="828" spans="1:24" ht="12.75" customHeight="1">
      <c r="A828" s="11"/>
      <c r="B828" s="5">
        <v>1879720</v>
      </c>
      <c r="C828" s="5">
        <v>0</v>
      </c>
      <c r="D828" s="5">
        <v>1583810</v>
      </c>
      <c r="E828" s="5">
        <v>44</v>
      </c>
      <c r="G828" s="5">
        <v>1908460</v>
      </c>
      <c r="H828" s="5">
        <v>37</v>
      </c>
      <c r="I828" s="5">
        <v>1643210</v>
      </c>
      <c r="J828" s="5">
        <v>0</v>
      </c>
      <c r="L828" s="5">
        <v>1872640</v>
      </c>
      <c r="M828" s="5">
        <v>11</v>
      </c>
      <c r="N828" s="5">
        <v>1547980</v>
      </c>
      <c r="O828" s="5">
        <v>3</v>
      </c>
      <c r="Q828" s="5">
        <v>1839600</v>
      </c>
      <c r="R828" s="5">
        <v>0</v>
      </c>
      <c r="S828" s="5">
        <v>1477990</v>
      </c>
      <c r="T828" s="5">
        <v>0</v>
      </c>
      <c r="V828" s="5">
        <v>1172200</v>
      </c>
      <c r="W828" s="5">
        <v>0</v>
      </c>
      <c r="X828" s="5">
        <v>9</v>
      </c>
    </row>
    <row r="829" spans="1:24" ht="12.75" customHeight="1">
      <c r="A829" s="11"/>
      <c r="B829" s="5">
        <v>1845970</v>
      </c>
      <c r="C829" s="5">
        <v>0</v>
      </c>
      <c r="D829" s="5">
        <v>1652900</v>
      </c>
      <c r="E829" s="5">
        <v>4</v>
      </c>
      <c r="G829" s="5">
        <v>1854830</v>
      </c>
      <c r="H829" s="5">
        <v>0</v>
      </c>
      <c r="I829" s="5">
        <v>1630020</v>
      </c>
      <c r="J829" s="5">
        <v>0</v>
      </c>
      <c r="L829" s="5">
        <v>1855280</v>
      </c>
      <c r="M829" s="5">
        <v>13</v>
      </c>
      <c r="N829" s="5">
        <v>1414240</v>
      </c>
      <c r="O829" s="5">
        <v>0</v>
      </c>
      <c r="Q829" s="5">
        <v>1879060</v>
      </c>
      <c r="R829" s="5">
        <v>0</v>
      </c>
      <c r="S829" s="5">
        <v>1467950</v>
      </c>
      <c r="T829" s="5">
        <v>0</v>
      </c>
      <c r="V829" s="5">
        <v>1172420</v>
      </c>
      <c r="W829" s="5">
        <v>0</v>
      </c>
      <c r="X829" s="5">
        <v>8</v>
      </c>
    </row>
    <row r="830" spans="1:24" ht="12.75" customHeight="1">
      <c r="A830" s="11"/>
      <c r="B830" s="5">
        <v>1986680</v>
      </c>
      <c r="C830" s="5">
        <v>158</v>
      </c>
      <c r="D830" s="5">
        <v>1914880</v>
      </c>
      <c r="E830" s="5">
        <v>145</v>
      </c>
      <c r="G830" s="5">
        <v>1893180</v>
      </c>
      <c r="H830" s="5">
        <v>0</v>
      </c>
      <c r="I830" s="5">
        <v>1778580</v>
      </c>
      <c r="J830" s="5">
        <v>93</v>
      </c>
      <c r="L830" s="5">
        <v>1925750</v>
      </c>
      <c r="M830" s="5">
        <v>18</v>
      </c>
      <c r="N830" s="5">
        <v>1562780</v>
      </c>
      <c r="O830" s="5">
        <v>165</v>
      </c>
      <c r="Q830" s="5">
        <v>1895260</v>
      </c>
      <c r="R830" s="5">
        <v>44</v>
      </c>
      <c r="S830" s="5">
        <v>1478500</v>
      </c>
      <c r="T830" s="5">
        <v>0</v>
      </c>
      <c r="V830" s="5">
        <v>1194780</v>
      </c>
      <c r="W830" s="5">
        <v>5</v>
      </c>
      <c r="X830" s="5">
        <v>9</v>
      </c>
    </row>
    <row r="831" spans="1:24" ht="12.75" customHeight="1">
      <c r="A831" s="11"/>
      <c r="B831" s="5">
        <v>1671230</v>
      </c>
      <c r="C831" s="5">
        <v>0</v>
      </c>
      <c r="D831" s="5">
        <v>1500310</v>
      </c>
      <c r="E831" s="5">
        <v>0</v>
      </c>
      <c r="G831" s="5">
        <v>1813470</v>
      </c>
      <c r="H831" s="5">
        <v>0</v>
      </c>
      <c r="I831" s="5">
        <v>1593840</v>
      </c>
      <c r="J831" s="5">
        <v>0</v>
      </c>
      <c r="L831" s="5">
        <v>1759820</v>
      </c>
      <c r="M831" s="5">
        <v>0</v>
      </c>
      <c r="N831" s="5">
        <v>1373360</v>
      </c>
      <c r="O831" s="5">
        <v>0</v>
      </c>
      <c r="Q831" s="5">
        <v>1875170</v>
      </c>
      <c r="R831" s="5">
        <v>91</v>
      </c>
      <c r="S831" s="5">
        <v>1626480</v>
      </c>
      <c r="T831" s="5">
        <v>147</v>
      </c>
      <c r="V831" s="5">
        <v>1205830</v>
      </c>
      <c r="W831" s="5">
        <v>90</v>
      </c>
      <c r="X831" s="5">
        <v>12</v>
      </c>
    </row>
    <row r="832" spans="1:24" ht="12.75" customHeight="1">
      <c r="A832" s="11"/>
      <c r="B832" s="5">
        <v>1935180</v>
      </c>
      <c r="C832" s="5">
        <v>13</v>
      </c>
      <c r="D832" s="5">
        <v>1737330</v>
      </c>
      <c r="E832" s="5">
        <v>116</v>
      </c>
      <c r="G832" s="5">
        <v>1961550</v>
      </c>
      <c r="H832" s="5">
        <v>46</v>
      </c>
      <c r="I832" s="5">
        <v>1707680</v>
      </c>
      <c r="J832" s="5">
        <v>0</v>
      </c>
      <c r="L832" s="5">
        <v>1971090</v>
      </c>
      <c r="M832" s="5">
        <v>48</v>
      </c>
      <c r="N832" s="5">
        <v>1577680</v>
      </c>
      <c r="O832" s="5">
        <v>31</v>
      </c>
      <c r="Q832" s="5">
        <v>1964190</v>
      </c>
      <c r="R832" s="5">
        <v>89</v>
      </c>
      <c r="S832" s="5">
        <v>1577900</v>
      </c>
      <c r="T832" s="5">
        <v>0</v>
      </c>
      <c r="V832" s="5">
        <v>1227720</v>
      </c>
      <c r="W832" s="5">
        <v>0</v>
      </c>
      <c r="X832" s="5">
        <v>4</v>
      </c>
    </row>
    <row r="833" spans="1:24" ht="12.75" customHeight="1">
      <c r="A833" s="11"/>
      <c r="B833" s="5">
        <v>1883730</v>
      </c>
      <c r="C833" s="5">
        <v>11</v>
      </c>
      <c r="D833" s="5">
        <v>1588320</v>
      </c>
      <c r="E833" s="5">
        <v>0</v>
      </c>
      <c r="G833" s="5">
        <v>1917310</v>
      </c>
      <c r="H833" s="5">
        <v>0</v>
      </c>
      <c r="I833" s="5">
        <v>1606920</v>
      </c>
      <c r="J833" s="5">
        <v>0</v>
      </c>
      <c r="L833" s="5">
        <v>1910160</v>
      </c>
      <c r="M833" s="5">
        <v>38</v>
      </c>
      <c r="N833" s="5">
        <v>1459220</v>
      </c>
      <c r="O833" s="5">
        <v>30</v>
      </c>
      <c r="Q833" s="5">
        <v>2072610</v>
      </c>
      <c r="R833" s="5">
        <v>171</v>
      </c>
      <c r="S833" s="5">
        <v>1534190</v>
      </c>
      <c r="T833" s="5">
        <v>0</v>
      </c>
      <c r="V833" s="5">
        <v>1202590</v>
      </c>
      <c r="W833" s="5">
        <v>0</v>
      </c>
      <c r="X833" s="5">
        <v>8</v>
      </c>
    </row>
    <row r="834" spans="1:24" ht="12.75" customHeight="1">
      <c r="A834" s="11"/>
      <c r="B834" s="5">
        <v>1921720</v>
      </c>
      <c r="C834" s="5">
        <v>0</v>
      </c>
      <c r="D834" s="5">
        <v>1663510</v>
      </c>
      <c r="E834" s="5">
        <v>0</v>
      </c>
      <c r="G834" s="5">
        <v>1984760</v>
      </c>
      <c r="H834" s="5">
        <v>0</v>
      </c>
      <c r="I834" s="5">
        <v>1742960</v>
      </c>
      <c r="J834" s="5">
        <v>0</v>
      </c>
      <c r="L834" s="5">
        <v>1938430</v>
      </c>
      <c r="M834" s="5">
        <v>0</v>
      </c>
      <c r="N834" s="5">
        <v>1535510</v>
      </c>
      <c r="O834" s="5">
        <v>0</v>
      </c>
      <c r="Q834" s="5">
        <v>2005250</v>
      </c>
      <c r="R834" s="5">
        <v>0</v>
      </c>
      <c r="S834" s="5">
        <v>1587460</v>
      </c>
      <c r="T834" s="5">
        <v>0</v>
      </c>
      <c r="V834" s="5">
        <v>1291500</v>
      </c>
      <c r="W834" s="5">
        <v>0</v>
      </c>
      <c r="X834" s="5">
        <v>5</v>
      </c>
    </row>
    <row r="835" spans="1:24" ht="12.75" customHeight="1">
      <c r="A835" s="11"/>
      <c r="B835" s="5">
        <v>2050750</v>
      </c>
      <c r="C835" s="5">
        <v>0</v>
      </c>
      <c r="D835" s="5">
        <v>1733270</v>
      </c>
      <c r="E835" s="5">
        <v>36</v>
      </c>
      <c r="G835" s="5">
        <v>2037450</v>
      </c>
      <c r="H835" s="5">
        <v>0</v>
      </c>
      <c r="I835" s="5">
        <v>1977830</v>
      </c>
      <c r="J835" s="5">
        <v>0</v>
      </c>
      <c r="L835" s="5">
        <v>2090420</v>
      </c>
      <c r="M835" s="5">
        <v>83</v>
      </c>
      <c r="N835" s="5">
        <v>1681050</v>
      </c>
      <c r="O835" s="5">
        <v>0</v>
      </c>
      <c r="Q835" s="5">
        <v>2122730</v>
      </c>
      <c r="R835" s="5">
        <v>0</v>
      </c>
      <c r="S835" s="5">
        <v>1632510</v>
      </c>
      <c r="T835" s="5">
        <v>0</v>
      </c>
      <c r="V835" s="5">
        <v>1332650</v>
      </c>
      <c r="W835" s="5">
        <v>0</v>
      </c>
      <c r="X835" s="5">
        <v>5</v>
      </c>
    </row>
    <row r="836" spans="1:24" ht="12.75" customHeight="1">
      <c r="A836" s="11"/>
      <c r="B836" s="5">
        <v>1825930</v>
      </c>
      <c r="C836" s="5">
        <v>0</v>
      </c>
      <c r="D836" s="5">
        <v>1607350</v>
      </c>
      <c r="E836" s="5">
        <v>87</v>
      </c>
      <c r="G836" s="5">
        <v>1848120</v>
      </c>
      <c r="H836" s="5">
        <v>0</v>
      </c>
      <c r="I836" s="5">
        <v>1611530</v>
      </c>
      <c r="J836" s="5">
        <v>34</v>
      </c>
      <c r="L836" s="5">
        <v>1775630</v>
      </c>
      <c r="M836" s="5">
        <v>0</v>
      </c>
      <c r="N836" s="5">
        <v>1568320</v>
      </c>
      <c r="O836" s="5">
        <v>93</v>
      </c>
      <c r="Q836" s="5">
        <v>1899540</v>
      </c>
      <c r="R836" s="5">
        <v>22</v>
      </c>
      <c r="S836" s="5">
        <v>1465370</v>
      </c>
      <c r="T836" s="5">
        <v>46</v>
      </c>
      <c r="V836" s="5">
        <v>1148920</v>
      </c>
      <c r="W836" s="5">
        <v>0</v>
      </c>
      <c r="X836" s="5">
        <v>5</v>
      </c>
    </row>
    <row r="837" spans="1:24" ht="12.75" customHeight="1">
      <c r="A837" s="11"/>
      <c r="B837" s="5">
        <v>1978870</v>
      </c>
      <c r="C837" s="5">
        <v>22</v>
      </c>
      <c r="D837" s="5">
        <v>1749140</v>
      </c>
      <c r="E837" s="5">
        <v>61</v>
      </c>
      <c r="G837" s="5">
        <v>1953590</v>
      </c>
      <c r="H837" s="5">
        <v>0</v>
      </c>
      <c r="I837" s="5">
        <v>1852820</v>
      </c>
      <c r="J837" s="5">
        <v>180</v>
      </c>
      <c r="L837" s="5">
        <v>1952460</v>
      </c>
      <c r="M837" s="5">
        <v>0</v>
      </c>
      <c r="N837" s="5">
        <v>1525480</v>
      </c>
      <c r="O837" s="5">
        <v>90</v>
      </c>
      <c r="Q837" s="5">
        <v>1975090</v>
      </c>
      <c r="R837" s="5">
        <v>0</v>
      </c>
      <c r="S837" s="5">
        <v>1668050</v>
      </c>
      <c r="T837" s="5">
        <v>167</v>
      </c>
      <c r="V837" s="5">
        <v>1205390</v>
      </c>
      <c r="W837" s="5">
        <v>0</v>
      </c>
      <c r="X837" s="5">
        <v>6</v>
      </c>
    </row>
    <row r="838" spans="1:24" ht="12.75" customHeight="1">
      <c r="A838" s="11"/>
      <c r="B838" s="5">
        <v>1758810</v>
      </c>
      <c r="C838" s="5">
        <v>0</v>
      </c>
      <c r="D838" s="5">
        <v>1596500</v>
      </c>
      <c r="E838" s="5">
        <v>0</v>
      </c>
      <c r="G838" s="5">
        <v>1738300</v>
      </c>
      <c r="H838" s="5">
        <v>7</v>
      </c>
      <c r="I838" s="5">
        <v>1535300</v>
      </c>
      <c r="J838" s="5">
        <v>0</v>
      </c>
      <c r="L838" s="5">
        <v>1832470</v>
      </c>
      <c r="M838" s="5">
        <v>97</v>
      </c>
      <c r="N838" s="5">
        <v>1477450</v>
      </c>
      <c r="O838" s="5">
        <v>143</v>
      </c>
      <c r="Q838" s="5">
        <v>1824960</v>
      </c>
      <c r="R838" s="5">
        <v>46</v>
      </c>
      <c r="S838" s="5">
        <v>1507190</v>
      </c>
      <c r="T838" s="5">
        <v>117</v>
      </c>
      <c r="V838" s="5">
        <v>1065840</v>
      </c>
      <c r="W838" s="5">
        <v>19</v>
      </c>
      <c r="X838" s="5">
        <v>16</v>
      </c>
    </row>
    <row r="839" spans="1:24" ht="12.75" customHeight="1">
      <c r="A839" s="11"/>
      <c r="B839" s="5">
        <v>1900860</v>
      </c>
      <c r="C839" s="5">
        <v>0</v>
      </c>
      <c r="D839" s="5">
        <v>1847340</v>
      </c>
      <c r="E839" s="5">
        <v>75</v>
      </c>
      <c r="G839" s="5">
        <v>1901450</v>
      </c>
      <c r="H839" s="5">
        <v>0</v>
      </c>
      <c r="I839" s="5">
        <v>1602730</v>
      </c>
      <c r="J839" s="5">
        <v>1</v>
      </c>
      <c r="L839" s="5">
        <v>1890320</v>
      </c>
      <c r="M839" s="5">
        <v>0</v>
      </c>
      <c r="N839" s="5">
        <v>1723600</v>
      </c>
      <c r="O839" s="5">
        <v>247</v>
      </c>
      <c r="Q839" s="5">
        <v>2037410</v>
      </c>
      <c r="R839" s="5">
        <v>107</v>
      </c>
      <c r="S839" s="5">
        <v>1626480</v>
      </c>
      <c r="T839" s="5">
        <v>77</v>
      </c>
      <c r="V839" s="5">
        <v>1351380</v>
      </c>
      <c r="W839" s="5">
        <v>145</v>
      </c>
      <c r="X839" s="5">
        <v>14</v>
      </c>
    </row>
    <row r="840" spans="1:24" ht="12.75" customHeight="1">
      <c r="A840" s="11"/>
      <c r="B840" s="5">
        <v>1695670</v>
      </c>
      <c r="C840" s="5">
        <v>0</v>
      </c>
      <c r="D840" s="5">
        <v>1408930</v>
      </c>
      <c r="E840" s="5">
        <v>0</v>
      </c>
      <c r="G840" s="5">
        <v>1741470</v>
      </c>
      <c r="H840" s="5">
        <v>0</v>
      </c>
      <c r="I840" s="5">
        <v>1406220</v>
      </c>
      <c r="J840" s="5">
        <v>0</v>
      </c>
      <c r="L840" s="5">
        <v>1708600</v>
      </c>
      <c r="M840" s="5">
        <v>0</v>
      </c>
      <c r="N840" s="5">
        <v>1289450</v>
      </c>
      <c r="O840" s="5">
        <v>0</v>
      </c>
      <c r="Q840" s="5">
        <v>1760280</v>
      </c>
      <c r="R840" s="5">
        <v>0</v>
      </c>
      <c r="S840" s="5">
        <v>1434700</v>
      </c>
      <c r="T840" s="5">
        <v>61</v>
      </c>
      <c r="V840" s="5">
        <v>1087310</v>
      </c>
      <c r="W840" s="5">
        <v>0</v>
      </c>
      <c r="X840" s="5">
        <v>4</v>
      </c>
    </row>
    <row r="841" spans="1:24" ht="12.75" customHeight="1">
      <c r="A841" s="11"/>
      <c r="B841" s="5">
        <v>1968500</v>
      </c>
      <c r="C841" s="5">
        <v>55</v>
      </c>
      <c r="D841" s="5">
        <v>1591080</v>
      </c>
      <c r="E841" s="5">
        <v>17</v>
      </c>
      <c r="G841" s="5">
        <v>2039730</v>
      </c>
      <c r="H841" s="5">
        <v>141</v>
      </c>
      <c r="I841" s="5">
        <v>1766120</v>
      </c>
      <c r="J841" s="5">
        <v>0</v>
      </c>
      <c r="L841" s="5">
        <v>1923760</v>
      </c>
      <c r="M841" s="5">
        <v>0</v>
      </c>
      <c r="N841" s="5">
        <v>1596470</v>
      </c>
      <c r="O841" s="5">
        <v>110</v>
      </c>
      <c r="Q841" s="5">
        <v>1967200</v>
      </c>
      <c r="R841" s="5">
        <v>31</v>
      </c>
      <c r="S841" s="5">
        <v>1553230</v>
      </c>
      <c r="T841" s="5">
        <v>0</v>
      </c>
      <c r="V841" s="5">
        <v>1310980</v>
      </c>
      <c r="W841" s="5">
        <v>97</v>
      </c>
      <c r="X841" s="5">
        <v>11</v>
      </c>
    </row>
    <row r="842" spans="1:24" ht="12.75" customHeight="1">
      <c r="A842" s="11"/>
      <c r="B842" s="5">
        <v>1898810</v>
      </c>
      <c r="C842" s="5">
        <v>0</v>
      </c>
      <c r="D842" s="5">
        <v>1683190</v>
      </c>
      <c r="E842" s="5">
        <v>28</v>
      </c>
      <c r="G842" s="5">
        <v>1934300</v>
      </c>
      <c r="H842" s="5">
        <v>0</v>
      </c>
      <c r="I842" s="5">
        <v>1642240</v>
      </c>
      <c r="J842" s="5">
        <v>0</v>
      </c>
      <c r="L842" s="5">
        <v>1953310</v>
      </c>
      <c r="M842" s="5">
        <v>0</v>
      </c>
      <c r="N842" s="5">
        <v>1510170</v>
      </c>
      <c r="O842" s="5">
        <v>0</v>
      </c>
      <c r="Q842" s="5">
        <v>1891370</v>
      </c>
      <c r="R842" s="5">
        <v>0</v>
      </c>
      <c r="S842" s="5">
        <v>1545180</v>
      </c>
      <c r="T842" s="5">
        <v>0</v>
      </c>
      <c r="V842" s="5">
        <v>1257520</v>
      </c>
      <c r="W842" s="5">
        <v>0</v>
      </c>
      <c r="X842" s="5">
        <v>8</v>
      </c>
    </row>
    <row r="843" spans="1:24" ht="12.75" customHeight="1">
      <c r="A843" s="11"/>
      <c r="B843" s="5">
        <v>1982500</v>
      </c>
      <c r="C843" s="5">
        <v>22</v>
      </c>
      <c r="D843" s="5">
        <v>1661430</v>
      </c>
      <c r="E843" s="5">
        <v>20</v>
      </c>
      <c r="G843" s="5">
        <v>2087130</v>
      </c>
      <c r="H843" s="5">
        <v>39</v>
      </c>
      <c r="I843" s="5">
        <v>1847390</v>
      </c>
      <c r="J843" s="5">
        <v>0</v>
      </c>
      <c r="L843" s="5">
        <v>1935140</v>
      </c>
      <c r="M843" s="5">
        <v>0</v>
      </c>
      <c r="N843" s="5">
        <v>1570840</v>
      </c>
      <c r="O843" s="5">
        <v>18</v>
      </c>
      <c r="Q843" s="5">
        <v>1987740</v>
      </c>
      <c r="R843" s="5">
        <v>0</v>
      </c>
      <c r="S843" s="5">
        <v>1534550</v>
      </c>
      <c r="T843" s="5">
        <v>0</v>
      </c>
      <c r="V843" s="5">
        <v>1314440</v>
      </c>
      <c r="W843" s="5">
        <v>11</v>
      </c>
      <c r="X843" s="5">
        <v>7</v>
      </c>
    </row>
    <row r="844" spans="1:24" ht="12.75" customHeight="1">
      <c r="A844" s="11"/>
      <c r="B844" s="5">
        <v>1895690</v>
      </c>
      <c r="C844" s="5">
        <v>0</v>
      </c>
      <c r="D844" s="5">
        <v>1638270</v>
      </c>
      <c r="E844" s="5">
        <v>0</v>
      </c>
      <c r="G844" s="5">
        <v>1937040</v>
      </c>
      <c r="H844" s="5">
        <v>0</v>
      </c>
      <c r="I844" s="5">
        <v>1629300</v>
      </c>
      <c r="J844" s="5">
        <v>7</v>
      </c>
      <c r="L844" s="5">
        <v>1917790</v>
      </c>
      <c r="M844" s="5">
        <v>0</v>
      </c>
      <c r="N844" s="5">
        <v>1477670</v>
      </c>
      <c r="O844" s="5">
        <v>0</v>
      </c>
      <c r="Q844" s="5">
        <v>1921570</v>
      </c>
      <c r="R844" s="5">
        <v>0</v>
      </c>
      <c r="S844" s="5">
        <v>1548220</v>
      </c>
      <c r="T844" s="5">
        <v>31</v>
      </c>
      <c r="V844" s="5">
        <v>1315270</v>
      </c>
      <c r="W844" s="5">
        <v>0</v>
      </c>
      <c r="X844" s="5">
        <v>5</v>
      </c>
    </row>
    <row r="845" spans="1:24" ht="12.75" customHeight="1">
      <c r="A845" s="11"/>
      <c r="B845" s="5">
        <v>2075090</v>
      </c>
      <c r="C845" s="5">
        <v>0</v>
      </c>
      <c r="D845" s="5">
        <v>1832670</v>
      </c>
      <c r="E845" s="5">
        <v>0</v>
      </c>
      <c r="G845" s="5">
        <v>2065960</v>
      </c>
      <c r="H845" s="5">
        <v>0</v>
      </c>
      <c r="I845" s="5">
        <v>1723750</v>
      </c>
      <c r="J845" s="5">
        <v>0</v>
      </c>
      <c r="L845" s="5">
        <v>2090350</v>
      </c>
      <c r="M845" s="5">
        <v>0</v>
      </c>
      <c r="N845" s="5">
        <v>1620080</v>
      </c>
      <c r="O845" s="5">
        <v>0</v>
      </c>
      <c r="Q845" s="5">
        <v>2309090</v>
      </c>
      <c r="R845" s="5">
        <v>199</v>
      </c>
      <c r="S845" s="5">
        <v>1667080</v>
      </c>
      <c r="T845" s="5">
        <v>0</v>
      </c>
      <c r="V845" s="5">
        <v>1402230</v>
      </c>
      <c r="W845" s="5">
        <v>37</v>
      </c>
      <c r="X845" s="5">
        <v>9</v>
      </c>
    </row>
    <row r="846" spans="1:24" ht="12.75" customHeight="1">
      <c r="A846" s="11"/>
      <c r="B846" s="5">
        <v>2014390</v>
      </c>
      <c r="C846" s="5">
        <v>37</v>
      </c>
      <c r="D846" s="5">
        <v>1783900</v>
      </c>
      <c r="E846" s="5">
        <v>0</v>
      </c>
      <c r="G846" s="5">
        <v>1969390</v>
      </c>
      <c r="H846" s="5">
        <v>0</v>
      </c>
      <c r="I846" s="5">
        <v>1656720</v>
      </c>
      <c r="J846" s="5">
        <v>0</v>
      </c>
      <c r="L846" s="5">
        <v>1934100</v>
      </c>
      <c r="M846" s="5">
        <v>0</v>
      </c>
      <c r="N846" s="5">
        <v>1590860</v>
      </c>
      <c r="O846" s="5">
        <v>0</v>
      </c>
      <c r="Q846" s="5">
        <v>1984450</v>
      </c>
      <c r="R846" s="5">
        <v>29</v>
      </c>
      <c r="S846" s="5">
        <v>1544800</v>
      </c>
      <c r="T846" s="5">
        <v>0</v>
      </c>
      <c r="V846" s="5">
        <v>1239820</v>
      </c>
      <c r="W846" s="5">
        <v>0</v>
      </c>
      <c r="X846" s="5">
        <v>10</v>
      </c>
    </row>
    <row r="847" spans="1:24" ht="12.75" customHeight="1">
      <c r="A847" s="11"/>
      <c r="B847" s="5">
        <v>2042190</v>
      </c>
      <c r="C847" s="5">
        <v>48</v>
      </c>
      <c r="D847" s="5">
        <v>1701230</v>
      </c>
      <c r="E847" s="5">
        <v>0</v>
      </c>
      <c r="G847" s="5">
        <v>2006330</v>
      </c>
      <c r="H847" s="5">
        <v>0</v>
      </c>
      <c r="I847" s="5">
        <v>1682760</v>
      </c>
      <c r="J847" s="5">
        <v>0</v>
      </c>
      <c r="L847" s="5">
        <v>2150140</v>
      </c>
      <c r="M847" s="5">
        <v>143</v>
      </c>
      <c r="N847" s="5">
        <v>1614830</v>
      </c>
      <c r="O847" s="5">
        <v>0</v>
      </c>
      <c r="Q847" s="5">
        <v>2018350</v>
      </c>
      <c r="R847" s="5">
        <v>0</v>
      </c>
      <c r="S847" s="5">
        <v>1658720</v>
      </c>
      <c r="T847" s="5">
        <v>0</v>
      </c>
      <c r="V847" s="5">
        <v>1190150</v>
      </c>
      <c r="W847" s="5">
        <v>0</v>
      </c>
      <c r="X847" s="5">
        <v>15</v>
      </c>
    </row>
    <row r="848" spans="1:24" ht="12.75" customHeight="1">
      <c r="A848" s="11"/>
      <c r="B848" s="5">
        <v>2052970</v>
      </c>
      <c r="C848" s="5">
        <v>0</v>
      </c>
      <c r="D848" s="5">
        <v>1759930</v>
      </c>
      <c r="E848" s="5">
        <v>0</v>
      </c>
      <c r="G848" s="5">
        <v>2096680</v>
      </c>
      <c r="H848" s="5">
        <v>13</v>
      </c>
      <c r="I848" s="5">
        <v>1804960</v>
      </c>
      <c r="J848" s="5">
        <v>0</v>
      </c>
      <c r="L848" s="5">
        <v>2063010</v>
      </c>
      <c r="M848" s="5">
        <v>11</v>
      </c>
      <c r="N848" s="5">
        <v>1694510</v>
      </c>
      <c r="O848" s="5">
        <v>0</v>
      </c>
      <c r="Q848" s="5">
        <v>2097000</v>
      </c>
      <c r="R848" s="5">
        <v>0</v>
      </c>
      <c r="S848" s="5">
        <v>1716150</v>
      </c>
      <c r="T848" s="5">
        <v>0</v>
      </c>
      <c r="V848" s="5">
        <v>1401560</v>
      </c>
      <c r="W848" s="5">
        <v>0</v>
      </c>
      <c r="X848" s="5">
        <v>4</v>
      </c>
    </row>
    <row r="849" spans="1:24" ht="12.75" customHeight="1">
      <c r="A849" s="11"/>
      <c r="B849" s="5">
        <v>2054490</v>
      </c>
      <c r="C849" s="5">
        <v>15</v>
      </c>
      <c r="D849" s="5">
        <v>1803470</v>
      </c>
      <c r="E849" s="5">
        <v>42</v>
      </c>
      <c r="G849" s="5">
        <v>2028110</v>
      </c>
      <c r="H849" s="5">
        <v>0</v>
      </c>
      <c r="I849" s="5">
        <v>1826140</v>
      </c>
      <c r="J849" s="5">
        <v>0</v>
      </c>
      <c r="L849" s="5">
        <v>2077910</v>
      </c>
      <c r="M849" s="5">
        <v>38</v>
      </c>
      <c r="N849" s="5">
        <v>1550310</v>
      </c>
      <c r="O849" s="5">
        <v>0</v>
      </c>
      <c r="Q849" s="5">
        <v>2196610</v>
      </c>
      <c r="R849" s="5">
        <v>151</v>
      </c>
      <c r="S849" s="5">
        <v>1729440</v>
      </c>
      <c r="T849" s="5">
        <v>0</v>
      </c>
      <c r="V849" s="5">
        <v>1288580</v>
      </c>
      <c r="W849" s="5">
        <v>0</v>
      </c>
      <c r="X849" s="5">
        <v>6</v>
      </c>
    </row>
    <row r="850" spans="1:24" ht="12.75" customHeight="1">
      <c r="A850" s="11"/>
      <c r="B850" s="5">
        <v>2076840</v>
      </c>
      <c r="C850" s="5">
        <v>0</v>
      </c>
      <c r="D850" s="5">
        <v>1759570</v>
      </c>
      <c r="E850" s="5">
        <v>0</v>
      </c>
      <c r="G850" s="5">
        <v>2066980</v>
      </c>
      <c r="H850" s="5">
        <v>0</v>
      </c>
      <c r="I850" s="5">
        <v>1792340</v>
      </c>
      <c r="J850" s="5">
        <v>37</v>
      </c>
      <c r="L850" s="5">
        <v>2216540</v>
      </c>
      <c r="M850" s="5">
        <v>111</v>
      </c>
      <c r="N850" s="5">
        <v>1564380</v>
      </c>
      <c r="O850" s="5">
        <v>0</v>
      </c>
      <c r="Q850" s="5">
        <v>2073450</v>
      </c>
      <c r="R850" s="5">
        <v>0</v>
      </c>
      <c r="S850" s="5">
        <v>1684340</v>
      </c>
      <c r="T850" s="5">
        <v>67</v>
      </c>
      <c r="V850" s="5">
        <v>1429640</v>
      </c>
      <c r="W850" s="5">
        <v>0</v>
      </c>
      <c r="X850" s="5">
        <v>4</v>
      </c>
    </row>
    <row r="851" spans="1:24" ht="12.75" customHeight="1">
      <c r="A851" s="11"/>
      <c r="B851" s="5">
        <v>1887240</v>
      </c>
      <c r="C851" s="5">
        <v>0</v>
      </c>
      <c r="D851" s="5">
        <v>1610840</v>
      </c>
      <c r="E851" s="5">
        <v>0</v>
      </c>
      <c r="G851" s="5">
        <v>1916350</v>
      </c>
      <c r="H851" s="5">
        <v>57</v>
      </c>
      <c r="I851" s="5">
        <v>1724330</v>
      </c>
      <c r="J851" s="5">
        <v>0</v>
      </c>
      <c r="L851" s="5">
        <v>1882140</v>
      </c>
      <c r="M851" s="5">
        <v>0</v>
      </c>
      <c r="N851" s="5">
        <v>1445150</v>
      </c>
      <c r="O851" s="5">
        <v>0</v>
      </c>
      <c r="Q851" s="5">
        <v>1873040</v>
      </c>
      <c r="R851" s="5">
        <v>0</v>
      </c>
      <c r="S851" s="5">
        <v>1536670</v>
      </c>
      <c r="T851" s="5">
        <v>0</v>
      </c>
      <c r="V851" s="5">
        <v>1183250</v>
      </c>
      <c r="W851" s="5">
        <v>0</v>
      </c>
      <c r="X851" s="5">
        <v>10</v>
      </c>
    </row>
    <row r="852" spans="1:24" ht="12.75" customHeight="1">
      <c r="A852" s="11"/>
      <c r="B852" s="5">
        <v>2044380</v>
      </c>
      <c r="C852" s="5">
        <v>0</v>
      </c>
      <c r="D852" s="5">
        <v>1819240</v>
      </c>
      <c r="E852" s="5">
        <v>0</v>
      </c>
      <c r="G852" s="5">
        <v>2042970</v>
      </c>
      <c r="H852" s="5">
        <v>0</v>
      </c>
      <c r="I852" s="5">
        <v>1809220</v>
      </c>
      <c r="J852" s="5">
        <v>0</v>
      </c>
      <c r="L852" s="5">
        <v>2017340</v>
      </c>
      <c r="M852" s="5">
        <v>0</v>
      </c>
      <c r="N852" s="5">
        <v>1664440</v>
      </c>
      <c r="O852" s="5">
        <v>0</v>
      </c>
      <c r="Q852" s="5">
        <v>2043010</v>
      </c>
      <c r="R852" s="5">
        <v>0</v>
      </c>
      <c r="S852" s="5">
        <v>1626610</v>
      </c>
      <c r="T852" s="5">
        <v>0</v>
      </c>
      <c r="V852" s="5">
        <v>1403760</v>
      </c>
      <c r="W852" s="5">
        <v>0</v>
      </c>
      <c r="X852" s="5">
        <v>4</v>
      </c>
    </row>
    <row r="853" spans="1:24" ht="12.75" customHeight="1">
      <c r="A853" s="11"/>
      <c r="B853" s="5">
        <v>1890470</v>
      </c>
      <c r="C853" s="5">
        <v>0</v>
      </c>
      <c r="D853" s="5">
        <v>1575010</v>
      </c>
      <c r="E853" s="5">
        <v>0</v>
      </c>
      <c r="G853" s="5">
        <v>1943120</v>
      </c>
      <c r="H853" s="5">
        <v>35</v>
      </c>
      <c r="I853" s="5">
        <v>1775020</v>
      </c>
      <c r="J853" s="5">
        <v>46</v>
      </c>
      <c r="L853" s="5">
        <v>1913850</v>
      </c>
      <c r="M853" s="5">
        <v>0</v>
      </c>
      <c r="N853" s="5">
        <v>1539800</v>
      </c>
      <c r="O853" s="5">
        <v>51</v>
      </c>
      <c r="Q853" s="5">
        <v>1868470</v>
      </c>
      <c r="R853" s="5">
        <v>0</v>
      </c>
      <c r="S853" s="5">
        <v>1645150</v>
      </c>
      <c r="T853" s="5">
        <v>120</v>
      </c>
      <c r="V853" s="5">
        <v>1251030</v>
      </c>
      <c r="W853" s="5">
        <v>0</v>
      </c>
      <c r="X853" s="5">
        <v>6</v>
      </c>
    </row>
    <row r="854" spans="1:24" ht="12.75" customHeight="1">
      <c r="A854" s="11"/>
      <c r="B854" s="5">
        <v>2082730</v>
      </c>
      <c r="C854" s="5">
        <v>0</v>
      </c>
      <c r="D854" s="5">
        <v>1789610</v>
      </c>
      <c r="E854" s="5">
        <v>0</v>
      </c>
      <c r="G854" s="5">
        <v>2062030</v>
      </c>
      <c r="H854" s="5">
        <v>0</v>
      </c>
      <c r="I854" s="5">
        <v>1797120</v>
      </c>
      <c r="J854" s="5">
        <v>0</v>
      </c>
      <c r="L854" s="5">
        <v>2135190</v>
      </c>
      <c r="M854" s="5">
        <v>0</v>
      </c>
      <c r="N854" s="5">
        <v>1679150</v>
      </c>
      <c r="O854" s="5">
        <v>0</v>
      </c>
      <c r="Q854" s="5">
        <v>2113710</v>
      </c>
      <c r="R854" s="5">
        <v>0</v>
      </c>
      <c r="S854" s="5">
        <v>1686780</v>
      </c>
      <c r="T854" s="5">
        <v>0</v>
      </c>
      <c r="V854" s="5">
        <v>1378410</v>
      </c>
      <c r="W854" s="5">
        <v>0</v>
      </c>
      <c r="X854" s="5">
        <v>5</v>
      </c>
    </row>
    <row r="855" spans="1:24" ht="12.75" customHeight="1">
      <c r="A855" s="11"/>
      <c r="B855" s="5">
        <v>2002270</v>
      </c>
      <c r="C855" s="5">
        <v>0</v>
      </c>
      <c r="D855" s="5">
        <v>1769430</v>
      </c>
      <c r="E855" s="5">
        <v>0</v>
      </c>
      <c r="G855" s="5">
        <v>2073500</v>
      </c>
      <c r="H855" s="5">
        <v>0</v>
      </c>
      <c r="I855" s="5">
        <v>1831410</v>
      </c>
      <c r="J855" s="5">
        <v>0</v>
      </c>
      <c r="L855" s="5">
        <v>2103740</v>
      </c>
      <c r="M855" s="5">
        <v>56</v>
      </c>
      <c r="N855" s="5">
        <v>1530890</v>
      </c>
      <c r="O855" s="5">
        <v>0</v>
      </c>
      <c r="Q855" s="5">
        <v>2069390</v>
      </c>
      <c r="R855" s="5">
        <v>0</v>
      </c>
      <c r="S855" s="5">
        <v>1758720</v>
      </c>
      <c r="T855" s="5">
        <v>0</v>
      </c>
      <c r="V855" s="5">
        <v>1369240</v>
      </c>
      <c r="W855" s="5">
        <v>0</v>
      </c>
      <c r="X855" s="5">
        <v>4</v>
      </c>
    </row>
    <row r="856" spans="1:24" ht="12.75" customHeight="1">
      <c r="A856" s="11"/>
      <c r="B856" s="5">
        <v>2160590</v>
      </c>
      <c r="C856" s="5">
        <v>75</v>
      </c>
      <c r="D856" s="5">
        <v>2037700</v>
      </c>
      <c r="E856" s="5">
        <v>305</v>
      </c>
      <c r="G856" s="5">
        <v>2120860</v>
      </c>
      <c r="H856" s="5">
        <v>0</v>
      </c>
      <c r="I856" s="5">
        <v>1861810</v>
      </c>
      <c r="J856" s="5">
        <v>0</v>
      </c>
      <c r="L856" s="5">
        <v>2059040</v>
      </c>
      <c r="M856" s="5">
        <v>0</v>
      </c>
      <c r="N856" s="5">
        <v>1787410</v>
      </c>
      <c r="O856" s="5">
        <v>73</v>
      </c>
      <c r="Q856" s="5">
        <v>2100790</v>
      </c>
      <c r="R856" s="5">
        <v>0</v>
      </c>
      <c r="S856" s="5">
        <v>1612330</v>
      </c>
      <c r="T856" s="5">
        <v>0</v>
      </c>
      <c r="V856" s="5">
        <v>1453010</v>
      </c>
      <c r="W856" s="5">
        <v>36</v>
      </c>
      <c r="X856" s="5">
        <v>5</v>
      </c>
    </row>
    <row r="857" spans="1:24" ht="12.75" customHeight="1">
      <c r="A857" s="11"/>
      <c r="B857" s="5">
        <v>1941510</v>
      </c>
      <c r="C857" s="5">
        <v>0</v>
      </c>
      <c r="D857" s="5">
        <v>1681260</v>
      </c>
      <c r="E857" s="5">
        <v>0</v>
      </c>
      <c r="G857" s="5">
        <v>1938550</v>
      </c>
      <c r="H857" s="5">
        <v>0</v>
      </c>
      <c r="I857" s="5">
        <v>1708500</v>
      </c>
      <c r="J857" s="5">
        <v>0</v>
      </c>
      <c r="L857" s="5">
        <v>1926270</v>
      </c>
      <c r="M857" s="5">
        <v>0</v>
      </c>
      <c r="N857" s="5">
        <v>1518110</v>
      </c>
      <c r="O857" s="5">
        <v>0</v>
      </c>
      <c r="Q857" s="5">
        <v>1907700</v>
      </c>
      <c r="R857" s="5">
        <v>0</v>
      </c>
      <c r="S857" s="5">
        <v>1566740</v>
      </c>
      <c r="T857" s="5">
        <v>0</v>
      </c>
      <c r="V857" s="5">
        <v>1314080</v>
      </c>
      <c r="W857" s="5">
        <v>0</v>
      </c>
      <c r="X857" s="5">
        <v>4</v>
      </c>
    </row>
    <row r="858" spans="1:24" ht="12.75" customHeight="1">
      <c r="A858" s="11"/>
      <c r="B858" s="5">
        <v>2071200</v>
      </c>
      <c r="C858" s="5">
        <v>0</v>
      </c>
      <c r="D858" s="5">
        <v>1921390</v>
      </c>
      <c r="E858" s="5">
        <v>0</v>
      </c>
      <c r="G858" s="5">
        <v>2076000</v>
      </c>
      <c r="H858" s="5">
        <v>0</v>
      </c>
      <c r="I858" s="5">
        <v>1787100</v>
      </c>
      <c r="J858" s="5">
        <v>0</v>
      </c>
      <c r="L858" s="5">
        <v>2069120</v>
      </c>
      <c r="M858" s="5">
        <v>0</v>
      </c>
      <c r="N858" s="5">
        <v>1653040</v>
      </c>
      <c r="O858" s="5">
        <v>19</v>
      </c>
      <c r="Q858" s="5">
        <v>2089190</v>
      </c>
      <c r="R858" s="5">
        <v>7</v>
      </c>
      <c r="S858" s="5">
        <v>1807560</v>
      </c>
      <c r="T858" s="5">
        <v>78</v>
      </c>
      <c r="V858" s="5">
        <v>1387170</v>
      </c>
      <c r="W858" s="5">
        <v>0</v>
      </c>
      <c r="X858" s="5">
        <v>5</v>
      </c>
    </row>
    <row r="859" spans="1:24" ht="12.75" customHeight="1">
      <c r="A859" s="11"/>
      <c r="B859" s="5">
        <v>1920460</v>
      </c>
      <c r="C859" s="5">
        <v>0</v>
      </c>
      <c r="D859" s="5">
        <v>1581990</v>
      </c>
      <c r="E859" s="5">
        <v>0</v>
      </c>
      <c r="G859" s="5">
        <v>1894490</v>
      </c>
      <c r="H859" s="5">
        <v>0</v>
      </c>
      <c r="I859" s="5">
        <v>1582960</v>
      </c>
      <c r="J859" s="5">
        <v>0</v>
      </c>
      <c r="L859" s="5">
        <v>1904330</v>
      </c>
      <c r="M859" s="5">
        <v>0</v>
      </c>
      <c r="N859" s="5">
        <v>1582780</v>
      </c>
      <c r="O859" s="5">
        <v>167</v>
      </c>
      <c r="Q859" s="5">
        <v>1944430</v>
      </c>
      <c r="R859" s="5">
        <v>0</v>
      </c>
      <c r="S859" s="5">
        <v>1612360</v>
      </c>
      <c r="T859" s="5">
        <v>44</v>
      </c>
      <c r="V859" s="5">
        <v>1240810</v>
      </c>
      <c r="W859" s="5">
        <v>0</v>
      </c>
      <c r="X859" s="5">
        <v>5</v>
      </c>
    </row>
    <row r="860" spans="1:24" ht="12.75" customHeight="1">
      <c r="A860" s="11"/>
      <c r="B860" s="5">
        <v>1913770</v>
      </c>
      <c r="C860" s="5">
        <v>0</v>
      </c>
      <c r="D860" s="5">
        <v>1636860</v>
      </c>
      <c r="E860" s="5">
        <v>0</v>
      </c>
      <c r="G860" s="5">
        <v>1931950</v>
      </c>
      <c r="H860" s="5">
        <v>0</v>
      </c>
      <c r="I860" s="5">
        <v>1684710</v>
      </c>
      <c r="J860" s="5">
        <v>1</v>
      </c>
      <c r="L860" s="5">
        <v>1990090</v>
      </c>
      <c r="M860" s="5">
        <v>40</v>
      </c>
      <c r="N860" s="5">
        <v>1490410</v>
      </c>
      <c r="O860" s="5">
        <v>0</v>
      </c>
      <c r="Q860" s="5">
        <v>1953620</v>
      </c>
      <c r="R860" s="5">
        <v>0</v>
      </c>
      <c r="S860" s="5">
        <v>1477460</v>
      </c>
      <c r="T860" s="5">
        <v>0</v>
      </c>
      <c r="V860" s="5">
        <v>1212590</v>
      </c>
      <c r="W860" s="5">
        <v>0</v>
      </c>
      <c r="X860" s="5">
        <v>5</v>
      </c>
    </row>
    <row r="861" spans="1:24" ht="12.75" customHeight="1">
      <c r="A861" s="11"/>
      <c r="B861" s="5">
        <v>2094760</v>
      </c>
      <c r="C861" s="5">
        <v>0</v>
      </c>
      <c r="D861" s="5">
        <v>1965130</v>
      </c>
      <c r="E861" s="5">
        <v>0</v>
      </c>
      <c r="G861" s="5">
        <v>2232560</v>
      </c>
      <c r="H861" s="5">
        <v>97</v>
      </c>
      <c r="I861" s="5">
        <v>1838060</v>
      </c>
      <c r="J861" s="5">
        <v>0</v>
      </c>
      <c r="L861" s="5">
        <v>2097750</v>
      </c>
      <c r="M861" s="5">
        <v>0</v>
      </c>
      <c r="N861" s="5">
        <v>1723600</v>
      </c>
      <c r="O861" s="5">
        <v>0</v>
      </c>
      <c r="Q861" s="5">
        <v>2125120</v>
      </c>
      <c r="R861" s="5">
        <v>0</v>
      </c>
      <c r="S861" s="5">
        <v>1798360</v>
      </c>
      <c r="T861" s="5">
        <v>83</v>
      </c>
      <c r="V861" s="5">
        <v>1399840</v>
      </c>
      <c r="W861" s="5">
        <v>0</v>
      </c>
      <c r="X861" s="5">
        <v>6</v>
      </c>
    </row>
    <row r="862" spans="1:24" ht="12.75" customHeight="1">
      <c r="A862" s="11"/>
      <c r="B862" s="5">
        <v>2090150</v>
      </c>
      <c r="C862" s="5">
        <v>8</v>
      </c>
      <c r="D862" s="5">
        <v>1689060</v>
      </c>
      <c r="E862" s="5">
        <v>0</v>
      </c>
      <c r="G862" s="5">
        <v>2082690</v>
      </c>
      <c r="H862" s="5">
        <v>0</v>
      </c>
      <c r="I862" s="5">
        <v>1837220</v>
      </c>
      <c r="J862" s="5">
        <v>0</v>
      </c>
      <c r="L862" s="5">
        <v>2067740</v>
      </c>
      <c r="M862" s="5">
        <v>0</v>
      </c>
      <c r="N862" s="5">
        <v>1674300</v>
      </c>
      <c r="O862" s="5">
        <v>27</v>
      </c>
      <c r="Q862" s="5">
        <v>2163770</v>
      </c>
      <c r="R862" s="5">
        <v>103</v>
      </c>
      <c r="S862" s="5">
        <v>1632640</v>
      </c>
      <c r="T862" s="5">
        <v>8</v>
      </c>
      <c r="V862" s="5">
        <v>1416840</v>
      </c>
      <c r="W862" s="5">
        <v>26</v>
      </c>
      <c r="X862" s="5">
        <v>5</v>
      </c>
    </row>
    <row r="863" spans="1:24" ht="12.75" customHeight="1">
      <c r="A863" s="11"/>
      <c r="B863" s="5">
        <v>1970610</v>
      </c>
      <c r="C863" s="5">
        <v>57</v>
      </c>
      <c r="D863" s="5">
        <v>1527850</v>
      </c>
      <c r="E863" s="5">
        <v>0</v>
      </c>
      <c r="G863" s="5">
        <v>1936410</v>
      </c>
      <c r="H863" s="5">
        <v>0</v>
      </c>
      <c r="I863" s="5">
        <v>1696990</v>
      </c>
      <c r="J863" s="5">
        <v>90</v>
      </c>
      <c r="L863" s="5">
        <v>1920790</v>
      </c>
      <c r="M863" s="5">
        <v>0</v>
      </c>
      <c r="N863" s="5">
        <v>1427380</v>
      </c>
      <c r="O863" s="5">
        <v>0</v>
      </c>
      <c r="Q863" s="5">
        <v>1925400</v>
      </c>
      <c r="R863" s="5">
        <v>0</v>
      </c>
      <c r="S863" s="5">
        <v>1493710</v>
      </c>
      <c r="T863" s="5">
        <v>0</v>
      </c>
      <c r="V863" s="5">
        <v>1339390</v>
      </c>
      <c r="W863" s="5">
        <v>147</v>
      </c>
      <c r="X863" s="5">
        <v>19</v>
      </c>
    </row>
    <row r="864" spans="1:24" ht="12.75" customHeight="1">
      <c r="A864" s="11"/>
      <c r="B864" s="5">
        <v>2057680</v>
      </c>
      <c r="C864" s="5">
        <v>0</v>
      </c>
      <c r="D864" s="5">
        <v>1768590</v>
      </c>
      <c r="E864" s="5">
        <v>0</v>
      </c>
      <c r="G864" s="5">
        <v>2041920</v>
      </c>
      <c r="H864" s="5">
        <v>0</v>
      </c>
      <c r="I864" s="5">
        <v>1778640</v>
      </c>
      <c r="J864" s="5">
        <v>0</v>
      </c>
      <c r="L864" s="5">
        <v>2075400</v>
      </c>
      <c r="M864" s="5">
        <v>0</v>
      </c>
      <c r="N864" s="5">
        <v>1625000</v>
      </c>
      <c r="O864" s="5">
        <v>0</v>
      </c>
      <c r="Q864" s="5">
        <v>2060260</v>
      </c>
      <c r="R864" s="5">
        <v>0</v>
      </c>
      <c r="S864" s="5">
        <v>1619100</v>
      </c>
      <c r="T864" s="5">
        <v>0</v>
      </c>
      <c r="V864" s="5">
        <v>1352580</v>
      </c>
      <c r="W864" s="5">
        <v>0</v>
      </c>
      <c r="X864" s="5">
        <v>8</v>
      </c>
    </row>
    <row r="865" spans="1:24" ht="12.75" customHeight="1">
      <c r="A865" s="11"/>
      <c r="B865" s="5">
        <v>2139870</v>
      </c>
      <c r="C865" s="5">
        <v>0</v>
      </c>
      <c r="D865" s="5">
        <v>1701750</v>
      </c>
      <c r="E865" s="5">
        <v>0</v>
      </c>
      <c r="G865" s="5">
        <v>2123000</v>
      </c>
      <c r="H865" s="5">
        <v>0</v>
      </c>
      <c r="I865" s="5">
        <v>1902400</v>
      </c>
      <c r="J865" s="5">
        <v>63</v>
      </c>
      <c r="L865" s="5">
        <v>2134020</v>
      </c>
      <c r="M865" s="5">
        <v>0</v>
      </c>
      <c r="N865" s="5">
        <v>1755610</v>
      </c>
      <c r="O865" s="5">
        <v>0</v>
      </c>
      <c r="Q865" s="5">
        <v>2178730</v>
      </c>
      <c r="R865" s="5">
        <v>0</v>
      </c>
      <c r="S865" s="5">
        <v>1693050</v>
      </c>
      <c r="T865" s="5">
        <v>0</v>
      </c>
      <c r="V865" s="5">
        <v>1313420</v>
      </c>
      <c r="W865" s="5">
        <v>0</v>
      </c>
      <c r="X865" s="5">
        <v>7</v>
      </c>
    </row>
    <row r="866" spans="1:24" ht="12.75" customHeight="1">
      <c r="A866" s="11"/>
      <c r="B866" s="5">
        <v>1998860</v>
      </c>
      <c r="C866" s="5">
        <v>0</v>
      </c>
      <c r="D866" s="5">
        <v>1798190</v>
      </c>
      <c r="E866" s="5">
        <v>0</v>
      </c>
      <c r="G866" s="5">
        <v>2005000</v>
      </c>
      <c r="H866" s="5">
        <v>0</v>
      </c>
      <c r="I866" s="5">
        <v>1910800</v>
      </c>
      <c r="J866" s="5">
        <v>4</v>
      </c>
      <c r="L866" s="5">
        <v>2030120</v>
      </c>
      <c r="M866" s="5">
        <v>0</v>
      </c>
      <c r="N866" s="5">
        <v>1761600</v>
      </c>
      <c r="O866" s="5">
        <v>0</v>
      </c>
      <c r="Q866" s="5">
        <v>2044140</v>
      </c>
      <c r="R866" s="5">
        <v>0</v>
      </c>
      <c r="S866" s="5">
        <v>1725790</v>
      </c>
      <c r="T866" s="5">
        <v>0</v>
      </c>
      <c r="V866" s="5">
        <v>1372310</v>
      </c>
      <c r="W866" s="5">
        <v>0</v>
      </c>
      <c r="X866" s="5">
        <v>5</v>
      </c>
    </row>
    <row r="867" spans="1:24" ht="12.75" customHeight="1">
      <c r="A867" s="11"/>
      <c r="B867" s="5">
        <v>1938170</v>
      </c>
      <c r="C867" s="5">
        <v>43</v>
      </c>
      <c r="D867" s="5">
        <v>1661060</v>
      </c>
      <c r="E867" s="5">
        <v>0</v>
      </c>
      <c r="G867" s="5">
        <v>1932710</v>
      </c>
      <c r="H867" s="5">
        <v>0</v>
      </c>
      <c r="I867" s="5">
        <v>1581730</v>
      </c>
      <c r="J867" s="5">
        <v>0</v>
      </c>
      <c r="L867" s="5">
        <v>1946320</v>
      </c>
      <c r="M867" s="5">
        <v>0</v>
      </c>
      <c r="N867" s="5">
        <v>1566560</v>
      </c>
      <c r="O867" s="5">
        <v>0</v>
      </c>
      <c r="Q867" s="5">
        <v>1964190</v>
      </c>
      <c r="R867" s="5">
        <v>0</v>
      </c>
      <c r="S867" s="5">
        <v>1579440</v>
      </c>
      <c r="T867" s="5">
        <v>0</v>
      </c>
      <c r="V867" s="5">
        <v>1277120</v>
      </c>
      <c r="W867" s="5">
        <v>0</v>
      </c>
      <c r="X867" s="5">
        <v>6</v>
      </c>
    </row>
    <row r="868" spans="1:24" ht="12.75" customHeight="1">
      <c r="A868" s="11"/>
      <c r="B868" s="5">
        <v>1873060</v>
      </c>
      <c r="C868" s="5">
        <v>0</v>
      </c>
      <c r="D868" s="5">
        <v>1710620</v>
      </c>
      <c r="E868" s="5">
        <v>93</v>
      </c>
      <c r="G868" s="5">
        <v>1877820</v>
      </c>
      <c r="H868" s="5">
        <v>30</v>
      </c>
      <c r="I868" s="5">
        <v>1620280</v>
      </c>
      <c r="J868" s="5">
        <v>0</v>
      </c>
      <c r="L868" s="5">
        <v>1913270</v>
      </c>
      <c r="M868" s="5">
        <v>115</v>
      </c>
      <c r="N868" s="5">
        <v>1569010</v>
      </c>
      <c r="O868" s="5">
        <v>0</v>
      </c>
      <c r="Q868" s="5">
        <v>1842980</v>
      </c>
      <c r="R868" s="5">
        <v>0</v>
      </c>
      <c r="S868" s="5">
        <v>1468680</v>
      </c>
      <c r="T868" s="5">
        <v>0</v>
      </c>
      <c r="V868" s="5">
        <v>1214070</v>
      </c>
      <c r="W868" s="5">
        <v>0</v>
      </c>
      <c r="X868" s="5">
        <v>10</v>
      </c>
    </row>
    <row r="869" spans="1:24" ht="12.75" customHeight="1">
      <c r="A869" s="11"/>
      <c r="B869" s="5">
        <v>1866120</v>
      </c>
      <c r="C869" s="5">
        <v>18</v>
      </c>
      <c r="D869" s="5">
        <v>1543350</v>
      </c>
      <c r="E869" s="5">
        <v>0</v>
      </c>
      <c r="G869" s="5">
        <v>1828960</v>
      </c>
      <c r="H869" s="5">
        <v>0</v>
      </c>
      <c r="I869" s="5">
        <v>1563860</v>
      </c>
      <c r="J869" s="5">
        <v>0</v>
      </c>
      <c r="L869" s="5">
        <v>1874850</v>
      </c>
      <c r="M869" s="5">
        <v>8</v>
      </c>
      <c r="N869" s="5">
        <v>1492970</v>
      </c>
      <c r="O869" s="5">
        <v>0</v>
      </c>
      <c r="Q869" s="5">
        <v>1899030</v>
      </c>
      <c r="R869" s="5">
        <v>0</v>
      </c>
      <c r="S869" s="5">
        <v>1512050</v>
      </c>
      <c r="T869" s="5">
        <v>0</v>
      </c>
      <c r="V869" s="5">
        <v>1214060</v>
      </c>
      <c r="W869" s="5">
        <v>0</v>
      </c>
      <c r="X869" s="5">
        <v>8</v>
      </c>
    </row>
    <row r="870" spans="1:24" ht="12.75" customHeight="1">
      <c r="A870" s="11"/>
      <c r="B870" s="5">
        <v>1886500</v>
      </c>
      <c r="C870" s="5">
        <v>0</v>
      </c>
      <c r="D870" s="5">
        <v>1551080</v>
      </c>
      <c r="E870" s="5">
        <v>0</v>
      </c>
      <c r="G870" s="5">
        <v>1884060</v>
      </c>
      <c r="H870" s="5">
        <v>0</v>
      </c>
      <c r="I870" s="5">
        <v>1559300</v>
      </c>
      <c r="J870" s="5">
        <v>0</v>
      </c>
      <c r="L870" s="5">
        <v>1895450</v>
      </c>
      <c r="M870" s="5">
        <v>0</v>
      </c>
      <c r="N870" s="5">
        <v>1544710</v>
      </c>
      <c r="O870" s="5">
        <v>0</v>
      </c>
      <c r="Q870" s="5">
        <v>1909460</v>
      </c>
      <c r="R870" s="5">
        <v>0</v>
      </c>
      <c r="S870" s="5">
        <v>1589040</v>
      </c>
      <c r="T870" s="5">
        <v>0</v>
      </c>
      <c r="V870" s="5">
        <v>1287310</v>
      </c>
      <c r="W870" s="5">
        <v>0</v>
      </c>
      <c r="X870" s="5">
        <v>8</v>
      </c>
    </row>
    <row r="871" spans="1:24" ht="12.75" customHeight="1">
      <c r="A871" s="11"/>
      <c r="B871" s="5">
        <v>1935780</v>
      </c>
      <c r="C871" s="5">
        <v>0</v>
      </c>
      <c r="D871" s="5">
        <v>1720610</v>
      </c>
      <c r="E871" s="5">
        <v>0</v>
      </c>
      <c r="G871" s="5">
        <v>1975960</v>
      </c>
      <c r="H871" s="5">
        <v>0</v>
      </c>
      <c r="I871" s="5">
        <v>1755140</v>
      </c>
      <c r="J871" s="5">
        <v>0</v>
      </c>
      <c r="L871" s="5">
        <v>1979650</v>
      </c>
      <c r="M871" s="5">
        <v>0</v>
      </c>
      <c r="N871" s="5">
        <v>1653080</v>
      </c>
      <c r="O871" s="5">
        <v>0</v>
      </c>
      <c r="Q871" s="5">
        <v>2019190</v>
      </c>
      <c r="R871" s="5">
        <v>34</v>
      </c>
      <c r="S871" s="5">
        <v>1685780</v>
      </c>
      <c r="T871" s="5">
        <v>28</v>
      </c>
      <c r="V871" s="5">
        <v>1325910</v>
      </c>
      <c r="W871" s="5">
        <v>0</v>
      </c>
      <c r="X871" s="5">
        <v>5</v>
      </c>
    </row>
    <row r="872" spans="1:24" ht="12.75" customHeight="1">
      <c r="A872" s="11"/>
      <c r="B872" s="5">
        <v>2039930</v>
      </c>
      <c r="C872" s="5">
        <v>0</v>
      </c>
      <c r="D872" s="5">
        <v>1786890</v>
      </c>
      <c r="E872" s="5">
        <v>0</v>
      </c>
      <c r="G872" s="5">
        <v>2031780</v>
      </c>
      <c r="H872" s="5">
        <v>0</v>
      </c>
      <c r="I872" s="5">
        <v>1654110</v>
      </c>
      <c r="J872" s="5">
        <v>0</v>
      </c>
      <c r="L872" s="5">
        <v>2003320</v>
      </c>
      <c r="M872" s="5">
        <v>0</v>
      </c>
      <c r="N872" s="5">
        <v>1635220</v>
      </c>
      <c r="O872" s="5">
        <v>0</v>
      </c>
      <c r="Q872" s="5">
        <v>2007670</v>
      </c>
      <c r="R872" s="5">
        <v>0</v>
      </c>
      <c r="S872" s="5">
        <v>1558890</v>
      </c>
      <c r="T872" s="5">
        <v>0</v>
      </c>
      <c r="V872" s="5">
        <v>1368930</v>
      </c>
      <c r="W872" s="5">
        <v>0</v>
      </c>
      <c r="X872" s="5">
        <v>5</v>
      </c>
    </row>
    <row r="873" spans="1:24" ht="12.75" customHeight="1">
      <c r="A873" s="11"/>
      <c r="B873" s="5">
        <v>1789860</v>
      </c>
      <c r="C873" s="5">
        <v>170</v>
      </c>
      <c r="D873" s="5">
        <v>1381910</v>
      </c>
      <c r="E873" s="5">
        <v>24</v>
      </c>
      <c r="G873" s="5">
        <v>1650470</v>
      </c>
      <c r="H873" s="5">
        <v>32</v>
      </c>
      <c r="I873" s="5">
        <v>1425630</v>
      </c>
      <c r="J873" s="5">
        <v>0</v>
      </c>
      <c r="L873" s="5">
        <v>1707120</v>
      </c>
      <c r="M873" s="5">
        <v>90</v>
      </c>
      <c r="N873" s="5">
        <v>1341750</v>
      </c>
      <c r="O873" s="5">
        <v>77</v>
      </c>
      <c r="Q873" s="5">
        <v>1592730</v>
      </c>
      <c r="R873" s="5">
        <v>0</v>
      </c>
      <c r="S873" s="5">
        <v>1365000</v>
      </c>
      <c r="T873" s="5">
        <v>0</v>
      </c>
      <c r="V873" s="5">
        <v>1122400</v>
      </c>
      <c r="W873" s="5">
        <v>18</v>
      </c>
      <c r="X873" s="5">
        <v>15</v>
      </c>
    </row>
    <row r="874" spans="1:24" ht="12.75" customHeight="1">
      <c r="A874" s="11"/>
      <c r="B874" s="5">
        <v>1717920</v>
      </c>
      <c r="C874" s="5">
        <v>0</v>
      </c>
      <c r="D874" s="5">
        <v>1494870</v>
      </c>
      <c r="E874" s="5">
        <v>0</v>
      </c>
      <c r="G874" s="5">
        <v>1748690</v>
      </c>
      <c r="H874" s="5">
        <v>0</v>
      </c>
      <c r="I874" s="5">
        <v>1726520</v>
      </c>
      <c r="J874" s="5">
        <v>65</v>
      </c>
      <c r="L874" s="5">
        <v>1694190</v>
      </c>
      <c r="M874" s="5">
        <v>17</v>
      </c>
      <c r="N874" s="5">
        <v>1492700</v>
      </c>
      <c r="O874" s="5">
        <v>98</v>
      </c>
      <c r="Q874" s="5">
        <v>1756100</v>
      </c>
      <c r="R874" s="5">
        <v>0</v>
      </c>
      <c r="S874" s="5">
        <v>1536890</v>
      </c>
      <c r="T874" s="5">
        <v>106</v>
      </c>
      <c r="V874" s="5">
        <v>1223190</v>
      </c>
      <c r="W874" s="5">
        <v>30</v>
      </c>
      <c r="X874" s="5">
        <v>11</v>
      </c>
    </row>
    <row r="875" spans="1:24" ht="12.75" customHeight="1">
      <c r="A875" s="11"/>
      <c r="B875" s="5">
        <v>1875030</v>
      </c>
      <c r="C875" s="5">
        <v>0</v>
      </c>
      <c r="D875" s="5">
        <v>1626700</v>
      </c>
      <c r="E875" s="5">
        <v>63</v>
      </c>
      <c r="G875" s="5">
        <v>1883520</v>
      </c>
      <c r="H875" s="5">
        <v>0</v>
      </c>
      <c r="I875" s="5">
        <v>1637950</v>
      </c>
      <c r="J875" s="5">
        <v>0</v>
      </c>
      <c r="L875" s="5">
        <v>1881280</v>
      </c>
      <c r="M875" s="5">
        <v>0</v>
      </c>
      <c r="N875" s="5">
        <v>1430090</v>
      </c>
      <c r="O875" s="5">
        <v>19</v>
      </c>
      <c r="Q875" s="5">
        <v>1884390</v>
      </c>
      <c r="R875" s="5">
        <v>0</v>
      </c>
      <c r="S875" s="5">
        <v>1567280</v>
      </c>
      <c r="T875" s="5">
        <v>35</v>
      </c>
      <c r="V875" s="5">
        <v>1199300</v>
      </c>
      <c r="W875" s="5">
        <v>0</v>
      </c>
      <c r="X875" s="5">
        <v>7</v>
      </c>
    </row>
    <row r="876" spans="1:24" ht="12.75" customHeight="1">
      <c r="A876" s="11"/>
      <c r="B876" s="5">
        <v>1763670</v>
      </c>
      <c r="C876" s="5">
        <v>83</v>
      </c>
      <c r="D876" s="5">
        <v>1520470</v>
      </c>
      <c r="E876" s="5">
        <v>71</v>
      </c>
      <c r="G876" s="5">
        <v>1807710</v>
      </c>
      <c r="H876" s="5">
        <v>62</v>
      </c>
      <c r="I876" s="5">
        <v>1560800</v>
      </c>
      <c r="J876" s="5">
        <v>2</v>
      </c>
      <c r="L876" s="5">
        <v>1730910</v>
      </c>
      <c r="M876" s="5">
        <v>36</v>
      </c>
      <c r="N876" s="5">
        <v>1341930</v>
      </c>
      <c r="O876" s="5">
        <v>68</v>
      </c>
      <c r="Q876" s="5">
        <v>1771010</v>
      </c>
      <c r="R876" s="5">
        <v>23</v>
      </c>
      <c r="S876" s="5">
        <v>1574380</v>
      </c>
      <c r="T876" s="5">
        <v>94</v>
      </c>
      <c r="V876" s="5">
        <v>1087970</v>
      </c>
      <c r="W876" s="5">
        <v>0</v>
      </c>
      <c r="X876" s="5">
        <v>5</v>
      </c>
    </row>
    <row r="877" spans="1:24" ht="12.75" customHeight="1">
      <c r="A877" s="11"/>
      <c r="B877" s="5">
        <v>1756210</v>
      </c>
      <c r="C877" s="5">
        <v>0</v>
      </c>
      <c r="D877" s="5">
        <v>1527660</v>
      </c>
      <c r="E877" s="5">
        <v>70</v>
      </c>
      <c r="G877" s="5">
        <v>1858460</v>
      </c>
      <c r="H877" s="5">
        <v>101</v>
      </c>
      <c r="I877" s="5">
        <v>1577360</v>
      </c>
      <c r="J877" s="5">
        <v>4</v>
      </c>
      <c r="L877" s="5">
        <v>1786600</v>
      </c>
      <c r="M877" s="5">
        <v>0</v>
      </c>
      <c r="N877" s="5">
        <v>1309720</v>
      </c>
      <c r="O877" s="5">
        <v>20</v>
      </c>
      <c r="Q877" s="5">
        <v>1786390</v>
      </c>
      <c r="R877" s="5">
        <v>0</v>
      </c>
      <c r="S877" s="5">
        <v>1457310</v>
      </c>
      <c r="T877" s="5">
        <v>0</v>
      </c>
      <c r="V877" s="5">
        <v>1164450</v>
      </c>
      <c r="W877" s="5">
        <v>0</v>
      </c>
      <c r="X877" s="5">
        <v>5</v>
      </c>
    </row>
    <row r="878" spans="1:24" ht="12.75" customHeight="1">
      <c r="A878" s="11"/>
      <c r="B878" s="5">
        <v>1826540</v>
      </c>
      <c r="C878" s="5">
        <v>0</v>
      </c>
      <c r="D878" s="5">
        <v>1569830</v>
      </c>
      <c r="E878" s="5">
        <v>0</v>
      </c>
      <c r="G878" s="5">
        <v>1838350</v>
      </c>
      <c r="H878" s="5">
        <v>0</v>
      </c>
      <c r="I878" s="5">
        <v>1591010</v>
      </c>
      <c r="J878" s="5">
        <v>0</v>
      </c>
      <c r="L878" s="5">
        <v>1805910</v>
      </c>
      <c r="M878" s="5">
        <v>0</v>
      </c>
      <c r="N878" s="5">
        <v>1385640</v>
      </c>
      <c r="O878" s="5">
        <v>0</v>
      </c>
      <c r="Q878" s="5">
        <v>1810120</v>
      </c>
      <c r="R878" s="5">
        <v>0</v>
      </c>
      <c r="S878" s="5">
        <v>1600130</v>
      </c>
      <c r="T878" s="5">
        <v>41</v>
      </c>
      <c r="V878" s="5">
        <v>1162100</v>
      </c>
      <c r="W878" s="5">
        <v>0</v>
      </c>
      <c r="X878" s="5">
        <v>8</v>
      </c>
    </row>
    <row r="879" spans="1:24" ht="12.75" customHeight="1">
      <c r="A879" s="11"/>
      <c r="B879" s="5">
        <v>1694350</v>
      </c>
      <c r="C879" s="5">
        <v>0</v>
      </c>
      <c r="D879" s="5">
        <v>1434170</v>
      </c>
      <c r="E879" s="5">
        <v>22</v>
      </c>
      <c r="G879" s="5">
        <v>1760620</v>
      </c>
      <c r="H879" s="5">
        <v>99</v>
      </c>
      <c r="I879" s="5">
        <v>1488940</v>
      </c>
      <c r="J879" s="5">
        <v>3</v>
      </c>
      <c r="L879" s="5">
        <v>1646730</v>
      </c>
      <c r="M879" s="5">
        <v>0</v>
      </c>
      <c r="N879" s="5">
        <v>1381450</v>
      </c>
      <c r="O879" s="5">
        <v>74</v>
      </c>
      <c r="Q879" s="5">
        <v>1760540</v>
      </c>
      <c r="R879" s="5">
        <v>80</v>
      </c>
      <c r="S879" s="5">
        <v>1481940</v>
      </c>
      <c r="T879" s="5">
        <v>53</v>
      </c>
      <c r="V879" s="5">
        <v>1106390</v>
      </c>
      <c r="W879" s="5">
        <v>12</v>
      </c>
      <c r="X879" s="5">
        <v>23</v>
      </c>
    </row>
    <row r="880" spans="1:24" ht="12.75" customHeight="1">
      <c r="A880" s="11"/>
      <c r="B880" s="5">
        <v>1571730</v>
      </c>
      <c r="C880" s="5">
        <v>0</v>
      </c>
      <c r="D880" s="5">
        <v>1487920</v>
      </c>
      <c r="E880" s="5">
        <v>0</v>
      </c>
      <c r="G880" s="5">
        <v>1749090</v>
      </c>
      <c r="H880" s="5">
        <v>119</v>
      </c>
      <c r="I880" s="5">
        <v>1500550</v>
      </c>
      <c r="J880" s="5">
        <v>0</v>
      </c>
      <c r="L880" s="5">
        <v>1598730</v>
      </c>
      <c r="M880" s="5">
        <v>0</v>
      </c>
      <c r="N880" s="5">
        <v>1328470</v>
      </c>
      <c r="O880" s="5">
        <v>24</v>
      </c>
      <c r="Q880" s="5">
        <v>1635020</v>
      </c>
      <c r="R880" s="5">
        <v>0</v>
      </c>
      <c r="S880" s="5">
        <v>1363110</v>
      </c>
      <c r="T880" s="5">
        <v>0</v>
      </c>
      <c r="V880" s="5">
        <v>1046330</v>
      </c>
      <c r="W880" s="5">
        <v>0</v>
      </c>
      <c r="X880" s="5">
        <v>8</v>
      </c>
    </row>
    <row r="881" spans="1:24" ht="12.75" customHeight="1">
      <c r="A881" s="11"/>
      <c r="B881" s="5">
        <v>1829320</v>
      </c>
      <c r="C881" s="5">
        <v>0</v>
      </c>
      <c r="D881" s="5">
        <v>1721550</v>
      </c>
      <c r="E881" s="5">
        <v>102</v>
      </c>
      <c r="G881" s="5">
        <v>1879270</v>
      </c>
      <c r="H881" s="5">
        <v>16</v>
      </c>
      <c r="I881" s="5">
        <v>1714450</v>
      </c>
      <c r="J881" s="5">
        <v>60</v>
      </c>
      <c r="L881" s="5">
        <v>1918350</v>
      </c>
      <c r="M881" s="5">
        <v>56</v>
      </c>
      <c r="N881" s="5">
        <v>1585090</v>
      </c>
      <c r="O881" s="5">
        <v>80</v>
      </c>
      <c r="Q881" s="5">
        <v>1907600</v>
      </c>
      <c r="R881" s="5">
        <v>95</v>
      </c>
      <c r="S881" s="5">
        <v>1577690</v>
      </c>
      <c r="T881" s="5">
        <v>21</v>
      </c>
      <c r="V881" s="5">
        <v>1294200</v>
      </c>
      <c r="W881" s="5">
        <v>56</v>
      </c>
      <c r="X881" s="5">
        <v>6</v>
      </c>
    </row>
    <row r="882" spans="1:24" ht="12.75" customHeight="1">
      <c r="A882" s="11"/>
      <c r="B882" s="5">
        <v>2025090</v>
      </c>
      <c r="C882" s="5">
        <v>168</v>
      </c>
      <c r="D882" s="5">
        <v>1783490</v>
      </c>
      <c r="E882" s="5">
        <v>237</v>
      </c>
      <c r="G882" s="5">
        <v>1896080</v>
      </c>
      <c r="H882" s="5">
        <v>0</v>
      </c>
      <c r="I882" s="5">
        <v>1757870</v>
      </c>
      <c r="J882" s="5">
        <v>115</v>
      </c>
      <c r="L882" s="5">
        <v>2066880</v>
      </c>
      <c r="M882" s="5">
        <v>144</v>
      </c>
      <c r="N882" s="5">
        <v>1388200</v>
      </c>
      <c r="O882" s="5">
        <v>5</v>
      </c>
      <c r="Q882" s="5">
        <v>1970680</v>
      </c>
      <c r="R882" s="5">
        <v>105</v>
      </c>
      <c r="S882" s="5">
        <v>1591970</v>
      </c>
      <c r="T882" s="5">
        <v>69</v>
      </c>
      <c r="V882" s="5">
        <v>1200460</v>
      </c>
      <c r="W882" s="5">
        <v>0</v>
      </c>
      <c r="X882" s="5">
        <v>11</v>
      </c>
    </row>
    <row r="883" spans="1:24" ht="12.75" customHeight="1">
      <c r="A883" s="11"/>
      <c r="B883" s="5">
        <v>1655970</v>
      </c>
      <c r="C883" s="5">
        <v>50</v>
      </c>
      <c r="D883" s="5">
        <v>1493510</v>
      </c>
      <c r="E883" s="5">
        <v>168</v>
      </c>
      <c r="G883" s="5">
        <v>1651580</v>
      </c>
      <c r="H883" s="5">
        <v>67</v>
      </c>
      <c r="I883" s="5">
        <v>1448730</v>
      </c>
      <c r="J883" s="5">
        <v>0</v>
      </c>
      <c r="L883" s="5">
        <v>1615820</v>
      </c>
      <c r="M883" s="5">
        <v>0</v>
      </c>
      <c r="N883" s="5">
        <v>1225300</v>
      </c>
      <c r="O883" s="5">
        <v>0</v>
      </c>
      <c r="Q883" s="5">
        <v>1728510</v>
      </c>
      <c r="R883" s="5">
        <v>94</v>
      </c>
      <c r="S883" s="5">
        <v>1403550</v>
      </c>
      <c r="T883" s="5">
        <v>40</v>
      </c>
      <c r="V883" s="5">
        <v>1103790</v>
      </c>
      <c r="W883" s="5">
        <v>40</v>
      </c>
      <c r="X883" s="5">
        <v>11</v>
      </c>
    </row>
    <row r="884" spans="1:24" ht="12.75" customHeight="1">
      <c r="A884" s="11"/>
      <c r="B884" s="5">
        <v>1818690</v>
      </c>
      <c r="C884" s="5">
        <v>0</v>
      </c>
      <c r="D884" s="5">
        <v>1685890</v>
      </c>
      <c r="E884" s="5">
        <v>21</v>
      </c>
      <c r="G884" s="5">
        <v>1891410</v>
      </c>
      <c r="H884" s="5">
        <v>32</v>
      </c>
      <c r="I884" s="5">
        <v>1646830</v>
      </c>
      <c r="J884" s="5">
        <v>0</v>
      </c>
      <c r="L884" s="5">
        <v>1829250</v>
      </c>
      <c r="M884" s="5">
        <v>0</v>
      </c>
      <c r="N884" s="5">
        <v>1438520</v>
      </c>
      <c r="O884" s="5">
        <v>14</v>
      </c>
      <c r="Q884" s="5">
        <v>1836190</v>
      </c>
      <c r="R884" s="5">
        <v>0</v>
      </c>
      <c r="S884" s="5">
        <v>1553260</v>
      </c>
      <c r="T884" s="5">
        <v>10</v>
      </c>
      <c r="V884" s="5">
        <v>1330580</v>
      </c>
      <c r="W884" s="5">
        <v>57</v>
      </c>
      <c r="X884" s="5">
        <v>10</v>
      </c>
    </row>
    <row r="885" spans="1:24" ht="12.75" customHeight="1">
      <c r="A885" s="11"/>
      <c r="B885" s="5">
        <v>1754520</v>
      </c>
      <c r="C885" s="5">
        <v>40</v>
      </c>
      <c r="D885" s="5">
        <v>1423620</v>
      </c>
      <c r="E885" s="5">
        <v>0</v>
      </c>
      <c r="G885" s="5">
        <v>1757790</v>
      </c>
      <c r="H885" s="5">
        <v>0</v>
      </c>
      <c r="I885" s="5">
        <v>1477610</v>
      </c>
      <c r="J885" s="5">
        <v>0</v>
      </c>
      <c r="L885" s="5">
        <v>1755420</v>
      </c>
      <c r="M885" s="5">
        <v>0</v>
      </c>
      <c r="N885" s="5">
        <v>1537840</v>
      </c>
      <c r="O885" s="5">
        <v>106</v>
      </c>
      <c r="Q885" s="5">
        <v>1886560</v>
      </c>
      <c r="R885" s="5">
        <v>147</v>
      </c>
      <c r="S885" s="5">
        <v>1455680</v>
      </c>
      <c r="T885" s="5">
        <v>0</v>
      </c>
      <c r="V885" s="5">
        <v>1201670</v>
      </c>
      <c r="W885" s="5">
        <v>34</v>
      </c>
      <c r="X885" s="5">
        <v>7</v>
      </c>
    </row>
    <row r="886" spans="1:24" ht="12.75" customHeight="1">
      <c r="A886" s="11"/>
      <c r="B886" s="5">
        <v>1728070</v>
      </c>
      <c r="C886" s="5">
        <v>0</v>
      </c>
      <c r="D886" s="5">
        <v>1753120</v>
      </c>
      <c r="E886" s="5">
        <v>200</v>
      </c>
      <c r="G886" s="5">
        <v>1768980</v>
      </c>
      <c r="H886" s="5">
        <v>58</v>
      </c>
      <c r="I886" s="5">
        <v>1597490</v>
      </c>
      <c r="J886" s="5">
        <v>46</v>
      </c>
      <c r="L886" s="5">
        <v>1762220</v>
      </c>
      <c r="M886" s="5">
        <v>0</v>
      </c>
      <c r="N886" s="5">
        <v>1417100</v>
      </c>
      <c r="O886" s="5">
        <v>17</v>
      </c>
      <c r="Q886" s="5">
        <v>1799160</v>
      </c>
      <c r="R886" s="5">
        <v>101</v>
      </c>
      <c r="S886" s="5">
        <v>1450750</v>
      </c>
      <c r="T886" s="5">
        <v>0</v>
      </c>
      <c r="V886" s="5">
        <v>1118960</v>
      </c>
      <c r="W886" s="5">
        <v>0</v>
      </c>
      <c r="X886" s="5">
        <v>12</v>
      </c>
    </row>
    <row r="887" spans="1:24" ht="12.75" customHeight="1">
      <c r="A887" s="11"/>
      <c r="B887" s="5">
        <v>1665150</v>
      </c>
      <c r="C887" s="5">
        <v>0</v>
      </c>
      <c r="D887" s="5">
        <v>1490620</v>
      </c>
      <c r="E887" s="5">
        <v>0</v>
      </c>
      <c r="G887" s="5">
        <v>1672560</v>
      </c>
      <c r="H887" s="5">
        <v>2</v>
      </c>
      <c r="I887" s="5">
        <v>1394040</v>
      </c>
      <c r="J887" s="5">
        <v>0</v>
      </c>
      <c r="L887" s="5">
        <v>1683110</v>
      </c>
      <c r="M887" s="5">
        <v>0</v>
      </c>
      <c r="N887" s="5">
        <v>1266970</v>
      </c>
      <c r="O887" s="5">
        <v>0</v>
      </c>
      <c r="Q887" s="5">
        <v>1697550</v>
      </c>
      <c r="R887" s="5">
        <v>14</v>
      </c>
      <c r="S887" s="5">
        <v>1385050</v>
      </c>
      <c r="T887" s="5">
        <v>0</v>
      </c>
      <c r="V887" s="5">
        <v>1074140</v>
      </c>
      <c r="W887" s="5">
        <v>0</v>
      </c>
      <c r="X887" s="5">
        <v>8</v>
      </c>
    </row>
    <row r="888" spans="1:24" ht="12.75" customHeight="1">
      <c r="A888" s="11"/>
      <c r="B888" s="5">
        <v>1839480</v>
      </c>
      <c r="C888" s="5">
        <v>122</v>
      </c>
      <c r="D888" s="5">
        <v>1531420</v>
      </c>
      <c r="E888" s="5">
        <v>0</v>
      </c>
      <c r="G888" s="5">
        <v>1747760</v>
      </c>
      <c r="H888" s="5">
        <v>14</v>
      </c>
      <c r="I888" s="5">
        <v>1501690</v>
      </c>
      <c r="J888" s="5">
        <v>27</v>
      </c>
      <c r="L888" s="5">
        <v>1717480</v>
      </c>
      <c r="M888" s="5">
        <v>0</v>
      </c>
      <c r="N888" s="5">
        <v>1511250</v>
      </c>
      <c r="O888" s="5">
        <v>73</v>
      </c>
      <c r="Q888" s="5">
        <v>1735070</v>
      </c>
      <c r="R888" s="5">
        <v>0</v>
      </c>
      <c r="S888" s="5">
        <v>1426230</v>
      </c>
      <c r="T888" s="5">
        <v>0</v>
      </c>
      <c r="V888" s="5">
        <v>1225560</v>
      </c>
      <c r="W888" s="5">
        <v>110</v>
      </c>
      <c r="X888" s="5">
        <v>19</v>
      </c>
    </row>
    <row r="889" spans="1:24" ht="12.75" customHeight="1">
      <c r="A889" s="11"/>
      <c r="B889" s="5">
        <v>1991130</v>
      </c>
      <c r="C889" s="5">
        <v>22</v>
      </c>
      <c r="D889" s="5">
        <v>1730030</v>
      </c>
      <c r="E889" s="5">
        <v>29</v>
      </c>
      <c r="G889" s="5">
        <v>1998910</v>
      </c>
      <c r="H889" s="5">
        <v>0</v>
      </c>
      <c r="I889" s="5">
        <v>1674360</v>
      </c>
      <c r="J889" s="5">
        <v>0</v>
      </c>
      <c r="L889" s="5">
        <v>2017500</v>
      </c>
      <c r="M889" s="5">
        <v>0</v>
      </c>
      <c r="N889" s="5">
        <v>1656920</v>
      </c>
      <c r="O889" s="5">
        <v>0</v>
      </c>
      <c r="Q889" s="5">
        <v>2013030</v>
      </c>
      <c r="R889" s="5">
        <v>0</v>
      </c>
      <c r="S889" s="5">
        <v>1696400</v>
      </c>
      <c r="T889" s="5">
        <v>48</v>
      </c>
      <c r="V889" s="5">
        <v>1415290</v>
      </c>
      <c r="W889" s="5">
        <v>0</v>
      </c>
      <c r="X889" s="5">
        <v>9</v>
      </c>
    </row>
    <row r="890" spans="1:24" ht="12.75" customHeight="1">
      <c r="A890" s="11"/>
      <c r="B890" s="5">
        <v>1888190</v>
      </c>
      <c r="C890" s="5">
        <v>0</v>
      </c>
      <c r="D890" s="5">
        <v>1603640</v>
      </c>
      <c r="E890" s="5">
        <v>0</v>
      </c>
      <c r="G890" s="5">
        <v>1833060</v>
      </c>
      <c r="H890" s="5">
        <v>0</v>
      </c>
      <c r="I890" s="5">
        <v>1670120</v>
      </c>
      <c r="J890" s="5">
        <v>6</v>
      </c>
      <c r="L890" s="5">
        <v>1849250</v>
      </c>
      <c r="M890" s="5">
        <v>0</v>
      </c>
      <c r="N890" s="5">
        <v>1388200</v>
      </c>
      <c r="O890" s="5">
        <v>0</v>
      </c>
      <c r="Q890" s="5">
        <v>1855230</v>
      </c>
      <c r="R890" s="5">
        <v>0</v>
      </c>
      <c r="S890" s="5">
        <v>1532630</v>
      </c>
      <c r="T890" s="5">
        <v>0</v>
      </c>
      <c r="V890" s="5">
        <v>1226400</v>
      </c>
      <c r="W890" s="5">
        <v>0</v>
      </c>
      <c r="X890" s="5">
        <v>13</v>
      </c>
    </row>
    <row r="891" spans="1:24" ht="12.75" customHeight="1">
      <c r="A891" s="11"/>
      <c r="B891" s="5">
        <v>1835470</v>
      </c>
      <c r="C891" s="5">
        <v>51</v>
      </c>
      <c r="D891" s="5">
        <v>1652710</v>
      </c>
      <c r="E891" s="5">
        <v>78</v>
      </c>
      <c r="G891" s="5">
        <v>1805760</v>
      </c>
      <c r="H891" s="5">
        <v>16</v>
      </c>
      <c r="I891" s="5">
        <v>1554920</v>
      </c>
      <c r="J891" s="5">
        <v>0</v>
      </c>
      <c r="L891" s="5">
        <v>1796710</v>
      </c>
      <c r="M891" s="5">
        <v>0</v>
      </c>
      <c r="N891" s="5">
        <v>1478730</v>
      </c>
      <c r="O891" s="5">
        <v>14</v>
      </c>
      <c r="Q891" s="5">
        <v>1784660</v>
      </c>
      <c r="R891" s="5">
        <v>0</v>
      </c>
      <c r="S891" s="5">
        <v>1574910</v>
      </c>
      <c r="T891" s="5">
        <v>0</v>
      </c>
      <c r="V891" s="5">
        <v>1175720</v>
      </c>
      <c r="W891" s="5">
        <v>0</v>
      </c>
      <c r="X891" s="5">
        <v>7</v>
      </c>
    </row>
    <row r="892" spans="1:24" ht="12.75" customHeight="1">
      <c r="A892" s="11"/>
      <c r="B892" s="5">
        <v>1862780</v>
      </c>
      <c r="C892" s="5">
        <v>0</v>
      </c>
      <c r="D892" s="5">
        <v>1662180</v>
      </c>
      <c r="E892" s="5">
        <v>46</v>
      </c>
      <c r="G892" s="5">
        <v>1853820</v>
      </c>
      <c r="H892" s="5">
        <v>14</v>
      </c>
      <c r="I892" s="5">
        <v>1672770</v>
      </c>
      <c r="J892" s="5">
        <v>25</v>
      </c>
      <c r="L892" s="5">
        <v>1820900</v>
      </c>
      <c r="M892" s="5">
        <v>0</v>
      </c>
      <c r="N892" s="5">
        <v>1538240</v>
      </c>
      <c r="O892" s="5">
        <v>86</v>
      </c>
      <c r="Q892" s="5">
        <v>1899510</v>
      </c>
      <c r="R892" s="5">
        <v>0</v>
      </c>
      <c r="S892" s="5">
        <v>1567340</v>
      </c>
      <c r="T892" s="5">
        <v>0</v>
      </c>
      <c r="V892" s="5">
        <v>1255310</v>
      </c>
      <c r="W892" s="5">
        <v>27</v>
      </c>
      <c r="X892" s="5">
        <v>9</v>
      </c>
    </row>
    <row r="893" spans="1:24" ht="12.75" customHeight="1">
      <c r="A893" s="11"/>
      <c r="B893" s="5">
        <v>1979360</v>
      </c>
      <c r="C893" s="5">
        <v>0</v>
      </c>
      <c r="D893" s="5">
        <v>1843140</v>
      </c>
      <c r="E893" s="5">
        <v>103</v>
      </c>
      <c r="G893" s="5">
        <v>1992920</v>
      </c>
      <c r="H893" s="5">
        <v>0</v>
      </c>
      <c r="I893" s="5">
        <v>2110030</v>
      </c>
      <c r="J893" s="5">
        <v>226</v>
      </c>
      <c r="L893" s="5">
        <v>2018440</v>
      </c>
      <c r="M893" s="5">
        <v>0</v>
      </c>
      <c r="N893" s="5">
        <v>1618670</v>
      </c>
      <c r="O893" s="5">
        <v>0</v>
      </c>
      <c r="Q893" s="5">
        <v>2002370</v>
      </c>
      <c r="R893" s="5">
        <v>0</v>
      </c>
      <c r="S893" s="5">
        <v>1711010</v>
      </c>
      <c r="T893" s="5">
        <v>5</v>
      </c>
      <c r="V893" s="5">
        <v>1464290</v>
      </c>
      <c r="W893" s="5">
        <v>0</v>
      </c>
      <c r="X893" s="5">
        <v>4</v>
      </c>
    </row>
    <row r="894" spans="1:24" ht="12.75" customHeight="1">
      <c r="A894" s="11"/>
      <c r="B894" s="5">
        <v>2044770</v>
      </c>
      <c r="C894" s="5">
        <v>0</v>
      </c>
      <c r="D894" s="5">
        <v>1857750</v>
      </c>
      <c r="E894" s="5">
        <v>70</v>
      </c>
      <c r="G894" s="5">
        <v>2045710</v>
      </c>
      <c r="H894" s="5">
        <v>0</v>
      </c>
      <c r="I894" s="5">
        <v>1805270</v>
      </c>
      <c r="J894" s="5">
        <v>0</v>
      </c>
      <c r="L894" s="5">
        <v>2122140</v>
      </c>
      <c r="M894" s="5">
        <v>99</v>
      </c>
      <c r="N894" s="5">
        <v>1614770</v>
      </c>
      <c r="O894" s="5">
        <v>0</v>
      </c>
      <c r="Q894" s="5">
        <v>2008820</v>
      </c>
      <c r="R894" s="5">
        <v>5</v>
      </c>
      <c r="S894" s="5">
        <v>1748800</v>
      </c>
      <c r="T894" s="5">
        <v>0</v>
      </c>
      <c r="V894" s="5">
        <v>1433060</v>
      </c>
      <c r="W894" s="5">
        <v>0</v>
      </c>
      <c r="X894" s="5">
        <v>6</v>
      </c>
    </row>
    <row r="895" spans="1:24" ht="12.75" customHeight="1">
      <c r="A895" s="11"/>
      <c r="B895" s="5">
        <v>1798060</v>
      </c>
      <c r="C895" s="5">
        <v>4</v>
      </c>
      <c r="D895" s="5">
        <v>1564040</v>
      </c>
      <c r="E895" s="5">
        <v>32</v>
      </c>
      <c r="G895" s="5">
        <v>1787840</v>
      </c>
      <c r="H895" s="5">
        <v>0</v>
      </c>
      <c r="I895" s="5">
        <v>1524890</v>
      </c>
      <c r="J895" s="5">
        <v>0</v>
      </c>
      <c r="L895" s="5">
        <v>1803600</v>
      </c>
      <c r="M895" s="5">
        <v>9</v>
      </c>
      <c r="N895" s="5">
        <v>1409930</v>
      </c>
      <c r="O895" s="5">
        <v>0</v>
      </c>
      <c r="Q895" s="5">
        <v>1799050</v>
      </c>
      <c r="R895" s="5">
        <v>0</v>
      </c>
      <c r="S895" s="5">
        <v>1427540</v>
      </c>
      <c r="T895" s="5">
        <v>0</v>
      </c>
      <c r="V895" s="5">
        <v>1224600</v>
      </c>
      <c r="W895" s="5">
        <v>56</v>
      </c>
      <c r="X895" s="5">
        <v>29</v>
      </c>
    </row>
    <row r="896" spans="1:24" ht="12.75" customHeight="1">
      <c r="A896" s="11"/>
      <c r="B896" s="5">
        <v>1837060</v>
      </c>
      <c r="C896" s="5">
        <v>0</v>
      </c>
      <c r="D896" s="5">
        <v>1487900</v>
      </c>
      <c r="E896" s="5">
        <v>0</v>
      </c>
      <c r="G896" s="5">
        <v>1816060</v>
      </c>
      <c r="H896" s="5">
        <v>0</v>
      </c>
      <c r="I896" s="5">
        <v>1540850</v>
      </c>
      <c r="J896" s="5">
        <v>0</v>
      </c>
      <c r="L896" s="5">
        <v>1836490</v>
      </c>
      <c r="M896" s="5">
        <v>0</v>
      </c>
      <c r="N896" s="5">
        <v>1538820</v>
      </c>
      <c r="O896" s="5">
        <v>0</v>
      </c>
      <c r="Q896" s="5">
        <v>1876340</v>
      </c>
      <c r="R896" s="5">
        <v>48</v>
      </c>
      <c r="S896" s="5">
        <v>1482050</v>
      </c>
      <c r="T896" s="5">
        <v>0</v>
      </c>
      <c r="V896" s="5">
        <v>1195500</v>
      </c>
      <c r="W896" s="5">
        <v>0</v>
      </c>
      <c r="X896" s="5">
        <v>6</v>
      </c>
    </row>
    <row r="897" spans="1:24" ht="12.75" customHeight="1">
      <c r="A897" s="11"/>
      <c r="B897" s="5">
        <v>1770420</v>
      </c>
      <c r="C897" s="5">
        <v>0</v>
      </c>
      <c r="D897" s="5">
        <v>1569840</v>
      </c>
      <c r="E897" s="5">
        <v>0</v>
      </c>
      <c r="G897" s="5">
        <v>1793930</v>
      </c>
      <c r="H897" s="5">
        <v>0</v>
      </c>
      <c r="I897" s="5">
        <v>1638650</v>
      </c>
      <c r="J897" s="5">
        <v>0</v>
      </c>
      <c r="L897" s="5">
        <v>1788400</v>
      </c>
      <c r="M897" s="5">
        <v>0</v>
      </c>
      <c r="N897" s="5">
        <v>1538610</v>
      </c>
      <c r="O897" s="5">
        <v>0</v>
      </c>
      <c r="Q897" s="5">
        <v>1818700</v>
      </c>
      <c r="R897" s="5">
        <v>0</v>
      </c>
      <c r="S897" s="5">
        <v>1537840</v>
      </c>
      <c r="T897" s="5">
        <v>0</v>
      </c>
      <c r="V897" s="5">
        <v>1221830</v>
      </c>
      <c r="W897" s="5">
        <v>0</v>
      </c>
      <c r="X897" s="5">
        <v>9</v>
      </c>
    </row>
    <row r="898" spans="1:24" ht="12.75" customHeight="1">
      <c r="A898" s="11"/>
      <c r="B898" s="5">
        <v>1798940</v>
      </c>
      <c r="C898" s="5">
        <v>0</v>
      </c>
      <c r="D898" s="5">
        <v>1697900</v>
      </c>
      <c r="E898" s="5">
        <v>141</v>
      </c>
      <c r="G898" s="5">
        <v>1748990</v>
      </c>
      <c r="H898" s="5">
        <v>0</v>
      </c>
      <c r="I898" s="5">
        <v>1695000</v>
      </c>
      <c r="J898" s="5">
        <v>0</v>
      </c>
      <c r="L898" s="5">
        <v>1784000</v>
      </c>
      <c r="M898" s="5">
        <v>0</v>
      </c>
      <c r="N898" s="5">
        <v>1455670</v>
      </c>
      <c r="O898" s="5">
        <v>0</v>
      </c>
      <c r="Q898" s="5">
        <v>1836970</v>
      </c>
      <c r="R898" s="5">
        <v>0</v>
      </c>
      <c r="S898" s="5">
        <v>1566740</v>
      </c>
      <c r="T898" s="5">
        <v>0</v>
      </c>
      <c r="V898" s="5">
        <v>1260680</v>
      </c>
      <c r="W898" s="5">
        <v>0</v>
      </c>
      <c r="X898" s="5">
        <v>7</v>
      </c>
    </row>
    <row r="899" spans="1:24" ht="12.75" customHeight="1">
      <c r="A899" s="11"/>
      <c r="B899" s="5">
        <v>1882910</v>
      </c>
      <c r="C899" s="5">
        <v>53</v>
      </c>
      <c r="D899" s="5">
        <v>1541770</v>
      </c>
      <c r="E899" s="5">
        <v>15</v>
      </c>
      <c r="G899" s="5">
        <v>1811310</v>
      </c>
      <c r="H899" s="5">
        <v>0</v>
      </c>
      <c r="I899" s="5">
        <v>1689910</v>
      </c>
      <c r="J899" s="5">
        <v>0</v>
      </c>
      <c r="L899" s="5">
        <v>1823750</v>
      </c>
      <c r="M899" s="5">
        <v>0</v>
      </c>
      <c r="N899" s="5">
        <v>1482900</v>
      </c>
      <c r="O899" s="5">
        <v>0</v>
      </c>
      <c r="Q899" s="5">
        <v>1840950</v>
      </c>
      <c r="R899" s="5">
        <v>0</v>
      </c>
      <c r="S899" s="5">
        <v>1547710</v>
      </c>
      <c r="T899" s="5">
        <v>18</v>
      </c>
      <c r="V899" s="5">
        <v>1250240</v>
      </c>
      <c r="W899" s="5">
        <v>0</v>
      </c>
      <c r="X899" s="5">
        <v>7</v>
      </c>
    </row>
    <row r="900" spans="1:24" ht="12.75" customHeight="1">
      <c r="A900" s="11"/>
      <c r="B900" s="5">
        <v>1678830</v>
      </c>
      <c r="C900" s="5">
        <v>0</v>
      </c>
      <c r="D900" s="5">
        <v>1414850</v>
      </c>
      <c r="E900" s="5">
        <v>0</v>
      </c>
      <c r="G900" s="5">
        <v>1715240</v>
      </c>
      <c r="H900" s="5">
        <v>53</v>
      </c>
      <c r="I900" s="5">
        <v>1579180</v>
      </c>
      <c r="J900" s="5">
        <v>62</v>
      </c>
      <c r="L900" s="5">
        <v>1699790</v>
      </c>
      <c r="M900" s="5">
        <v>0</v>
      </c>
      <c r="N900" s="5">
        <v>1374610</v>
      </c>
      <c r="O900" s="5">
        <v>62</v>
      </c>
      <c r="Q900" s="5">
        <v>1679700</v>
      </c>
      <c r="R900" s="5">
        <v>0</v>
      </c>
      <c r="S900" s="5">
        <v>1457410</v>
      </c>
      <c r="T900" s="5">
        <v>34</v>
      </c>
      <c r="V900" s="5">
        <v>1126300</v>
      </c>
      <c r="W900" s="5">
        <v>0</v>
      </c>
      <c r="X900" s="5">
        <v>9</v>
      </c>
    </row>
    <row r="901" spans="1:24" ht="12.75" customHeight="1">
      <c r="A901" s="11"/>
      <c r="B901" s="5">
        <v>1825240</v>
      </c>
      <c r="C901" s="5">
        <v>0</v>
      </c>
      <c r="D901" s="5">
        <v>1570960</v>
      </c>
      <c r="E901" s="5">
        <v>33</v>
      </c>
      <c r="G901" s="5">
        <v>1790330</v>
      </c>
      <c r="H901" s="5">
        <v>0</v>
      </c>
      <c r="I901" s="5">
        <v>1722010</v>
      </c>
      <c r="J901" s="5">
        <v>74</v>
      </c>
      <c r="L901" s="5">
        <v>1806120</v>
      </c>
      <c r="M901" s="5">
        <v>0</v>
      </c>
      <c r="N901" s="5">
        <v>1520920</v>
      </c>
      <c r="O901" s="5">
        <v>0</v>
      </c>
      <c r="Q901" s="5">
        <v>1826840</v>
      </c>
      <c r="R901" s="5">
        <v>0</v>
      </c>
      <c r="S901" s="5">
        <v>1535920</v>
      </c>
      <c r="T901" s="5">
        <v>0</v>
      </c>
      <c r="V901" s="5">
        <v>1207080</v>
      </c>
      <c r="W901" s="5">
        <v>0</v>
      </c>
      <c r="X901" s="5">
        <v>9</v>
      </c>
    </row>
    <row r="902" spans="1:24" ht="12.75" customHeight="1">
      <c r="A902" s="11"/>
      <c r="B902" s="5">
        <v>1807750</v>
      </c>
      <c r="C902" s="5">
        <v>0</v>
      </c>
      <c r="D902" s="5">
        <v>1529020</v>
      </c>
      <c r="E902" s="5">
        <v>11</v>
      </c>
      <c r="G902" s="5">
        <v>1831950</v>
      </c>
      <c r="H902" s="5">
        <v>5</v>
      </c>
      <c r="I902" s="5">
        <v>1659340</v>
      </c>
      <c r="J902" s="5">
        <v>0</v>
      </c>
      <c r="L902" s="5">
        <v>1813250</v>
      </c>
      <c r="M902" s="5">
        <v>0</v>
      </c>
      <c r="N902" s="5">
        <v>1414440</v>
      </c>
      <c r="O902" s="5">
        <v>0</v>
      </c>
      <c r="Q902" s="5">
        <v>1930110</v>
      </c>
      <c r="R902" s="5">
        <v>26</v>
      </c>
      <c r="S902" s="5">
        <v>1580470</v>
      </c>
      <c r="T902" s="5">
        <v>30</v>
      </c>
      <c r="V902" s="5">
        <v>1233930</v>
      </c>
      <c r="W902" s="5">
        <v>0</v>
      </c>
      <c r="X902" s="5">
        <v>13</v>
      </c>
    </row>
    <row r="903" spans="1:24" ht="12.75" customHeight="1">
      <c r="A903" s="11"/>
      <c r="B903" s="5">
        <v>1787960</v>
      </c>
      <c r="C903" s="5">
        <v>0</v>
      </c>
      <c r="D903" s="5">
        <v>1521760</v>
      </c>
      <c r="E903" s="5">
        <v>0</v>
      </c>
      <c r="G903" s="5">
        <v>1822620</v>
      </c>
      <c r="H903" s="5">
        <v>0</v>
      </c>
      <c r="I903" s="5">
        <v>1686700</v>
      </c>
      <c r="J903" s="5">
        <v>76</v>
      </c>
      <c r="L903" s="5">
        <v>1828000</v>
      </c>
      <c r="M903" s="5">
        <v>0</v>
      </c>
      <c r="N903" s="5">
        <v>1412490</v>
      </c>
      <c r="O903" s="5">
        <v>0</v>
      </c>
      <c r="Q903" s="5">
        <v>1788130</v>
      </c>
      <c r="R903" s="5">
        <v>0</v>
      </c>
      <c r="S903" s="5">
        <v>1486900</v>
      </c>
      <c r="T903" s="5">
        <v>0</v>
      </c>
      <c r="V903" s="5">
        <v>1197440</v>
      </c>
      <c r="W903" s="5">
        <v>0</v>
      </c>
      <c r="X903" s="5">
        <v>9</v>
      </c>
    </row>
    <row r="904" spans="1:24" ht="12.75" customHeight="1">
      <c r="A904" s="11"/>
      <c r="B904" s="5">
        <v>1983380</v>
      </c>
      <c r="C904" s="5">
        <v>17</v>
      </c>
      <c r="D904" s="5">
        <v>1786430</v>
      </c>
      <c r="E904" s="5">
        <v>57</v>
      </c>
      <c r="G904" s="5">
        <v>1921940</v>
      </c>
      <c r="H904" s="5">
        <v>0</v>
      </c>
      <c r="I904" s="5">
        <v>1747680</v>
      </c>
      <c r="J904" s="5">
        <v>60</v>
      </c>
      <c r="L904" s="5">
        <v>1967500</v>
      </c>
      <c r="M904" s="5">
        <v>0</v>
      </c>
      <c r="N904" s="5">
        <v>1603630</v>
      </c>
      <c r="O904" s="5">
        <v>0</v>
      </c>
      <c r="Q904" s="5">
        <v>1982990</v>
      </c>
      <c r="R904" s="5">
        <v>0</v>
      </c>
      <c r="S904" s="5">
        <v>1680240</v>
      </c>
      <c r="T904" s="5">
        <v>0</v>
      </c>
      <c r="V904" s="5">
        <v>1381360</v>
      </c>
      <c r="W904" s="5">
        <v>0</v>
      </c>
      <c r="X904" s="5">
        <v>4</v>
      </c>
    </row>
    <row r="905" spans="1:24" ht="12.75" customHeight="1">
      <c r="A905" s="11"/>
      <c r="B905" s="5">
        <v>1708480</v>
      </c>
      <c r="C905" s="5">
        <v>0</v>
      </c>
      <c r="D905" s="5">
        <v>1522000</v>
      </c>
      <c r="E905" s="5">
        <v>0</v>
      </c>
      <c r="G905" s="5">
        <v>1732780</v>
      </c>
      <c r="H905" s="5">
        <v>0</v>
      </c>
      <c r="I905" s="5">
        <v>1598570</v>
      </c>
      <c r="J905" s="5">
        <v>0</v>
      </c>
      <c r="L905" s="5">
        <v>1809040</v>
      </c>
      <c r="M905" s="5">
        <v>26</v>
      </c>
      <c r="N905" s="5">
        <v>1531770</v>
      </c>
      <c r="O905" s="5">
        <v>0</v>
      </c>
      <c r="Q905" s="5">
        <v>1764630</v>
      </c>
      <c r="R905" s="5">
        <v>0</v>
      </c>
      <c r="S905" s="5">
        <v>1466400</v>
      </c>
      <c r="T905" s="5">
        <v>0</v>
      </c>
      <c r="V905" s="5">
        <v>1237440</v>
      </c>
      <c r="W905" s="5">
        <v>0</v>
      </c>
      <c r="X905" s="5">
        <v>6</v>
      </c>
    </row>
    <row r="906" spans="1:24" ht="12.75" customHeight="1">
      <c r="A906" s="11"/>
      <c r="B906" s="5">
        <v>1986690</v>
      </c>
      <c r="C906" s="5">
        <v>0</v>
      </c>
      <c r="D906" s="5">
        <v>1790150</v>
      </c>
      <c r="E906" s="5">
        <v>13</v>
      </c>
      <c r="G906" s="5">
        <v>2056350</v>
      </c>
      <c r="H906" s="5">
        <v>40</v>
      </c>
      <c r="I906" s="5">
        <v>1757620</v>
      </c>
      <c r="J906" s="5">
        <v>0</v>
      </c>
      <c r="L906" s="5">
        <v>2013340</v>
      </c>
      <c r="M906" s="5">
        <v>0</v>
      </c>
      <c r="N906" s="5">
        <v>1592920</v>
      </c>
      <c r="O906" s="5">
        <v>0</v>
      </c>
      <c r="Q906" s="5">
        <v>1990470</v>
      </c>
      <c r="R906" s="5">
        <v>0</v>
      </c>
      <c r="S906" s="5">
        <v>1675720</v>
      </c>
      <c r="T906" s="5">
        <v>0</v>
      </c>
      <c r="V906" s="5">
        <v>1418350</v>
      </c>
      <c r="W906" s="5">
        <v>0</v>
      </c>
      <c r="X906" s="5">
        <v>6</v>
      </c>
    </row>
    <row r="907" spans="1:24" ht="12.75" customHeight="1">
      <c r="A907" s="11"/>
      <c r="B907" s="5">
        <v>1913690</v>
      </c>
      <c r="C907" s="5">
        <v>0</v>
      </c>
      <c r="D907" s="5">
        <v>1665400</v>
      </c>
      <c r="E907" s="5">
        <v>0</v>
      </c>
      <c r="G907" s="5">
        <v>1932720</v>
      </c>
      <c r="H907" s="5">
        <v>0</v>
      </c>
      <c r="I907" s="5">
        <v>1636490</v>
      </c>
      <c r="J907" s="5">
        <v>0</v>
      </c>
      <c r="L907" s="5">
        <v>1950840</v>
      </c>
      <c r="M907" s="5">
        <v>0</v>
      </c>
      <c r="N907" s="5">
        <v>1558360</v>
      </c>
      <c r="O907" s="5">
        <v>28</v>
      </c>
      <c r="Q907" s="5">
        <v>1899640</v>
      </c>
      <c r="R907" s="5">
        <v>0</v>
      </c>
      <c r="S907" s="5">
        <v>1641450</v>
      </c>
      <c r="T907" s="5">
        <v>14</v>
      </c>
      <c r="V907" s="5">
        <v>1374710</v>
      </c>
      <c r="W907" s="5">
        <v>0</v>
      </c>
      <c r="X907" s="5">
        <v>6</v>
      </c>
    </row>
    <row r="908" spans="1:24" ht="12.75" customHeight="1">
      <c r="A908" s="11"/>
      <c r="B908" s="5">
        <v>1941970</v>
      </c>
      <c r="C908" s="5">
        <v>0</v>
      </c>
      <c r="D908" s="5">
        <v>1779110</v>
      </c>
      <c r="E908" s="5">
        <v>0</v>
      </c>
      <c r="G908" s="5">
        <v>1915460</v>
      </c>
      <c r="H908" s="5">
        <v>13</v>
      </c>
      <c r="I908" s="5">
        <v>1864340</v>
      </c>
      <c r="J908" s="5">
        <v>0</v>
      </c>
      <c r="L908" s="5">
        <v>1942370</v>
      </c>
      <c r="M908" s="5">
        <v>0</v>
      </c>
      <c r="N908" s="5">
        <v>1592680</v>
      </c>
      <c r="O908" s="5">
        <v>0</v>
      </c>
      <c r="Q908" s="5">
        <v>1946660</v>
      </c>
      <c r="R908" s="5">
        <v>0</v>
      </c>
      <c r="S908" s="5">
        <v>1666390</v>
      </c>
      <c r="T908" s="5">
        <v>0</v>
      </c>
      <c r="V908" s="5">
        <v>1321340</v>
      </c>
      <c r="W908" s="5">
        <v>0</v>
      </c>
      <c r="X908" s="5">
        <v>8</v>
      </c>
    </row>
    <row r="909" spans="1:24" ht="12.75" customHeight="1">
      <c r="A909" s="11"/>
      <c r="B909" s="5">
        <v>1867770</v>
      </c>
      <c r="C909" s="5">
        <v>24</v>
      </c>
      <c r="D909" s="5">
        <v>1627200</v>
      </c>
      <c r="E909" s="5">
        <v>0</v>
      </c>
      <c r="G909" s="5">
        <v>1980180</v>
      </c>
      <c r="H909" s="5">
        <v>117</v>
      </c>
      <c r="I909" s="5">
        <v>1554240</v>
      </c>
      <c r="J909" s="5">
        <v>0</v>
      </c>
      <c r="L909" s="5">
        <v>1884540</v>
      </c>
      <c r="M909" s="5">
        <v>5</v>
      </c>
      <c r="N909" s="5">
        <v>1488260</v>
      </c>
      <c r="O909" s="5">
        <v>0</v>
      </c>
      <c r="Q909" s="5">
        <v>1873650</v>
      </c>
      <c r="R909" s="5">
        <v>0</v>
      </c>
      <c r="S909" s="5">
        <v>1532390</v>
      </c>
      <c r="T909" s="5">
        <v>0</v>
      </c>
      <c r="V909" s="5">
        <v>1251050</v>
      </c>
      <c r="W909" s="5">
        <v>0</v>
      </c>
      <c r="X909" s="5">
        <v>5</v>
      </c>
    </row>
    <row r="910" spans="1:24" ht="12.75" customHeight="1">
      <c r="A910" s="11"/>
      <c r="B910" s="5">
        <v>1877800</v>
      </c>
      <c r="C910" s="5">
        <v>0</v>
      </c>
      <c r="D910" s="5">
        <v>1607130</v>
      </c>
      <c r="E910" s="5">
        <v>18</v>
      </c>
      <c r="G910" s="5">
        <v>1840770</v>
      </c>
      <c r="H910" s="5">
        <v>0</v>
      </c>
      <c r="I910" s="5">
        <v>1583730</v>
      </c>
      <c r="J910" s="5">
        <v>0</v>
      </c>
      <c r="L910" s="5">
        <v>1821540</v>
      </c>
      <c r="M910" s="5">
        <v>0</v>
      </c>
      <c r="N910" s="5">
        <v>1410570</v>
      </c>
      <c r="O910" s="5">
        <v>0</v>
      </c>
      <c r="Q910" s="5">
        <v>1835340</v>
      </c>
      <c r="R910" s="5">
        <v>0</v>
      </c>
      <c r="S910" s="5">
        <v>1544570</v>
      </c>
      <c r="T910" s="5">
        <v>0</v>
      </c>
      <c r="V910" s="5">
        <v>1273230</v>
      </c>
      <c r="W910" s="5">
        <v>0</v>
      </c>
      <c r="X910" s="5">
        <v>7</v>
      </c>
    </row>
    <row r="911" spans="1:24" ht="12.75" customHeight="1">
      <c r="A911" s="11"/>
      <c r="B911" s="5">
        <v>2039850</v>
      </c>
      <c r="C911" s="5">
        <v>16</v>
      </c>
      <c r="D911" s="5">
        <v>1715730</v>
      </c>
      <c r="E911" s="5">
        <v>0</v>
      </c>
      <c r="G911" s="5">
        <v>2063980</v>
      </c>
      <c r="H911" s="5">
        <v>66</v>
      </c>
      <c r="I911" s="5">
        <v>1892040</v>
      </c>
      <c r="J911" s="5">
        <v>93</v>
      </c>
      <c r="L911" s="5">
        <v>1996000</v>
      </c>
      <c r="M911" s="5">
        <v>0</v>
      </c>
      <c r="N911" s="5">
        <v>1632570</v>
      </c>
      <c r="O911" s="5">
        <v>0</v>
      </c>
      <c r="Q911" s="5">
        <v>2013780</v>
      </c>
      <c r="R911" s="5">
        <v>0</v>
      </c>
      <c r="S911" s="5">
        <v>1674680</v>
      </c>
      <c r="T911" s="5">
        <v>0</v>
      </c>
      <c r="V911" s="5">
        <v>1384200</v>
      </c>
      <c r="W911" s="5">
        <v>0</v>
      </c>
      <c r="X911" s="5">
        <v>7</v>
      </c>
    </row>
    <row r="912" spans="1:24" ht="12.75" customHeight="1">
      <c r="A912" s="11"/>
      <c r="B912" s="5">
        <v>1879540</v>
      </c>
      <c r="C912" s="5">
        <v>0</v>
      </c>
      <c r="D912" s="5">
        <v>1614140</v>
      </c>
      <c r="E912" s="5">
        <v>15</v>
      </c>
      <c r="G912" s="5">
        <v>1850760</v>
      </c>
      <c r="H912" s="5">
        <v>0</v>
      </c>
      <c r="I912" s="5">
        <v>1653080</v>
      </c>
      <c r="J912" s="5">
        <v>0</v>
      </c>
      <c r="L912" s="5">
        <v>1877480</v>
      </c>
      <c r="M912" s="5">
        <v>0</v>
      </c>
      <c r="N912" s="5">
        <v>1453860</v>
      </c>
      <c r="O912" s="5">
        <v>0</v>
      </c>
      <c r="Q912" s="5">
        <v>2075040</v>
      </c>
      <c r="R912" s="5">
        <v>166</v>
      </c>
      <c r="S912" s="5">
        <v>1609160</v>
      </c>
      <c r="T912" s="5">
        <v>0</v>
      </c>
      <c r="V912" s="5">
        <v>1373490</v>
      </c>
      <c r="W912" s="5">
        <v>60</v>
      </c>
      <c r="X912" s="5">
        <v>8</v>
      </c>
    </row>
    <row r="913" spans="1:24" ht="12.75" customHeight="1">
      <c r="A913" s="11"/>
      <c r="B913" s="5">
        <v>2099450</v>
      </c>
      <c r="C913" s="5">
        <v>0</v>
      </c>
      <c r="D913" s="5">
        <v>1868400</v>
      </c>
      <c r="E913" s="5">
        <v>0</v>
      </c>
      <c r="G913" s="5">
        <v>2099070</v>
      </c>
      <c r="H913" s="5">
        <v>0</v>
      </c>
      <c r="I913" s="5">
        <v>1952130</v>
      </c>
      <c r="J913" s="5">
        <v>0</v>
      </c>
      <c r="L913" s="5">
        <v>2079650</v>
      </c>
      <c r="M913" s="5">
        <v>0</v>
      </c>
      <c r="N913" s="5">
        <v>1747960</v>
      </c>
      <c r="O913" s="5">
        <v>0</v>
      </c>
      <c r="Q913" s="5">
        <v>2063910</v>
      </c>
      <c r="R913" s="5">
        <v>0</v>
      </c>
      <c r="S913" s="5">
        <v>1800080</v>
      </c>
      <c r="T913" s="5">
        <v>0</v>
      </c>
      <c r="V913" s="5">
        <v>1504950</v>
      </c>
      <c r="W913" s="5">
        <v>0</v>
      </c>
      <c r="X913" s="5">
        <v>8</v>
      </c>
    </row>
    <row r="914" spans="1:24" ht="12.75" customHeight="1">
      <c r="A914" s="11"/>
      <c r="B914" s="5">
        <v>1841030</v>
      </c>
      <c r="C914" s="5">
        <v>0</v>
      </c>
      <c r="D914" s="5">
        <v>1586370</v>
      </c>
      <c r="E914" s="5">
        <v>0</v>
      </c>
      <c r="G914" s="5">
        <v>1817940</v>
      </c>
      <c r="H914" s="5">
        <v>0</v>
      </c>
      <c r="I914" s="5">
        <v>1656060</v>
      </c>
      <c r="J914" s="5">
        <v>0</v>
      </c>
      <c r="L914" s="5">
        <v>1818700</v>
      </c>
      <c r="M914" s="5">
        <v>0</v>
      </c>
      <c r="N914" s="5">
        <v>1480760</v>
      </c>
      <c r="O914" s="5">
        <v>62</v>
      </c>
      <c r="Q914" s="5">
        <v>1832280</v>
      </c>
      <c r="R914" s="5">
        <v>0</v>
      </c>
      <c r="S914" s="5">
        <v>1520360</v>
      </c>
      <c r="T914" s="5">
        <v>0</v>
      </c>
      <c r="V914" s="5">
        <v>1244610</v>
      </c>
      <c r="W914" s="5">
        <v>0</v>
      </c>
      <c r="X914" s="5">
        <v>8</v>
      </c>
    </row>
    <row r="915" spans="1:24" ht="12.75" customHeight="1">
      <c r="A915" s="11"/>
      <c r="B915" s="5">
        <v>1871330</v>
      </c>
      <c r="C915" s="5">
        <v>0</v>
      </c>
      <c r="D915" s="5">
        <v>1602960</v>
      </c>
      <c r="E915" s="5">
        <v>7</v>
      </c>
      <c r="G915" s="5">
        <v>1877550</v>
      </c>
      <c r="H915" s="5">
        <v>0</v>
      </c>
      <c r="I915" s="5">
        <v>1734670</v>
      </c>
      <c r="J915" s="5">
        <v>107</v>
      </c>
      <c r="L915" s="5">
        <v>1863580</v>
      </c>
      <c r="M915" s="5">
        <v>0</v>
      </c>
      <c r="N915" s="5">
        <v>1463840</v>
      </c>
      <c r="O915" s="5">
        <v>0</v>
      </c>
      <c r="Q915" s="5">
        <v>2016180</v>
      </c>
      <c r="R915" s="5">
        <v>123</v>
      </c>
      <c r="S915" s="5">
        <v>1541690</v>
      </c>
      <c r="T915" s="5">
        <v>0</v>
      </c>
      <c r="V915" s="5">
        <v>1250830</v>
      </c>
      <c r="W915" s="5">
        <v>20</v>
      </c>
      <c r="X915" s="5">
        <v>12</v>
      </c>
    </row>
    <row r="916" spans="1:24" ht="12.75" customHeight="1">
      <c r="A916" s="11"/>
      <c r="B916" s="5">
        <v>1798300</v>
      </c>
      <c r="C916" s="5">
        <v>0</v>
      </c>
      <c r="D916" s="5">
        <v>1567720</v>
      </c>
      <c r="E916" s="5">
        <v>0</v>
      </c>
      <c r="G916" s="5">
        <v>1784160</v>
      </c>
      <c r="H916" s="5">
        <v>0</v>
      </c>
      <c r="I916" s="5">
        <v>1541720</v>
      </c>
      <c r="J916" s="5">
        <v>0</v>
      </c>
      <c r="L916" s="5">
        <v>1767270</v>
      </c>
      <c r="M916" s="5">
        <v>0</v>
      </c>
      <c r="N916" s="5">
        <v>1333670</v>
      </c>
      <c r="O916" s="5">
        <v>0</v>
      </c>
      <c r="Q916" s="5">
        <v>1792690</v>
      </c>
      <c r="R916" s="5">
        <v>0</v>
      </c>
      <c r="S916" s="5">
        <v>1428460</v>
      </c>
      <c r="T916" s="5">
        <v>0</v>
      </c>
      <c r="V916" s="5">
        <v>1175970</v>
      </c>
      <c r="W916" s="5">
        <v>17</v>
      </c>
      <c r="X916" s="5">
        <v>17</v>
      </c>
    </row>
    <row r="917" spans="1:24" ht="12.75" customHeight="1">
      <c r="A917" s="11"/>
      <c r="B917" s="5">
        <v>1829650</v>
      </c>
      <c r="C917" s="5">
        <v>0</v>
      </c>
      <c r="D917" s="5">
        <v>1520190</v>
      </c>
      <c r="E917" s="5">
        <v>0</v>
      </c>
      <c r="G917" s="5">
        <v>1870410</v>
      </c>
      <c r="H917" s="5">
        <v>0</v>
      </c>
      <c r="I917" s="5">
        <v>1666470</v>
      </c>
      <c r="J917" s="5">
        <v>11</v>
      </c>
      <c r="L917" s="5">
        <v>1832360</v>
      </c>
      <c r="M917" s="5">
        <v>0</v>
      </c>
      <c r="N917" s="5">
        <v>1531880</v>
      </c>
      <c r="O917" s="5">
        <v>0</v>
      </c>
      <c r="Q917" s="5">
        <v>1887060</v>
      </c>
      <c r="R917" s="5">
        <v>0</v>
      </c>
      <c r="S917" s="5">
        <v>1601460</v>
      </c>
      <c r="T917" s="5">
        <v>0</v>
      </c>
      <c r="V917" s="5">
        <v>1305090</v>
      </c>
      <c r="W917" s="5">
        <v>0</v>
      </c>
      <c r="X917" s="5">
        <v>6</v>
      </c>
    </row>
    <row r="918" spans="1:24" ht="12.75" customHeight="1">
      <c r="A918" s="11"/>
      <c r="B918" s="5">
        <v>1633200</v>
      </c>
      <c r="C918" s="5">
        <v>0</v>
      </c>
      <c r="D918" s="5">
        <v>1438770</v>
      </c>
      <c r="E918" s="5">
        <v>49</v>
      </c>
      <c r="G918" s="5">
        <v>1639710</v>
      </c>
      <c r="H918" s="5">
        <v>42</v>
      </c>
      <c r="I918" s="5">
        <v>1435560</v>
      </c>
      <c r="J918" s="5">
        <v>0</v>
      </c>
      <c r="L918" s="5">
        <v>1576240</v>
      </c>
      <c r="M918" s="5">
        <v>0</v>
      </c>
      <c r="N918" s="5">
        <v>1351010</v>
      </c>
      <c r="O918" s="5">
        <v>0</v>
      </c>
      <c r="Q918" s="5">
        <v>1609770</v>
      </c>
      <c r="R918" s="5">
        <v>0</v>
      </c>
      <c r="S918" s="5">
        <v>1470720</v>
      </c>
      <c r="T918" s="5">
        <v>105</v>
      </c>
      <c r="V918" s="5">
        <v>1050820</v>
      </c>
      <c r="W918" s="5">
        <v>0</v>
      </c>
      <c r="X918" s="5">
        <v>8</v>
      </c>
    </row>
    <row r="919" spans="1:24" ht="12.75" customHeight="1">
      <c r="A919" s="11"/>
      <c r="B919" s="5">
        <v>1605700</v>
      </c>
      <c r="C919" s="5">
        <v>114</v>
      </c>
      <c r="D919" s="5">
        <v>1312020</v>
      </c>
      <c r="E919" s="5">
        <v>17</v>
      </c>
      <c r="G919" s="5">
        <v>1510930</v>
      </c>
      <c r="H919" s="5">
        <v>0</v>
      </c>
      <c r="I919" s="5">
        <v>1348000</v>
      </c>
      <c r="J919" s="5">
        <v>35</v>
      </c>
      <c r="L919" s="5">
        <v>1518490</v>
      </c>
      <c r="M919" s="5">
        <v>0</v>
      </c>
      <c r="N919" s="5">
        <v>1223110</v>
      </c>
      <c r="O919" s="5">
        <v>44</v>
      </c>
      <c r="Q919" s="5">
        <v>1522990</v>
      </c>
      <c r="R919" s="5">
        <v>0</v>
      </c>
      <c r="S919" s="5">
        <v>1291040</v>
      </c>
      <c r="T919" s="5">
        <v>41</v>
      </c>
      <c r="V919" s="5">
        <v>1023400</v>
      </c>
      <c r="W919" s="5">
        <v>28</v>
      </c>
      <c r="X919" s="5">
        <v>13</v>
      </c>
    </row>
    <row r="920" spans="1:24" ht="12.75" customHeight="1">
      <c r="A920" s="11"/>
      <c r="B920" s="5">
        <v>1712720</v>
      </c>
      <c r="C920" s="5">
        <v>20</v>
      </c>
      <c r="D920" s="5">
        <v>1648990</v>
      </c>
      <c r="E920" s="5">
        <v>74</v>
      </c>
      <c r="G920" s="5">
        <v>1680900</v>
      </c>
      <c r="H920" s="5">
        <v>0</v>
      </c>
      <c r="I920" s="5">
        <v>1572870</v>
      </c>
      <c r="J920" s="5">
        <v>0</v>
      </c>
      <c r="L920" s="5">
        <v>1711290</v>
      </c>
      <c r="M920" s="5">
        <v>34</v>
      </c>
      <c r="N920" s="5">
        <v>1411450</v>
      </c>
      <c r="O920" s="5">
        <v>0</v>
      </c>
      <c r="Q920" s="5">
        <v>1694430</v>
      </c>
      <c r="R920" s="5">
        <v>0</v>
      </c>
      <c r="S920" s="5">
        <v>1557400</v>
      </c>
      <c r="T920" s="5">
        <v>111</v>
      </c>
      <c r="V920" s="5">
        <v>1153740</v>
      </c>
      <c r="W920" s="5">
        <v>0</v>
      </c>
      <c r="X920" s="5">
        <v>7</v>
      </c>
    </row>
    <row r="921" spans="1:24" ht="12.75" customHeight="1">
      <c r="A921" s="11"/>
      <c r="B921" s="5">
        <v>1809900</v>
      </c>
      <c r="C921" s="5">
        <v>93</v>
      </c>
      <c r="D921" s="5">
        <v>1535670</v>
      </c>
      <c r="E921" s="5">
        <v>0</v>
      </c>
      <c r="G921" s="5">
        <v>1836050</v>
      </c>
      <c r="H921" s="5">
        <v>110</v>
      </c>
      <c r="I921" s="5">
        <v>1634400</v>
      </c>
      <c r="J921" s="5">
        <v>19</v>
      </c>
      <c r="L921" s="5">
        <v>1799010</v>
      </c>
      <c r="M921" s="5">
        <v>84</v>
      </c>
      <c r="N921" s="5">
        <v>1478560</v>
      </c>
      <c r="O921" s="5">
        <v>104</v>
      </c>
      <c r="Q921" s="5">
        <v>1791560</v>
      </c>
      <c r="R921" s="5">
        <v>61</v>
      </c>
      <c r="S921" s="5">
        <v>1509330</v>
      </c>
      <c r="T921" s="5">
        <v>36</v>
      </c>
      <c r="V921" s="5">
        <v>1117800</v>
      </c>
      <c r="W921" s="5">
        <v>0</v>
      </c>
      <c r="X921" s="5">
        <v>12</v>
      </c>
    </row>
    <row r="922" spans="1:24" ht="12.75" customHeight="1">
      <c r="A922" s="11"/>
      <c r="B922" s="5">
        <v>1740050</v>
      </c>
      <c r="C922" s="5">
        <v>0</v>
      </c>
      <c r="D922" s="5">
        <v>1496520</v>
      </c>
      <c r="E922" s="5">
        <v>0</v>
      </c>
      <c r="G922" s="5">
        <v>1784150</v>
      </c>
      <c r="H922" s="5">
        <v>45</v>
      </c>
      <c r="I922" s="5">
        <v>1535630</v>
      </c>
      <c r="J922" s="5">
        <v>0</v>
      </c>
      <c r="L922" s="5">
        <v>1759320</v>
      </c>
      <c r="M922" s="5">
        <v>0</v>
      </c>
      <c r="N922" s="5">
        <v>1385710</v>
      </c>
      <c r="O922" s="5">
        <v>22</v>
      </c>
      <c r="Q922" s="5">
        <v>1752320</v>
      </c>
      <c r="R922" s="5">
        <v>0</v>
      </c>
      <c r="S922" s="5">
        <v>1512580</v>
      </c>
      <c r="T922" s="5">
        <v>24</v>
      </c>
      <c r="V922" s="5">
        <v>1175310</v>
      </c>
      <c r="W922" s="5">
        <v>0</v>
      </c>
      <c r="X922" s="5">
        <v>7</v>
      </c>
    </row>
    <row r="923" spans="1:24" ht="12.75" customHeight="1">
      <c r="A923" s="11"/>
      <c r="B923" s="5">
        <v>1871960</v>
      </c>
      <c r="C923" s="5">
        <v>115</v>
      </c>
      <c r="D923" s="5">
        <v>1620520</v>
      </c>
      <c r="E923" s="5">
        <v>67</v>
      </c>
      <c r="G923" s="5">
        <v>1749110</v>
      </c>
      <c r="H923" s="5">
        <v>0</v>
      </c>
      <c r="I923" s="5">
        <v>1548450</v>
      </c>
      <c r="J923" s="5">
        <v>0</v>
      </c>
      <c r="L923" s="5">
        <v>1809970</v>
      </c>
      <c r="M923" s="5">
        <v>39</v>
      </c>
      <c r="N923" s="5">
        <v>1362720</v>
      </c>
      <c r="O923" s="5">
        <v>31</v>
      </c>
      <c r="Q923" s="5">
        <v>1832020</v>
      </c>
      <c r="R923" s="5">
        <v>22</v>
      </c>
      <c r="S923" s="5">
        <v>1545300</v>
      </c>
      <c r="T923" s="5">
        <v>29</v>
      </c>
      <c r="V923" s="5">
        <v>1404880</v>
      </c>
      <c r="W923" s="5">
        <v>136</v>
      </c>
      <c r="X923" s="5">
        <v>7</v>
      </c>
    </row>
    <row r="924" spans="1:24" ht="12.75" customHeight="1">
      <c r="A924" s="11"/>
      <c r="B924" s="5">
        <v>1476400</v>
      </c>
      <c r="C924" s="5">
        <v>0</v>
      </c>
      <c r="D924" s="5">
        <v>1326970</v>
      </c>
      <c r="E924" s="5">
        <v>34</v>
      </c>
      <c r="G924" s="5">
        <v>1526670</v>
      </c>
      <c r="H924" s="5">
        <v>4</v>
      </c>
      <c r="I924" s="5">
        <v>1347930</v>
      </c>
      <c r="J924" s="5">
        <v>61</v>
      </c>
      <c r="L924" s="5">
        <v>1599460</v>
      </c>
      <c r="M924" s="5">
        <v>84</v>
      </c>
      <c r="N924" s="5">
        <v>1184190</v>
      </c>
      <c r="O924" s="5">
        <v>0</v>
      </c>
      <c r="Q924" s="5">
        <v>1579740</v>
      </c>
      <c r="R924" s="5">
        <v>68</v>
      </c>
      <c r="S924" s="5">
        <v>1463120</v>
      </c>
      <c r="T924" s="5">
        <v>197</v>
      </c>
      <c r="V924" s="5">
        <v>1025280</v>
      </c>
      <c r="W924" s="5">
        <v>0</v>
      </c>
      <c r="X924" s="5">
        <v>6</v>
      </c>
    </row>
    <row r="925" spans="1:24" ht="12.75" customHeight="1">
      <c r="A925" s="11"/>
      <c r="B925" s="5">
        <v>1655560</v>
      </c>
      <c r="C925" s="5">
        <v>1</v>
      </c>
      <c r="D925" s="5">
        <v>1571880</v>
      </c>
      <c r="E925" s="5">
        <v>20</v>
      </c>
      <c r="G925" s="5">
        <v>1684070</v>
      </c>
      <c r="H925" s="5">
        <v>0</v>
      </c>
      <c r="I925" s="5">
        <v>1483600</v>
      </c>
      <c r="J925" s="5">
        <v>0</v>
      </c>
      <c r="L925" s="5">
        <v>1720840</v>
      </c>
      <c r="M925" s="5">
        <v>31</v>
      </c>
      <c r="N925" s="5">
        <v>1408670</v>
      </c>
      <c r="O925" s="5">
        <v>31</v>
      </c>
      <c r="Q925" s="5">
        <v>1687760</v>
      </c>
      <c r="R925" s="5">
        <v>23</v>
      </c>
      <c r="S925" s="5">
        <v>1434540</v>
      </c>
      <c r="T925" s="5">
        <v>43</v>
      </c>
      <c r="V925" s="5">
        <v>1124140</v>
      </c>
      <c r="W925" s="5">
        <v>0</v>
      </c>
      <c r="X925" s="5">
        <v>12</v>
      </c>
    </row>
    <row r="926" spans="1:24" ht="12.75" customHeight="1">
      <c r="A926" s="11"/>
      <c r="B926" s="5">
        <v>1739250</v>
      </c>
      <c r="C926" s="5">
        <v>0</v>
      </c>
      <c r="D926" s="5">
        <v>1492670</v>
      </c>
      <c r="E926" s="5">
        <v>0</v>
      </c>
      <c r="G926" s="5">
        <v>1747010</v>
      </c>
      <c r="H926" s="5">
        <v>0</v>
      </c>
      <c r="I926" s="5">
        <v>1478230</v>
      </c>
      <c r="J926" s="5">
        <v>18</v>
      </c>
      <c r="L926" s="5">
        <v>1853860</v>
      </c>
      <c r="M926" s="5">
        <v>104</v>
      </c>
      <c r="N926" s="5">
        <v>1431630</v>
      </c>
      <c r="O926" s="5">
        <v>72</v>
      </c>
      <c r="Q926" s="5">
        <v>1722920</v>
      </c>
      <c r="R926" s="5">
        <v>0</v>
      </c>
      <c r="S926" s="5">
        <v>1516820</v>
      </c>
      <c r="T926" s="5">
        <v>0</v>
      </c>
      <c r="V926" s="5">
        <v>1222860</v>
      </c>
      <c r="W926" s="5">
        <v>30</v>
      </c>
      <c r="X926" s="5">
        <v>19</v>
      </c>
    </row>
    <row r="927" spans="1:24" ht="12.75" customHeight="1">
      <c r="A927" s="11"/>
      <c r="B927" s="5">
        <v>1751120</v>
      </c>
      <c r="C927" s="5">
        <v>12</v>
      </c>
      <c r="D927" s="5">
        <v>1445510</v>
      </c>
      <c r="E927" s="5">
        <v>0</v>
      </c>
      <c r="G927" s="5">
        <v>1742900</v>
      </c>
      <c r="H927" s="5">
        <v>30</v>
      </c>
      <c r="I927" s="5">
        <v>1505720</v>
      </c>
      <c r="J927" s="5">
        <v>0</v>
      </c>
      <c r="L927" s="5">
        <v>1726870</v>
      </c>
      <c r="M927" s="5">
        <v>48</v>
      </c>
      <c r="N927" s="5">
        <v>1376640</v>
      </c>
      <c r="O927" s="5">
        <v>0</v>
      </c>
      <c r="Q927" s="5">
        <v>1753690</v>
      </c>
      <c r="R927" s="5">
        <v>10</v>
      </c>
      <c r="S927" s="5">
        <v>1515180</v>
      </c>
      <c r="T927" s="5">
        <v>37</v>
      </c>
      <c r="V927" s="5">
        <v>1164740</v>
      </c>
      <c r="W927" s="5">
        <v>0</v>
      </c>
      <c r="X927" s="5">
        <v>7</v>
      </c>
    </row>
    <row r="928" spans="1:24" ht="12.75" customHeight="1">
      <c r="A928" s="11"/>
      <c r="B928" s="5">
        <v>1753430</v>
      </c>
      <c r="C928" s="5">
        <v>0</v>
      </c>
      <c r="D928" s="5">
        <v>1545720</v>
      </c>
      <c r="E928" s="5">
        <v>62</v>
      </c>
      <c r="G928" s="5">
        <v>1814570</v>
      </c>
      <c r="H928" s="5">
        <v>55</v>
      </c>
      <c r="I928" s="5">
        <v>1555950</v>
      </c>
      <c r="J928" s="5">
        <v>0</v>
      </c>
      <c r="L928" s="5">
        <v>1780790</v>
      </c>
      <c r="M928" s="5">
        <v>0</v>
      </c>
      <c r="N928" s="5">
        <v>1415990</v>
      </c>
      <c r="O928" s="5">
        <v>65</v>
      </c>
      <c r="Q928" s="5">
        <v>1787230</v>
      </c>
      <c r="R928" s="5">
        <v>12</v>
      </c>
      <c r="S928" s="5">
        <v>1511580</v>
      </c>
      <c r="T928" s="5">
        <v>0</v>
      </c>
      <c r="V928" s="5">
        <v>1228390</v>
      </c>
      <c r="W928" s="5">
        <v>42</v>
      </c>
      <c r="X928" s="5">
        <v>11</v>
      </c>
    </row>
    <row r="929" spans="1:24" ht="12.75" customHeight="1">
      <c r="A929" s="11"/>
      <c r="B929" s="5">
        <v>1777610</v>
      </c>
      <c r="C929" s="5">
        <v>2</v>
      </c>
      <c r="D929" s="5">
        <v>1754020</v>
      </c>
      <c r="E929" s="5">
        <v>203</v>
      </c>
      <c r="G929" s="5">
        <v>1767940</v>
      </c>
      <c r="H929" s="5">
        <v>0</v>
      </c>
      <c r="I929" s="5">
        <v>1604470</v>
      </c>
      <c r="J929" s="5">
        <v>11</v>
      </c>
      <c r="L929" s="5">
        <v>1727350</v>
      </c>
      <c r="M929" s="5">
        <v>10</v>
      </c>
      <c r="N929" s="5">
        <v>1415490</v>
      </c>
      <c r="O929" s="5">
        <v>43</v>
      </c>
      <c r="Q929" s="5">
        <v>1825400</v>
      </c>
      <c r="R929" s="5">
        <v>70</v>
      </c>
      <c r="S929" s="5">
        <v>1502800</v>
      </c>
      <c r="T929" s="5">
        <v>7</v>
      </c>
      <c r="V929" s="5">
        <v>1163320</v>
      </c>
      <c r="W929" s="5">
        <v>0</v>
      </c>
      <c r="X929" s="5">
        <v>8</v>
      </c>
    </row>
    <row r="930" spans="1:24" ht="12.75" customHeight="1">
      <c r="A930" s="11"/>
      <c r="B930" s="5">
        <v>1678050</v>
      </c>
      <c r="C930" s="5">
        <v>121</v>
      </c>
      <c r="D930" s="5">
        <v>1348090</v>
      </c>
      <c r="E930" s="5">
        <v>0</v>
      </c>
      <c r="G930" s="5">
        <v>1627460</v>
      </c>
      <c r="H930" s="5">
        <v>54</v>
      </c>
      <c r="I930" s="5">
        <v>1451740</v>
      </c>
      <c r="J930" s="5">
        <v>27</v>
      </c>
      <c r="L930" s="5">
        <v>1628600</v>
      </c>
      <c r="M930" s="5">
        <v>33</v>
      </c>
      <c r="N930" s="5">
        <v>1405470</v>
      </c>
      <c r="O930" s="5">
        <v>214</v>
      </c>
      <c r="Q930" s="5">
        <v>1590830</v>
      </c>
      <c r="R930" s="5">
        <v>9</v>
      </c>
      <c r="S930" s="5">
        <v>1356300</v>
      </c>
      <c r="T930" s="5">
        <v>0</v>
      </c>
      <c r="V930" s="5">
        <v>1015550</v>
      </c>
      <c r="W930" s="5">
        <v>0</v>
      </c>
      <c r="X930" s="5">
        <v>9</v>
      </c>
    </row>
    <row r="931" spans="1:24" ht="12.75" customHeight="1">
      <c r="A931" s="11"/>
      <c r="B931" s="5">
        <v>1639180</v>
      </c>
      <c r="C931" s="5">
        <v>0</v>
      </c>
      <c r="D931" s="5">
        <v>1541400</v>
      </c>
      <c r="E931" s="5">
        <v>35</v>
      </c>
      <c r="G931" s="5">
        <v>1687260</v>
      </c>
      <c r="H931" s="5">
        <v>55</v>
      </c>
      <c r="I931" s="5">
        <v>1511110</v>
      </c>
      <c r="J931" s="5">
        <v>15</v>
      </c>
      <c r="L931" s="5">
        <v>1642520</v>
      </c>
      <c r="M931" s="5">
        <v>1</v>
      </c>
      <c r="N931" s="5">
        <v>1309010</v>
      </c>
      <c r="O931" s="5">
        <v>1</v>
      </c>
      <c r="Q931" s="5">
        <v>1662090</v>
      </c>
      <c r="R931" s="5">
        <v>14</v>
      </c>
      <c r="S931" s="5">
        <v>1516780</v>
      </c>
      <c r="T931" s="5">
        <v>26</v>
      </c>
      <c r="V931" s="5">
        <v>1155210</v>
      </c>
      <c r="W931" s="5">
        <v>69</v>
      </c>
      <c r="X931" s="5">
        <v>18</v>
      </c>
    </row>
    <row r="932" spans="1:24" ht="12.75" customHeight="1">
      <c r="A932" s="11"/>
      <c r="B932" s="5">
        <v>1713910</v>
      </c>
      <c r="C932" s="5">
        <v>11</v>
      </c>
      <c r="D932" s="5">
        <v>1497040</v>
      </c>
      <c r="E932" s="5">
        <v>0</v>
      </c>
      <c r="G932" s="5">
        <v>1680910</v>
      </c>
      <c r="H932" s="5">
        <v>0</v>
      </c>
      <c r="I932" s="5">
        <v>1537340</v>
      </c>
      <c r="J932" s="5">
        <v>0</v>
      </c>
      <c r="L932" s="5">
        <v>1701480</v>
      </c>
      <c r="M932" s="5">
        <v>9</v>
      </c>
      <c r="N932" s="5">
        <v>1402570</v>
      </c>
      <c r="O932" s="5">
        <v>15</v>
      </c>
      <c r="Q932" s="5">
        <v>1935490</v>
      </c>
      <c r="R932" s="5">
        <v>202</v>
      </c>
      <c r="S932" s="5">
        <v>1419960</v>
      </c>
      <c r="T932" s="5">
        <v>2</v>
      </c>
      <c r="V932" s="5">
        <v>1193180</v>
      </c>
      <c r="W932" s="5">
        <v>61</v>
      </c>
      <c r="X932" s="5">
        <v>14</v>
      </c>
    </row>
    <row r="933" spans="1:24" ht="12.75" customHeight="1">
      <c r="A933" s="11"/>
      <c r="B933" s="5">
        <v>1833740</v>
      </c>
      <c r="C933" s="5">
        <v>0</v>
      </c>
      <c r="D933" s="5">
        <v>1571200</v>
      </c>
      <c r="E933" s="5">
        <v>13</v>
      </c>
      <c r="G933" s="5">
        <v>1989990</v>
      </c>
      <c r="H933" s="5">
        <v>190</v>
      </c>
      <c r="I933" s="5">
        <v>1714700</v>
      </c>
      <c r="J933" s="5">
        <v>0</v>
      </c>
      <c r="L933" s="5">
        <v>1810540</v>
      </c>
      <c r="M933" s="5">
        <v>0</v>
      </c>
      <c r="N933" s="5">
        <v>1492790</v>
      </c>
      <c r="O933" s="5">
        <v>0</v>
      </c>
      <c r="Q933" s="5">
        <v>1797760</v>
      </c>
      <c r="R933" s="5">
        <v>0</v>
      </c>
      <c r="S933" s="5">
        <v>1691160</v>
      </c>
      <c r="T933" s="5">
        <v>96</v>
      </c>
      <c r="V933" s="5">
        <v>1288520</v>
      </c>
      <c r="W933" s="5">
        <v>0</v>
      </c>
      <c r="X933" s="5">
        <v>10</v>
      </c>
    </row>
    <row r="934" spans="1:24" ht="12.75" customHeight="1">
      <c r="A934" s="11"/>
      <c r="B934" s="5">
        <v>1724960</v>
      </c>
      <c r="C934" s="5">
        <v>32</v>
      </c>
      <c r="D934" s="5">
        <v>1519010</v>
      </c>
      <c r="E934" s="5">
        <v>0</v>
      </c>
      <c r="G934" s="5">
        <v>1819720</v>
      </c>
      <c r="H934" s="5">
        <v>110</v>
      </c>
      <c r="I934" s="5">
        <v>1543240</v>
      </c>
      <c r="J934" s="5">
        <v>0</v>
      </c>
      <c r="L934" s="5">
        <v>1755530</v>
      </c>
      <c r="M934" s="5">
        <v>35</v>
      </c>
      <c r="N934" s="5">
        <v>1383830</v>
      </c>
      <c r="O934" s="5">
        <v>20</v>
      </c>
      <c r="Q934" s="5">
        <v>1740060</v>
      </c>
      <c r="R934" s="5">
        <v>0</v>
      </c>
      <c r="S934" s="5">
        <v>1621300</v>
      </c>
      <c r="T934" s="5">
        <v>86</v>
      </c>
      <c r="V934" s="5">
        <v>1183450</v>
      </c>
      <c r="W934" s="5">
        <v>0</v>
      </c>
      <c r="X934" s="5">
        <v>7</v>
      </c>
    </row>
    <row r="935" spans="1:24" ht="12.75" customHeight="1">
      <c r="A935" s="11"/>
      <c r="B935" s="5">
        <v>1619070</v>
      </c>
      <c r="C935" s="5">
        <v>0</v>
      </c>
      <c r="D935" s="5">
        <v>1540300</v>
      </c>
      <c r="E935" s="5">
        <v>30</v>
      </c>
      <c r="G935" s="5">
        <v>1594400</v>
      </c>
      <c r="H935" s="5">
        <v>0</v>
      </c>
      <c r="I935" s="5">
        <v>1512780</v>
      </c>
      <c r="J935" s="5">
        <v>0</v>
      </c>
      <c r="L935" s="5">
        <v>1563940</v>
      </c>
      <c r="M935" s="5">
        <v>0</v>
      </c>
      <c r="N935" s="5">
        <v>1297050</v>
      </c>
      <c r="O935" s="5">
        <v>0</v>
      </c>
      <c r="Q935" s="5">
        <v>1613520</v>
      </c>
      <c r="R935" s="5">
        <v>0</v>
      </c>
      <c r="S935" s="5">
        <v>1340040</v>
      </c>
      <c r="T935" s="5">
        <v>21</v>
      </c>
      <c r="V935" s="5">
        <v>1010320</v>
      </c>
      <c r="W935" s="5">
        <v>0</v>
      </c>
      <c r="X935" s="5">
        <v>7</v>
      </c>
    </row>
    <row r="936" spans="1:24" ht="12.75" customHeight="1">
      <c r="A936" s="11"/>
      <c r="B936" s="5">
        <v>1831930</v>
      </c>
      <c r="C936" s="5">
        <v>0</v>
      </c>
      <c r="D936" s="5">
        <v>1547760</v>
      </c>
      <c r="E936" s="5">
        <v>3</v>
      </c>
      <c r="G936" s="5">
        <v>1847690</v>
      </c>
      <c r="H936" s="5">
        <v>0</v>
      </c>
      <c r="I936" s="5">
        <v>1649330</v>
      </c>
      <c r="J936" s="5">
        <v>0</v>
      </c>
      <c r="L936" s="5">
        <v>1853890</v>
      </c>
      <c r="M936" s="5">
        <v>0</v>
      </c>
      <c r="N936" s="5">
        <v>1435330</v>
      </c>
      <c r="O936" s="5">
        <v>0</v>
      </c>
      <c r="Q936" s="5">
        <v>1866390</v>
      </c>
      <c r="R936" s="5">
        <v>0</v>
      </c>
      <c r="S936" s="5">
        <v>1630910</v>
      </c>
      <c r="T936" s="5">
        <v>0</v>
      </c>
      <c r="V936" s="5">
        <v>1260640</v>
      </c>
      <c r="W936" s="5">
        <v>0</v>
      </c>
      <c r="X936" s="5">
        <v>9</v>
      </c>
    </row>
    <row r="937" spans="1:24" ht="12.75" customHeight="1">
      <c r="A937" s="11"/>
      <c r="B937" s="5">
        <v>1780800</v>
      </c>
      <c r="C937" s="5">
        <v>0</v>
      </c>
      <c r="D937" s="5">
        <v>1537140</v>
      </c>
      <c r="E937" s="5">
        <v>0</v>
      </c>
      <c r="G937" s="5">
        <v>1774600</v>
      </c>
      <c r="H937" s="5">
        <v>0</v>
      </c>
      <c r="I937" s="5">
        <v>1617430</v>
      </c>
      <c r="J937" s="5">
        <v>0</v>
      </c>
      <c r="L937" s="5">
        <v>1818920</v>
      </c>
      <c r="M937" s="5">
        <v>0</v>
      </c>
      <c r="N937" s="5">
        <v>1412020</v>
      </c>
      <c r="O937" s="5">
        <v>11</v>
      </c>
      <c r="Q937" s="5">
        <v>1929520</v>
      </c>
      <c r="R937" s="5">
        <v>103</v>
      </c>
      <c r="S937" s="5">
        <v>1544820</v>
      </c>
      <c r="T937" s="5">
        <v>0</v>
      </c>
      <c r="V937" s="5">
        <v>1221970</v>
      </c>
      <c r="W937" s="5">
        <v>0</v>
      </c>
      <c r="X937" s="5">
        <v>5</v>
      </c>
    </row>
    <row r="938" spans="1:24" ht="12.75" customHeight="1">
      <c r="A938" s="11"/>
      <c r="B938" s="5">
        <v>1930930</v>
      </c>
      <c r="C938" s="5">
        <v>144</v>
      </c>
      <c r="D938" s="5">
        <v>1616860</v>
      </c>
      <c r="E938" s="5">
        <v>0</v>
      </c>
      <c r="G938" s="5">
        <v>1768910</v>
      </c>
      <c r="H938" s="5">
        <v>0</v>
      </c>
      <c r="I938" s="5">
        <v>1593170</v>
      </c>
      <c r="J938" s="5">
        <v>10</v>
      </c>
      <c r="L938" s="5">
        <v>1834720</v>
      </c>
      <c r="M938" s="5">
        <v>8</v>
      </c>
      <c r="N938" s="5">
        <v>1558980</v>
      </c>
      <c r="O938" s="5">
        <v>0</v>
      </c>
      <c r="Q938" s="5">
        <v>1782030</v>
      </c>
      <c r="R938" s="5">
        <v>0</v>
      </c>
      <c r="S938" s="5">
        <v>1620420</v>
      </c>
      <c r="T938" s="5">
        <v>0</v>
      </c>
      <c r="V938" s="5">
        <v>1223120</v>
      </c>
      <c r="W938" s="5">
        <v>0</v>
      </c>
      <c r="X938" s="5">
        <v>11</v>
      </c>
    </row>
    <row r="939" spans="1:24" ht="12.75" customHeight="1">
      <c r="A939" s="11"/>
      <c r="B939" s="5">
        <v>1785630</v>
      </c>
      <c r="C939" s="5">
        <v>6</v>
      </c>
      <c r="D939" s="5">
        <v>1547560</v>
      </c>
      <c r="E939" s="5">
        <v>0</v>
      </c>
      <c r="G939" s="5">
        <v>1805910</v>
      </c>
      <c r="H939" s="5">
        <v>0</v>
      </c>
      <c r="I939" s="5">
        <v>1607170</v>
      </c>
      <c r="J939" s="5">
        <v>0</v>
      </c>
      <c r="L939" s="5">
        <v>1896480</v>
      </c>
      <c r="M939" s="5">
        <v>102</v>
      </c>
      <c r="N939" s="5">
        <v>1456870</v>
      </c>
      <c r="O939" s="5">
        <v>0</v>
      </c>
      <c r="Q939" s="5">
        <v>1805960</v>
      </c>
      <c r="R939" s="5">
        <v>53</v>
      </c>
      <c r="S939" s="5">
        <v>1569120</v>
      </c>
      <c r="T939" s="5">
        <v>0</v>
      </c>
      <c r="V939" s="5">
        <v>1279890</v>
      </c>
      <c r="W939" s="5">
        <v>18</v>
      </c>
      <c r="X939" s="5">
        <v>16</v>
      </c>
    </row>
    <row r="940" spans="1:24" ht="12.75" customHeight="1">
      <c r="A940" s="11"/>
      <c r="B940" s="5">
        <v>1781780</v>
      </c>
      <c r="C940" s="5">
        <v>0</v>
      </c>
      <c r="D940" s="5">
        <v>1580680</v>
      </c>
      <c r="E940" s="5">
        <v>0</v>
      </c>
      <c r="G940" s="5">
        <v>1836090</v>
      </c>
      <c r="H940" s="5">
        <v>60</v>
      </c>
      <c r="I940" s="5">
        <v>1616200</v>
      </c>
      <c r="J940" s="5">
        <v>7</v>
      </c>
      <c r="L940" s="5">
        <v>1827170</v>
      </c>
      <c r="M940" s="5">
        <v>41</v>
      </c>
      <c r="N940" s="5">
        <v>1410930</v>
      </c>
      <c r="O940" s="5">
        <v>53</v>
      </c>
      <c r="Q940" s="5">
        <v>1802720</v>
      </c>
      <c r="R940" s="5">
        <v>0</v>
      </c>
      <c r="S940" s="5">
        <v>1550680</v>
      </c>
      <c r="T940" s="5">
        <v>0</v>
      </c>
      <c r="V940" s="5">
        <v>1249000</v>
      </c>
      <c r="W940" s="5">
        <v>0</v>
      </c>
      <c r="X940" s="5">
        <v>8</v>
      </c>
    </row>
    <row r="941" spans="1:24" ht="12.75" customHeight="1">
      <c r="A941" s="11"/>
      <c r="B941" s="5">
        <v>1678290</v>
      </c>
      <c r="C941" s="5">
        <v>0</v>
      </c>
      <c r="D941" s="5">
        <v>1461580</v>
      </c>
      <c r="E941" s="5">
        <v>0</v>
      </c>
      <c r="G941" s="5">
        <v>1795740</v>
      </c>
      <c r="H941" s="5">
        <v>114</v>
      </c>
      <c r="I941" s="5">
        <v>1502190</v>
      </c>
      <c r="J941" s="5">
        <v>6</v>
      </c>
      <c r="L941" s="5">
        <v>1679050</v>
      </c>
      <c r="M941" s="5">
        <v>29</v>
      </c>
      <c r="N941" s="5">
        <v>1369510</v>
      </c>
      <c r="O941" s="5">
        <v>21</v>
      </c>
      <c r="Q941" s="5">
        <v>1685570</v>
      </c>
      <c r="R941" s="5">
        <v>0</v>
      </c>
      <c r="S941" s="5">
        <v>1457960</v>
      </c>
      <c r="T941" s="5">
        <v>0</v>
      </c>
      <c r="V941" s="5">
        <v>1129800</v>
      </c>
      <c r="W941" s="5">
        <v>0</v>
      </c>
      <c r="X941" s="5">
        <v>8</v>
      </c>
    </row>
    <row r="942" spans="1:24" ht="12.75" customHeight="1">
      <c r="A942" s="11"/>
      <c r="B942" s="5">
        <v>1638130</v>
      </c>
      <c r="C942" s="5">
        <v>3</v>
      </c>
      <c r="D942" s="5">
        <v>1444100</v>
      </c>
      <c r="E942" s="5">
        <v>44</v>
      </c>
      <c r="G942" s="5">
        <v>1685330</v>
      </c>
      <c r="H942" s="5">
        <v>21</v>
      </c>
      <c r="I942" s="5">
        <v>1484370</v>
      </c>
      <c r="J942" s="5">
        <v>77</v>
      </c>
      <c r="L942" s="5">
        <v>1662630</v>
      </c>
      <c r="M942" s="5">
        <v>0</v>
      </c>
      <c r="N942" s="5">
        <v>1294750</v>
      </c>
      <c r="O942" s="5">
        <v>0</v>
      </c>
      <c r="Q942" s="5">
        <v>1835930</v>
      </c>
      <c r="R942" s="5">
        <v>127</v>
      </c>
      <c r="S942" s="5">
        <v>1436660</v>
      </c>
      <c r="T942" s="5">
        <v>0</v>
      </c>
      <c r="V942" s="5">
        <v>1185670</v>
      </c>
      <c r="W942" s="5">
        <v>0</v>
      </c>
      <c r="X942" s="5">
        <v>6</v>
      </c>
    </row>
    <row r="943" spans="1:24" ht="12.75" customHeight="1">
      <c r="A943" s="11"/>
      <c r="B943" s="5">
        <v>1830000</v>
      </c>
      <c r="C943" s="5">
        <v>0</v>
      </c>
      <c r="D943" s="5">
        <v>1643070</v>
      </c>
      <c r="E943" s="5">
        <v>119</v>
      </c>
      <c r="G943" s="5">
        <v>1853620</v>
      </c>
      <c r="H943" s="5">
        <v>23</v>
      </c>
      <c r="I943" s="5">
        <v>1676070</v>
      </c>
      <c r="J943" s="5">
        <v>129</v>
      </c>
      <c r="L943" s="5">
        <v>1838220</v>
      </c>
      <c r="M943" s="5">
        <v>0</v>
      </c>
      <c r="N943" s="5">
        <v>1469230</v>
      </c>
      <c r="O943" s="5">
        <v>36</v>
      </c>
      <c r="Q943" s="5">
        <v>1861370</v>
      </c>
      <c r="R943" s="5">
        <v>51</v>
      </c>
      <c r="S943" s="5">
        <v>1604170</v>
      </c>
      <c r="T943" s="5">
        <v>61</v>
      </c>
      <c r="V943" s="5">
        <v>1273050</v>
      </c>
      <c r="W943" s="5">
        <v>14</v>
      </c>
      <c r="X943" s="5">
        <v>9</v>
      </c>
    </row>
    <row r="944" spans="1:24" ht="12.75" customHeight="1">
      <c r="A944" s="11"/>
      <c r="B944" s="5">
        <v>1828520</v>
      </c>
      <c r="C944" s="5">
        <v>0</v>
      </c>
      <c r="D944" s="5">
        <v>1599450</v>
      </c>
      <c r="E944" s="5">
        <v>0</v>
      </c>
      <c r="G944" s="5">
        <v>1826580</v>
      </c>
      <c r="H944" s="5">
        <v>0</v>
      </c>
      <c r="I944" s="5">
        <v>1641650</v>
      </c>
      <c r="J944" s="5">
        <v>0</v>
      </c>
      <c r="L944" s="5">
        <v>1818970</v>
      </c>
      <c r="M944" s="5">
        <v>12</v>
      </c>
      <c r="N944" s="5">
        <v>1490910</v>
      </c>
      <c r="O944" s="5">
        <v>62</v>
      </c>
      <c r="Q944" s="5">
        <v>1844490</v>
      </c>
      <c r="R944" s="5">
        <v>0</v>
      </c>
      <c r="S944" s="5">
        <v>1564560</v>
      </c>
      <c r="T944" s="5">
        <v>0</v>
      </c>
      <c r="V944" s="5">
        <v>1375540</v>
      </c>
      <c r="W944" s="5">
        <v>152</v>
      </c>
      <c r="X944" s="5">
        <v>23</v>
      </c>
    </row>
    <row r="945" spans="1:24" ht="12.75" customHeight="1">
      <c r="A945" s="11"/>
      <c r="B945" s="5">
        <v>1801250</v>
      </c>
      <c r="C945" s="5">
        <v>0</v>
      </c>
      <c r="D945" s="5">
        <v>1538170</v>
      </c>
      <c r="E945" s="5">
        <v>0</v>
      </c>
      <c r="G945" s="5">
        <v>1783200</v>
      </c>
      <c r="H945" s="5">
        <v>0</v>
      </c>
      <c r="I945" s="5">
        <v>1661590</v>
      </c>
      <c r="J945" s="5">
        <v>0</v>
      </c>
      <c r="L945" s="5">
        <v>1754440</v>
      </c>
      <c r="M945" s="5">
        <v>0</v>
      </c>
      <c r="N945" s="5">
        <v>1583030</v>
      </c>
      <c r="O945" s="5">
        <v>56</v>
      </c>
      <c r="Q945" s="5">
        <v>1783880</v>
      </c>
      <c r="R945" s="5">
        <v>0</v>
      </c>
      <c r="S945" s="5">
        <v>1554900</v>
      </c>
      <c r="T945" s="5">
        <v>0</v>
      </c>
      <c r="V945" s="5">
        <v>1277440</v>
      </c>
      <c r="W945" s="5">
        <v>0</v>
      </c>
      <c r="X945" s="5">
        <v>9</v>
      </c>
    </row>
    <row r="946" spans="1:24" ht="12.75" customHeight="1">
      <c r="A946" s="11"/>
      <c r="B946" s="5">
        <v>1666460</v>
      </c>
      <c r="C946" s="5">
        <v>4</v>
      </c>
      <c r="D946" s="5">
        <v>1682990</v>
      </c>
      <c r="E946" s="5">
        <v>116</v>
      </c>
      <c r="G946" s="5">
        <v>1821540</v>
      </c>
      <c r="H946" s="5">
        <v>207</v>
      </c>
      <c r="I946" s="5">
        <v>1515650</v>
      </c>
      <c r="J946" s="5">
        <v>83</v>
      </c>
      <c r="L946" s="5">
        <v>1625800</v>
      </c>
      <c r="M946" s="5">
        <v>0</v>
      </c>
      <c r="N946" s="5">
        <v>1350490</v>
      </c>
      <c r="O946" s="5">
        <v>0</v>
      </c>
      <c r="Q946" s="5">
        <v>1709360</v>
      </c>
      <c r="R946" s="5">
        <v>51</v>
      </c>
      <c r="S946" s="5">
        <v>1461780</v>
      </c>
      <c r="T946" s="5">
        <v>0</v>
      </c>
      <c r="V946" s="5">
        <v>1142400</v>
      </c>
      <c r="W946" s="5">
        <v>0</v>
      </c>
      <c r="X946" s="5">
        <v>7</v>
      </c>
    </row>
    <row r="947" spans="1:24" ht="12.75" customHeight="1">
      <c r="A947" s="11"/>
      <c r="B947" s="5">
        <v>1753380</v>
      </c>
      <c r="C947" s="5">
        <v>16</v>
      </c>
      <c r="D947" s="5">
        <v>1479290</v>
      </c>
      <c r="E947" s="5">
        <v>0</v>
      </c>
      <c r="G947" s="5">
        <v>1706670</v>
      </c>
      <c r="H947" s="5">
        <v>0</v>
      </c>
      <c r="I947" s="5">
        <v>1535450</v>
      </c>
      <c r="J947" s="5">
        <v>0</v>
      </c>
      <c r="L947" s="5">
        <v>1747280</v>
      </c>
      <c r="M947" s="5">
        <v>2</v>
      </c>
      <c r="N947" s="5">
        <v>1437800</v>
      </c>
      <c r="O947" s="5">
        <v>45</v>
      </c>
      <c r="Q947" s="5">
        <v>1748030</v>
      </c>
      <c r="R947" s="5">
        <v>0</v>
      </c>
      <c r="S947" s="5">
        <v>1542890</v>
      </c>
      <c r="T947" s="5">
        <v>29</v>
      </c>
      <c r="V947" s="5">
        <v>1187440</v>
      </c>
      <c r="W947" s="5">
        <v>0</v>
      </c>
      <c r="X947" s="5">
        <v>7</v>
      </c>
    </row>
    <row r="948" spans="1:24" ht="12.75" customHeight="1">
      <c r="A948" s="11"/>
      <c r="B948" s="5">
        <v>1927100</v>
      </c>
      <c r="C948" s="5">
        <v>0</v>
      </c>
      <c r="D948" s="5">
        <v>1731150</v>
      </c>
      <c r="E948" s="5">
        <v>0</v>
      </c>
      <c r="G948" s="5">
        <v>1937260</v>
      </c>
      <c r="H948" s="5">
        <v>0</v>
      </c>
      <c r="I948" s="5">
        <v>1755690</v>
      </c>
      <c r="J948" s="5">
        <v>0</v>
      </c>
      <c r="L948" s="5">
        <v>1915500</v>
      </c>
      <c r="M948" s="5">
        <v>0</v>
      </c>
      <c r="N948" s="5">
        <v>1589900</v>
      </c>
      <c r="O948" s="5">
        <v>0</v>
      </c>
      <c r="Q948" s="5">
        <v>1889860</v>
      </c>
      <c r="R948" s="5">
        <v>0</v>
      </c>
      <c r="S948" s="5">
        <v>1603390</v>
      </c>
      <c r="T948" s="5">
        <v>0</v>
      </c>
      <c r="V948" s="5">
        <v>1381270</v>
      </c>
      <c r="W948" s="5">
        <v>0</v>
      </c>
      <c r="X948" s="5">
        <v>7</v>
      </c>
    </row>
    <row r="949" spans="1:24" ht="12.75" customHeight="1">
      <c r="A949" s="11"/>
      <c r="B949" s="5">
        <v>1819760</v>
      </c>
      <c r="C949" s="5">
        <v>0</v>
      </c>
      <c r="D949" s="5">
        <v>1633320</v>
      </c>
      <c r="E949" s="5">
        <v>0</v>
      </c>
      <c r="G949" s="5">
        <v>1851790</v>
      </c>
      <c r="H949" s="5">
        <v>2</v>
      </c>
      <c r="I949" s="5">
        <v>1652380</v>
      </c>
      <c r="J949" s="5">
        <v>0</v>
      </c>
      <c r="L949" s="5">
        <v>1881280</v>
      </c>
      <c r="M949" s="5">
        <v>41</v>
      </c>
      <c r="N949" s="5">
        <v>1486030</v>
      </c>
      <c r="O949" s="5">
        <v>0</v>
      </c>
      <c r="Q949" s="5">
        <v>1818120</v>
      </c>
      <c r="R949" s="5">
        <v>11</v>
      </c>
      <c r="S949" s="5">
        <v>1595770</v>
      </c>
      <c r="T949" s="5">
        <v>0</v>
      </c>
      <c r="V949" s="5">
        <v>1321830</v>
      </c>
      <c r="W949" s="5">
        <v>0</v>
      </c>
      <c r="X949" s="5">
        <v>8</v>
      </c>
    </row>
    <row r="950" spans="1:24" ht="12.75" customHeight="1">
      <c r="A950" s="11"/>
      <c r="B950" s="5">
        <v>1814770</v>
      </c>
      <c r="C950" s="5">
        <v>0</v>
      </c>
      <c r="D950" s="5">
        <v>1568830</v>
      </c>
      <c r="E950" s="5">
        <v>0</v>
      </c>
      <c r="G950" s="5">
        <v>1787660</v>
      </c>
      <c r="H950" s="5">
        <v>0</v>
      </c>
      <c r="I950" s="5">
        <v>1595300</v>
      </c>
      <c r="J950" s="5">
        <v>0</v>
      </c>
      <c r="L950" s="5">
        <v>1836020</v>
      </c>
      <c r="M950" s="5">
        <v>0</v>
      </c>
      <c r="N950" s="5">
        <v>1533780</v>
      </c>
      <c r="O950" s="5">
        <v>0</v>
      </c>
      <c r="Q950" s="5">
        <v>1860740</v>
      </c>
      <c r="R950" s="5">
        <v>34</v>
      </c>
      <c r="S950" s="5">
        <v>1580970</v>
      </c>
      <c r="T950" s="5">
        <v>0</v>
      </c>
      <c r="V950" s="5">
        <v>1307350</v>
      </c>
      <c r="W950" s="5">
        <v>0</v>
      </c>
      <c r="X950" s="5">
        <v>7</v>
      </c>
    </row>
    <row r="951" spans="1:24" ht="12.75" customHeight="1">
      <c r="A951" s="11"/>
      <c r="B951" s="5">
        <v>1735370</v>
      </c>
      <c r="C951" s="5">
        <v>0</v>
      </c>
      <c r="D951" s="5">
        <v>1672780</v>
      </c>
      <c r="E951" s="5">
        <v>187</v>
      </c>
      <c r="G951" s="5">
        <v>1789970</v>
      </c>
      <c r="H951" s="5">
        <v>53</v>
      </c>
      <c r="I951" s="5">
        <v>1677600</v>
      </c>
      <c r="J951" s="5">
        <v>101</v>
      </c>
      <c r="L951" s="5">
        <v>1726570</v>
      </c>
      <c r="M951" s="5">
        <v>0</v>
      </c>
      <c r="N951" s="5">
        <v>1509340</v>
      </c>
      <c r="O951" s="5">
        <v>74</v>
      </c>
      <c r="Q951" s="5">
        <v>1790290</v>
      </c>
      <c r="R951" s="5">
        <v>60</v>
      </c>
      <c r="S951" s="5">
        <v>1472230</v>
      </c>
      <c r="T951" s="5">
        <v>0</v>
      </c>
      <c r="V951" s="5">
        <v>1190250</v>
      </c>
      <c r="W951" s="5">
        <v>0</v>
      </c>
      <c r="X951" s="5">
        <v>5</v>
      </c>
    </row>
    <row r="952" spans="1:24" ht="12.75" customHeight="1">
      <c r="A952" s="11"/>
      <c r="B952" s="5">
        <v>1676740</v>
      </c>
      <c r="C952" s="5">
        <v>0</v>
      </c>
      <c r="D952" s="5">
        <v>1497340</v>
      </c>
      <c r="E952" s="5">
        <v>10</v>
      </c>
      <c r="G952" s="5">
        <v>1684340</v>
      </c>
      <c r="H952" s="5">
        <v>0</v>
      </c>
      <c r="I952" s="5">
        <v>1606820</v>
      </c>
      <c r="J952" s="5">
        <v>24</v>
      </c>
      <c r="L952" s="5">
        <v>1701300</v>
      </c>
      <c r="M952" s="5">
        <v>31</v>
      </c>
      <c r="N952" s="5">
        <v>1519910</v>
      </c>
      <c r="O952" s="5">
        <v>101</v>
      </c>
      <c r="Q952" s="5">
        <v>1798320</v>
      </c>
      <c r="R952" s="5">
        <v>93</v>
      </c>
      <c r="S952" s="5">
        <v>1428120</v>
      </c>
      <c r="T952" s="5">
        <v>0</v>
      </c>
      <c r="V952" s="5">
        <v>1185320</v>
      </c>
      <c r="W952" s="5">
        <v>0</v>
      </c>
      <c r="X952" s="5">
        <v>8</v>
      </c>
    </row>
    <row r="953" spans="1:24" ht="12.75" customHeight="1">
      <c r="A953" s="11"/>
      <c r="B953" s="5">
        <v>1872200</v>
      </c>
      <c r="C953" s="5">
        <v>27</v>
      </c>
      <c r="D953" s="5">
        <v>1559230</v>
      </c>
      <c r="E953" s="5">
        <v>0</v>
      </c>
      <c r="G953" s="5">
        <v>1917420</v>
      </c>
      <c r="H953" s="5">
        <v>37</v>
      </c>
      <c r="I953" s="5">
        <v>1699580</v>
      </c>
      <c r="J953" s="5">
        <v>78</v>
      </c>
      <c r="L953" s="5">
        <v>1804550</v>
      </c>
      <c r="M953" s="5">
        <v>0</v>
      </c>
      <c r="N953" s="5">
        <v>1525890</v>
      </c>
      <c r="O953" s="5">
        <v>0</v>
      </c>
      <c r="Q953" s="5">
        <v>1801710</v>
      </c>
      <c r="R953" s="5">
        <v>0</v>
      </c>
      <c r="S953" s="5">
        <v>1658420</v>
      </c>
      <c r="T953" s="5">
        <v>10</v>
      </c>
      <c r="V953" s="5">
        <v>1332790</v>
      </c>
      <c r="W953" s="5">
        <v>0</v>
      </c>
      <c r="X953" s="5">
        <v>7</v>
      </c>
    </row>
    <row r="954" spans="1:24" ht="12.75" customHeight="1">
      <c r="A954" s="11"/>
      <c r="B954" s="5">
        <v>1813470</v>
      </c>
      <c r="C954" s="5">
        <v>0</v>
      </c>
      <c r="D954" s="5">
        <v>1603800</v>
      </c>
      <c r="E954" s="5">
        <v>0</v>
      </c>
      <c r="G954" s="5">
        <v>1822990</v>
      </c>
      <c r="H954" s="5">
        <v>0</v>
      </c>
      <c r="I954" s="5">
        <v>1718440</v>
      </c>
      <c r="J954" s="5">
        <v>0</v>
      </c>
      <c r="L954" s="5">
        <v>1945990</v>
      </c>
      <c r="M954" s="5">
        <v>112</v>
      </c>
      <c r="N954" s="5">
        <v>1593500</v>
      </c>
      <c r="O954" s="5">
        <v>63</v>
      </c>
      <c r="Q954" s="5">
        <v>1815680</v>
      </c>
      <c r="R954" s="5">
        <v>0</v>
      </c>
      <c r="S954" s="5">
        <v>1601220</v>
      </c>
      <c r="T954" s="5">
        <v>0</v>
      </c>
      <c r="V954" s="5">
        <v>1371290</v>
      </c>
      <c r="W954" s="5">
        <v>48</v>
      </c>
      <c r="X954" s="5">
        <v>12</v>
      </c>
    </row>
    <row r="955" spans="1:24" ht="12.75" customHeight="1">
      <c r="A955" s="11"/>
      <c r="B955" s="5">
        <v>1811530</v>
      </c>
      <c r="C955" s="5">
        <v>6</v>
      </c>
      <c r="D955" s="5">
        <v>1609440</v>
      </c>
      <c r="E955" s="5">
        <v>0</v>
      </c>
      <c r="G955" s="5">
        <v>1818930</v>
      </c>
      <c r="H955" s="5">
        <v>0</v>
      </c>
      <c r="I955" s="5">
        <v>1684800</v>
      </c>
      <c r="J955" s="5">
        <v>0</v>
      </c>
      <c r="L955" s="5">
        <v>1836810</v>
      </c>
      <c r="M955" s="5">
        <v>0</v>
      </c>
      <c r="N955" s="5">
        <v>1442230</v>
      </c>
      <c r="O955" s="5">
        <v>0</v>
      </c>
      <c r="Q955" s="5">
        <v>1829500</v>
      </c>
      <c r="R955" s="5">
        <v>0</v>
      </c>
      <c r="S955" s="5">
        <v>1759230</v>
      </c>
      <c r="T955" s="5">
        <v>98</v>
      </c>
      <c r="V955" s="5">
        <v>1279980</v>
      </c>
      <c r="W955" s="5">
        <v>0</v>
      </c>
      <c r="X955" s="5">
        <v>9</v>
      </c>
    </row>
    <row r="956" spans="1:24" ht="12.75" customHeight="1">
      <c r="A956" s="11"/>
      <c r="B956" s="5">
        <v>1944100</v>
      </c>
      <c r="C956" s="5">
        <v>0</v>
      </c>
      <c r="D956" s="5">
        <v>1655450</v>
      </c>
      <c r="E956" s="5">
        <v>0</v>
      </c>
      <c r="G956" s="5">
        <v>1926300</v>
      </c>
      <c r="H956" s="5">
        <v>0</v>
      </c>
      <c r="I956" s="5">
        <v>1800350</v>
      </c>
      <c r="J956" s="5">
        <v>0</v>
      </c>
      <c r="L956" s="5">
        <v>1897880</v>
      </c>
      <c r="M956" s="5">
        <v>0</v>
      </c>
      <c r="N956" s="5">
        <v>1572310</v>
      </c>
      <c r="O956" s="5">
        <v>0</v>
      </c>
      <c r="Q956" s="5">
        <v>1942590</v>
      </c>
      <c r="R956" s="5">
        <v>9</v>
      </c>
      <c r="S956" s="5">
        <v>1714410</v>
      </c>
      <c r="T956" s="5">
        <v>0</v>
      </c>
      <c r="V956" s="5">
        <v>1363140</v>
      </c>
      <c r="W956" s="5">
        <v>0</v>
      </c>
      <c r="X956" s="5">
        <v>5</v>
      </c>
    </row>
    <row r="957" spans="1:24" ht="12.75" customHeight="1">
      <c r="A957" s="11"/>
      <c r="B957" s="5">
        <v>1873530</v>
      </c>
      <c r="C957" s="5">
        <v>69</v>
      </c>
      <c r="D957" s="5">
        <v>1658900</v>
      </c>
      <c r="E957" s="5">
        <v>0</v>
      </c>
      <c r="G957" s="5">
        <v>1766330</v>
      </c>
      <c r="H957" s="5">
        <v>0</v>
      </c>
      <c r="I957" s="5">
        <v>1596960</v>
      </c>
      <c r="J957" s="5">
        <v>0</v>
      </c>
      <c r="L957" s="5">
        <v>1803980</v>
      </c>
      <c r="M957" s="5">
        <v>48</v>
      </c>
      <c r="N957" s="5">
        <v>1430410</v>
      </c>
      <c r="O957" s="5">
        <v>0</v>
      </c>
      <c r="Q957" s="5">
        <v>1780230</v>
      </c>
      <c r="R957" s="5">
        <v>0</v>
      </c>
      <c r="S957" s="5">
        <v>1514770</v>
      </c>
      <c r="T957" s="5">
        <v>0</v>
      </c>
      <c r="V957" s="5">
        <v>1192140</v>
      </c>
      <c r="W957" s="5">
        <v>0</v>
      </c>
      <c r="X957" s="5">
        <v>9</v>
      </c>
    </row>
    <row r="958" spans="1:24" ht="12.75" customHeight="1">
      <c r="A958" s="11"/>
      <c r="B958" s="5">
        <v>1689650</v>
      </c>
      <c r="C958" s="5">
        <v>0</v>
      </c>
      <c r="D958" s="5">
        <v>1536670</v>
      </c>
      <c r="E958" s="5">
        <v>36</v>
      </c>
      <c r="G958" s="5">
        <v>1798730</v>
      </c>
      <c r="H958" s="5">
        <v>91</v>
      </c>
      <c r="I958" s="5">
        <v>1520410</v>
      </c>
      <c r="J958" s="5">
        <v>0</v>
      </c>
      <c r="L958" s="5">
        <v>1750260</v>
      </c>
      <c r="M958" s="5">
        <v>25</v>
      </c>
      <c r="N958" s="5">
        <v>1359520</v>
      </c>
      <c r="O958" s="5">
        <v>0</v>
      </c>
      <c r="Q958" s="5">
        <v>1914960</v>
      </c>
      <c r="R958" s="5">
        <v>246</v>
      </c>
      <c r="S958" s="5">
        <v>1460880</v>
      </c>
      <c r="T958" s="5">
        <v>46</v>
      </c>
      <c r="V958" s="5">
        <v>1237180</v>
      </c>
      <c r="W958" s="5">
        <v>0</v>
      </c>
      <c r="X958" s="5">
        <v>9</v>
      </c>
    </row>
    <row r="959" spans="1:24" ht="12.75" customHeight="1">
      <c r="A959" s="11"/>
      <c r="B959" s="5">
        <v>1623090</v>
      </c>
      <c r="C959" s="5">
        <v>0</v>
      </c>
      <c r="D959" s="5">
        <v>1390070</v>
      </c>
      <c r="E959" s="5">
        <v>0</v>
      </c>
      <c r="G959" s="5">
        <v>1671160</v>
      </c>
      <c r="H959" s="5">
        <v>0</v>
      </c>
      <c r="I959" s="5">
        <v>1457470</v>
      </c>
      <c r="J959" s="5">
        <v>0</v>
      </c>
      <c r="L959" s="5">
        <v>1671920</v>
      </c>
      <c r="M959" s="5">
        <v>0</v>
      </c>
      <c r="N959" s="5">
        <v>1393550</v>
      </c>
      <c r="O959" s="5">
        <v>39</v>
      </c>
      <c r="Q959" s="5">
        <v>1689080</v>
      </c>
      <c r="R959" s="5">
        <v>0</v>
      </c>
      <c r="S959" s="5">
        <v>1386930</v>
      </c>
      <c r="T959" s="5">
        <v>0</v>
      </c>
      <c r="V959" s="5">
        <v>1116090</v>
      </c>
      <c r="W959" s="5">
        <v>0</v>
      </c>
      <c r="X959" s="5">
        <v>6</v>
      </c>
    </row>
    <row r="960" spans="1:24" ht="12.75" customHeight="1">
      <c r="A960" s="11"/>
      <c r="B960" s="5">
        <v>2026120</v>
      </c>
      <c r="C960" s="5">
        <v>90</v>
      </c>
      <c r="D960" s="5">
        <v>1615640</v>
      </c>
      <c r="E960" s="5">
        <v>0</v>
      </c>
      <c r="G960" s="5">
        <v>1960230</v>
      </c>
      <c r="H960" s="5">
        <v>12</v>
      </c>
      <c r="I960" s="5">
        <v>1672300</v>
      </c>
      <c r="J960" s="5">
        <v>0</v>
      </c>
      <c r="L960" s="5">
        <v>1980920</v>
      </c>
      <c r="M960" s="5">
        <v>0</v>
      </c>
      <c r="N960" s="5">
        <v>1535300</v>
      </c>
      <c r="O960" s="5">
        <v>0</v>
      </c>
      <c r="Q960" s="5">
        <v>2203000</v>
      </c>
      <c r="R960" s="5">
        <v>238</v>
      </c>
      <c r="S960" s="5">
        <v>1707150</v>
      </c>
      <c r="T960" s="5">
        <v>0</v>
      </c>
      <c r="V960" s="5">
        <v>1382360</v>
      </c>
      <c r="W960" s="5">
        <v>0</v>
      </c>
      <c r="X960" s="5">
        <v>9</v>
      </c>
    </row>
    <row r="961" spans="1:24" ht="12.75" customHeight="1">
      <c r="A961" s="11"/>
      <c r="B961" s="5">
        <v>1835610</v>
      </c>
      <c r="C961" s="5">
        <v>92</v>
      </c>
      <c r="D961" s="5">
        <v>1605600</v>
      </c>
      <c r="E961" s="5">
        <v>0</v>
      </c>
      <c r="G961" s="5">
        <v>1779210</v>
      </c>
      <c r="H961" s="5">
        <v>14</v>
      </c>
      <c r="I961" s="5">
        <v>1550340</v>
      </c>
      <c r="J961" s="5">
        <v>0</v>
      </c>
      <c r="L961" s="5">
        <v>1798440</v>
      </c>
      <c r="M961" s="5">
        <v>10</v>
      </c>
      <c r="N961" s="5">
        <v>1433490</v>
      </c>
      <c r="O961" s="5">
        <v>0</v>
      </c>
      <c r="Q961" s="5">
        <v>1868240</v>
      </c>
      <c r="R961" s="5">
        <v>73</v>
      </c>
      <c r="S961" s="5">
        <v>1470730</v>
      </c>
      <c r="T961" s="5">
        <v>0</v>
      </c>
      <c r="V961" s="5">
        <v>1204410</v>
      </c>
      <c r="W961" s="5">
        <v>0</v>
      </c>
      <c r="X961" s="5">
        <v>6</v>
      </c>
    </row>
    <row r="962" spans="1:24" ht="12.75" customHeight="1">
      <c r="A962" s="11"/>
      <c r="B962" s="5">
        <v>1844840</v>
      </c>
      <c r="C962" s="5">
        <v>0</v>
      </c>
      <c r="D962" s="5">
        <v>1622380</v>
      </c>
      <c r="E962" s="5">
        <v>0</v>
      </c>
      <c r="G962" s="5">
        <v>1867610</v>
      </c>
      <c r="H962" s="5">
        <v>39</v>
      </c>
      <c r="I962" s="5">
        <v>1655370</v>
      </c>
      <c r="J962" s="5">
        <v>14</v>
      </c>
      <c r="L962" s="5">
        <v>1853140</v>
      </c>
      <c r="M962" s="5">
        <v>0</v>
      </c>
      <c r="N962" s="5">
        <v>1471120</v>
      </c>
      <c r="O962" s="5">
        <v>0</v>
      </c>
      <c r="Q962" s="5">
        <v>1855820</v>
      </c>
      <c r="R962" s="5">
        <v>0</v>
      </c>
      <c r="S962" s="5">
        <v>1611380</v>
      </c>
      <c r="T962" s="5">
        <v>0</v>
      </c>
      <c r="V962" s="5">
        <v>1351650</v>
      </c>
      <c r="W962" s="5">
        <v>0</v>
      </c>
      <c r="X962" s="5">
        <v>5</v>
      </c>
    </row>
    <row r="963" spans="1:24" ht="12.75" customHeight="1"/>
    <row r="964" spans="1:24" ht="12.75" customHeight="1"/>
    <row r="965" spans="1:24" ht="12.75" customHeight="1"/>
    <row r="966" spans="1:24" ht="12.75" customHeight="1"/>
    <row r="967" spans="1:24" ht="12.75" customHeight="1"/>
    <row r="968" spans="1:24" ht="12.75" customHeight="1"/>
    <row r="969" spans="1:24" ht="12.75" customHeight="1"/>
    <row r="970" spans="1:24" ht="12.75" customHeight="1"/>
    <row r="971" spans="1:24" ht="12.75" customHeight="1"/>
    <row r="972" spans="1:24" ht="12.75" customHeight="1"/>
    <row r="973" spans="1:24" ht="12.75" customHeight="1"/>
    <row r="974" spans="1:24" ht="12.75" customHeight="1"/>
    <row r="975" spans="1:24" ht="12.75" customHeight="1"/>
    <row r="976" spans="1:24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:E1"/>
    <mergeCell ref="G1:J1"/>
    <mergeCell ref="L1:O1"/>
    <mergeCell ref="Q1:T1"/>
    <mergeCell ref="V1:X1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selection activeCell="N37" sqref="N37"/>
    </sheetView>
  </sheetViews>
  <sheetFormatPr defaultColWidth="14.42578125" defaultRowHeight="15" customHeight="1"/>
  <cols>
    <col min="1" max="19" width="11.42578125" customWidth="1"/>
    <col min="20" max="26" width="8.7109375" customWidth="1"/>
  </cols>
  <sheetData>
    <row r="1" spans="1:19" ht="12.75" customHeight="1">
      <c r="E1" s="107" t="s">
        <v>15</v>
      </c>
      <c r="F1" s="108"/>
      <c r="G1" s="108"/>
      <c r="H1" s="108"/>
      <c r="J1" s="107" t="s">
        <v>16</v>
      </c>
      <c r="K1" s="108"/>
      <c r="L1" s="108"/>
      <c r="M1" s="108"/>
    </row>
    <row r="2" spans="1:19" ht="12.75" customHeight="1">
      <c r="B2" s="2" t="s">
        <v>17</v>
      </c>
      <c r="C2" s="2" t="s">
        <v>18</v>
      </c>
      <c r="E2" s="2" t="s">
        <v>1</v>
      </c>
      <c r="F2" s="2" t="s">
        <v>2</v>
      </c>
      <c r="G2" s="2" t="s">
        <v>3</v>
      </c>
      <c r="H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O2" s="107" t="s">
        <v>19</v>
      </c>
      <c r="P2" s="108"/>
      <c r="Q2" s="108"/>
      <c r="R2" s="108"/>
      <c r="S2" s="108"/>
    </row>
    <row r="3" spans="1:19" ht="12.75" customHeight="1">
      <c r="A3" s="12" t="s">
        <v>20</v>
      </c>
      <c r="B3" s="5">
        <f>MIN('Parameter &lt;x, y&gt;'!B3,'Parameter &lt;x, y&gt;'!G3,'Parameter &lt;x, y&gt;'!L3,'Parameter &lt;x, y&gt;'!Q3)</f>
        <v>11423.2</v>
      </c>
      <c r="C3" s="5">
        <f>MIN('Parameter &lt;x, y&gt;'!D3,'Parameter &lt;x, y&gt;'!I3,'Parameter &lt;x, y&gt;'!N3,'Parameter &lt;x, y&gt;'!S3)</f>
        <v>11316.2</v>
      </c>
      <c r="E3" s="5">
        <f>100*('Parameter &lt;x, y&gt;'!B3-B3)/B3</f>
        <v>0</v>
      </c>
      <c r="F3" s="5">
        <f>100*('Parameter &lt;x, y&gt;'!G3-B3)/B3</f>
        <v>1.9469150500735313</v>
      </c>
      <c r="G3" s="5">
        <f>100*('Parameter &lt;x, y&gt;'!L3-B3)/B3</f>
        <v>5.6534071013376224</v>
      </c>
      <c r="H3" s="5">
        <f>100*('Parameter &lt;x, y&gt;'!Q3-B3)/B3</f>
        <v>6.0202044961131627</v>
      </c>
      <c r="J3" s="5">
        <f>100*('Parameter &lt;x, y&gt;'!D3-C3)/C3</f>
        <v>22.493416517912369</v>
      </c>
      <c r="K3" s="5">
        <f>100*('Parameter &lt;x, y&gt;'!I3-C3)/C3</f>
        <v>0</v>
      </c>
      <c r="L3" s="5">
        <f>100*('Parameter &lt;x, y&gt;'!N3-C3)/C3</f>
        <v>22.493416517912369</v>
      </c>
      <c r="M3" s="5">
        <f>100*('Parameter &lt;x, y&gt;'!S3-C3)/C3</f>
        <v>1.9078842721054738</v>
      </c>
    </row>
    <row r="4" spans="1:19" ht="12.75" customHeight="1">
      <c r="A4" s="13"/>
      <c r="B4" s="5">
        <f>MIN('Parameter &lt;x, y&gt;'!B4,'Parameter &lt;x, y&gt;'!G4,'Parameter &lt;x, y&gt;'!L4,'Parameter &lt;x, y&gt;'!Q4)</f>
        <v>10514.1</v>
      </c>
      <c r="C4" s="5">
        <f>MIN('Parameter &lt;x, y&gt;'!D4,'Parameter &lt;x, y&gt;'!I4,'Parameter &lt;x, y&gt;'!N4,'Parameter &lt;x, y&gt;'!S4)</f>
        <v>9568.9</v>
      </c>
      <c r="E4" s="5">
        <f>100*('Parameter &lt;x, y&gt;'!B4-B4)/B4</f>
        <v>0.65626159157702513</v>
      </c>
      <c r="F4" s="5">
        <f>100*('Parameter &lt;x, y&gt;'!G4-B4)/B4</f>
        <v>0</v>
      </c>
      <c r="G4" s="5">
        <f>100*('Parameter &lt;x, y&gt;'!L4-B4)/B4</f>
        <v>18.518941231298925</v>
      </c>
      <c r="H4" s="5">
        <f>100*('Parameter &lt;x, y&gt;'!Q4-B4)/B4</f>
        <v>55.923949743677532</v>
      </c>
      <c r="J4" s="5">
        <f>100*('Parameter &lt;x, y&gt;'!D4-C4)/C4</f>
        <v>0</v>
      </c>
      <c r="K4" s="5">
        <f>100*('Parameter &lt;x, y&gt;'!I4-C4)/C4</f>
        <v>11.907324770872302</v>
      </c>
      <c r="L4" s="5">
        <f>100*('Parameter &lt;x, y&gt;'!N4-C4)/C4</f>
        <v>6.729091118101346</v>
      </c>
      <c r="M4" s="5">
        <f>100*('Parameter &lt;x, y&gt;'!S4-C4)/C4</f>
        <v>29.487192885284628</v>
      </c>
      <c r="O4" s="107" t="s">
        <v>21</v>
      </c>
      <c r="P4" s="108"/>
      <c r="Q4" s="108"/>
      <c r="R4" s="108"/>
      <c r="S4" s="108"/>
    </row>
    <row r="5" spans="1:19" ht="12.75" customHeight="1">
      <c r="A5" s="13"/>
      <c r="B5" s="5">
        <f>MIN('Parameter &lt;x, y&gt;'!B5,'Parameter &lt;x, y&gt;'!G5,'Parameter &lt;x, y&gt;'!L5,'Parameter &lt;x, y&gt;'!Q5)</f>
        <v>10749.9</v>
      </c>
      <c r="C5" s="5">
        <f>MIN('Parameter &lt;x, y&gt;'!D5,'Parameter &lt;x, y&gt;'!I5,'Parameter &lt;x, y&gt;'!N5,'Parameter &lt;x, y&gt;'!S5)</f>
        <v>10937.1</v>
      </c>
      <c r="E5" s="5">
        <f>100*('Parameter &lt;x, y&gt;'!B5-B5)/B5</f>
        <v>6.3926176057451771</v>
      </c>
      <c r="F5" s="5">
        <f>100*('Parameter &lt;x, y&gt;'!G5-B5)/B5</f>
        <v>2.5116512711746157</v>
      </c>
      <c r="G5" s="5">
        <f>100*('Parameter &lt;x, y&gt;'!L5-B5)/B5</f>
        <v>0</v>
      </c>
      <c r="H5" s="5">
        <f>100*('Parameter &lt;x, y&gt;'!Q5-B5)/B5</f>
        <v>9.9582321696015779</v>
      </c>
      <c r="J5" s="5">
        <f>100*('Parameter &lt;x, y&gt;'!D5-C5)/C5</f>
        <v>0.45624525696939439</v>
      </c>
      <c r="K5" s="5">
        <f>100*('Parameter &lt;x, y&gt;'!I5-C5)/C5</f>
        <v>4.5715957612164102</v>
      </c>
      <c r="L5" s="5">
        <f>100*('Parameter &lt;x, y&gt;'!N5-C5)/C5</f>
        <v>0</v>
      </c>
      <c r="M5" s="5">
        <f>100*('Parameter &lt;x, y&gt;'!S5-C5)/C5</f>
        <v>7.4407292609558224</v>
      </c>
      <c r="P5" s="2" t="s">
        <v>1</v>
      </c>
      <c r="Q5" s="2" t="s">
        <v>2</v>
      </c>
      <c r="R5" s="2" t="s">
        <v>3</v>
      </c>
      <c r="S5" s="2" t="s">
        <v>4</v>
      </c>
    </row>
    <row r="6" spans="1:19" ht="12.75" customHeight="1">
      <c r="A6" s="13"/>
      <c r="B6" s="5">
        <f>MIN('Parameter &lt;x, y&gt;'!B6,'Parameter &lt;x, y&gt;'!G6,'Parameter &lt;x, y&gt;'!L6,'Parameter &lt;x, y&gt;'!Q6)</f>
        <v>11948.7</v>
      </c>
      <c r="C6" s="5">
        <f>MIN('Parameter &lt;x, y&gt;'!D6,'Parameter &lt;x, y&gt;'!I6,'Parameter &lt;x, y&gt;'!N6,'Parameter &lt;x, y&gt;'!S6)</f>
        <v>11446.7</v>
      </c>
      <c r="E6" s="5">
        <f>100*('Parameter &lt;x, y&gt;'!B6-B6)/B6</f>
        <v>11.700017575133696</v>
      </c>
      <c r="F6" s="5">
        <f>100*('Parameter &lt;x, y&gt;'!G6-B6)/B6</f>
        <v>25.92415911354372</v>
      </c>
      <c r="G6" s="5">
        <f>100*('Parameter &lt;x, y&gt;'!L6-B6)/B6</f>
        <v>5.9320260781507548</v>
      </c>
      <c r="H6" s="5">
        <f>100*('Parameter &lt;x, y&gt;'!Q6-B6)/B6</f>
        <v>0</v>
      </c>
      <c r="J6" s="5">
        <f>100*('Parameter &lt;x, y&gt;'!D6-C6)/C6</f>
        <v>2.8977783990145536</v>
      </c>
      <c r="K6" s="5">
        <f>100*('Parameter &lt;x, y&gt;'!I6-C6)/C6</f>
        <v>0</v>
      </c>
      <c r="L6" s="5">
        <f>100*('Parameter &lt;x, y&gt;'!N6-C6)/C6</f>
        <v>16.598670359142808</v>
      </c>
      <c r="M6" s="5">
        <f>100*('Parameter &lt;x, y&gt;'!S6-C6)/C6</f>
        <v>17.118470825652807</v>
      </c>
      <c r="O6" s="14" t="s">
        <v>11</v>
      </c>
      <c r="P6" s="15">
        <f t="shared" ref="P6:S6" si="0">AVERAGE(E3:E302)</f>
        <v>4.9240205398520072</v>
      </c>
      <c r="Q6" s="16">
        <f t="shared" si="0"/>
        <v>6.512956367407333</v>
      </c>
      <c r="R6" s="16">
        <f t="shared" si="0"/>
        <v>6.3195959166442783</v>
      </c>
      <c r="S6" s="17">
        <f t="shared" si="0"/>
        <v>12.353624424425433</v>
      </c>
    </row>
    <row r="7" spans="1:19" ht="12.75" customHeight="1">
      <c r="A7" s="13"/>
      <c r="B7" s="5">
        <f>MIN('Parameter &lt;x, y&gt;'!B7,'Parameter &lt;x, y&gt;'!G7,'Parameter &lt;x, y&gt;'!L7,'Parameter &lt;x, y&gt;'!Q7)</f>
        <v>7342.4</v>
      </c>
      <c r="C7" s="5">
        <f>MIN('Parameter &lt;x, y&gt;'!D7,'Parameter &lt;x, y&gt;'!I7,'Parameter &lt;x, y&gt;'!N7,'Parameter &lt;x, y&gt;'!S7)</f>
        <v>6723.9</v>
      </c>
      <c r="E7" s="5">
        <f>100*('Parameter &lt;x, y&gt;'!B7-B7)/B7</f>
        <v>0</v>
      </c>
      <c r="F7" s="5">
        <f>100*('Parameter &lt;x, y&gt;'!G7-B7)/B7</f>
        <v>23.166811941599477</v>
      </c>
      <c r="G7" s="5">
        <f>100*('Parameter &lt;x, y&gt;'!L7-B7)/B7</f>
        <v>22.21072129004142</v>
      </c>
      <c r="H7" s="5">
        <f>100*('Parameter &lt;x, y&gt;'!Q7-B7)/B7</f>
        <v>9.7720091523207682</v>
      </c>
      <c r="J7" s="5">
        <f>100*('Parameter &lt;x, y&gt;'!D7-C7)/C7</f>
        <v>0.63207364773420194</v>
      </c>
      <c r="K7" s="5">
        <f>100*('Parameter &lt;x, y&gt;'!I7-C7)/C7</f>
        <v>25.282945909368078</v>
      </c>
      <c r="L7" s="5">
        <f>100*('Parameter &lt;x, y&gt;'!N7-C7)/C7</f>
        <v>0</v>
      </c>
      <c r="M7" s="5">
        <f>100*('Parameter &lt;x, y&gt;'!S7-C7)/C7</f>
        <v>60.997337854518946</v>
      </c>
      <c r="O7" s="18" t="s">
        <v>12</v>
      </c>
      <c r="P7" s="19">
        <f t="shared" ref="P7:S7" si="1">AVERAGE(E303:E602)</f>
        <v>14.440590711336675</v>
      </c>
      <c r="Q7" s="20">
        <f t="shared" si="1"/>
        <v>17.330660503796974</v>
      </c>
      <c r="R7" s="20">
        <f t="shared" si="1"/>
        <v>19.942405268850266</v>
      </c>
      <c r="S7" s="21">
        <f t="shared" si="1"/>
        <v>15.654555147305022</v>
      </c>
    </row>
    <row r="8" spans="1:19" ht="12.75" customHeight="1">
      <c r="A8" s="13"/>
      <c r="B8" s="5">
        <f>MIN('Parameter &lt;x, y&gt;'!B8,'Parameter &lt;x, y&gt;'!G8,'Parameter &lt;x, y&gt;'!L8,'Parameter &lt;x, y&gt;'!Q8)</f>
        <v>6760.4</v>
      </c>
      <c r="C8" s="5">
        <f>MIN('Parameter &lt;x, y&gt;'!D8,'Parameter &lt;x, y&gt;'!I8,'Parameter &lt;x, y&gt;'!N8,'Parameter &lt;x, y&gt;'!S8)</f>
        <v>6140.1</v>
      </c>
      <c r="E8" s="5">
        <f>100*('Parameter &lt;x, y&gt;'!B8-B8)/B8</f>
        <v>4.8014910360333767</v>
      </c>
      <c r="F8" s="5">
        <f>100*('Parameter &lt;x, y&gt;'!G8-B8)/B8</f>
        <v>0</v>
      </c>
      <c r="G8" s="5">
        <f>100*('Parameter &lt;x, y&gt;'!L8-B8)/B8</f>
        <v>28.314892609904749</v>
      </c>
      <c r="H8" s="5">
        <f>100*('Parameter &lt;x, y&gt;'!Q8-B8)/B8</f>
        <v>55.372463167859884</v>
      </c>
      <c r="J8" s="5">
        <f>100*('Parameter &lt;x, y&gt;'!D8-C8)/C8</f>
        <v>0</v>
      </c>
      <c r="K8" s="5">
        <f>100*('Parameter &lt;x, y&gt;'!I8-C8)/C8</f>
        <v>10.102441328317116</v>
      </c>
      <c r="L8" s="5">
        <f>100*('Parameter &lt;x, y&gt;'!N8-C8)/C8</f>
        <v>0</v>
      </c>
      <c r="M8" s="5">
        <f>100*('Parameter &lt;x, y&gt;'!S8-C8)/C8</f>
        <v>53.419325418152795</v>
      </c>
      <c r="O8" s="18" t="s">
        <v>13</v>
      </c>
      <c r="P8" s="19">
        <f t="shared" ref="P8:S8" si="2">AVERAGE(E603:E782)</f>
        <v>3.4568055446554271</v>
      </c>
      <c r="Q8" s="20">
        <f t="shared" si="2"/>
        <v>3.8577907455206177</v>
      </c>
      <c r="R8" s="20">
        <f t="shared" si="2"/>
        <v>3.8324872294847543</v>
      </c>
      <c r="S8" s="21">
        <f t="shared" si="2"/>
        <v>4.0335519128377051</v>
      </c>
    </row>
    <row r="9" spans="1:19" ht="12.75" customHeight="1">
      <c r="A9" s="13"/>
      <c r="B9" s="5">
        <f>MIN('Parameter &lt;x, y&gt;'!B9,'Parameter &lt;x, y&gt;'!G9,'Parameter &lt;x, y&gt;'!L9,'Parameter &lt;x, y&gt;'!Q9)</f>
        <v>10536.4</v>
      </c>
      <c r="C9" s="5">
        <f>MIN('Parameter &lt;x, y&gt;'!D9,'Parameter &lt;x, y&gt;'!I9,'Parameter &lt;x, y&gt;'!N9,'Parameter &lt;x, y&gt;'!S9)</f>
        <v>9986.9</v>
      </c>
      <c r="E9" s="5">
        <f>100*('Parameter &lt;x, y&gt;'!B9-B9)/B9</f>
        <v>3.3275122432709501</v>
      </c>
      <c r="F9" s="5">
        <f>100*('Parameter &lt;x, y&gt;'!G9-B9)/B9</f>
        <v>0.41190539463193915</v>
      </c>
      <c r="G9" s="5">
        <f>100*('Parameter &lt;x, y&gt;'!L9-B9)/B9</f>
        <v>3.0712577350897874</v>
      </c>
      <c r="H9" s="5">
        <f>100*('Parameter &lt;x, y&gt;'!Q9-B9)/B9</f>
        <v>0</v>
      </c>
      <c r="J9" s="5">
        <f>100*('Parameter &lt;x, y&gt;'!D9-C9)/C9</f>
        <v>5.5022078923389639</v>
      </c>
      <c r="K9" s="5">
        <f>100*('Parameter &lt;x, y&gt;'!I9-C9)/C9</f>
        <v>0</v>
      </c>
      <c r="L9" s="5">
        <f>100*('Parameter &lt;x, y&gt;'!N9-C9)/C9</f>
        <v>0</v>
      </c>
      <c r="M9" s="5">
        <f>100*('Parameter &lt;x, y&gt;'!S9-C9)/C9</f>
        <v>6.7097898246703211</v>
      </c>
      <c r="O9" s="22" t="s">
        <v>14</v>
      </c>
      <c r="P9" s="23">
        <f t="shared" ref="P9:S9" si="3">AVERAGE(E783:E962)</f>
        <v>1.4783687197662876</v>
      </c>
      <c r="Q9" s="24">
        <f t="shared" si="3"/>
        <v>1.8792798819338414</v>
      </c>
      <c r="R9" s="24">
        <f t="shared" si="3"/>
        <v>1.7521461937501066</v>
      </c>
      <c r="S9" s="25">
        <f t="shared" si="3"/>
        <v>2.7100171131966726</v>
      </c>
    </row>
    <row r="10" spans="1:19" ht="12.75" customHeight="1">
      <c r="A10" s="13"/>
      <c r="B10" s="5">
        <f>MIN('Parameter &lt;x, y&gt;'!B10,'Parameter &lt;x, y&gt;'!G10,'Parameter &lt;x, y&gt;'!L10,'Parameter &lt;x, y&gt;'!Q10)</f>
        <v>10641</v>
      </c>
      <c r="C10" s="5">
        <f>MIN('Parameter &lt;x, y&gt;'!D10,'Parameter &lt;x, y&gt;'!I10,'Parameter &lt;x, y&gt;'!N10,'Parameter &lt;x, y&gt;'!S10)</f>
        <v>10293.6</v>
      </c>
      <c r="E10" s="5">
        <f>100*('Parameter &lt;x, y&gt;'!B10-B10)/B10</f>
        <v>7.6524762710271519</v>
      </c>
      <c r="F10" s="5">
        <f>100*('Parameter &lt;x, y&gt;'!G10-B10)/B10</f>
        <v>0</v>
      </c>
      <c r="G10" s="5">
        <f>100*('Parameter &lt;x, y&gt;'!L10-B10)/B10</f>
        <v>19.73498731322244</v>
      </c>
      <c r="H10" s="5">
        <f>100*('Parameter &lt;x, y&gt;'!Q10-B10)/B10</f>
        <v>73.643454562541123</v>
      </c>
      <c r="J10" s="5">
        <f>100*('Parameter &lt;x, y&gt;'!D10-C10)/C10</f>
        <v>0</v>
      </c>
      <c r="K10" s="5">
        <f>100*('Parameter &lt;x, y&gt;'!I10-C10)/C10</f>
        <v>66.831817828553667</v>
      </c>
      <c r="L10" s="5">
        <f>100*('Parameter &lt;x, y&gt;'!N10-C10)/C10</f>
        <v>21.279241470428225</v>
      </c>
      <c r="M10" s="5">
        <f>100*('Parameter &lt;x, y&gt;'!S10-C10)/C10</f>
        <v>21.284098857542546</v>
      </c>
      <c r="O10" s="2"/>
      <c r="P10" s="20"/>
      <c r="Q10" s="20"/>
      <c r="R10" s="20"/>
      <c r="S10" s="20"/>
    </row>
    <row r="11" spans="1:19" ht="12.75" customHeight="1">
      <c r="A11" s="13"/>
      <c r="B11" s="5">
        <f>MIN('Parameter &lt;x, y&gt;'!B11,'Parameter &lt;x, y&gt;'!G11,'Parameter &lt;x, y&gt;'!L11,'Parameter &lt;x, y&gt;'!Q11)</f>
        <v>11187</v>
      </c>
      <c r="C11" s="5">
        <f>MIN('Parameter &lt;x, y&gt;'!D11,'Parameter &lt;x, y&gt;'!I11,'Parameter &lt;x, y&gt;'!N11,'Parameter &lt;x, y&gt;'!S11)</f>
        <v>10494.4</v>
      </c>
      <c r="E11" s="5">
        <f>100*('Parameter &lt;x, y&gt;'!B11-B11)/B11</f>
        <v>18.22919460087601</v>
      </c>
      <c r="F11" s="5">
        <f>100*('Parameter &lt;x, y&gt;'!G11-B11)/B11</f>
        <v>0</v>
      </c>
      <c r="G11" s="5">
        <f>100*('Parameter &lt;x, y&gt;'!L11-B11)/B11</f>
        <v>3.3208188075444713</v>
      </c>
      <c r="H11" s="5">
        <f>100*('Parameter &lt;x, y&gt;'!Q11-B11)/B11</f>
        <v>6.1356932153392307</v>
      </c>
      <c r="J11" s="5">
        <f>100*('Parameter &lt;x, y&gt;'!D11-C11)/C11</f>
        <v>3.9840295776795278</v>
      </c>
      <c r="K11" s="5">
        <f>100*('Parameter &lt;x, y&gt;'!I11-C11)/C11</f>
        <v>0</v>
      </c>
      <c r="L11" s="5">
        <f>100*('Parameter &lt;x, y&gt;'!N11-C11)/C11</f>
        <v>18.936766275346862</v>
      </c>
      <c r="M11" s="5">
        <f>100*('Parameter &lt;x, y&gt;'!S11-C11)/C11</f>
        <v>13.827374599786555</v>
      </c>
      <c r="O11" s="107" t="s">
        <v>22</v>
      </c>
      <c r="P11" s="108"/>
      <c r="Q11" s="108"/>
      <c r="R11" s="108"/>
      <c r="S11" s="108"/>
    </row>
    <row r="12" spans="1:19" ht="12.75" customHeight="1">
      <c r="A12" s="13"/>
      <c r="B12" s="5">
        <f>MIN('Parameter &lt;x, y&gt;'!B12,'Parameter &lt;x, y&gt;'!G12,'Parameter &lt;x, y&gt;'!L12,'Parameter &lt;x, y&gt;'!Q12)</f>
        <v>8258.7000000000007</v>
      </c>
      <c r="C12" s="5">
        <f>MIN('Parameter &lt;x, y&gt;'!D12,'Parameter &lt;x, y&gt;'!I12,'Parameter &lt;x, y&gt;'!N12,'Parameter &lt;x, y&gt;'!S12)</f>
        <v>7665.7</v>
      </c>
      <c r="E12" s="5">
        <f>100*('Parameter &lt;x, y&gt;'!B12-B12)/B12</f>
        <v>2.1286643176286737</v>
      </c>
      <c r="F12" s="5">
        <f>100*('Parameter &lt;x, y&gt;'!G12-B12)/B12</f>
        <v>0</v>
      </c>
      <c r="G12" s="5">
        <f>100*('Parameter &lt;x, y&gt;'!L12-B12)/B12</f>
        <v>9.6661702204947417</v>
      </c>
      <c r="H12" s="5">
        <f>100*('Parameter &lt;x, y&gt;'!Q12-B12)/B12</f>
        <v>3.328611040478521</v>
      </c>
      <c r="J12" s="5">
        <f>100*('Parameter &lt;x, y&gt;'!D12-C12)/C12</f>
        <v>24.725726287227527</v>
      </c>
      <c r="K12" s="5">
        <f>100*('Parameter &lt;x, y&gt;'!I12-C12)/C12</f>
        <v>2.6090246161472535</v>
      </c>
      <c r="L12" s="5">
        <f>100*('Parameter &lt;x, y&gt;'!N12-C12)/C12</f>
        <v>0</v>
      </c>
      <c r="M12" s="5">
        <f>100*('Parameter &lt;x, y&gt;'!S12-C12)/C12</f>
        <v>24.753121045697078</v>
      </c>
      <c r="P12" s="2" t="s">
        <v>1</v>
      </c>
      <c r="Q12" s="2" t="s">
        <v>2</v>
      </c>
      <c r="R12" s="2" t="s">
        <v>3</v>
      </c>
      <c r="S12" s="2" t="s">
        <v>4</v>
      </c>
    </row>
    <row r="13" spans="1:19" ht="12.75" customHeight="1">
      <c r="A13" s="13"/>
      <c r="B13" s="5">
        <f>MIN('Parameter &lt;x, y&gt;'!B13,'Parameter &lt;x, y&gt;'!G13,'Parameter &lt;x, y&gt;'!L13,'Parameter &lt;x, y&gt;'!Q13)</f>
        <v>5576.6</v>
      </c>
      <c r="C13" s="5">
        <f>MIN('Parameter &lt;x, y&gt;'!D13,'Parameter &lt;x, y&gt;'!I13,'Parameter &lt;x, y&gt;'!N13,'Parameter &lt;x, y&gt;'!S13)</f>
        <v>6096.2</v>
      </c>
      <c r="E13" s="5">
        <f>100*('Parameter &lt;x, y&gt;'!B13-B13)/B13</f>
        <v>12.03062798120718</v>
      </c>
      <c r="F13" s="5">
        <f>100*('Parameter &lt;x, y&gt;'!G13-B13)/B13</f>
        <v>18.455689846860089</v>
      </c>
      <c r="G13" s="5">
        <f>100*('Parameter &lt;x, y&gt;'!L13-B13)/B13</f>
        <v>0</v>
      </c>
      <c r="H13" s="5">
        <f>100*('Parameter &lt;x, y&gt;'!Q13-B13)/B13</f>
        <v>41.310117275759417</v>
      </c>
      <c r="J13" s="5">
        <f>100*('Parameter &lt;x, y&gt;'!D13-C13)/C13</f>
        <v>0</v>
      </c>
      <c r="K13" s="5">
        <f>100*('Parameter &lt;x, y&gt;'!I13-C13)/C13</f>
        <v>2.4818739542665953</v>
      </c>
      <c r="L13" s="5">
        <f>100*('Parameter &lt;x, y&gt;'!N13-C13)/C13</f>
        <v>1.6403661297201535</v>
      </c>
      <c r="M13" s="5">
        <f>100*('Parameter &lt;x, y&gt;'!S13-C13)/C13</f>
        <v>28.163446081165326</v>
      </c>
      <c r="O13" s="26" t="s">
        <v>11</v>
      </c>
      <c r="P13" s="27">
        <f t="shared" ref="P13:S13" si="4">AVERAGE(J3:J302)</f>
        <v>4.806234739886726</v>
      </c>
      <c r="Q13" s="27">
        <f t="shared" si="4"/>
        <v>7.5121596987861992</v>
      </c>
      <c r="R13" s="28">
        <f t="shared" si="4"/>
        <v>4.2834636361645773</v>
      </c>
      <c r="S13" s="29">
        <f t="shared" si="4"/>
        <v>17.481846865398737</v>
      </c>
    </row>
    <row r="14" spans="1:19" ht="12.75" customHeight="1">
      <c r="A14" s="13"/>
      <c r="B14" s="5">
        <f>MIN('Parameter &lt;x, y&gt;'!B14,'Parameter &lt;x, y&gt;'!G14,'Parameter &lt;x, y&gt;'!L14,'Parameter &lt;x, y&gt;'!Q14)</f>
        <v>11567</v>
      </c>
      <c r="C14" s="5">
        <f>MIN('Parameter &lt;x, y&gt;'!D14,'Parameter &lt;x, y&gt;'!I14,'Parameter &lt;x, y&gt;'!N14,'Parameter &lt;x, y&gt;'!S14)</f>
        <v>8981.9</v>
      </c>
      <c r="E14" s="5">
        <f>100*('Parameter &lt;x, y&gt;'!B14-B14)/B14</f>
        <v>0</v>
      </c>
      <c r="F14" s="5">
        <f>100*('Parameter &lt;x, y&gt;'!G14-B14)/B14</f>
        <v>0</v>
      </c>
      <c r="G14" s="5">
        <f>100*('Parameter &lt;x, y&gt;'!L14-B14)/B14</f>
        <v>3.0154750583556607</v>
      </c>
      <c r="H14" s="5">
        <f>100*('Parameter &lt;x, y&gt;'!Q14-B14)/B14</f>
        <v>31.587274141955568</v>
      </c>
      <c r="J14" s="5">
        <f>100*('Parameter &lt;x, y&gt;'!D14-C14)/C14</f>
        <v>0</v>
      </c>
      <c r="K14" s="5">
        <f>100*('Parameter &lt;x, y&gt;'!I14-C14)/C14</f>
        <v>30.502454937151391</v>
      </c>
      <c r="L14" s="5">
        <f>100*('Parameter &lt;x, y&gt;'!N14-C14)/C14</f>
        <v>24.652913080751304</v>
      </c>
      <c r="M14" s="5">
        <f>100*('Parameter &lt;x, y&gt;'!S14-C14)/C14</f>
        <v>38.592057359801395</v>
      </c>
      <c r="O14" s="30" t="s">
        <v>12</v>
      </c>
      <c r="P14" s="20">
        <f t="shared" ref="P14:S14" si="5">AVERAGE(J303:J602)</f>
        <v>22.396564186351693</v>
      </c>
      <c r="Q14" s="20">
        <f t="shared" si="5"/>
        <v>23.591228118087511</v>
      </c>
      <c r="R14" s="31">
        <f t="shared" si="5"/>
        <v>16.085847869693392</v>
      </c>
      <c r="S14" s="32">
        <f t="shared" si="5"/>
        <v>32.879638227551247</v>
      </c>
    </row>
    <row r="15" spans="1:19" ht="12.75" customHeight="1">
      <c r="A15" s="13"/>
      <c r="B15" s="5">
        <f>MIN('Parameter &lt;x, y&gt;'!B15,'Parameter &lt;x, y&gt;'!G15,'Parameter &lt;x, y&gt;'!L15,'Parameter &lt;x, y&gt;'!Q15)</f>
        <v>10105</v>
      </c>
      <c r="C15" s="5">
        <f>MIN('Parameter &lt;x, y&gt;'!D15,'Parameter &lt;x, y&gt;'!I15,'Parameter &lt;x, y&gt;'!N15,'Parameter &lt;x, y&gt;'!S15)</f>
        <v>9704.7000000000007</v>
      </c>
      <c r="E15" s="5">
        <f>100*('Parameter &lt;x, y&gt;'!B15-B15)/B15</f>
        <v>2.0593765462642293</v>
      </c>
      <c r="F15" s="5">
        <f>100*('Parameter &lt;x, y&gt;'!G15-B15)/B15</f>
        <v>0</v>
      </c>
      <c r="G15" s="5">
        <f>100*('Parameter &lt;x, y&gt;'!L15-B15)/B15</f>
        <v>4.4878772884710543</v>
      </c>
      <c r="H15" s="5">
        <f>100*('Parameter &lt;x, y&gt;'!Q15-B15)/B15</f>
        <v>8.1721919841662469</v>
      </c>
      <c r="J15" s="5">
        <f>100*('Parameter &lt;x, y&gt;'!D15-C15)/C15</f>
        <v>0</v>
      </c>
      <c r="K15" s="5">
        <f>100*('Parameter &lt;x, y&gt;'!I15-C15)/C15</f>
        <v>0</v>
      </c>
      <c r="L15" s="5">
        <f>100*('Parameter &lt;x, y&gt;'!N15-C15)/C15</f>
        <v>0.2318464249281276</v>
      </c>
      <c r="M15" s="5">
        <f>100*('Parameter &lt;x, y&gt;'!S15-C15)/C15</f>
        <v>22.305686935196334</v>
      </c>
      <c r="O15" s="30" t="s">
        <v>13</v>
      </c>
      <c r="P15" s="20">
        <f t="shared" ref="P15:S15" si="6">AVERAGE(J603:J782)</f>
        <v>8.9608131555077684</v>
      </c>
      <c r="Q15" s="20">
        <f t="shared" si="6"/>
        <v>12.074712245665673</v>
      </c>
      <c r="R15" s="31">
        <f t="shared" si="6"/>
        <v>1.869492432619392</v>
      </c>
      <c r="S15" s="32">
        <f t="shared" si="6"/>
        <v>11.388232010787229</v>
      </c>
    </row>
    <row r="16" spans="1:19" ht="12.75" customHeight="1">
      <c r="A16" s="13"/>
      <c r="B16" s="5">
        <f>MIN('Parameter &lt;x, y&gt;'!B16,'Parameter &lt;x, y&gt;'!G16,'Parameter &lt;x, y&gt;'!L16,'Parameter &lt;x, y&gt;'!Q16)</f>
        <v>9695.5</v>
      </c>
      <c r="C16" s="5">
        <f>MIN('Parameter &lt;x, y&gt;'!D16,'Parameter &lt;x, y&gt;'!I16,'Parameter &lt;x, y&gt;'!N16,'Parameter &lt;x, y&gt;'!S16)</f>
        <v>10032.200000000001</v>
      </c>
      <c r="E16" s="5">
        <f>100*('Parameter &lt;x, y&gt;'!B16-B16)/B16</f>
        <v>50.366664947656126</v>
      </c>
      <c r="F16" s="5">
        <f>100*('Parameter &lt;x, y&gt;'!G16-B16)/B16</f>
        <v>53.042132948274975</v>
      </c>
      <c r="G16" s="5">
        <f>100*('Parameter &lt;x, y&gt;'!L16-B16)/B16</f>
        <v>0</v>
      </c>
      <c r="H16" s="5">
        <f>100*('Parameter &lt;x, y&gt;'!Q16-B16)/B16</f>
        <v>54.684131813728015</v>
      </c>
      <c r="J16" s="5">
        <f>100*('Parameter &lt;x, y&gt;'!D16-C16)/C16</f>
        <v>41.0528099519547</v>
      </c>
      <c r="K16" s="5">
        <f>100*('Parameter &lt;x, y&gt;'!I16-C16)/C16</f>
        <v>41.0528099519547</v>
      </c>
      <c r="L16" s="5">
        <f>100*('Parameter &lt;x, y&gt;'!N16-C16)/C16</f>
        <v>38.062438946591968</v>
      </c>
      <c r="M16" s="5">
        <f>100*('Parameter &lt;x, y&gt;'!S16-C16)/C16</f>
        <v>0</v>
      </c>
      <c r="O16" s="33" t="s">
        <v>14</v>
      </c>
      <c r="P16" s="34">
        <f t="shared" ref="P16:S16" si="7">AVERAGE(J783:J962)</f>
        <v>10.582831329500031</v>
      </c>
      <c r="Q16" s="34">
        <f t="shared" si="7"/>
        <v>11.449432560379922</v>
      </c>
      <c r="R16" s="35">
        <f t="shared" si="7"/>
        <v>1.6646038248984047</v>
      </c>
      <c r="S16" s="36">
        <f t="shared" si="7"/>
        <v>4.693201225101725</v>
      </c>
    </row>
    <row r="17" spans="1:13" ht="12.75" customHeight="1">
      <c r="A17" s="13"/>
      <c r="B17" s="5">
        <f>MIN('Parameter &lt;x, y&gt;'!B17,'Parameter &lt;x, y&gt;'!G17,'Parameter &lt;x, y&gt;'!L17,'Parameter &lt;x, y&gt;'!Q17)</f>
        <v>10702.2</v>
      </c>
      <c r="C17" s="5">
        <f>MIN('Parameter &lt;x, y&gt;'!D17,'Parameter &lt;x, y&gt;'!I17,'Parameter &lt;x, y&gt;'!N17,'Parameter &lt;x, y&gt;'!S17)</f>
        <v>11173.5</v>
      </c>
      <c r="E17" s="5">
        <f>100*('Parameter &lt;x, y&gt;'!B17-B17)/B17</f>
        <v>0</v>
      </c>
      <c r="F17" s="5">
        <f>100*('Parameter &lt;x, y&gt;'!G17-B17)/B17</f>
        <v>13.797163200089686</v>
      </c>
      <c r="G17" s="5">
        <f>100*('Parameter &lt;x, y&gt;'!L17-B17)/B17</f>
        <v>9.5671917923417578</v>
      </c>
      <c r="H17" s="5">
        <f>100*('Parameter &lt;x, y&gt;'!Q17-B17)/B17</f>
        <v>9.2364186802713455</v>
      </c>
      <c r="J17" s="5">
        <f>100*('Parameter &lt;x, y&gt;'!D17-C17)/C17</f>
        <v>0</v>
      </c>
      <c r="K17" s="5">
        <f>100*('Parameter &lt;x, y&gt;'!I17-C17)/C17</f>
        <v>12.803508300890503</v>
      </c>
      <c r="L17" s="5">
        <f>100*('Parameter &lt;x, y&gt;'!N17-C17)/C17</f>
        <v>8.9497471696424569</v>
      </c>
      <c r="M17" s="5">
        <f>100*('Parameter &lt;x, y&gt;'!S17-C17)/C17</f>
        <v>2.2875553765606154</v>
      </c>
    </row>
    <row r="18" spans="1:13" ht="12.75" customHeight="1">
      <c r="A18" s="13"/>
      <c r="B18" s="5">
        <f>MIN('Parameter &lt;x, y&gt;'!B18,'Parameter &lt;x, y&gt;'!G18,'Parameter &lt;x, y&gt;'!L18,'Parameter &lt;x, y&gt;'!Q18)</f>
        <v>7720.7</v>
      </c>
      <c r="C18" s="5">
        <f>MIN('Parameter &lt;x, y&gt;'!D18,'Parameter &lt;x, y&gt;'!I18,'Parameter &lt;x, y&gt;'!N18,'Parameter &lt;x, y&gt;'!S18)</f>
        <v>7675.2</v>
      </c>
      <c r="E18" s="5">
        <f>100*('Parameter &lt;x, y&gt;'!B18-B18)/B18</f>
        <v>6.6198660743196784</v>
      </c>
      <c r="F18" s="5">
        <f>100*('Parameter &lt;x, y&gt;'!G18-B18)/B18</f>
        <v>0</v>
      </c>
      <c r="G18" s="5">
        <f>100*('Parameter &lt;x, y&gt;'!L18-B18)/B18</f>
        <v>6.6198660743196784</v>
      </c>
      <c r="H18" s="5">
        <f>100*('Parameter &lt;x, y&gt;'!Q18-B18)/B18</f>
        <v>17.278226067584558</v>
      </c>
      <c r="J18" s="5">
        <f>100*('Parameter &lt;x, y&gt;'!D18-C18)/C18</f>
        <v>10.167813216593713</v>
      </c>
      <c r="K18" s="5">
        <f>100*('Parameter &lt;x, y&gt;'!I18-C18)/C18</f>
        <v>10.303314571607256</v>
      </c>
      <c r="L18" s="5">
        <f>100*('Parameter &lt;x, y&gt;'!N18-C18)/C18</f>
        <v>0</v>
      </c>
      <c r="M18" s="5">
        <f>100*('Parameter &lt;x, y&gt;'!S18-C18)/C18</f>
        <v>23.401344590368975</v>
      </c>
    </row>
    <row r="19" spans="1:13" ht="12.75" customHeight="1">
      <c r="A19" s="13"/>
      <c r="B19" s="5">
        <f>MIN('Parameter &lt;x, y&gt;'!B19,'Parameter &lt;x, y&gt;'!G19,'Parameter &lt;x, y&gt;'!L19,'Parameter &lt;x, y&gt;'!Q19)</f>
        <v>8384.2000000000007</v>
      </c>
      <c r="C19" s="5">
        <f>MIN('Parameter &lt;x, y&gt;'!D19,'Parameter &lt;x, y&gt;'!I19,'Parameter &lt;x, y&gt;'!N19,'Parameter &lt;x, y&gt;'!S19)</f>
        <v>7957.6</v>
      </c>
      <c r="E19" s="5">
        <f>100*('Parameter &lt;x, y&gt;'!B19-B19)/B19</f>
        <v>0</v>
      </c>
      <c r="F19" s="5">
        <f>100*('Parameter &lt;x, y&gt;'!G19-B19)/B19</f>
        <v>0</v>
      </c>
      <c r="G19" s="5">
        <f>100*('Parameter &lt;x, y&gt;'!L19-B19)/B19</f>
        <v>9.7290140979461217</v>
      </c>
      <c r="H19" s="5">
        <f>100*('Parameter &lt;x, y&gt;'!Q19-B19)/B19</f>
        <v>5.4244889196345412</v>
      </c>
      <c r="J19" s="5">
        <f>100*('Parameter &lt;x, y&gt;'!D19-C19)/C19</f>
        <v>3.7699808987634462</v>
      </c>
      <c r="K19" s="5">
        <f>100*('Parameter &lt;x, y&gt;'!I19-C19)/C19</f>
        <v>8.2424349049964771</v>
      </c>
      <c r="L19" s="5">
        <f>100*('Parameter &lt;x, y&gt;'!N19-C19)/C19</f>
        <v>0</v>
      </c>
      <c r="M19" s="5">
        <f>100*('Parameter &lt;x, y&gt;'!S19-C19)/C19</f>
        <v>0</v>
      </c>
    </row>
    <row r="20" spans="1:13" ht="12.75" customHeight="1">
      <c r="A20" s="13"/>
      <c r="B20" s="5">
        <f>MIN('Parameter &lt;x, y&gt;'!B20,'Parameter &lt;x, y&gt;'!G20,'Parameter &lt;x, y&gt;'!L20,'Parameter &lt;x, y&gt;'!Q20)</f>
        <v>6680.5</v>
      </c>
      <c r="C20" s="5">
        <f>MIN('Parameter &lt;x, y&gt;'!D20,'Parameter &lt;x, y&gt;'!I20,'Parameter &lt;x, y&gt;'!N20,'Parameter &lt;x, y&gt;'!S20)</f>
        <v>6558.7</v>
      </c>
      <c r="E20" s="5">
        <f>100*('Parameter &lt;x, y&gt;'!B20-B20)/B20</f>
        <v>5.1268617618441734</v>
      </c>
      <c r="F20" s="5">
        <f>100*('Parameter &lt;x, y&gt;'!G20-B20)/B20</f>
        <v>0</v>
      </c>
      <c r="G20" s="5">
        <f>100*('Parameter &lt;x, y&gt;'!L20-B20)/B20</f>
        <v>6.0399670683332083</v>
      </c>
      <c r="H20" s="5">
        <f>100*('Parameter &lt;x, y&gt;'!Q20-B20)/B20</f>
        <v>12.783474290846494</v>
      </c>
      <c r="J20" s="5">
        <f>100*('Parameter &lt;x, y&gt;'!D20-C20)/C20</f>
        <v>2.5767301446933084</v>
      </c>
      <c r="K20" s="5">
        <f>100*('Parameter &lt;x, y&gt;'!I20-C20)/C20</f>
        <v>0</v>
      </c>
      <c r="L20" s="5">
        <f>100*('Parameter &lt;x, y&gt;'!N20-C20)/C20</f>
        <v>2.5767301446933084</v>
      </c>
      <c r="M20" s="5">
        <f>100*('Parameter &lt;x, y&gt;'!S20-C20)/C20</f>
        <v>4.8652934270510979</v>
      </c>
    </row>
    <row r="21" spans="1:13" ht="12.75" customHeight="1">
      <c r="A21" s="13"/>
      <c r="B21" s="5">
        <f>MIN('Parameter &lt;x, y&gt;'!B21,'Parameter &lt;x, y&gt;'!G21,'Parameter &lt;x, y&gt;'!L21,'Parameter &lt;x, y&gt;'!Q21)</f>
        <v>6656.8</v>
      </c>
      <c r="C21" s="5">
        <f>MIN('Parameter &lt;x, y&gt;'!D21,'Parameter &lt;x, y&gt;'!I21,'Parameter &lt;x, y&gt;'!N21,'Parameter &lt;x, y&gt;'!S21)</f>
        <v>6620.1</v>
      </c>
      <c r="E21" s="5">
        <f>100*('Parameter &lt;x, y&gt;'!B21-B21)/B21</f>
        <v>7.5697031606777978</v>
      </c>
      <c r="F21" s="5">
        <f>100*('Parameter &lt;x, y&gt;'!G21-B21)/B21</f>
        <v>16.790349717582018</v>
      </c>
      <c r="G21" s="5">
        <f>100*('Parameter &lt;x, y&gt;'!L21-B21)/B21</f>
        <v>19.392200456675877</v>
      </c>
      <c r="H21" s="5">
        <f>100*('Parameter &lt;x, y&gt;'!Q21-B21)/B21</f>
        <v>0</v>
      </c>
      <c r="J21" s="5">
        <f>100*('Parameter &lt;x, y&gt;'!D21-C21)/C21</f>
        <v>1.8217247473603035</v>
      </c>
      <c r="K21" s="5">
        <f>100*('Parameter &lt;x, y&gt;'!I21-C21)/C21</f>
        <v>0</v>
      </c>
      <c r="L21" s="5">
        <f>100*('Parameter &lt;x, y&gt;'!N21-C21)/C21</f>
        <v>1.8217247473603035</v>
      </c>
      <c r="M21" s="5">
        <f>100*('Parameter &lt;x, y&gt;'!S21-C21)/C21</f>
        <v>6.7446111085935252</v>
      </c>
    </row>
    <row r="22" spans="1:13" ht="12.75" customHeight="1">
      <c r="A22" s="13"/>
      <c r="B22" s="5">
        <f>MIN('Parameter &lt;x, y&gt;'!B22,'Parameter &lt;x, y&gt;'!G22,'Parameter &lt;x, y&gt;'!L22,'Parameter &lt;x, y&gt;'!Q22)</f>
        <v>6383.8</v>
      </c>
      <c r="C22" s="5">
        <f>MIN('Parameter &lt;x, y&gt;'!D22,'Parameter &lt;x, y&gt;'!I22,'Parameter &lt;x, y&gt;'!N22,'Parameter &lt;x, y&gt;'!S22)</f>
        <v>5444.4</v>
      </c>
      <c r="E22" s="5">
        <f>100*('Parameter &lt;x, y&gt;'!B22-B22)/B22</f>
        <v>0.71744102258842979</v>
      </c>
      <c r="F22" s="5">
        <f>100*('Parameter &lt;x, y&gt;'!G22-B22)/B22</f>
        <v>0</v>
      </c>
      <c r="G22" s="5">
        <f>100*('Parameter &lt;x, y&gt;'!L22-B22)/B22</f>
        <v>19.159434819386561</v>
      </c>
      <c r="H22" s="5">
        <f>100*('Parameter &lt;x, y&gt;'!Q22-B22)/B22</f>
        <v>2.4812807418778724</v>
      </c>
      <c r="J22" s="5">
        <f>100*('Parameter &lt;x, y&gt;'!D22-C22)/C22</f>
        <v>11.830504738814202</v>
      </c>
      <c r="K22" s="5">
        <f>100*('Parameter &lt;x, y&gt;'!I22-C22)/C22</f>
        <v>23.510396003232682</v>
      </c>
      <c r="L22" s="5">
        <f>100*('Parameter &lt;x, y&gt;'!N22-C22)/C22</f>
        <v>0</v>
      </c>
      <c r="M22" s="5">
        <f>100*('Parameter &lt;x, y&gt;'!S22-C22)/C22</f>
        <v>24.496730585555813</v>
      </c>
    </row>
    <row r="23" spans="1:13" ht="12.75" customHeight="1">
      <c r="A23" s="13"/>
      <c r="B23" s="5">
        <f>MIN('Parameter &lt;x, y&gt;'!B23,'Parameter &lt;x, y&gt;'!G23,'Parameter &lt;x, y&gt;'!L23,'Parameter &lt;x, y&gt;'!Q23)</f>
        <v>8696</v>
      </c>
      <c r="C23" s="5">
        <f>MIN('Parameter &lt;x, y&gt;'!D23,'Parameter &lt;x, y&gt;'!I23,'Parameter &lt;x, y&gt;'!N23,'Parameter &lt;x, y&gt;'!S23)</f>
        <v>8767.2999999999993</v>
      </c>
      <c r="E23" s="5">
        <f>100*('Parameter &lt;x, y&gt;'!B23-B23)/B23</f>
        <v>32.987580496780133</v>
      </c>
      <c r="F23" s="5">
        <f>100*('Parameter &lt;x, y&gt;'!G23-B23)/B23</f>
        <v>0</v>
      </c>
      <c r="G23" s="5">
        <f>100*('Parameter &lt;x, y&gt;'!L23-B23)/B23</f>
        <v>1.7617295308187757</v>
      </c>
      <c r="H23" s="5">
        <f>100*('Parameter &lt;x, y&gt;'!Q23-B23)/B23</f>
        <v>16.968721251149958</v>
      </c>
      <c r="J23" s="5">
        <f>100*('Parameter &lt;x, y&gt;'!D23-C23)/C23</f>
        <v>60.927537554321191</v>
      </c>
      <c r="K23" s="5">
        <f>100*('Parameter &lt;x, y&gt;'!I23-C23)/C23</f>
        <v>60.927537554321191</v>
      </c>
      <c r="L23" s="5">
        <f>100*('Parameter &lt;x, y&gt;'!N23-C23)/C23</f>
        <v>5.5878092457199084</v>
      </c>
      <c r="M23" s="5">
        <f>100*('Parameter &lt;x, y&gt;'!S23-C23)/C23</f>
        <v>0</v>
      </c>
    </row>
    <row r="24" spans="1:13" ht="12.75" customHeight="1">
      <c r="A24" s="13"/>
      <c r="B24" s="5">
        <f>MIN('Parameter &lt;x, y&gt;'!B24,'Parameter &lt;x, y&gt;'!G24,'Parameter &lt;x, y&gt;'!L24,'Parameter &lt;x, y&gt;'!Q24)</f>
        <v>10581.8</v>
      </c>
      <c r="C24" s="5">
        <f>MIN('Parameter &lt;x, y&gt;'!D24,'Parameter &lt;x, y&gt;'!I24,'Parameter &lt;x, y&gt;'!N24,'Parameter &lt;x, y&gt;'!S24)</f>
        <v>9914.2000000000007</v>
      </c>
      <c r="E24" s="5">
        <f>100*('Parameter &lt;x, y&gt;'!B24-B24)/B24</f>
        <v>0.34398684533823598</v>
      </c>
      <c r="F24" s="5">
        <f>100*('Parameter &lt;x, y&gt;'!G24-B24)/B24</f>
        <v>0</v>
      </c>
      <c r="G24" s="5">
        <f>100*('Parameter &lt;x, y&gt;'!L24-B24)/B24</f>
        <v>34.40813472188097</v>
      </c>
      <c r="H24" s="5">
        <f>100*('Parameter &lt;x, y&gt;'!Q24-B24)/B24</f>
        <v>0.86941730140429796</v>
      </c>
      <c r="J24" s="5">
        <f>100*('Parameter &lt;x, y&gt;'!D24-C24)/C24</f>
        <v>46.957898771459114</v>
      </c>
      <c r="K24" s="5">
        <f>100*('Parameter &lt;x, y&gt;'!I24-C24)/C24</f>
        <v>7.1009259446047075</v>
      </c>
      <c r="L24" s="5">
        <f>100*('Parameter &lt;x, y&gt;'!N24-C24)/C24</f>
        <v>8.8590103084464626</v>
      </c>
      <c r="M24" s="5">
        <f>100*('Parameter &lt;x, y&gt;'!S24-C24)/C24</f>
        <v>0</v>
      </c>
    </row>
    <row r="25" spans="1:13" ht="12.75" customHeight="1">
      <c r="A25" s="13"/>
      <c r="B25" s="5">
        <f>MIN('Parameter &lt;x, y&gt;'!B25,'Parameter &lt;x, y&gt;'!G25,'Parameter &lt;x, y&gt;'!L25,'Parameter &lt;x, y&gt;'!Q25)</f>
        <v>9315.1</v>
      </c>
      <c r="C25" s="5">
        <f>MIN('Parameter &lt;x, y&gt;'!D25,'Parameter &lt;x, y&gt;'!I25,'Parameter &lt;x, y&gt;'!N25,'Parameter &lt;x, y&gt;'!S25)</f>
        <v>8667.9</v>
      </c>
      <c r="E25" s="5">
        <f>100*('Parameter &lt;x, y&gt;'!B25-B25)/B25</f>
        <v>1.2721280501551244</v>
      </c>
      <c r="F25" s="5">
        <f>100*('Parameter &lt;x, y&gt;'!G25-B25)/B25</f>
        <v>10.936007128211171</v>
      </c>
      <c r="G25" s="5">
        <f>100*('Parameter &lt;x, y&gt;'!L25-B25)/B25</f>
        <v>0</v>
      </c>
      <c r="H25" s="5">
        <f>100*('Parameter &lt;x, y&gt;'!Q25-B25)/B25</f>
        <v>10.025657266159243</v>
      </c>
      <c r="J25" s="5">
        <f>100*('Parameter &lt;x, y&gt;'!D25-C25)/C25</f>
        <v>67.876879059518458</v>
      </c>
      <c r="K25" s="5">
        <f>100*('Parameter &lt;x, y&gt;'!I25-C25)/C25</f>
        <v>78.354618765791045</v>
      </c>
      <c r="L25" s="5">
        <f>100*('Parameter &lt;x, y&gt;'!N25-C25)/C25</f>
        <v>0</v>
      </c>
      <c r="M25" s="5">
        <f>100*('Parameter &lt;x, y&gt;'!S25-C25)/C25</f>
        <v>50.152862861823522</v>
      </c>
    </row>
    <row r="26" spans="1:13" ht="12.75" customHeight="1">
      <c r="A26" s="13"/>
      <c r="B26" s="5">
        <f>MIN('Parameter &lt;x, y&gt;'!B26,'Parameter &lt;x, y&gt;'!G26,'Parameter &lt;x, y&gt;'!L26,'Parameter &lt;x, y&gt;'!Q26)</f>
        <v>11098.4</v>
      </c>
      <c r="C26" s="5">
        <f>MIN('Parameter &lt;x, y&gt;'!D26,'Parameter &lt;x, y&gt;'!I26,'Parameter &lt;x, y&gt;'!N26,'Parameter &lt;x, y&gt;'!S26)</f>
        <v>10881.6</v>
      </c>
      <c r="E26" s="5">
        <f>100*('Parameter &lt;x, y&gt;'!B26-B26)/B26</f>
        <v>4.1141065378793371</v>
      </c>
      <c r="F26" s="5">
        <f>100*('Parameter &lt;x, y&gt;'!G26-B26)/B26</f>
        <v>18.009803214877831</v>
      </c>
      <c r="G26" s="5">
        <f>100*('Parameter &lt;x, y&gt;'!L26-B26)/B26</f>
        <v>0</v>
      </c>
      <c r="H26" s="5">
        <f>100*('Parameter &lt;x, y&gt;'!Q26-B26)/B26</f>
        <v>3.9375045051538962</v>
      </c>
      <c r="J26" s="5">
        <f>100*('Parameter &lt;x, y&gt;'!D26-C26)/C26</f>
        <v>3.8836200558741392</v>
      </c>
      <c r="K26" s="5">
        <f>100*('Parameter &lt;x, y&gt;'!I26-C26)/C26</f>
        <v>6.0083076018232546</v>
      </c>
      <c r="L26" s="5">
        <f>100*('Parameter &lt;x, y&gt;'!N26-C26)/C26</f>
        <v>0</v>
      </c>
      <c r="M26" s="5">
        <f>100*('Parameter &lt;x, y&gt;'!S26-C26)/C26</f>
        <v>20.261726216732828</v>
      </c>
    </row>
    <row r="27" spans="1:13" ht="12.75" customHeight="1">
      <c r="A27" s="13"/>
      <c r="B27" s="5">
        <f>MIN('Parameter &lt;x, y&gt;'!B27,'Parameter &lt;x, y&gt;'!G27,'Parameter &lt;x, y&gt;'!L27,'Parameter &lt;x, y&gt;'!Q27)</f>
        <v>9400.2000000000007</v>
      </c>
      <c r="C27" s="5">
        <f>MIN('Parameter &lt;x, y&gt;'!D27,'Parameter &lt;x, y&gt;'!I27,'Parameter &lt;x, y&gt;'!N27,'Parameter &lt;x, y&gt;'!S27)</f>
        <v>8778.4</v>
      </c>
      <c r="E27" s="5">
        <f>100*('Parameter &lt;x, y&gt;'!B27-B27)/B27</f>
        <v>0</v>
      </c>
      <c r="F27" s="5">
        <f>100*('Parameter &lt;x, y&gt;'!G27-B27)/B27</f>
        <v>1.1627412182719439</v>
      </c>
      <c r="G27" s="5">
        <f>100*('Parameter &lt;x, y&gt;'!L27-B27)/B27</f>
        <v>4.2339524690964021</v>
      </c>
      <c r="H27" s="5">
        <f>100*('Parameter &lt;x, y&gt;'!Q27-B27)/B27</f>
        <v>44.022467607072173</v>
      </c>
      <c r="J27" s="5">
        <f>100*('Parameter &lt;x, y&gt;'!D27-C27)/C27</f>
        <v>0</v>
      </c>
      <c r="K27" s="5">
        <f>100*('Parameter &lt;x, y&gt;'!I27-C27)/C27</f>
        <v>0</v>
      </c>
      <c r="L27" s="5">
        <f>100*('Parameter &lt;x, y&gt;'!N27-C27)/C27</f>
        <v>1.5902670190467554</v>
      </c>
      <c r="M27" s="5">
        <f>100*('Parameter &lt;x, y&gt;'!S27-C27)/C27</f>
        <v>78.35596464048119</v>
      </c>
    </row>
    <row r="28" spans="1:13" ht="12.75" customHeight="1">
      <c r="A28" s="13"/>
      <c r="B28" s="5">
        <f>MIN('Parameter &lt;x, y&gt;'!B28,'Parameter &lt;x, y&gt;'!G28,'Parameter &lt;x, y&gt;'!L28,'Parameter &lt;x, y&gt;'!Q28)</f>
        <v>7931.7</v>
      </c>
      <c r="C28" s="5">
        <f>MIN('Parameter &lt;x, y&gt;'!D28,'Parameter &lt;x, y&gt;'!I28,'Parameter &lt;x, y&gt;'!N28,'Parameter &lt;x, y&gt;'!S28)</f>
        <v>7390.8</v>
      </c>
      <c r="E28" s="5">
        <f>100*('Parameter &lt;x, y&gt;'!B28-B28)/B28</f>
        <v>6.2735605229648046</v>
      </c>
      <c r="F28" s="5">
        <f>100*('Parameter &lt;x, y&gt;'!G28-B28)/B28</f>
        <v>8.0562804947237154</v>
      </c>
      <c r="G28" s="5">
        <f>100*('Parameter &lt;x, y&gt;'!L28-B28)/B28</f>
        <v>11.000163899290202</v>
      </c>
      <c r="H28" s="5">
        <f>100*('Parameter &lt;x, y&gt;'!Q28-B28)/B28</f>
        <v>0</v>
      </c>
      <c r="J28" s="5">
        <f>100*('Parameter &lt;x, y&gt;'!D28-C28)/C28</f>
        <v>0</v>
      </c>
      <c r="K28" s="5">
        <f>100*('Parameter &lt;x, y&gt;'!I28-C28)/C28</f>
        <v>4.2295827244682505</v>
      </c>
      <c r="L28" s="5">
        <f>100*('Parameter &lt;x, y&gt;'!N28-C28)/C28</f>
        <v>6.9383557936894533</v>
      </c>
      <c r="M28" s="5">
        <f>100*('Parameter &lt;x, y&gt;'!S28-C28)/C28</f>
        <v>17.566433944904478</v>
      </c>
    </row>
    <row r="29" spans="1:13" ht="12.75" customHeight="1">
      <c r="A29" s="13"/>
      <c r="B29" s="5">
        <f>MIN('Parameter &lt;x, y&gt;'!B29,'Parameter &lt;x, y&gt;'!G29,'Parameter &lt;x, y&gt;'!L29,'Parameter &lt;x, y&gt;'!Q29)</f>
        <v>10634.6</v>
      </c>
      <c r="C29" s="5">
        <f>MIN('Parameter &lt;x, y&gt;'!D29,'Parameter &lt;x, y&gt;'!I29,'Parameter &lt;x, y&gt;'!N29,'Parameter &lt;x, y&gt;'!S29)</f>
        <v>10432.700000000001</v>
      </c>
      <c r="E29" s="5">
        <f>100*('Parameter &lt;x, y&gt;'!B29-B29)/B29</f>
        <v>3.7660090647509072</v>
      </c>
      <c r="F29" s="5">
        <f>100*('Parameter &lt;x, y&gt;'!G29-B29)/B29</f>
        <v>33.395708348221838</v>
      </c>
      <c r="G29" s="5">
        <f>100*('Parameter &lt;x, y&gt;'!L29-B29)/B29</f>
        <v>0</v>
      </c>
      <c r="H29" s="5">
        <f>100*('Parameter &lt;x, y&gt;'!Q29-B29)/B29</f>
        <v>9.4371203430312409</v>
      </c>
      <c r="J29" s="5">
        <f>100*('Parameter &lt;x, y&gt;'!D29-C29)/C29</f>
        <v>1.132976123151235</v>
      </c>
      <c r="K29" s="5">
        <f>100*('Parameter &lt;x, y&gt;'!I29-C29)/C29</f>
        <v>10.443125940552301</v>
      </c>
      <c r="L29" s="5">
        <f>100*('Parameter &lt;x, y&gt;'!N29-C29)/C29</f>
        <v>0</v>
      </c>
      <c r="M29" s="5">
        <f>100*('Parameter &lt;x, y&gt;'!S29-C29)/C29</f>
        <v>10.733558906131675</v>
      </c>
    </row>
    <row r="30" spans="1:13" ht="12.75" customHeight="1">
      <c r="A30" s="13"/>
      <c r="B30" s="5">
        <f>MIN('Parameter &lt;x, y&gt;'!B30,'Parameter &lt;x, y&gt;'!G30,'Parameter &lt;x, y&gt;'!L30,'Parameter &lt;x, y&gt;'!Q30)</f>
        <v>7894.3</v>
      </c>
      <c r="C30" s="5">
        <f>MIN('Parameter &lt;x, y&gt;'!D30,'Parameter &lt;x, y&gt;'!I30,'Parameter &lt;x, y&gt;'!N30,'Parameter &lt;x, y&gt;'!S30)</f>
        <v>7240.3</v>
      </c>
      <c r="E30" s="5">
        <f>100*('Parameter &lt;x, y&gt;'!B30-B30)/B30</f>
        <v>18.728702988232005</v>
      </c>
      <c r="F30" s="5">
        <f>100*('Parameter &lt;x, y&gt;'!G30-B30)/B30</f>
        <v>1.6214230520755482</v>
      </c>
      <c r="G30" s="5">
        <f>100*('Parameter &lt;x, y&gt;'!L30-B30)/B30</f>
        <v>0</v>
      </c>
      <c r="H30" s="5">
        <f>100*('Parameter &lt;x, y&gt;'!Q30-B30)/B30</f>
        <v>35.458495370077145</v>
      </c>
      <c r="J30" s="5">
        <f>100*('Parameter &lt;x, y&gt;'!D30-C30)/C30</f>
        <v>6.9057911964973826</v>
      </c>
      <c r="K30" s="5">
        <f>100*('Parameter &lt;x, y&gt;'!I30-C30)/C30</f>
        <v>6.9057911964973826</v>
      </c>
      <c r="L30" s="5">
        <f>100*('Parameter &lt;x, y&gt;'!N30-C30)/C30</f>
        <v>0</v>
      </c>
      <c r="M30" s="5">
        <f>100*('Parameter &lt;x, y&gt;'!S30-C30)/C30</f>
        <v>28.179771556427223</v>
      </c>
    </row>
    <row r="31" spans="1:13" ht="12.75" customHeight="1">
      <c r="A31" s="13"/>
      <c r="B31" s="5">
        <f>MIN('Parameter &lt;x, y&gt;'!B31,'Parameter &lt;x, y&gt;'!G31,'Parameter &lt;x, y&gt;'!L31,'Parameter &lt;x, y&gt;'!Q31)</f>
        <v>9024.9</v>
      </c>
      <c r="C31" s="5">
        <f>MIN('Parameter &lt;x, y&gt;'!D31,'Parameter &lt;x, y&gt;'!I31,'Parameter &lt;x, y&gt;'!N31,'Parameter &lt;x, y&gt;'!S31)</f>
        <v>9010.6</v>
      </c>
      <c r="E31" s="5">
        <f>100*('Parameter &lt;x, y&gt;'!B31-B31)/B31</f>
        <v>28.245188312335873</v>
      </c>
      <c r="F31" s="5">
        <f>100*('Parameter &lt;x, y&gt;'!G31-B31)/B31</f>
        <v>0</v>
      </c>
      <c r="G31" s="5">
        <f>100*('Parameter &lt;x, y&gt;'!L31-B31)/B31</f>
        <v>52.248778379815839</v>
      </c>
      <c r="H31" s="5">
        <f>100*('Parameter &lt;x, y&gt;'!Q31-B31)/B31</f>
        <v>1.3274385311748729</v>
      </c>
      <c r="J31" s="5">
        <f>100*('Parameter &lt;x, y&gt;'!D31-C31)/C31</f>
        <v>0</v>
      </c>
      <c r="K31" s="5">
        <f>100*('Parameter &lt;x, y&gt;'!I31-C31)/C31</f>
        <v>3.7955297094533105</v>
      </c>
      <c r="L31" s="5">
        <f>100*('Parameter &lt;x, y&gt;'!N31-C31)/C31</f>
        <v>61.280047943533155</v>
      </c>
      <c r="M31" s="5">
        <f>100*('Parameter &lt;x, y&gt;'!S31-C31)/C31</f>
        <v>16.567154240561109</v>
      </c>
    </row>
    <row r="32" spans="1:13" ht="12.75" customHeight="1">
      <c r="A32" s="13"/>
      <c r="B32" s="5">
        <f>MIN('Parameter &lt;x, y&gt;'!B32,'Parameter &lt;x, y&gt;'!G32,'Parameter &lt;x, y&gt;'!L32,'Parameter &lt;x, y&gt;'!Q32)</f>
        <v>9272.7000000000007</v>
      </c>
      <c r="C32" s="5">
        <f>MIN('Parameter &lt;x, y&gt;'!D32,'Parameter &lt;x, y&gt;'!I32,'Parameter &lt;x, y&gt;'!N32,'Parameter &lt;x, y&gt;'!S32)</f>
        <v>8953.2000000000007</v>
      </c>
      <c r="E32" s="5">
        <f>100*('Parameter &lt;x, y&gt;'!B32-B32)/B32</f>
        <v>7.6245322290163591</v>
      </c>
      <c r="F32" s="5">
        <f>100*('Parameter &lt;x, y&gt;'!G32-B32)/B32</f>
        <v>35.898929114497385</v>
      </c>
      <c r="G32" s="5">
        <f>100*('Parameter &lt;x, y&gt;'!L32-B32)/B32</f>
        <v>0</v>
      </c>
      <c r="H32" s="5">
        <f>100*('Parameter &lt;x, y&gt;'!Q32-B32)/B32</f>
        <v>11.211405523741719</v>
      </c>
      <c r="J32" s="5">
        <f>100*('Parameter &lt;x, y&gt;'!D32-C32)/C32</f>
        <v>0</v>
      </c>
      <c r="K32" s="5">
        <f>100*('Parameter &lt;x, y&gt;'!I32-C32)/C32</f>
        <v>11.995711030692936</v>
      </c>
      <c r="L32" s="5">
        <f>100*('Parameter &lt;x, y&gt;'!N32-C32)/C32</f>
        <v>1.9914667381494802</v>
      </c>
      <c r="M32" s="5">
        <f>100*('Parameter &lt;x, y&gt;'!S32-C32)/C32</f>
        <v>8.5343787696019131</v>
      </c>
    </row>
    <row r="33" spans="1:13" ht="12.75" customHeight="1">
      <c r="A33" s="13"/>
      <c r="B33" s="5">
        <f>MIN('Parameter &lt;x, y&gt;'!B33,'Parameter &lt;x, y&gt;'!G33,'Parameter &lt;x, y&gt;'!L33,'Parameter &lt;x, y&gt;'!Q33)</f>
        <v>11349.4</v>
      </c>
      <c r="C33" s="5">
        <f>MIN('Parameter &lt;x, y&gt;'!D33,'Parameter &lt;x, y&gt;'!I33,'Parameter &lt;x, y&gt;'!N33,'Parameter &lt;x, y&gt;'!S33)</f>
        <v>10604.4</v>
      </c>
      <c r="E33" s="5">
        <f>100*('Parameter &lt;x, y&gt;'!B33-B33)/B33</f>
        <v>1.6511886090894641</v>
      </c>
      <c r="F33" s="5">
        <f>100*('Parameter &lt;x, y&gt;'!G33-B33)/B33</f>
        <v>38.84610640210056</v>
      </c>
      <c r="G33" s="5">
        <f>100*('Parameter &lt;x, y&gt;'!L33-B33)/B33</f>
        <v>0</v>
      </c>
      <c r="H33" s="5">
        <f>100*('Parameter &lt;x, y&gt;'!Q33-B33)/B33</f>
        <v>1.8379826246321425</v>
      </c>
      <c r="J33" s="5">
        <f>100*('Parameter &lt;x, y&gt;'!D33-C33)/C33</f>
        <v>3.7607031043717805</v>
      </c>
      <c r="K33" s="5">
        <f>100*('Parameter &lt;x, y&gt;'!I33-C33)/C33</f>
        <v>3.7607031043717805</v>
      </c>
      <c r="L33" s="5">
        <f>100*('Parameter &lt;x, y&gt;'!N33-C33)/C33</f>
        <v>0</v>
      </c>
      <c r="M33" s="5">
        <f>100*('Parameter &lt;x, y&gt;'!S33-C33)/C33</f>
        <v>18.428199615254051</v>
      </c>
    </row>
    <row r="34" spans="1:13" ht="12.75" customHeight="1">
      <c r="A34" s="13"/>
      <c r="B34" s="5">
        <f>MIN('Parameter &lt;x, y&gt;'!B34,'Parameter &lt;x, y&gt;'!G34,'Parameter &lt;x, y&gt;'!L34,'Parameter &lt;x, y&gt;'!Q34)</f>
        <v>9667.5</v>
      </c>
      <c r="C34" s="5">
        <f>MIN('Parameter &lt;x, y&gt;'!D34,'Parameter &lt;x, y&gt;'!I34,'Parameter &lt;x, y&gt;'!N34,'Parameter &lt;x, y&gt;'!S34)</f>
        <v>9008.5</v>
      </c>
      <c r="E34" s="5">
        <f>100*('Parameter &lt;x, y&gt;'!B34-B34)/B34</f>
        <v>1.1771399017326016</v>
      </c>
      <c r="F34" s="5">
        <f>100*('Parameter &lt;x, y&gt;'!G34-B34)/B34</f>
        <v>0</v>
      </c>
      <c r="G34" s="5">
        <f>100*('Parameter &lt;x, y&gt;'!L34-B34)/B34</f>
        <v>1.0550814584949573</v>
      </c>
      <c r="H34" s="5">
        <f>100*('Parameter &lt;x, y&gt;'!Q34-B34)/B34</f>
        <v>3.2252392035169306</v>
      </c>
      <c r="J34" s="5">
        <f>100*('Parameter &lt;x, y&gt;'!D34-C34)/C34</f>
        <v>0</v>
      </c>
      <c r="K34" s="5">
        <f>100*('Parameter &lt;x, y&gt;'!I34-C34)/C34</f>
        <v>13.675972692457124</v>
      </c>
      <c r="L34" s="5">
        <f>100*('Parameter &lt;x, y&gt;'!N34-C34)/C34</f>
        <v>1.6473330743186949</v>
      </c>
      <c r="M34" s="5">
        <f>100*('Parameter &lt;x, y&gt;'!S34-C34)/C34</f>
        <v>9.9605927734916939</v>
      </c>
    </row>
    <row r="35" spans="1:13" ht="12.75" customHeight="1">
      <c r="A35" s="13"/>
      <c r="B35" s="5">
        <f>MIN('Parameter &lt;x, y&gt;'!B35,'Parameter &lt;x, y&gt;'!G35,'Parameter &lt;x, y&gt;'!L35,'Parameter &lt;x, y&gt;'!Q35)</f>
        <v>7333.5</v>
      </c>
      <c r="C35" s="5">
        <f>MIN('Parameter &lt;x, y&gt;'!D35,'Parameter &lt;x, y&gt;'!I35,'Parameter &lt;x, y&gt;'!N35,'Parameter &lt;x, y&gt;'!S35)</f>
        <v>7333.5</v>
      </c>
      <c r="E35" s="5">
        <f>100*('Parameter &lt;x, y&gt;'!B35-B35)/B35</f>
        <v>0.51817004158996383</v>
      </c>
      <c r="F35" s="5">
        <f>100*('Parameter &lt;x, y&gt;'!G35-B35)/B35</f>
        <v>0</v>
      </c>
      <c r="G35" s="5">
        <f>100*('Parameter &lt;x, y&gt;'!L35-B35)/B35</f>
        <v>21.700415899638642</v>
      </c>
      <c r="H35" s="5">
        <f>100*('Parameter &lt;x, y&gt;'!Q35-B35)/B35</f>
        <v>20.004090816117817</v>
      </c>
      <c r="J35" s="5">
        <f>100*('Parameter &lt;x, y&gt;'!D35-C35)/C35</f>
        <v>0</v>
      </c>
      <c r="K35" s="5">
        <f>100*('Parameter &lt;x, y&gt;'!I35-C35)/C35</f>
        <v>0</v>
      </c>
      <c r="L35" s="5">
        <f>100*('Parameter &lt;x, y&gt;'!N35-C35)/C35</f>
        <v>0</v>
      </c>
      <c r="M35" s="5">
        <f>100*('Parameter &lt;x, y&gt;'!S35-C35)/C35</f>
        <v>10.338855935092383</v>
      </c>
    </row>
    <row r="36" spans="1:13" ht="12.75" customHeight="1">
      <c r="A36" s="13"/>
      <c r="B36" s="5">
        <f>MIN('Parameter &lt;x, y&gt;'!B36,'Parameter &lt;x, y&gt;'!G36,'Parameter &lt;x, y&gt;'!L36,'Parameter &lt;x, y&gt;'!Q36)</f>
        <v>10964.3</v>
      </c>
      <c r="C36" s="5">
        <f>MIN('Parameter &lt;x, y&gt;'!D36,'Parameter &lt;x, y&gt;'!I36,'Parameter &lt;x, y&gt;'!N36,'Parameter &lt;x, y&gt;'!S36)</f>
        <v>10561.9</v>
      </c>
      <c r="E36" s="5">
        <f>100*('Parameter &lt;x, y&gt;'!B36-B36)/B36</f>
        <v>29.801264102587492</v>
      </c>
      <c r="F36" s="5">
        <f>100*('Parameter &lt;x, y&gt;'!G36-B36)/B36</f>
        <v>6.6287861514187059</v>
      </c>
      <c r="G36" s="5">
        <f>100*('Parameter &lt;x, y&gt;'!L36-B36)/B36</f>
        <v>0</v>
      </c>
      <c r="H36" s="5">
        <f>100*('Parameter &lt;x, y&gt;'!Q36-B36)/B36</f>
        <v>32.075919119323636</v>
      </c>
      <c r="J36" s="5">
        <f>100*('Parameter &lt;x, y&gt;'!D36-C36)/C36</f>
        <v>6.8813376381143661</v>
      </c>
      <c r="K36" s="5">
        <f>100*('Parameter &lt;x, y&gt;'!I36-C36)/C36</f>
        <v>0.9875117166419024</v>
      </c>
      <c r="L36" s="5">
        <f>100*('Parameter &lt;x, y&gt;'!N36-C36)/C36</f>
        <v>0</v>
      </c>
      <c r="M36" s="5">
        <f>100*('Parameter &lt;x, y&gt;'!S36-C36)/C36</f>
        <v>19.985040570351938</v>
      </c>
    </row>
    <row r="37" spans="1:13" ht="12.75" customHeight="1">
      <c r="A37" s="13"/>
      <c r="B37" s="5">
        <f>MIN('Parameter &lt;x, y&gt;'!B37,'Parameter &lt;x, y&gt;'!G37,'Parameter &lt;x, y&gt;'!L37,'Parameter &lt;x, y&gt;'!Q37)</f>
        <v>10687.2</v>
      </c>
      <c r="C37" s="5">
        <f>MIN('Parameter &lt;x, y&gt;'!D37,'Parameter &lt;x, y&gt;'!I37,'Parameter &lt;x, y&gt;'!N37,'Parameter &lt;x, y&gt;'!S37)</f>
        <v>10350.4</v>
      </c>
      <c r="E37" s="5">
        <f>100*('Parameter &lt;x, y&gt;'!B37-B37)/B37</f>
        <v>2.7593757017740814</v>
      </c>
      <c r="F37" s="5">
        <f>100*('Parameter &lt;x, y&gt;'!G37-B37)/B37</f>
        <v>0</v>
      </c>
      <c r="G37" s="5">
        <f>100*('Parameter &lt;x, y&gt;'!L37-B37)/B37</f>
        <v>1.4812111685006293</v>
      </c>
      <c r="H37" s="5">
        <f>100*('Parameter &lt;x, y&gt;'!Q37-B37)/B37</f>
        <v>2.4805374653791312</v>
      </c>
      <c r="J37" s="5">
        <f>100*('Parameter &lt;x, y&gt;'!D37-C37)/C37</f>
        <v>0</v>
      </c>
      <c r="K37" s="5">
        <f>100*('Parameter &lt;x, y&gt;'!I37-C37)/C37</f>
        <v>4.5370227237594722</v>
      </c>
      <c r="L37" s="5">
        <f>100*('Parameter &lt;x, y&gt;'!N37-C37)/C37</f>
        <v>0</v>
      </c>
      <c r="M37" s="5">
        <f>100*('Parameter &lt;x, y&gt;'!S37-C37)/C37</f>
        <v>9.8846421394342272</v>
      </c>
    </row>
    <row r="38" spans="1:13" ht="12.75" customHeight="1">
      <c r="A38" s="13"/>
      <c r="B38" s="5">
        <f>MIN('Parameter &lt;x, y&gt;'!B38,'Parameter &lt;x, y&gt;'!G38,'Parameter &lt;x, y&gt;'!L38,'Parameter &lt;x, y&gt;'!Q38)</f>
        <v>8557.2000000000007</v>
      </c>
      <c r="C38" s="5">
        <f>MIN('Parameter &lt;x, y&gt;'!D38,'Parameter &lt;x, y&gt;'!I38,'Parameter &lt;x, y&gt;'!N38,'Parameter &lt;x, y&gt;'!S38)</f>
        <v>8182.6</v>
      </c>
      <c r="E38" s="5">
        <f>100*('Parameter &lt;x, y&gt;'!B38-B38)/B38</f>
        <v>0</v>
      </c>
      <c r="F38" s="5">
        <f>100*('Parameter &lt;x, y&gt;'!G38-B38)/B38</f>
        <v>5.2365259664376023</v>
      </c>
      <c r="G38" s="5">
        <f>100*('Parameter &lt;x, y&gt;'!L38-B38)/B38</f>
        <v>0.66961155518159288</v>
      </c>
      <c r="H38" s="5">
        <f>100*('Parameter &lt;x, y&gt;'!Q38-B38)/B38</f>
        <v>3.0956387603421636</v>
      </c>
      <c r="J38" s="5">
        <f>100*('Parameter &lt;x, y&gt;'!D38-C38)/C38</f>
        <v>18.980519639234476</v>
      </c>
      <c r="K38" s="5">
        <f>100*('Parameter &lt;x, y&gt;'!I38-C38)/C38</f>
        <v>1.8160486886808638</v>
      </c>
      <c r="L38" s="5">
        <f>100*('Parameter &lt;x, y&gt;'!N38-C38)/C38</f>
        <v>0</v>
      </c>
      <c r="M38" s="5">
        <f>100*('Parameter &lt;x, y&gt;'!S38-C38)/C38</f>
        <v>4.8236501845379083</v>
      </c>
    </row>
    <row r="39" spans="1:13" ht="12.75" customHeight="1">
      <c r="A39" s="13"/>
      <c r="B39" s="5">
        <f>MIN('Parameter &lt;x, y&gt;'!B39,'Parameter &lt;x, y&gt;'!G39,'Parameter &lt;x, y&gt;'!L39,'Parameter &lt;x, y&gt;'!Q39)</f>
        <v>11599.2</v>
      </c>
      <c r="C39" s="5">
        <f>MIN('Parameter &lt;x, y&gt;'!D39,'Parameter &lt;x, y&gt;'!I39,'Parameter &lt;x, y&gt;'!N39,'Parameter &lt;x, y&gt;'!S39)</f>
        <v>11258.6</v>
      </c>
      <c r="E39" s="5">
        <f>100*('Parameter &lt;x, y&gt;'!B39-B39)/B39</f>
        <v>0.8673011931857243</v>
      </c>
      <c r="F39" s="5">
        <f>100*('Parameter &lt;x, y&gt;'!G39-B39)/B39</f>
        <v>0.95092765018276493</v>
      </c>
      <c r="G39" s="5">
        <f>100*('Parameter &lt;x, y&gt;'!L39-B39)/B39</f>
        <v>0</v>
      </c>
      <c r="H39" s="5">
        <f>100*('Parameter &lt;x, y&gt;'!Q39-B39)/B39</f>
        <v>0.80695220360023567</v>
      </c>
      <c r="J39" s="5">
        <f>100*('Parameter &lt;x, y&gt;'!D39-C39)/C39</f>
        <v>1.3900484962606363</v>
      </c>
      <c r="K39" s="5">
        <f>100*('Parameter &lt;x, y&gt;'!I39-C39)/C39</f>
        <v>1.3900484962606363</v>
      </c>
      <c r="L39" s="5">
        <f>100*('Parameter &lt;x, y&gt;'!N39-C39)/C39</f>
        <v>0</v>
      </c>
      <c r="M39" s="5">
        <f>100*('Parameter &lt;x, y&gt;'!S39-C39)/C39</f>
        <v>1.3900484962606363</v>
      </c>
    </row>
    <row r="40" spans="1:13" ht="12.75" customHeight="1">
      <c r="A40" s="13"/>
      <c r="B40" s="5">
        <f>MIN('Parameter &lt;x, y&gt;'!B40,'Parameter &lt;x, y&gt;'!G40,'Parameter &lt;x, y&gt;'!L40,'Parameter &lt;x, y&gt;'!Q40)</f>
        <v>8490.4</v>
      </c>
      <c r="C40" s="5">
        <f>MIN('Parameter &lt;x, y&gt;'!D40,'Parameter &lt;x, y&gt;'!I40,'Parameter &lt;x, y&gt;'!N40,'Parameter &lt;x, y&gt;'!S40)</f>
        <v>7619.4</v>
      </c>
      <c r="E40" s="5">
        <f>100*('Parameter &lt;x, y&gt;'!B40-B40)/B40</f>
        <v>0</v>
      </c>
      <c r="F40" s="5">
        <f>100*('Parameter &lt;x, y&gt;'!G40-B40)/B40</f>
        <v>10.198577216621121</v>
      </c>
      <c r="G40" s="5">
        <f>100*('Parameter &lt;x, y&gt;'!L40-B40)/B40</f>
        <v>0.48996513709601863</v>
      </c>
      <c r="H40" s="5">
        <f>100*('Parameter &lt;x, y&gt;'!Q40-B40)/B40</f>
        <v>2.5028267219447846</v>
      </c>
      <c r="J40" s="5">
        <f>100*('Parameter &lt;x, y&gt;'!D40-C40)/C40</f>
        <v>12.382864792503348</v>
      </c>
      <c r="K40" s="5">
        <f>100*('Parameter &lt;x, y&gt;'!I40-C40)/C40</f>
        <v>0</v>
      </c>
      <c r="L40" s="5">
        <f>100*('Parameter &lt;x, y&gt;'!N40-C40)/C40</f>
        <v>0</v>
      </c>
      <c r="M40" s="5">
        <f>100*('Parameter &lt;x, y&gt;'!S40-C40)/C40</f>
        <v>23.438853453027793</v>
      </c>
    </row>
    <row r="41" spans="1:13" ht="12.75" customHeight="1">
      <c r="A41" s="13"/>
      <c r="B41" s="5">
        <f>MIN('Parameter &lt;x, y&gt;'!B41,'Parameter &lt;x, y&gt;'!G41,'Parameter &lt;x, y&gt;'!L41,'Parameter &lt;x, y&gt;'!Q41)</f>
        <v>7766.7</v>
      </c>
      <c r="C41" s="5">
        <f>MIN('Parameter &lt;x, y&gt;'!D41,'Parameter &lt;x, y&gt;'!I41,'Parameter &lt;x, y&gt;'!N41,'Parameter &lt;x, y&gt;'!S41)</f>
        <v>7612.1</v>
      </c>
      <c r="E41" s="5">
        <f>100*('Parameter &lt;x, y&gt;'!B41-B41)/B41</f>
        <v>0</v>
      </c>
      <c r="F41" s="5">
        <f>100*('Parameter &lt;x, y&gt;'!G41-B41)/B41</f>
        <v>11.988360564976109</v>
      </c>
      <c r="G41" s="5">
        <f>100*('Parameter &lt;x, y&gt;'!L41-B41)/B41</f>
        <v>5.1373170072231451</v>
      </c>
      <c r="H41" s="5">
        <f>100*('Parameter &lt;x, y&gt;'!Q41-B41)/B41</f>
        <v>47.420397337350501</v>
      </c>
      <c r="J41" s="5">
        <f>100*('Parameter &lt;x, y&gt;'!D41-C41)/C41</f>
        <v>3.9161335242574249</v>
      </c>
      <c r="K41" s="5">
        <f>100*('Parameter &lt;x, y&gt;'!I41-C41)/C41</f>
        <v>5.7500558321619506</v>
      </c>
      <c r="L41" s="5">
        <f>100*('Parameter &lt;x, y&gt;'!N41-C41)/C41</f>
        <v>0</v>
      </c>
      <c r="M41" s="5">
        <f>100*('Parameter &lt;x, y&gt;'!S41-C41)/C41</f>
        <v>8.2657873648533116</v>
      </c>
    </row>
    <row r="42" spans="1:13" ht="12.75" customHeight="1">
      <c r="A42" s="13"/>
      <c r="B42" s="5">
        <f>MIN('Parameter &lt;x, y&gt;'!B42,'Parameter &lt;x, y&gt;'!G42,'Parameter &lt;x, y&gt;'!L42,'Parameter &lt;x, y&gt;'!Q42)</f>
        <v>6460.7</v>
      </c>
      <c r="C42" s="5">
        <f>MIN('Parameter &lt;x, y&gt;'!D42,'Parameter &lt;x, y&gt;'!I42,'Parameter &lt;x, y&gt;'!N42,'Parameter &lt;x, y&gt;'!S42)</f>
        <v>6150.3</v>
      </c>
      <c r="E42" s="5">
        <f>100*('Parameter &lt;x, y&gt;'!B42-B42)/B42</f>
        <v>1.7211757239927534</v>
      </c>
      <c r="F42" s="5">
        <f>100*('Parameter &lt;x, y&gt;'!G42-B42)/B42</f>
        <v>7.3304750259259892</v>
      </c>
      <c r="G42" s="5">
        <f>100*('Parameter &lt;x, y&gt;'!L42-B42)/B42</f>
        <v>0</v>
      </c>
      <c r="H42" s="5">
        <f>100*('Parameter &lt;x, y&gt;'!Q42-B42)/B42</f>
        <v>4.5536861330815519</v>
      </c>
      <c r="J42" s="5">
        <f>100*('Parameter &lt;x, y&gt;'!D42-C42)/C42</f>
        <v>11.778287238020905</v>
      </c>
      <c r="K42" s="5">
        <f>100*('Parameter &lt;x, y&gt;'!I42-C42)/C42</f>
        <v>0</v>
      </c>
      <c r="L42" s="5">
        <f>100*('Parameter &lt;x, y&gt;'!N42-C42)/C42</f>
        <v>2.7299481326114114</v>
      </c>
      <c r="M42" s="5">
        <f>100*('Parameter &lt;x, y&gt;'!S42-C42)/C42</f>
        <v>9.8304147765149565</v>
      </c>
    </row>
    <row r="43" spans="1:13" ht="12.75" customHeight="1">
      <c r="A43" s="13"/>
      <c r="B43" s="5">
        <f>MIN('Parameter &lt;x, y&gt;'!B43,'Parameter &lt;x, y&gt;'!G43,'Parameter &lt;x, y&gt;'!L43,'Parameter &lt;x, y&gt;'!Q43)</f>
        <v>8724.4</v>
      </c>
      <c r="C43" s="5">
        <f>MIN('Parameter &lt;x, y&gt;'!D43,'Parameter &lt;x, y&gt;'!I43,'Parameter &lt;x, y&gt;'!N43,'Parameter &lt;x, y&gt;'!S43)</f>
        <v>8494.2999999999993</v>
      </c>
      <c r="E43" s="5">
        <f>100*('Parameter &lt;x, y&gt;'!B43-B43)/B43</f>
        <v>2.5102012745862181</v>
      </c>
      <c r="F43" s="5">
        <f>100*('Parameter &lt;x, y&gt;'!G43-B43)/B43</f>
        <v>5.7918023015909528</v>
      </c>
      <c r="G43" s="5">
        <f>100*('Parameter &lt;x, y&gt;'!L43-B43)/B43</f>
        <v>0</v>
      </c>
      <c r="H43" s="5">
        <f>100*('Parameter &lt;x, y&gt;'!Q43-B43)/B43</f>
        <v>12.085644858099121</v>
      </c>
      <c r="J43" s="5">
        <f>100*('Parameter &lt;x, y&gt;'!D43-C43)/C43</f>
        <v>0</v>
      </c>
      <c r="K43" s="5">
        <f>100*('Parameter &lt;x, y&gt;'!I43-C43)/C43</f>
        <v>5.2858976019212891</v>
      </c>
      <c r="L43" s="5">
        <f>100*('Parameter &lt;x, y&gt;'!N43-C43)/C43</f>
        <v>0</v>
      </c>
      <c r="M43" s="5">
        <f>100*('Parameter &lt;x, y&gt;'!S43-C43)/C43</f>
        <v>22.371472634590269</v>
      </c>
    </row>
    <row r="44" spans="1:13" ht="12.75" customHeight="1">
      <c r="A44" s="13"/>
      <c r="B44" s="5">
        <f>MIN('Parameter &lt;x, y&gt;'!B44,'Parameter &lt;x, y&gt;'!G44,'Parameter &lt;x, y&gt;'!L44,'Parameter &lt;x, y&gt;'!Q44)</f>
        <v>9605.2000000000007</v>
      </c>
      <c r="C44" s="5">
        <f>MIN('Parameter &lt;x, y&gt;'!D44,'Parameter &lt;x, y&gt;'!I44,'Parameter &lt;x, y&gt;'!N44,'Parameter &lt;x, y&gt;'!S44)</f>
        <v>9605.2000000000007</v>
      </c>
      <c r="E44" s="5">
        <f>100*('Parameter &lt;x, y&gt;'!B44-B44)/B44</f>
        <v>2.9890059551076344</v>
      </c>
      <c r="F44" s="5">
        <f>100*('Parameter &lt;x, y&gt;'!G44-B44)/B44</f>
        <v>0.51846916253695152</v>
      </c>
      <c r="G44" s="5">
        <f>100*('Parameter &lt;x, y&gt;'!L44-B44)/B44</f>
        <v>2.6048390455170001</v>
      </c>
      <c r="H44" s="5">
        <f>100*('Parameter &lt;x, y&gt;'!Q44-B44)/B44</f>
        <v>0</v>
      </c>
      <c r="J44" s="5">
        <f>100*('Parameter &lt;x, y&gt;'!D44-C44)/C44</f>
        <v>0</v>
      </c>
      <c r="K44" s="5">
        <f>100*('Parameter &lt;x, y&gt;'!I44-C44)/C44</f>
        <v>6.3382334568775169</v>
      </c>
      <c r="L44" s="5">
        <f>100*('Parameter &lt;x, y&gt;'!N44-C44)/C44</f>
        <v>0</v>
      </c>
      <c r="M44" s="5">
        <f>100*('Parameter &lt;x, y&gt;'!S44-C44)/C44</f>
        <v>7.6500229042601839</v>
      </c>
    </row>
    <row r="45" spans="1:13" ht="12.75" customHeight="1">
      <c r="A45" s="13"/>
      <c r="B45" s="5">
        <f>MIN('Parameter &lt;x, y&gt;'!B45,'Parameter &lt;x, y&gt;'!G45,'Parameter &lt;x, y&gt;'!L45,'Parameter &lt;x, y&gt;'!Q45)</f>
        <v>9346.2999999999993</v>
      </c>
      <c r="C45" s="5">
        <f>MIN('Parameter &lt;x, y&gt;'!D45,'Parameter &lt;x, y&gt;'!I45,'Parameter &lt;x, y&gt;'!N45,'Parameter &lt;x, y&gt;'!S45)</f>
        <v>9777.1</v>
      </c>
      <c r="E45" s="5">
        <f>100*('Parameter &lt;x, y&gt;'!B45-B45)/B45</f>
        <v>4.6264297101526966</v>
      </c>
      <c r="F45" s="5">
        <f>100*('Parameter &lt;x, y&gt;'!G45-B45)/B45</f>
        <v>10.280003851791632</v>
      </c>
      <c r="G45" s="5">
        <f>100*('Parameter &lt;x, y&gt;'!L45-B45)/B45</f>
        <v>8.3904860747033663</v>
      </c>
      <c r="H45" s="5">
        <f>100*('Parameter &lt;x, y&gt;'!Q45-B45)/B45</f>
        <v>0</v>
      </c>
      <c r="J45" s="5">
        <f>100*('Parameter &lt;x, y&gt;'!D45-C45)/C45</f>
        <v>0</v>
      </c>
      <c r="K45" s="5">
        <f>100*('Parameter &lt;x, y&gt;'!I45-C45)/C45</f>
        <v>53.886121651614488</v>
      </c>
      <c r="L45" s="5">
        <f>100*('Parameter &lt;x, y&gt;'!N45-C45)/C45</f>
        <v>15.026950731812079</v>
      </c>
      <c r="M45" s="5">
        <f>100*('Parameter &lt;x, y&gt;'!S45-C45)/C45</f>
        <v>6.2636160006545865</v>
      </c>
    </row>
    <row r="46" spans="1:13" ht="12.75" customHeight="1">
      <c r="A46" s="13"/>
      <c r="B46" s="5">
        <f>MIN('Parameter &lt;x, y&gt;'!B46,'Parameter &lt;x, y&gt;'!G46,'Parameter &lt;x, y&gt;'!L46,'Parameter &lt;x, y&gt;'!Q46)</f>
        <v>9206</v>
      </c>
      <c r="C46" s="5">
        <f>MIN('Parameter &lt;x, y&gt;'!D46,'Parameter &lt;x, y&gt;'!I46,'Parameter &lt;x, y&gt;'!N46,'Parameter &lt;x, y&gt;'!S46)</f>
        <v>7126.5</v>
      </c>
      <c r="E46" s="5">
        <f>100*('Parameter &lt;x, y&gt;'!B46-B46)/B46</f>
        <v>0</v>
      </c>
      <c r="F46" s="5">
        <f>100*('Parameter &lt;x, y&gt;'!G46-B46)/B46</f>
        <v>20.200955898327184</v>
      </c>
      <c r="G46" s="5">
        <f>100*('Parameter &lt;x, y&gt;'!L46-B46)/B46</f>
        <v>15.709320008689991</v>
      </c>
      <c r="H46" s="5">
        <f>100*('Parameter &lt;x, y&gt;'!Q46-B46)/B46</f>
        <v>6.5109711058005608</v>
      </c>
      <c r="J46" s="5">
        <f>100*('Parameter &lt;x, y&gt;'!D46-C46)/C46</f>
        <v>3.1600364835473207</v>
      </c>
      <c r="K46" s="5">
        <f>100*('Parameter &lt;x, y&gt;'!I46-C46)/C46</f>
        <v>0</v>
      </c>
      <c r="L46" s="5">
        <f>100*('Parameter &lt;x, y&gt;'!N46-C46)/C46</f>
        <v>0</v>
      </c>
      <c r="M46" s="5">
        <f>100*('Parameter &lt;x, y&gt;'!S46-C46)/C46</f>
        <v>13.323510839823195</v>
      </c>
    </row>
    <row r="47" spans="1:13" ht="12.75" customHeight="1">
      <c r="A47" s="13"/>
      <c r="B47" s="5">
        <f>MIN('Parameter &lt;x, y&gt;'!B47,'Parameter &lt;x, y&gt;'!G47,'Parameter &lt;x, y&gt;'!L47,'Parameter &lt;x, y&gt;'!Q47)</f>
        <v>9261</v>
      </c>
      <c r="C47" s="5">
        <f>MIN('Parameter &lt;x, y&gt;'!D47,'Parameter &lt;x, y&gt;'!I47,'Parameter &lt;x, y&gt;'!N47,'Parameter &lt;x, y&gt;'!S47)</f>
        <v>8815.5</v>
      </c>
      <c r="E47" s="5">
        <f>100*('Parameter &lt;x, y&gt;'!B47-B47)/B47</f>
        <v>17.083468307958107</v>
      </c>
      <c r="F47" s="5">
        <f>100*('Parameter &lt;x, y&gt;'!G47-B47)/B47</f>
        <v>0</v>
      </c>
      <c r="G47" s="5">
        <f>100*('Parameter &lt;x, y&gt;'!L47-B47)/B47</f>
        <v>0</v>
      </c>
      <c r="H47" s="5">
        <f>100*('Parameter &lt;x, y&gt;'!Q47-B47)/B47</f>
        <v>0.91674765144152504</v>
      </c>
      <c r="J47" s="5">
        <f>100*('Parameter &lt;x, y&gt;'!D47-C47)/C47</f>
        <v>0</v>
      </c>
      <c r="K47" s="5">
        <f>100*('Parameter &lt;x, y&gt;'!I47-C47)/C47</f>
        <v>2.2176847597980829</v>
      </c>
      <c r="L47" s="5">
        <f>100*('Parameter &lt;x, y&gt;'!N47-C47)/C47</f>
        <v>0</v>
      </c>
      <c r="M47" s="5">
        <f>100*('Parameter &lt;x, y&gt;'!S47-C47)/C47</f>
        <v>30.701605127332538</v>
      </c>
    </row>
    <row r="48" spans="1:13" ht="12.75" customHeight="1">
      <c r="A48" s="13"/>
      <c r="B48" s="5">
        <f>MIN('Parameter &lt;x, y&gt;'!B48,'Parameter &lt;x, y&gt;'!G48,'Parameter &lt;x, y&gt;'!L48,'Parameter &lt;x, y&gt;'!Q48)</f>
        <v>7972.2</v>
      </c>
      <c r="C48" s="5">
        <f>MIN('Parameter &lt;x, y&gt;'!D48,'Parameter &lt;x, y&gt;'!I48,'Parameter &lt;x, y&gt;'!N48,'Parameter &lt;x, y&gt;'!S48)</f>
        <v>7622.6</v>
      </c>
      <c r="E48" s="5">
        <f>100*('Parameter &lt;x, y&gt;'!B48-B48)/B48</f>
        <v>0</v>
      </c>
      <c r="F48" s="5">
        <f>100*('Parameter &lt;x, y&gt;'!G48-B48)/B48</f>
        <v>9.7576578610672158</v>
      </c>
      <c r="G48" s="5">
        <f>100*('Parameter &lt;x, y&gt;'!L48-B48)/B48</f>
        <v>9.9596096435112127</v>
      </c>
      <c r="H48" s="5">
        <f>100*('Parameter &lt;x, y&gt;'!Q48-B48)/B48</f>
        <v>15.990567221093301</v>
      </c>
      <c r="J48" s="5">
        <f>100*('Parameter &lt;x, y&gt;'!D48-C48)/C48</f>
        <v>0.15480282318368105</v>
      </c>
      <c r="K48" s="5">
        <f>100*('Parameter &lt;x, y&gt;'!I48-C48)/C48</f>
        <v>6.697189935192716</v>
      </c>
      <c r="L48" s="5">
        <f>100*('Parameter &lt;x, y&gt;'!N48-C48)/C48</f>
        <v>0</v>
      </c>
      <c r="M48" s="5">
        <f>100*('Parameter &lt;x, y&gt;'!S48-C48)/C48</f>
        <v>13.263191037178915</v>
      </c>
    </row>
    <row r="49" spans="1:13" ht="12.75" customHeight="1">
      <c r="A49" s="13"/>
      <c r="B49" s="5">
        <f>MIN('Parameter &lt;x, y&gt;'!B49,'Parameter &lt;x, y&gt;'!G49,'Parameter &lt;x, y&gt;'!L49,'Parameter &lt;x, y&gt;'!Q49)</f>
        <v>7914.3</v>
      </c>
      <c r="C49" s="5">
        <f>MIN('Parameter &lt;x, y&gt;'!D49,'Parameter &lt;x, y&gt;'!I49,'Parameter &lt;x, y&gt;'!N49,'Parameter &lt;x, y&gt;'!S49)</f>
        <v>7914.3</v>
      </c>
      <c r="E49" s="5">
        <f>100*('Parameter &lt;x, y&gt;'!B49-B49)/B49</f>
        <v>43.018333901924358</v>
      </c>
      <c r="F49" s="5">
        <f>100*('Parameter &lt;x, y&gt;'!G49-B49)/B49</f>
        <v>4.0433140012380353E-2</v>
      </c>
      <c r="G49" s="5">
        <f>100*('Parameter &lt;x, y&gt;'!L49-B49)/B49</f>
        <v>2.9996335746686329</v>
      </c>
      <c r="H49" s="5">
        <f>100*('Parameter &lt;x, y&gt;'!Q49-B49)/B49</f>
        <v>0</v>
      </c>
      <c r="J49" s="5">
        <f>100*('Parameter &lt;x, y&gt;'!D49-C49)/C49</f>
        <v>12.165321001225632</v>
      </c>
      <c r="K49" s="5">
        <f>100*('Parameter &lt;x, y&gt;'!I49-C49)/C49</f>
        <v>0</v>
      </c>
      <c r="L49" s="5">
        <f>100*('Parameter &lt;x, y&gt;'!N49-C49)/C49</f>
        <v>0</v>
      </c>
      <c r="M49" s="5">
        <f>100*('Parameter &lt;x, y&gt;'!S49-C49)/C49</f>
        <v>34.143259669206373</v>
      </c>
    </row>
    <row r="50" spans="1:13" ht="12.75" customHeight="1">
      <c r="A50" s="13"/>
      <c r="B50" s="5">
        <f>MIN('Parameter &lt;x, y&gt;'!B50,'Parameter &lt;x, y&gt;'!G50,'Parameter &lt;x, y&gt;'!L50,'Parameter &lt;x, y&gt;'!Q50)</f>
        <v>6249.1</v>
      </c>
      <c r="C50" s="5">
        <f>MIN('Parameter &lt;x, y&gt;'!D50,'Parameter &lt;x, y&gt;'!I50,'Parameter &lt;x, y&gt;'!N50,'Parameter &lt;x, y&gt;'!S50)</f>
        <v>6140.7</v>
      </c>
      <c r="E50" s="5">
        <f>100*('Parameter &lt;x, y&gt;'!B50-B50)/B50</f>
        <v>11.896113040277795</v>
      </c>
      <c r="F50" s="5">
        <f>100*('Parameter &lt;x, y&gt;'!G50-B50)/B50</f>
        <v>8.6316429565857415</v>
      </c>
      <c r="G50" s="5">
        <f>100*('Parameter &lt;x, y&gt;'!L50-B50)/B50</f>
        <v>0</v>
      </c>
      <c r="H50" s="5">
        <f>100*('Parameter &lt;x, y&gt;'!Q50-B50)/B50</f>
        <v>29.433038357523472</v>
      </c>
      <c r="J50" s="5">
        <f>100*('Parameter &lt;x, y&gt;'!D50-C50)/C50</f>
        <v>7.038285537479438</v>
      </c>
      <c r="K50" s="5">
        <f>100*('Parameter &lt;x, y&gt;'!I50-C50)/C50</f>
        <v>5.3756086439656778</v>
      </c>
      <c r="L50" s="5">
        <f>100*('Parameter &lt;x, y&gt;'!N50-C50)/C50</f>
        <v>0</v>
      </c>
      <c r="M50" s="5">
        <f>100*('Parameter &lt;x, y&gt;'!S50-C50)/C50</f>
        <v>14.084713469148479</v>
      </c>
    </row>
    <row r="51" spans="1:13" ht="12.75" customHeight="1">
      <c r="A51" s="13"/>
      <c r="B51" s="5">
        <f>MIN('Parameter &lt;x, y&gt;'!B51,'Parameter &lt;x, y&gt;'!G51,'Parameter &lt;x, y&gt;'!L51,'Parameter &lt;x, y&gt;'!Q51)</f>
        <v>9378.1</v>
      </c>
      <c r="C51" s="5">
        <f>MIN('Parameter &lt;x, y&gt;'!D51,'Parameter &lt;x, y&gt;'!I51,'Parameter &lt;x, y&gt;'!N51,'Parameter &lt;x, y&gt;'!S51)</f>
        <v>9326.1</v>
      </c>
      <c r="E51" s="5">
        <f>100*('Parameter &lt;x, y&gt;'!B51-B51)/B51</f>
        <v>0</v>
      </c>
      <c r="F51" s="5">
        <f>100*('Parameter &lt;x, y&gt;'!G51-B51)/B51</f>
        <v>15.207771296957793</v>
      </c>
      <c r="G51" s="5">
        <f>100*('Parameter &lt;x, y&gt;'!L51-B51)/B51</f>
        <v>8.3844275492903595</v>
      </c>
      <c r="H51" s="5">
        <f>100*('Parameter &lt;x, y&gt;'!Q51-B51)/B51</f>
        <v>14.980646399590531</v>
      </c>
      <c r="J51" s="5">
        <f>100*('Parameter &lt;x, y&gt;'!D51-C51)/C51</f>
        <v>0.55757497775061382</v>
      </c>
      <c r="K51" s="5">
        <f>100*('Parameter &lt;x, y&gt;'!I51-C51)/C51</f>
        <v>0</v>
      </c>
      <c r="L51" s="5">
        <f>100*('Parameter &lt;x, y&gt;'!N51-C51)/C51</f>
        <v>1.979391171014683</v>
      </c>
      <c r="M51" s="5">
        <f>100*('Parameter &lt;x, y&gt;'!S51-C51)/C51</f>
        <v>14.547345621428022</v>
      </c>
    </row>
    <row r="52" spans="1:13" ht="12.75" customHeight="1">
      <c r="A52" s="13"/>
      <c r="B52" s="5">
        <f>MIN('Parameter &lt;x, y&gt;'!B52,'Parameter &lt;x, y&gt;'!G52,'Parameter &lt;x, y&gt;'!L52,'Parameter &lt;x, y&gt;'!Q52)</f>
        <v>7093.6</v>
      </c>
      <c r="C52" s="5">
        <f>MIN('Parameter &lt;x, y&gt;'!D52,'Parameter &lt;x, y&gt;'!I52,'Parameter &lt;x, y&gt;'!N52,'Parameter &lt;x, y&gt;'!S52)</f>
        <v>6925.3</v>
      </c>
      <c r="E52" s="5">
        <f>100*('Parameter &lt;x, y&gt;'!B52-B52)/B52</f>
        <v>0</v>
      </c>
      <c r="F52" s="5">
        <f>100*('Parameter &lt;x, y&gt;'!G52-B52)/B52</f>
        <v>11.111424382542006</v>
      </c>
      <c r="G52" s="5">
        <f>100*('Parameter &lt;x, y&gt;'!L52-B52)/B52</f>
        <v>0.29745122363820137</v>
      </c>
      <c r="H52" s="5">
        <f>100*('Parameter &lt;x, y&gt;'!Q52-B52)/B52</f>
        <v>11.093098003834438</v>
      </c>
      <c r="J52" s="5">
        <f>100*('Parameter &lt;x, y&gt;'!D52-C52)/C52</f>
        <v>2.7348995711377073</v>
      </c>
      <c r="K52" s="5">
        <f>100*('Parameter &lt;x, y&gt;'!I52-C52)/C52</f>
        <v>5.9751924104370948</v>
      </c>
      <c r="L52" s="5">
        <f>100*('Parameter &lt;x, y&gt;'!N52-C52)/C52</f>
        <v>0</v>
      </c>
      <c r="M52" s="5">
        <f>100*('Parameter &lt;x, y&gt;'!S52-C52)/C52</f>
        <v>0.84617272897924212</v>
      </c>
    </row>
    <row r="53" spans="1:13" ht="12.75" customHeight="1">
      <c r="A53" s="13"/>
      <c r="B53" s="5">
        <f>MIN('Parameter &lt;x, y&gt;'!B53,'Parameter &lt;x, y&gt;'!G53,'Parameter &lt;x, y&gt;'!L53,'Parameter &lt;x, y&gt;'!Q53)</f>
        <v>9510</v>
      </c>
      <c r="C53" s="5">
        <f>MIN('Parameter &lt;x, y&gt;'!D53,'Parameter &lt;x, y&gt;'!I53,'Parameter &lt;x, y&gt;'!N53,'Parameter &lt;x, y&gt;'!S53)</f>
        <v>9364.9</v>
      </c>
      <c r="E53" s="5">
        <f>100*('Parameter &lt;x, y&gt;'!B53-B53)/B53</f>
        <v>0</v>
      </c>
      <c r="F53" s="5">
        <f>100*('Parameter &lt;x, y&gt;'!G53-B53)/B53</f>
        <v>5.5720294426918997</v>
      </c>
      <c r="G53" s="5">
        <f>100*('Parameter &lt;x, y&gt;'!L53-B53)/B53</f>
        <v>18.851735015772864</v>
      </c>
      <c r="H53" s="5">
        <f>100*('Parameter &lt;x, y&gt;'!Q53-B53)/B53</f>
        <v>9.504731861198735</v>
      </c>
      <c r="J53" s="5">
        <f>100*('Parameter &lt;x, y&gt;'!D53-C53)/C53</f>
        <v>0</v>
      </c>
      <c r="K53" s="5">
        <f>100*('Parameter &lt;x, y&gt;'!I53-C53)/C53</f>
        <v>5.6359384510245825</v>
      </c>
      <c r="L53" s="5">
        <f>100*('Parameter &lt;x, y&gt;'!N53-C53)/C53</f>
        <v>8.2104453864963833</v>
      </c>
      <c r="M53" s="5">
        <f>100*('Parameter &lt;x, y&gt;'!S53-C53)/C53</f>
        <v>13.475851317152346</v>
      </c>
    </row>
    <row r="54" spans="1:13" ht="12.75" customHeight="1">
      <c r="A54" s="13"/>
      <c r="B54" s="5">
        <f>MIN('Parameter &lt;x, y&gt;'!B54,'Parameter &lt;x, y&gt;'!G54,'Parameter &lt;x, y&gt;'!L54,'Parameter &lt;x, y&gt;'!Q54)</f>
        <v>10274.4</v>
      </c>
      <c r="C54" s="5">
        <f>MIN('Parameter &lt;x, y&gt;'!D54,'Parameter &lt;x, y&gt;'!I54,'Parameter &lt;x, y&gt;'!N54,'Parameter &lt;x, y&gt;'!S54)</f>
        <v>9771.7000000000007</v>
      </c>
      <c r="E54" s="5">
        <f>100*('Parameter &lt;x, y&gt;'!B54-B54)/B54</f>
        <v>0.18881881180409207</v>
      </c>
      <c r="F54" s="5">
        <f>100*('Parameter &lt;x, y&gt;'!G54-B54)/B54</f>
        <v>0</v>
      </c>
      <c r="G54" s="5">
        <f>100*('Parameter &lt;x, y&gt;'!L54-B54)/B54</f>
        <v>18.952931558047197</v>
      </c>
      <c r="H54" s="5">
        <f>100*('Parameter &lt;x, y&gt;'!Q54-B54)/B54</f>
        <v>7.3220820680526471</v>
      </c>
      <c r="J54" s="5">
        <f>100*('Parameter &lt;x, y&gt;'!D54-C54)/C54</f>
        <v>1.1881248912676252</v>
      </c>
      <c r="K54" s="5">
        <f>100*('Parameter &lt;x, y&gt;'!I54-C54)/C54</f>
        <v>18.762344320844885</v>
      </c>
      <c r="L54" s="5">
        <f>100*('Parameter &lt;x, y&gt;'!N54-C54)/C54</f>
        <v>0</v>
      </c>
      <c r="M54" s="5">
        <f>100*('Parameter &lt;x, y&gt;'!S54-C54)/C54</f>
        <v>8.9175885465169795</v>
      </c>
    </row>
    <row r="55" spans="1:13" ht="12.75" customHeight="1">
      <c r="A55" s="13"/>
      <c r="B55" s="5">
        <f>MIN('Parameter &lt;x, y&gt;'!B55,'Parameter &lt;x, y&gt;'!G55,'Parameter &lt;x, y&gt;'!L55,'Parameter &lt;x, y&gt;'!Q55)</f>
        <v>7925.1</v>
      </c>
      <c r="C55" s="5">
        <f>MIN('Parameter &lt;x, y&gt;'!D55,'Parameter &lt;x, y&gt;'!I55,'Parameter &lt;x, y&gt;'!N55,'Parameter &lt;x, y&gt;'!S55)</f>
        <v>7467.1</v>
      </c>
      <c r="E55" s="5">
        <f>100*('Parameter &lt;x, y&gt;'!B55-B55)/B55</f>
        <v>0</v>
      </c>
      <c r="F55" s="5">
        <f>100*('Parameter &lt;x, y&gt;'!G55-B55)/B55</f>
        <v>1.1848430934625385</v>
      </c>
      <c r="G55" s="5">
        <f>100*('Parameter &lt;x, y&gt;'!L55-B55)/B55</f>
        <v>6.8604812557570112</v>
      </c>
      <c r="H55" s="5">
        <f>100*('Parameter &lt;x, y&gt;'!Q55-B55)/B55</f>
        <v>2.4782021677959851</v>
      </c>
      <c r="J55" s="5">
        <f>100*('Parameter &lt;x, y&gt;'!D55-C55)/C55</f>
        <v>2.3690589385437404</v>
      </c>
      <c r="K55" s="5">
        <f>100*('Parameter &lt;x, y&gt;'!I55-C55)/C55</f>
        <v>6.0170615098230806</v>
      </c>
      <c r="L55" s="5">
        <f>100*('Parameter &lt;x, y&gt;'!N55-C55)/C55</f>
        <v>0</v>
      </c>
      <c r="M55" s="5">
        <f>100*('Parameter &lt;x, y&gt;'!S55-C55)/C55</f>
        <v>2.3690589385437404</v>
      </c>
    </row>
    <row r="56" spans="1:13" ht="12.75" customHeight="1">
      <c r="A56" s="13"/>
      <c r="B56" s="5">
        <f>MIN('Parameter &lt;x, y&gt;'!B56,'Parameter &lt;x, y&gt;'!G56,'Parameter &lt;x, y&gt;'!L56,'Parameter &lt;x, y&gt;'!Q56)</f>
        <v>10793.5</v>
      </c>
      <c r="C56" s="5">
        <f>MIN('Parameter &lt;x, y&gt;'!D56,'Parameter &lt;x, y&gt;'!I56,'Parameter &lt;x, y&gt;'!N56,'Parameter &lt;x, y&gt;'!S56)</f>
        <v>10793.5</v>
      </c>
      <c r="E56" s="5">
        <f>100*('Parameter &lt;x, y&gt;'!B56-B56)/B56</f>
        <v>0</v>
      </c>
      <c r="F56" s="5">
        <f>100*('Parameter &lt;x, y&gt;'!G56-B56)/B56</f>
        <v>11.337378978088671</v>
      </c>
      <c r="G56" s="5">
        <f>100*('Parameter &lt;x, y&gt;'!L56-B56)/B56</f>
        <v>15.215639042016022</v>
      </c>
      <c r="H56" s="5">
        <f>100*('Parameter &lt;x, y&gt;'!Q56-B56)/B56</f>
        <v>31.338305461620418</v>
      </c>
      <c r="J56" s="5">
        <f>100*('Parameter &lt;x, y&gt;'!D56-C56)/C56</f>
        <v>0</v>
      </c>
      <c r="K56" s="5">
        <f>100*('Parameter &lt;x, y&gt;'!I56-C56)/C56</f>
        <v>3.4103858803909795</v>
      </c>
      <c r="L56" s="5">
        <f>100*('Parameter &lt;x, y&gt;'!N56-C56)/C56</f>
        <v>5.0076434891369805</v>
      </c>
      <c r="M56" s="5">
        <f>100*('Parameter &lt;x, y&gt;'!S56-C56)/C56</f>
        <v>7.9297725482929513</v>
      </c>
    </row>
    <row r="57" spans="1:13" ht="12.75" customHeight="1">
      <c r="A57" s="13"/>
      <c r="B57" s="5">
        <f>MIN('Parameter &lt;x, y&gt;'!B57,'Parameter &lt;x, y&gt;'!G57,'Parameter &lt;x, y&gt;'!L57,'Parameter &lt;x, y&gt;'!Q57)</f>
        <v>8272.2000000000007</v>
      </c>
      <c r="C57" s="5">
        <f>MIN('Parameter &lt;x, y&gt;'!D57,'Parameter &lt;x, y&gt;'!I57,'Parameter &lt;x, y&gt;'!N57,'Parameter &lt;x, y&gt;'!S57)</f>
        <v>7719</v>
      </c>
      <c r="E57" s="5">
        <f>100*('Parameter &lt;x, y&gt;'!B57-B57)/B57</f>
        <v>0</v>
      </c>
      <c r="F57" s="5">
        <f>100*('Parameter &lt;x, y&gt;'!G57-B57)/B57</f>
        <v>9.8824980053673741</v>
      </c>
      <c r="G57" s="5">
        <f>100*('Parameter &lt;x, y&gt;'!L57-B57)/B57</f>
        <v>8.0776576968641809</v>
      </c>
      <c r="H57" s="5">
        <f>100*('Parameter &lt;x, y&gt;'!Q57-B57)/B57</f>
        <v>7.0561640192451689</v>
      </c>
      <c r="J57" s="5">
        <f>100*('Parameter &lt;x, y&gt;'!D57-C57)/C57</f>
        <v>1.5312864360668457</v>
      </c>
      <c r="K57" s="5">
        <f>100*('Parameter &lt;x, y&gt;'!I57-C57)/C57</f>
        <v>18.920844668998576</v>
      </c>
      <c r="L57" s="5">
        <f>100*('Parameter &lt;x, y&gt;'!N57-C57)/C57</f>
        <v>0</v>
      </c>
      <c r="M57" s="5">
        <f>100*('Parameter &lt;x, y&gt;'!S57-C57)/C57</f>
        <v>21.853867081228135</v>
      </c>
    </row>
    <row r="58" spans="1:13" ht="12.75" customHeight="1">
      <c r="A58" s="13"/>
      <c r="B58" s="5">
        <f>MIN('Parameter &lt;x, y&gt;'!B58,'Parameter &lt;x, y&gt;'!G58,'Parameter &lt;x, y&gt;'!L58,'Parameter &lt;x, y&gt;'!Q58)</f>
        <v>10185.9</v>
      </c>
      <c r="C58" s="5">
        <f>MIN('Parameter &lt;x, y&gt;'!D58,'Parameter &lt;x, y&gt;'!I58,'Parameter &lt;x, y&gt;'!N58,'Parameter &lt;x, y&gt;'!S58)</f>
        <v>10185.9</v>
      </c>
      <c r="E58" s="5">
        <f>100*('Parameter &lt;x, y&gt;'!B58-B58)/B58</f>
        <v>18.97819534847191</v>
      </c>
      <c r="F58" s="5">
        <f>100*('Parameter &lt;x, y&gt;'!G58-B58)/B58</f>
        <v>2.9334668512355422</v>
      </c>
      <c r="G58" s="5">
        <f>100*('Parameter &lt;x, y&gt;'!L58-B58)/B58</f>
        <v>0</v>
      </c>
      <c r="H58" s="5">
        <f>100*('Parameter &lt;x, y&gt;'!Q58-B58)/B58</f>
        <v>5.6077518923217466</v>
      </c>
      <c r="J58" s="5">
        <f>100*('Parameter &lt;x, y&gt;'!D58-C58)/C58</f>
        <v>0</v>
      </c>
      <c r="K58" s="5">
        <f>100*('Parameter &lt;x, y&gt;'!I58-C58)/C58</f>
        <v>1.4097919673273875</v>
      </c>
      <c r="L58" s="5">
        <f>100*('Parameter &lt;x, y&gt;'!N58-C58)/C58</f>
        <v>0</v>
      </c>
      <c r="M58" s="5">
        <f>100*('Parameter &lt;x, y&gt;'!S58-C58)/C58</f>
        <v>0</v>
      </c>
    </row>
    <row r="59" spans="1:13" ht="12.75" customHeight="1">
      <c r="A59" s="13"/>
      <c r="B59" s="5">
        <f>MIN('Parameter &lt;x, y&gt;'!B59,'Parameter &lt;x, y&gt;'!G59,'Parameter &lt;x, y&gt;'!L59,'Parameter &lt;x, y&gt;'!Q59)</f>
        <v>10346.4</v>
      </c>
      <c r="C59" s="5">
        <f>MIN('Parameter &lt;x, y&gt;'!D59,'Parameter &lt;x, y&gt;'!I59,'Parameter &lt;x, y&gt;'!N59,'Parameter &lt;x, y&gt;'!S59)</f>
        <v>10346.4</v>
      </c>
      <c r="E59" s="5">
        <f>100*('Parameter &lt;x, y&gt;'!B59-B59)/B59</f>
        <v>0.72295677723653728</v>
      </c>
      <c r="F59" s="5">
        <f>100*('Parameter &lt;x, y&gt;'!G59-B59)/B59</f>
        <v>0</v>
      </c>
      <c r="G59" s="5">
        <f>100*('Parameter &lt;x, y&gt;'!L59-B59)/B59</f>
        <v>5.8116832908064753</v>
      </c>
      <c r="H59" s="5">
        <f>100*('Parameter &lt;x, y&gt;'!Q59-B59)/B59</f>
        <v>3.3731539472666823</v>
      </c>
      <c r="J59" s="5">
        <f>100*('Parameter &lt;x, y&gt;'!D59-C59)/C59</f>
        <v>0</v>
      </c>
      <c r="K59" s="5">
        <f>100*('Parameter &lt;x, y&gt;'!I59-C59)/C59</f>
        <v>11.222260883012453</v>
      </c>
      <c r="L59" s="5">
        <f>100*('Parameter &lt;x, y&gt;'!N59-C59)/C59</f>
        <v>0</v>
      </c>
      <c r="M59" s="5">
        <f>100*('Parameter &lt;x, y&gt;'!S59-C59)/C59</f>
        <v>14.79548441970155</v>
      </c>
    </row>
    <row r="60" spans="1:13" ht="12.75" customHeight="1">
      <c r="A60" s="13"/>
      <c r="B60" s="5">
        <f>MIN('Parameter &lt;x, y&gt;'!B60,'Parameter &lt;x, y&gt;'!G60,'Parameter &lt;x, y&gt;'!L60,'Parameter &lt;x, y&gt;'!Q60)</f>
        <v>11521.4</v>
      </c>
      <c r="C60" s="5">
        <f>MIN('Parameter &lt;x, y&gt;'!D60,'Parameter &lt;x, y&gt;'!I60,'Parameter &lt;x, y&gt;'!N60,'Parameter &lt;x, y&gt;'!S60)</f>
        <v>11521.4</v>
      </c>
      <c r="E60" s="5">
        <f>100*('Parameter &lt;x, y&gt;'!B60-B60)/B60</f>
        <v>0</v>
      </c>
      <c r="F60" s="5">
        <f>100*('Parameter &lt;x, y&gt;'!G60-B60)/B60</f>
        <v>1.6629923446803372</v>
      </c>
      <c r="G60" s="5">
        <f>100*('Parameter &lt;x, y&gt;'!L60-B60)/B60</f>
        <v>86.758553647994177</v>
      </c>
      <c r="H60" s="5">
        <f>100*('Parameter &lt;x, y&gt;'!Q60-B60)/B60</f>
        <v>75.824118596698341</v>
      </c>
      <c r="J60" s="5">
        <f>100*('Parameter &lt;x, y&gt;'!D60-C60)/C60</f>
        <v>0</v>
      </c>
      <c r="K60" s="5">
        <f>100*('Parameter &lt;x, y&gt;'!I60-C60)/C60</f>
        <v>5.344836565000791</v>
      </c>
      <c r="L60" s="5">
        <f>100*('Parameter &lt;x, y&gt;'!N60-C60)/C60</f>
        <v>14.755151283698162</v>
      </c>
      <c r="M60" s="5">
        <f>100*('Parameter &lt;x, y&gt;'!S60-C60)/C60</f>
        <v>54.914333327546998</v>
      </c>
    </row>
    <row r="61" spans="1:13" ht="12.75" customHeight="1">
      <c r="A61" s="13"/>
      <c r="B61" s="5">
        <f>MIN('Parameter &lt;x, y&gt;'!B61,'Parameter &lt;x, y&gt;'!G61,'Parameter &lt;x, y&gt;'!L61,'Parameter &lt;x, y&gt;'!Q61)</f>
        <v>11198.8</v>
      </c>
      <c r="C61" s="5">
        <f>MIN('Parameter &lt;x, y&gt;'!D61,'Parameter &lt;x, y&gt;'!I61,'Parameter &lt;x, y&gt;'!N61,'Parameter &lt;x, y&gt;'!S61)</f>
        <v>10980.9</v>
      </c>
      <c r="E61" s="5">
        <f>100*('Parameter &lt;x, y&gt;'!B61-B61)/B61</f>
        <v>2.8860235025181336</v>
      </c>
      <c r="F61" s="5">
        <f>100*('Parameter &lt;x, y&gt;'!G61-B61)/B61</f>
        <v>0</v>
      </c>
      <c r="G61" s="5">
        <f>100*('Parameter &lt;x, y&gt;'!L61-B61)/B61</f>
        <v>3.7834410829731824</v>
      </c>
      <c r="H61" s="5">
        <f>100*('Parameter &lt;x, y&gt;'!Q61-B61)/B61</f>
        <v>0.47237203986142673</v>
      </c>
      <c r="J61" s="5">
        <f>100*('Parameter &lt;x, y&gt;'!D61-C61)/C61</f>
        <v>0</v>
      </c>
      <c r="K61" s="5">
        <f>100*('Parameter &lt;x, y&gt;'!I61-C61)/C61</f>
        <v>4.3293354825196442</v>
      </c>
      <c r="L61" s="5">
        <f>100*('Parameter &lt;x, y&gt;'!N61-C61)/C61</f>
        <v>0</v>
      </c>
      <c r="M61" s="5">
        <f>100*('Parameter &lt;x, y&gt;'!S61-C61)/C61</f>
        <v>9.6421969055359877</v>
      </c>
    </row>
    <row r="62" spans="1:13" ht="12.75" customHeight="1">
      <c r="A62" s="13"/>
      <c r="B62" s="5">
        <f>MIN('Parameter &lt;x, y&gt;'!B62,'Parameter &lt;x, y&gt;'!G62,'Parameter &lt;x, y&gt;'!L62,'Parameter &lt;x, y&gt;'!Q62)</f>
        <v>13099.4</v>
      </c>
      <c r="C62" s="5">
        <f>MIN('Parameter &lt;x, y&gt;'!D62,'Parameter &lt;x, y&gt;'!I62,'Parameter &lt;x, y&gt;'!N62,'Parameter &lt;x, y&gt;'!S62)</f>
        <v>12951.5</v>
      </c>
      <c r="E62" s="5">
        <f>100*('Parameter &lt;x, y&gt;'!B62-B62)/B62</f>
        <v>0</v>
      </c>
      <c r="F62" s="5">
        <f>100*('Parameter &lt;x, y&gt;'!G62-B62)/B62</f>
        <v>1.8199306838481124</v>
      </c>
      <c r="G62" s="5">
        <f>100*('Parameter &lt;x, y&gt;'!L62-B62)/B62</f>
        <v>2.9008962242553792E-2</v>
      </c>
      <c r="H62" s="5">
        <f>100*('Parameter &lt;x, y&gt;'!Q62-B62)/B62</f>
        <v>6.7445837213918196</v>
      </c>
      <c r="J62" s="5">
        <f>100*('Parameter &lt;x, y&gt;'!D62-C62)/C62</f>
        <v>2.1155850673667143</v>
      </c>
      <c r="K62" s="5">
        <f>100*('Parameter &lt;x, y&gt;'!I62-C62)/C62</f>
        <v>0</v>
      </c>
      <c r="L62" s="5">
        <f>100*('Parameter &lt;x, y&gt;'!N62-C62)/C62</f>
        <v>1.2708952630969415</v>
      </c>
      <c r="M62" s="5">
        <f>100*('Parameter &lt;x, y&gt;'!S62-C62)/C62</f>
        <v>8.4592518241130392</v>
      </c>
    </row>
    <row r="63" spans="1:13" ht="12.75" customHeight="1">
      <c r="A63" s="13"/>
      <c r="B63" s="5">
        <f>MIN('Parameter &lt;x, y&gt;'!B63,'Parameter &lt;x, y&gt;'!G63,'Parameter &lt;x, y&gt;'!L63,'Parameter &lt;x, y&gt;'!Q63)</f>
        <v>10165.799999999999</v>
      </c>
      <c r="C63" s="5">
        <f>MIN('Parameter &lt;x, y&gt;'!D63,'Parameter &lt;x, y&gt;'!I63,'Parameter &lt;x, y&gt;'!N63,'Parameter &lt;x, y&gt;'!S63)</f>
        <v>9880.9</v>
      </c>
      <c r="E63" s="5">
        <f>100*('Parameter &lt;x, y&gt;'!B63-B63)/B63</f>
        <v>5.7939365322945564</v>
      </c>
      <c r="F63" s="5">
        <f>100*('Parameter &lt;x, y&gt;'!G63-B63)/B63</f>
        <v>3.5688288181943491</v>
      </c>
      <c r="G63" s="5">
        <f>100*('Parameter &lt;x, y&gt;'!L63-B63)/B63</f>
        <v>0</v>
      </c>
      <c r="H63" s="5">
        <f>100*('Parameter &lt;x, y&gt;'!Q63-B63)/B63</f>
        <v>22.74685710913063</v>
      </c>
      <c r="J63" s="5">
        <f>100*('Parameter &lt;x, y&gt;'!D63-C63)/C63</f>
        <v>0</v>
      </c>
      <c r="K63" s="5">
        <f>100*('Parameter &lt;x, y&gt;'!I63-C63)/C63</f>
        <v>0.85923347063526234</v>
      </c>
      <c r="L63" s="5">
        <f>100*('Parameter &lt;x, y&gt;'!N63-C63)/C63</f>
        <v>6.5996012508982016</v>
      </c>
      <c r="M63" s="5">
        <f>100*('Parameter &lt;x, y&gt;'!S63-C63)/C63</f>
        <v>5.9235494742381878</v>
      </c>
    </row>
    <row r="64" spans="1:13" ht="12.75" customHeight="1">
      <c r="A64" s="13"/>
      <c r="B64" s="5">
        <f>MIN('Parameter &lt;x, y&gt;'!B64,'Parameter &lt;x, y&gt;'!G64,'Parameter &lt;x, y&gt;'!L64,'Parameter &lt;x, y&gt;'!Q64)</f>
        <v>13024.1</v>
      </c>
      <c r="C64" s="5">
        <f>MIN('Parameter &lt;x, y&gt;'!D64,'Parameter &lt;x, y&gt;'!I64,'Parameter &lt;x, y&gt;'!N64,'Parameter &lt;x, y&gt;'!S64)</f>
        <v>12274</v>
      </c>
      <c r="E64" s="5">
        <f>100*('Parameter &lt;x, y&gt;'!B64-B64)/B64</f>
        <v>3.1748834852312253</v>
      </c>
      <c r="F64" s="5">
        <f>100*('Parameter &lt;x, y&gt;'!G64-B64)/B64</f>
        <v>0</v>
      </c>
      <c r="G64" s="5">
        <f>100*('Parameter &lt;x, y&gt;'!L64-B64)/B64</f>
        <v>0.35088796922627213</v>
      </c>
      <c r="H64" s="5">
        <f>100*('Parameter &lt;x, y&gt;'!Q64-B64)/B64</f>
        <v>9.1914220560345843</v>
      </c>
      <c r="J64" s="5">
        <f>100*('Parameter &lt;x, y&gt;'!D64-C64)/C64</f>
        <v>6.4836239204823141</v>
      </c>
      <c r="K64" s="5">
        <f>100*('Parameter &lt;x, y&gt;'!I64-C64)/C64</f>
        <v>4.7523219814241431</v>
      </c>
      <c r="L64" s="5">
        <f>100*('Parameter &lt;x, y&gt;'!N64-C64)/C64</f>
        <v>0</v>
      </c>
      <c r="M64" s="5">
        <f>100*('Parameter &lt;x, y&gt;'!S64-C64)/C64</f>
        <v>7.1631090109173927</v>
      </c>
    </row>
    <row r="65" spans="1:13" ht="12.75" customHeight="1">
      <c r="A65" s="13"/>
      <c r="B65" s="5">
        <f>MIN('Parameter &lt;x, y&gt;'!B65,'Parameter &lt;x, y&gt;'!G65,'Parameter &lt;x, y&gt;'!L65,'Parameter &lt;x, y&gt;'!Q65)</f>
        <v>11095.7</v>
      </c>
      <c r="C65" s="5">
        <f>MIN('Parameter &lt;x, y&gt;'!D65,'Parameter &lt;x, y&gt;'!I65,'Parameter &lt;x, y&gt;'!N65,'Parameter &lt;x, y&gt;'!S65)</f>
        <v>11017.5</v>
      </c>
      <c r="E65" s="5">
        <f>100*('Parameter &lt;x, y&gt;'!B65-B65)/B65</f>
        <v>0</v>
      </c>
      <c r="F65" s="5">
        <f>100*('Parameter &lt;x, y&gt;'!G65-B65)/B65</f>
        <v>6.4304189911407121</v>
      </c>
      <c r="G65" s="5">
        <f>100*('Parameter &lt;x, y&gt;'!L65-B65)/B65</f>
        <v>6.3150589868147007</v>
      </c>
      <c r="H65" s="5">
        <f>100*('Parameter &lt;x, y&gt;'!Q65-B65)/B65</f>
        <v>6.3610227385383453</v>
      </c>
      <c r="J65" s="5">
        <f>100*('Parameter &lt;x, y&gt;'!D65-C65)/C65</f>
        <v>0.59360108917630716</v>
      </c>
      <c r="K65" s="5">
        <f>100*('Parameter &lt;x, y&gt;'!I65-C65)/C65</f>
        <v>3.8692988427501636</v>
      </c>
      <c r="L65" s="5">
        <f>100*('Parameter &lt;x, y&gt;'!N65-C65)/C65</f>
        <v>0</v>
      </c>
      <c r="M65" s="5">
        <f>100*('Parameter &lt;x, y&gt;'!S65-C65)/C65</f>
        <v>15.44633537553891</v>
      </c>
    </row>
    <row r="66" spans="1:13" ht="12.75" customHeight="1">
      <c r="A66" s="13"/>
      <c r="B66" s="5">
        <f>MIN('Parameter &lt;x, y&gt;'!B66,'Parameter &lt;x, y&gt;'!G66,'Parameter &lt;x, y&gt;'!L66,'Parameter &lt;x, y&gt;'!Q66)</f>
        <v>9386.5</v>
      </c>
      <c r="C66" s="5">
        <f>MIN('Parameter &lt;x, y&gt;'!D66,'Parameter &lt;x, y&gt;'!I66,'Parameter &lt;x, y&gt;'!N66,'Parameter &lt;x, y&gt;'!S66)</f>
        <v>9386.5</v>
      </c>
      <c r="E66" s="5">
        <f>100*('Parameter &lt;x, y&gt;'!B66-B66)/B66</f>
        <v>0</v>
      </c>
      <c r="F66" s="5">
        <f>100*('Parameter &lt;x, y&gt;'!G66-B66)/B66</f>
        <v>4.5490864539498217</v>
      </c>
      <c r="G66" s="5">
        <f>100*('Parameter &lt;x, y&gt;'!L66-B66)/B66</f>
        <v>13.938102594151166</v>
      </c>
      <c r="H66" s="5">
        <f>100*('Parameter &lt;x, y&gt;'!Q66-B66)/B66</f>
        <v>5.5579822084909258</v>
      </c>
      <c r="J66" s="5">
        <f>100*('Parameter &lt;x, y&gt;'!D66-C66)/C66</f>
        <v>0</v>
      </c>
      <c r="K66" s="5">
        <f>100*('Parameter &lt;x, y&gt;'!I66-C66)/C66</f>
        <v>0</v>
      </c>
      <c r="L66" s="5">
        <f>100*('Parameter &lt;x, y&gt;'!N66-C66)/C66</f>
        <v>6.2717732914291879</v>
      </c>
      <c r="M66" s="5">
        <f>100*('Parameter &lt;x, y&gt;'!S66-C66)/C66</f>
        <v>18.615032227134709</v>
      </c>
    </row>
    <row r="67" spans="1:13" ht="12.75" customHeight="1">
      <c r="A67" s="13"/>
      <c r="B67" s="5">
        <f>MIN('Parameter &lt;x, y&gt;'!B67,'Parameter &lt;x, y&gt;'!G67,'Parameter &lt;x, y&gt;'!L67,'Parameter &lt;x, y&gt;'!Q67)</f>
        <v>12505.3</v>
      </c>
      <c r="C67" s="5">
        <f>MIN('Parameter &lt;x, y&gt;'!D67,'Parameter &lt;x, y&gt;'!I67,'Parameter &lt;x, y&gt;'!N67,'Parameter &lt;x, y&gt;'!S67)</f>
        <v>12113.7</v>
      </c>
      <c r="E67" s="5">
        <f>100*('Parameter &lt;x, y&gt;'!B67-B67)/B67</f>
        <v>0</v>
      </c>
      <c r="F67" s="5">
        <f>100*('Parameter &lt;x, y&gt;'!G67-B67)/B67</f>
        <v>0.77247247167201405</v>
      </c>
      <c r="G67" s="5">
        <f>100*('Parameter &lt;x, y&gt;'!L67-B67)/B67</f>
        <v>0.11994914156397687</v>
      </c>
      <c r="H67" s="5">
        <f>100*('Parameter &lt;x, y&gt;'!Q67-B67)/B67</f>
        <v>5.6440069410570013</v>
      </c>
      <c r="J67" s="5">
        <f>100*('Parameter &lt;x, y&gt;'!D67-C67)/C67</f>
        <v>0</v>
      </c>
      <c r="K67" s="5">
        <f>100*('Parameter &lt;x, y&gt;'!I67-C67)/C67</f>
        <v>4.0301476840271668</v>
      </c>
      <c r="L67" s="5">
        <f>100*('Parameter &lt;x, y&gt;'!N67-C67)/C67</f>
        <v>0</v>
      </c>
      <c r="M67" s="5">
        <f>100*('Parameter &lt;x, y&gt;'!S67-C67)/C67</f>
        <v>6.8335851143746273</v>
      </c>
    </row>
    <row r="68" spans="1:13" ht="12.75" customHeight="1">
      <c r="A68" s="13"/>
      <c r="B68" s="5">
        <f>MIN('Parameter &lt;x, y&gt;'!B68,'Parameter &lt;x, y&gt;'!G68,'Parameter &lt;x, y&gt;'!L68,'Parameter &lt;x, y&gt;'!Q68)</f>
        <v>10181</v>
      </c>
      <c r="C68" s="5">
        <f>MIN('Parameter &lt;x, y&gt;'!D68,'Parameter &lt;x, y&gt;'!I68,'Parameter &lt;x, y&gt;'!N68,'Parameter &lt;x, y&gt;'!S68)</f>
        <v>9255.2999999999993</v>
      </c>
      <c r="E68" s="5">
        <f>100*('Parameter &lt;x, y&gt;'!B68-B68)/B68</f>
        <v>0.14831548963756375</v>
      </c>
      <c r="F68" s="5">
        <f>100*('Parameter &lt;x, y&gt;'!G68-B68)/B68</f>
        <v>2.0263235438561957</v>
      </c>
      <c r="G68" s="5">
        <f>100*('Parameter &lt;x, y&gt;'!L68-B68)/B68</f>
        <v>0</v>
      </c>
      <c r="H68" s="5">
        <f>100*('Parameter &lt;x, y&gt;'!Q68-B68)/B68</f>
        <v>0.36636872605833681</v>
      </c>
      <c r="J68" s="5">
        <f>100*('Parameter &lt;x, y&gt;'!D68-C68)/C68</f>
        <v>10.164986548248045</v>
      </c>
      <c r="K68" s="5">
        <f>100*('Parameter &lt;x, y&gt;'!I68-C68)/C68</f>
        <v>9.9186412109818161</v>
      </c>
      <c r="L68" s="5">
        <f>100*('Parameter &lt;x, y&gt;'!N68-C68)/C68</f>
        <v>0</v>
      </c>
      <c r="M68" s="5">
        <f>100*('Parameter &lt;x, y&gt;'!S68-C68)/C68</f>
        <v>11.948829319416999</v>
      </c>
    </row>
    <row r="69" spans="1:13" ht="12.75" customHeight="1">
      <c r="A69" s="13"/>
      <c r="B69" s="5">
        <f>MIN('Parameter &lt;x, y&gt;'!B69,'Parameter &lt;x, y&gt;'!G69,'Parameter &lt;x, y&gt;'!L69,'Parameter &lt;x, y&gt;'!Q69)</f>
        <v>9652.7000000000007</v>
      </c>
      <c r="C69" s="5">
        <f>MIN('Parameter &lt;x, y&gt;'!D69,'Parameter &lt;x, y&gt;'!I69,'Parameter &lt;x, y&gt;'!N69,'Parameter &lt;x, y&gt;'!S69)</f>
        <v>9607.7999999999993</v>
      </c>
      <c r="E69" s="5">
        <f>100*('Parameter &lt;x, y&gt;'!B69-B69)/B69</f>
        <v>0</v>
      </c>
      <c r="F69" s="5">
        <f>100*('Parameter &lt;x, y&gt;'!G69-B69)/B69</f>
        <v>3.0084846726822505</v>
      </c>
      <c r="G69" s="5">
        <f>100*('Parameter &lt;x, y&gt;'!L69-B69)/B69</f>
        <v>6.1412868938224454</v>
      </c>
      <c r="H69" s="5">
        <f>100*('Parameter &lt;x, y&gt;'!Q69-B69)/B69</f>
        <v>9.4937167839050183</v>
      </c>
      <c r="J69" s="5">
        <f>100*('Parameter &lt;x, y&gt;'!D69-C69)/C69</f>
        <v>0.46732862882243031</v>
      </c>
      <c r="K69" s="5">
        <f>100*('Parameter &lt;x, y&gt;'!I69-C69)/C69</f>
        <v>6.5946418534940401</v>
      </c>
      <c r="L69" s="5">
        <f>100*('Parameter &lt;x, y&gt;'!N69-C69)/C69</f>
        <v>0</v>
      </c>
      <c r="M69" s="5">
        <f>100*('Parameter &lt;x, y&gt;'!S69-C69)/C69</f>
        <v>5.8743937217677455</v>
      </c>
    </row>
    <row r="70" spans="1:13" ht="12.75" customHeight="1">
      <c r="A70" s="13"/>
      <c r="B70" s="5">
        <f>MIN('Parameter &lt;x, y&gt;'!B70,'Parameter &lt;x, y&gt;'!G70,'Parameter &lt;x, y&gt;'!L70,'Parameter &lt;x, y&gt;'!Q70)</f>
        <v>10791.2</v>
      </c>
      <c r="C70" s="5">
        <f>MIN('Parameter &lt;x, y&gt;'!D70,'Parameter &lt;x, y&gt;'!I70,'Parameter &lt;x, y&gt;'!N70,'Parameter &lt;x, y&gt;'!S70)</f>
        <v>10362.799999999999</v>
      </c>
      <c r="E70" s="5">
        <f>100*('Parameter &lt;x, y&gt;'!B70-B70)/B70</f>
        <v>0.40125287271109117</v>
      </c>
      <c r="F70" s="5">
        <f>100*('Parameter &lt;x, y&gt;'!G70-B70)/B70</f>
        <v>1.3603677070205284</v>
      </c>
      <c r="G70" s="5">
        <f>100*('Parameter &lt;x, y&gt;'!L70-B70)/B70</f>
        <v>0</v>
      </c>
      <c r="H70" s="5">
        <f>100*('Parameter &lt;x, y&gt;'!Q70-B70)/B70</f>
        <v>2.1220994884720881</v>
      </c>
      <c r="J70" s="5">
        <f>100*('Parameter &lt;x, y&gt;'!D70-C70)/C70</f>
        <v>0</v>
      </c>
      <c r="K70" s="5">
        <f>100*('Parameter &lt;x, y&gt;'!I70-C70)/C70</f>
        <v>6.5059636391708882</v>
      </c>
      <c r="L70" s="5">
        <f>100*('Parameter &lt;x, y&gt;'!N70-C70)/C70</f>
        <v>0</v>
      </c>
      <c r="M70" s="5">
        <f>100*('Parameter &lt;x, y&gt;'!S70-C70)/C70</f>
        <v>14.191145250318451</v>
      </c>
    </row>
    <row r="71" spans="1:13" ht="12.75" customHeight="1">
      <c r="A71" s="13"/>
      <c r="B71" s="5">
        <f>MIN('Parameter &lt;x, y&gt;'!B71,'Parameter &lt;x, y&gt;'!G71,'Parameter &lt;x, y&gt;'!L71,'Parameter &lt;x, y&gt;'!Q71)</f>
        <v>12585.9</v>
      </c>
      <c r="C71" s="5">
        <f>MIN('Parameter &lt;x, y&gt;'!D71,'Parameter &lt;x, y&gt;'!I71,'Parameter &lt;x, y&gt;'!N71,'Parameter &lt;x, y&gt;'!S71)</f>
        <v>11923.6</v>
      </c>
      <c r="E71" s="5">
        <f>100*('Parameter &lt;x, y&gt;'!B71-B71)/B71</f>
        <v>6.4993365591654157</v>
      </c>
      <c r="F71" s="5">
        <f>100*('Parameter &lt;x, y&gt;'!G71-B71)/B71</f>
        <v>8.8074750315829622</v>
      </c>
      <c r="G71" s="5">
        <f>100*('Parameter &lt;x, y&gt;'!L71-B71)/B71</f>
        <v>0</v>
      </c>
      <c r="H71" s="5">
        <f>100*('Parameter &lt;x, y&gt;'!Q71-B71)/B71</f>
        <v>12.294710747741519</v>
      </c>
      <c r="J71" s="5">
        <f>100*('Parameter &lt;x, y&gt;'!D71-C71)/C71</f>
        <v>0</v>
      </c>
      <c r="K71" s="5">
        <f>100*('Parameter &lt;x, y&gt;'!I71-C71)/C71</f>
        <v>7.5103156764735477</v>
      </c>
      <c r="L71" s="5">
        <f>100*('Parameter &lt;x, y&gt;'!N71-C71)/C71</f>
        <v>0</v>
      </c>
      <c r="M71" s="5">
        <f>100*('Parameter &lt;x, y&gt;'!S71-C71)/C71</f>
        <v>0</v>
      </c>
    </row>
    <row r="72" spans="1:13" ht="12.75" customHeight="1">
      <c r="A72" s="13"/>
      <c r="B72" s="5">
        <f>MIN('Parameter &lt;x, y&gt;'!B72,'Parameter &lt;x, y&gt;'!G72,'Parameter &lt;x, y&gt;'!L72,'Parameter &lt;x, y&gt;'!Q72)</f>
        <v>6261.2</v>
      </c>
      <c r="C72" s="5">
        <f>MIN('Parameter &lt;x, y&gt;'!D72,'Parameter &lt;x, y&gt;'!I72,'Parameter &lt;x, y&gt;'!N72,'Parameter &lt;x, y&gt;'!S72)</f>
        <v>5805</v>
      </c>
      <c r="E72" s="5">
        <f>100*('Parameter &lt;x, y&gt;'!B72-B72)/B72</f>
        <v>11.258225260333491</v>
      </c>
      <c r="F72" s="5">
        <f>100*('Parameter &lt;x, y&gt;'!G72-B72)/B72</f>
        <v>12.644540982559253</v>
      </c>
      <c r="G72" s="5">
        <f>100*('Parameter &lt;x, y&gt;'!L72-B72)/B72</f>
        <v>16.731616942439153</v>
      </c>
      <c r="H72" s="5">
        <f>100*('Parameter &lt;x, y&gt;'!Q72-B72)/B72</f>
        <v>0</v>
      </c>
      <c r="J72" s="5">
        <f>100*('Parameter &lt;x, y&gt;'!D72-C72)/C72</f>
        <v>0</v>
      </c>
      <c r="K72" s="5">
        <f>100*('Parameter &lt;x, y&gt;'!I72-C72)/C72</f>
        <v>5.4470284237726068</v>
      </c>
      <c r="L72" s="5">
        <f>100*('Parameter &lt;x, y&gt;'!N72-C72)/C72</f>
        <v>0</v>
      </c>
      <c r="M72" s="5">
        <f>100*('Parameter &lt;x, y&gt;'!S72-C72)/C72</f>
        <v>36.05167958656331</v>
      </c>
    </row>
    <row r="73" spans="1:13" ht="12.75" customHeight="1">
      <c r="A73" s="13"/>
      <c r="B73" s="5">
        <f>MIN('Parameter &lt;x, y&gt;'!B73,'Parameter &lt;x, y&gt;'!G73,'Parameter &lt;x, y&gt;'!L73,'Parameter &lt;x, y&gt;'!Q73)</f>
        <v>10483.200000000001</v>
      </c>
      <c r="C73" s="5">
        <f>MIN('Parameter &lt;x, y&gt;'!D73,'Parameter &lt;x, y&gt;'!I73,'Parameter &lt;x, y&gt;'!N73,'Parameter &lt;x, y&gt;'!S73)</f>
        <v>10327.799999999999</v>
      </c>
      <c r="E73" s="5">
        <f>100*('Parameter &lt;x, y&gt;'!B73-B73)/B73</f>
        <v>0</v>
      </c>
      <c r="F73" s="5">
        <f>100*('Parameter &lt;x, y&gt;'!G73-B73)/B73</f>
        <v>9.9206349206345731E-2</v>
      </c>
      <c r="G73" s="5">
        <f>100*('Parameter &lt;x, y&gt;'!L73-B73)/B73</f>
        <v>11.392513736263728</v>
      </c>
      <c r="H73" s="5">
        <f>100*('Parameter &lt;x, y&gt;'!Q73-B73)/B73</f>
        <v>11.228441697191682</v>
      </c>
      <c r="J73" s="5">
        <f>100*('Parameter &lt;x, y&gt;'!D73-C73)/C73</f>
        <v>4.7347934700517058</v>
      </c>
      <c r="K73" s="5">
        <f>100*('Parameter &lt;x, y&gt;'!I73-C73)/C73</f>
        <v>0</v>
      </c>
      <c r="L73" s="5">
        <f>100*('Parameter &lt;x, y&gt;'!N73-C73)/C73</f>
        <v>0</v>
      </c>
      <c r="M73" s="5">
        <f>100*('Parameter &lt;x, y&gt;'!S73-C73)/C73</f>
        <v>23.948953310482402</v>
      </c>
    </row>
    <row r="74" spans="1:13" ht="12.75" customHeight="1">
      <c r="A74" s="13"/>
      <c r="B74" s="5">
        <f>MIN('Parameter &lt;x, y&gt;'!B74,'Parameter &lt;x, y&gt;'!G74,'Parameter &lt;x, y&gt;'!L74,'Parameter &lt;x, y&gt;'!Q74)</f>
        <v>9137</v>
      </c>
      <c r="C74" s="5">
        <f>MIN('Parameter &lt;x, y&gt;'!D74,'Parameter &lt;x, y&gt;'!I74,'Parameter &lt;x, y&gt;'!N74,'Parameter &lt;x, y&gt;'!S74)</f>
        <v>9581.6</v>
      </c>
      <c r="E74" s="5">
        <f>100*('Parameter &lt;x, y&gt;'!B74-B74)/B74</f>
        <v>13.359964977563759</v>
      </c>
      <c r="F74" s="5">
        <f>100*('Parameter &lt;x, y&gt;'!G74-B74)/B74</f>
        <v>11.214840757360191</v>
      </c>
      <c r="G74" s="5">
        <f>100*('Parameter &lt;x, y&gt;'!L74-B74)/B74</f>
        <v>10.07551712816023</v>
      </c>
      <c r="H74" s="5">
        <f>100*('Parameter &lt;x, y&gt;'!Q74-B74)/B74</f>
        <v>0</v>
      </c>
      <c r="J74" s="5">
        <f>100*('Parameter &lt;x, y&gt;'!D74-C74)/C74</f>
        <v>0.24108708357685943</v>
      </c>
      <c r="K74" s="5">
        <f>100*('Parameter &lt;x, y&gt;'!I74-C74)/C74</f>
        <v>2.7886783000751327</v>
      </c>
      <c r="L74" s="5">
        <f>100*('Parameter &lt;x, y&gt;'!N74-C74)/C74</f>
        <v>0</v>
      </c>
      <c r="M74" s="5">
        <f>100*('Parameter &lt;x, y&gt;'!S74-C74)/C74</f>
        <v>21.279327043500039</v>
      </c>
    </row>
    <row r="75" spans="1:13" ht="12.75" customHeight="1">
      <c r="A75" s="13"/>
      <c r="B75" s="5">
        <f>MIN('Parameter &lt;x, y&gt;'!B75,'Parameter &lt;x, y&gt;'!G75,'Parameter &lt;x, y&gt;'!L75,'Parameter &lt;x, y&gt;'!Q75)</f>
        <v>7065.9</v>
      </c>
      <c r="C75" s="5">
        <f>MIN('Parameter &lt;x, y&gt;'!D75,'Parameter &lt;x, y&gt;'!I75,'Parameter &lt;x, y&gt;'!N75,'Parameter &lt;x, y&gt;'!S75)</f>
        <v>6473.3</v>
      </c>
      <c r="E75" s="5">
        <f>100*('Parameter &lt;x, y&gt;'!B75-B75)/B75</f>
        <v>6.7620543738235774</v>
      </c>
      <c r="F75" s="5">
        <f>100*('Parameter &lt;x, y&gt;'!G75-B75)/B75</f>
        <v>0</v>
      </c>
      <c r="G75" s="5">
        <f>100*('Parameter &lt;x, y&gt;'!L75-B75)/B75</f>
        <v>4.9519523344513878</v>
      </c>
      <c r="H75" s="5">
        <f>100*('Parameter &lt;x, y&gt;'!Q75-B75)/B75</f>
        <v>35.843983073635357</v>
      </c>
      <c r="J75" s="5">
        <f>100*('Parameter &lt;x, y&gt;'!D75-C75)/C75</f>
        <v>0</v>
      </c>
      <c r="K75" s="5">
        <f>100*('Parameter &lt;x, y&gt;'!I75-C75)/C75</f>
        <v>0</v>
      </c>
      <c r="L75" s="5">
        <f>100*('Parameter &lt;x, y&gt;'!N75-C75)/C75</f>
        <v>34.415213260624412</v>
      </c>
      <c r="M75" s="5">
        <f>100*('Parameter &lt;x, y&gt;'!S75-C75)/C75</f>
        <v>50.593978341804018</v>
      </c>
    </row>
    <row r="76" spans="1:13" ht="12.75" customHeight="1">
      <c r="A76" s="13"/>
      <c r="B76" s="5">
        <f>MIN('Parameter &lt;x, y&gt;'!B76,'Parameter &lt;x, y&gt;'!G76,'Parameter &lt;x, y&gt;'!L76,'Parameter &lt;x, y&gt;'!Q76)</f>
        <v>10770.9</v>
      </c>
      <c r="C76" s="5">
        <f>MIN('Parameter &lt;x, y&gt;'!D76,'Parameter &lt;x, y&gt;'!I76,'Parameter &lt;x, y&gt;'!N76,'Parameter &lt;x, y&gt;'!S76)</f>
        <v>10483.4</v>
      </c>
      <c r="E76" s="5">
        <f>100*('Parameter &lt;x, y&gt;'!B76-B76)/B76</f>
        <v>42.49227084087682</v>
      </c>
      <c r="F76" s="5">
        <f>100*('Parameter &lt;x, y&gt;'!G76-B76)/B76</f>
        <v>0</v>
      </c>
      <c r="G76" s="5">
        <f>100*('Parameter &lt;x, y&gt;'!L76-B76)/B76</f>
        <v>6.4395732947107511</v>
      </c>
      <c r="H76" s="5">
        <f>100*('Parameter &lt;x, y&gt;'!Q76-B76)/B76</f>
        <v>21.637003407329008</v>
      </c>
      <c r="J76" s="5">
        <f>100*('Parameter &lt;x, y&gt;'!D76-C76)/C76</f>
        <v>5.0069633897399664</v>
      </c>
      <c r="K76" s="5">
        <f>100*('Parameter &lt;x, y&gt;'!I76-C76)/C76</f>
        <v>0</v>
      </c>
      <c r="L76" s="5">
        <f>100*('Parameter &lt;x, y&gt;'!N76-C76)/C76</f>
        <v>23.847225136883072</v>
      </c>
      <c r="M76" s="5">
        <f>100*('Parameter &lt;x, y&gt;'!S76-C76)/C76</f>
        <v>46.439132342560619</v>
      </c>
    </row>
    <row r="77" spans="1:13" ht="12.75" customHeight="1">
      <c r="A77" s="13"/>
      <c r="B77" s="5">
        <f>MIN('Parameter &lt;x, y&gt;'!B77,'Parameter &lt;x, y&gt;'!G77,'Parameter &lt;x, y&gt;'!L77,'Parameter &lt;x, y&gt;'!Q77)</f>
        <v>6825.1</v>
      </c>
      <c r="C77" s="5">
        <f>MIN('Parameter &lt;x, y&gt;'!D77,'Parameter &lt;x, y&gt;'!I77,'Parameter &lt;x, y&gt;'!N77,'Parameter &lt;x, y&gt;'!S77)</f>
        <v>6623.4</v>
      </c>
      <c r="E77" s="5">
        <f>100*('Parameter &lt;x, y&gt;'!B77-B77)/B77</f>
        <v>13.648151675433326</v>
      </c>
      <c r="F77" s="5">
        <f>100*('Parameter &lt;x, y&gt;'!G77-B77)/B77</f>
        <v>9.8240318823167421</v>
      </c>
      <c r="G77" s="5">
        <f>100*('Parameter &lt;x, y&gt;'!L77-B77)/B77</f>
        <v>0</v>
      </c>
      <c r="H77" s="5">
        <f>100*('Parameter &lt;x, y&gt;'!Q77-B77)/B77</f>
        <v>14.811504593339286</v>
      </c>
      <c r="J77" s="5">
        <f>100*('Parameter &lt;x, y&gt;'!D77-C77)/C77</f>
        <v>1.9853851496210406</v>
      </c>
      <c r="K77" s="5">
        <f>100*('Parameter &lt;x, y&gt;'!I77-C77)/C77</f>
        <v>21.316846332699228</v>
      </c>
      <c r="L77" s="5">
        <f>100*('Parameter &lt;x, y&gt;'!N77-C77)/C77</f>
        <v>0</v>
      </c>
      <c r="M77" s="5">
        <f>100*('Parameter &lt;x, y&gt;'!S77-C77)/C77</f>
        <v>19.961047196304019</v>
      </c>
    </row>
    <row r="78" spans="1:13" ht="12.75" customHeight="1">
      <c r="A78" s="13"/>
      <c r="B78" s="5">
        <f>MIN('Parameter &lt;x, y&gt;'!B78,'Parameter &lt;x, y&gt;'!G78,'Parameter &lt;x, y&gt;'!L78,'Parameter &lt;x, y&gt;'!Q78)</f>
        <v>12175.2</v>
      </c>
      <c r="C78" s="5">
        <f>MIN('Parameter &lt;x, y&gt;'!D78,'Parameter &lt;x, y&gt;'!I78,'Parameter &lt;x, y&gt;'!N78,'Parameter &lt;x, y&gt;'!S78)</f>
        <v>12247.1</v>
      </c>
      <c r="E78" s="5">
        <f>100*('Parameter &lt;x, y&gt;'!B78-B78)/B78</f>
        <v>8.496780340364019</v>
      </c>
      <c r="F78" s="5">
        <f>100*('Parameter &lt;x, y&gt;'!G78-B78)/B78</f>
        <v>0</v>
      </c>
      <c r="G78" s="5">
        <f>100*('Parameter &lt;x, y&gt;'!L78-B78)/B78</f>
        <v>14.653558052434445</v>
      </c>
      <c r="H78" s="5">
        <f>100*('Parameter &lt;x, y&gt;'!Q78-B78)/B78</f>
        <v>4.3416124581115589</v>
      </c>
      <c r="J78" s="5">
        <f>100*('Parameter &lt;x, y&gt;'!D78-C78)/C78</f>
        <v>11.431277608576725</v>
      </c>
      <c r="K78" s="5">
        <f>100*('Parameter &lt;x, y&gt;'!I78-C78)/C78</f>
        <v>23.692955883433619</v>
      </c>
      <c r="L78" s="5">
        <f>100*('Parameter &lt;x, y&gt;'!N78-C78)/C78</f>
        <v>0</v>
      </c>
      <c r="M78" s="5">
        <f>100*('Parameter &lt;x, y&gt;'!S78-C78)/C78</f>
        <v>2.5173306333744256</v>
      </c>
    </row>
    <row r="79" spans="1:13" ht="12.75" customHeight="1">
      <c r="A79" s="13"/>
      <c r="B79" s="5">
        <f>MIN('Parameter &lt;x, y&gt;'!B79,'Parameter &lt;x, y&gt;'!G79,'Parameter &lt;x, y&gt;'!L79,'Parameter &lt;x, y&gt;'!Q79)</f>
        <v>6655</v>
      </c>
      <c r="C79" s="5">
        <f>MIN('Parameter &lt;x, y&gt;'!D79,'Parameter &lt;x, y&gt;'!I79,'Parameter &lt;x, y&gt;'!N79,'Parameter &lt;x, y&gt;'!S79)</f>
        <v>6655</v>
      </c>
      <c r="E79" s="5">
        <f>100*('Parameter &lt;x, y&gt;'!B79-B79)/B79</f>
        <v>0</v>
      </c>
      <c r="F79" s="5">
        <f>100*('Parameter &lt;x, y&gt;'!G79-B79)/B79</f>
        <v>16.051089406461305</v>
      </c>
      <c r="G79" s="5">
        <f>100*('Parameter &lt;x, y&gt;'!L79-B79)/B79</f>
        <v>13.944402704733283</v>
      </c>
      <c r="H79" s="5">
        <f>100*('Parameter &lt;x, y&gt;'!Q79-B79)/B79</f>
        <v>28.069120961682945</v>
      </c>
      <c r="J79" s="5">
        <f>100*('Parameter &lt;x, y&gt;'!D79-C79)/C79</f>
        <v>0</v>
      </c>
      <c r="K79" s="5">
        <f>100*('Parameter &lt;x, y&gt;'!I79-C79)/C79</f>
        <v>11.435011269722013</v>
      </c>
      <c r="L79" s="5">
        <f>100*('Parameter &lt;x, y&gt;'!N79-C79)/C79</f>
        <v>9.6018031555221643</v>
      </c>
      <c r="M79" s="5">
        <f>100*('Parameter &lt;x, y&gt;'!S79-C79)/C79</f>
        <v>32.213373403456039</v>
      </c>
    </row>
    <row r="80" spans="1:13" ht="12.75" customHeight="1">
      <c r="A80" s="13"/>
      <c r="B80" s="5">
        <f>MIN('Parameter &lt;x, y&gt;'!B80,'Parameter &lt;x, y&gt;'!G80,'Parameter &lt;x, y&gt;'!L80,'Parameter &lt;x, y&gt;'!Q80)</f>
        <v>8431.2000000000007</v>
      </c>
      <c r="C80" s="5">
        <f>MIN('Parameter &lt;x, y&gt;'!D80,'Parameter &lt;x, y&gt;'!I80,'Parameter &lt;x, y&gt;'!N80,'Parameter &lt;x, y&gt;'!S80)</f>
        <v>8097.1</v>
      </c>
      <c r="E80" s="5">
        <f>100*('Parameter &lt;x, y&gt;'!B80-B80)/B80</f>
        <v>0</v>
      </c>
      <c r="F80" s="5">
        <f>100*('Parameter &lt;x, y&gt;'!G80-B80)/B80</f>
        <v>28.475187399183973</v>
      </c>
      <c r="G80" s="5">
        <f>100*('Parameter &lt;x, y&gt;'!L80-B80)/B80</f>
        <v>1.02713729955402</v>
      </c>
      <c r="H80" s="5">
        <f>100*('Parameter &lt;x, y&gt;'!Q80-B80)/B80</f>
        <v>0.533731853116994</v>
      </c>
      <c r="J80" s="5">
        <f>100*('Parameter &lt;x, y&gt;'!D80-C80)/C80</f>
        <v>1.8611601684553594</v>
      </c>
      <c r="K80" s="5">
        <f>100*('Parameter &lt;x, y&gt;'!I80-C80)/C80</f>
        <v>1.8611601684553594</v>
      </c>
      <c r="L80" s="5">
        <f>100*('Parameter &lt;x, y&gt;'!N80-C80)/C80</f>
        <v>0</v>
      </c>
      <c r="M80" s="5">
        <f>100*('Parameter &lt;x, y&gt;'!S80-C80)/C80</f>
        <v>5.195687344851847</v>
      </c>
    </row>
    <row r="81" spans="1:13" ht="12.75" customHeight="1">
      <c r="A81" s="13"/>
      <c r="B81" s="5">
        <f>MIN('Parameter &lt;x, y&gt;'!B81,'Parameter &lt;x, y&gt;'!G81,'Parameter &lt;x, y&gt;'!L81,'Parameter &lt;x, y&gt;'!Q81)</f>
        <v>9262.7000000000007</v>
      </c>
      <c r="C81" s="5">
        <f>MIN('Parameter &lt;x, y&gt;'!D81,'Parameter &lt;x, y&gt;'!I81,'Parameter &lt;x, y&gt;'!N81,'Parameter &lt;x, y&gt;'!S81)</f>
        <v>9005.2999999999993</v>
      </c>
      <c r="E81" s="5">
        <f>100*('Parameter &lt;x, y&gt;'!B81-B81)/B81</f>
        <v>7.9318125384606946</v>
      </c>
      <c r="F81" s="5">
        <f>100*('Parameter &lt;x, y&gt;'!G81-B81)/B81</f>
        <v>0</v>
      </c>
      <c r="G81" s="5">
        <f>100*('Parameter &lt;x, y&gt;'!L81-B81)/B81</f>
        <v>6.4408865665518533</v>
      </c>
      <c r="H81" s="5">
        <f>100*('Parameter &lt;x, y&gt;'!Q81-B81)/B81</f>
        <v>6.0900169497014751</v>
      </c>
      <c r="J81" s="5">
        <f>100*('Parameter &lt;x, y&gt;'!D81-C81)/C81</f>
        <v>4.4873574450601357</v>
      </c>
      <c r="K81" s="5">
        <f>100*('Parameter &lt;x, y&gt;'!I81-C81)/C81</f>
        <v>0</v>
      </c>
      <c r="L81" s="5">
        <f>100*('Parameter &lt;x, y&gt;'!N81-C81)/C81</f>
        <v>1.5712969029349384</v>
      </c>
      <c r="M81" s="5">
        <f>100*('Parameter &lt;x, y&gt;'!S81-C81)/C81</f>
        <v>19.053224212408264</v>
      </c>
    </row>
    <row r="82" spans="1:13" ht="12.75" customHeight="1">
      <c r="A82" s="13"/>
      <c r="B82" s="5">
        <f>MIN('Parameter &lt;x, y&gt;'!B82,'Parameter &lt;x, y&gt;'!G82,'Parameter &lt;x, y&gt;'!L82,'Parameter &lt;x, y&gt;'!Q82)</f>
        <v>10989.1</v>
      </c>
      <c r="C82" s="5">
        <f>MIN('Parameter &lt;x, y&gt;'!D82,'Parameter &lt;x, y&gt;'!I82,'Parameter &lt;x, y&gt;'!N82,'Parameter &lt;x, y&gt;'!S82)</f>
        <v>11004.2</v>
      </c>
      <c r="E82" s="5">
        <f>100*('Parameter &lt;x, y&gt;'!B82-B82)/B82</f>
        <v>0.25024797299141877</v>
      </c>
      <c r="F82" s="5">
        <f>100*('Parameter &lt;x, y&gt;'!G82-B82)/B82</f>
        <v>2.713598019856029</v>
      </c>
      <c r="G82" s="5">
        <f>100*('Parameter &lt;x, y&gt;'!L82-B82)/B82</f>
        <v>4.2414756440472861</v>
      </c>
      <c r="H82" s="5">
        <f>100*('Parameter &lt;x, y&gt;'!Q82-B82)/B82</f>
        <v>0</v>
      </c>
      <c r="J82" s="5">
        <f>100*('Parameter &lt;x, y&gt;'!D82-C82)/C82</f>
        <v>0</v>
      </c>
      <c r="K82" s="5">
        <f>100*('Parameter &lt;x, y&gt;'!I82-C82)/C82</f>
        <v>33.342723687319378</v>
      </c>
      <c r="L82" s="5">
        <f>100*('Parameter &lt;x, y&gt;'!N82-C82)/C82</f>
        <v>2.9007106377564829</v>
      </c>
      <c r="M82" s="5">
        <f>100*('Parameter &lt;x, y&gt;'!S82-C82)/C82</f>
        <v>27.586739608513099</v>
      </c>
    </row>
    <row r="83" spans="1:13" ht="12.75" customHeight="1">
      <c r="A83" s="13"/>
      <c r="B83" s="5">
        <f>MIN('Parameter &lt;x, y&gt;'!B83,'Parameter &lt;x, y&gt;'!G83,'Parameter &lt;x, y&gt;'!L83,'Parameter &lt;x, y&gt;'!Q83)</f>
        <v>8995.7999999999993</v>
      </c>
      <c r="C83" s="5">
        <f>MIN('Parameter &lt;x, y&gt;'!D83,'Parameter &lt;x, y&gt;'!I83,'Parameter &lt;x, y&gt;'!N83,'Parameter &lt;x, y&gt;'!S83)</f>
        <v>9035.7999999999993</v>
      </c>
      <c r="E83" s="5">
        <f>100*('Parameter &lt;x, y&gt;'!B83-B83)/B83</f>
        <v>21.548945063251743</v>
      </c>
      <c r="F83" s="5">
        <f>100*('Parameter &lt;x, y&gt;'!G83-B83)/B83</f>
        <v>13.030525356277384</v>
      </c>
      <c r="G83" s="5">
        <f>100*('Parameter &lt;x, y&gt;'!L83-B83)/B83</f>
        <v>0</v>
      </c>
      <c r="H83" s="5">
        <f>100*('Parameter &lt;x, y&gt;'!Q83-B83)/B83</f>
        <v>22.175904310900659</v>
      </c>
      <c r="J83" s="5">
        <f>100*('Parameter &lt;x, y&gt;'!D83-C83)/C83</f>
        <v>0</v>
      </c>
      <c r="K83" s="5">
        <f>100*('Parameter &lt;x, y&gt;'!I83-C83)/C83</f>
        <v>13.84382124438347</v>
      </c>
      <c r="L83" s="5">
        <f>100*('Parameter &lt;x, y&gt;'!N83-C83)/C83</f>
        <v>10.766063879235942</v>
      </c>
      <c r="M83" s="5">
        <f>100*('Parameter &lt;x, y&gt;'!S83-C83)/C83</f>
        <v>28.123685783217876</v>
      </c>
    </row>
    <row r="84" spans="1:13" ht="12.75" customHeight="1">
      <c r="A84" s="13"/>
      <c r="B84" s="5">
        <f>MIN('Parameter &lt;x, y&gt;'!B84,'Parameter &lt;x, y&gt;'!G84,'Parameter &lt;x, y&gt;'!L84,'Parameter &lt;x, y&gt;'!Q84)</f>
        <v>7374.1</v>
      </c>
      <c r="C84" s="5">
        <f>MIN('Parameter &lt;x, y&gt;'!D84,'Parameter &lt;x, y&gt;'!I84,'Parameter &lt;x, y&gt;'!N84,'Parameter &lt;x, y&gt;'!S84)</f>
        <v>7158.6</v>
      </c>
      <c r="E84" s="5">
        <f>100*('Parameter &lt;x, y&gt;'!B84-B84)/B84</f>
        <v>0</v>
      </c>
      <c r="F84" s="5">
        <f>100*('Parameter &lt;x, y&gt;'!G84-B84)/B84</f>
        <v>14.797738029047595</v>
      </c>
      <c r="G84" s="5">
        <f>100*('Parameter &lt;x, y&gt;'!L84-B84)/B84</f>
        <v>17.143787038418232</v>
      </c>
      <c r="H84" s="5">
        <f>100*('Parameter &lt;x, y&gt;'!Q84-B84)/B84</f>
        <v>6.5852103985571038</v>
      </c>
      <c r="J84" s="5">
        <f>100*('Parameter &lt;x, y&gt;'!D84-C84)/C84</f>
        <v>0</v>
      </c>
      <c r="K84" s="5">
        <f>100*('Parameter &lt;x, y&gt;'!I84-C84)/C84</f>
        <v>20.181320369904714</v>
      </c>
      <c r="L84" s="5">
        <f>100*('Parameter &lt;x, y&gt;'!N84-C84)/C84</f>
        <v>1.219512195121941</v>
      </c>
      <c r="M84" s="5">
        <f>100*('Parameter &lt;x, y&gt;'!S84-C84)/C84</f>
        <v>43.427485821249952</v>
      </c>
    </row>
    <row r="85" spans="1:13" ht="12.75" customHeight="1">
      <c r="A85" s="13"/>
      <c r="B85" s="5">
        <f>MIN('Parameter &lt;x, y&gt;'!B85,'Parameter &lt;x, y&gt;'!G85,'Parameter &lt;x, y&gt;'!L85,'Parameter &lt;x, y&gt;'!Q85)</f>
        <v>11392.8</v>
      </c>
      <c r="C85" s="5">
        <f>MIN('Parameter &lt;x, y&gt;'!D85,'Parameter &lt;x, y&gt;'!I85,'Parameter &lt;x, y&gt;'!N85,'Parameter &lt;x, y&gt;'!S85)</f>
        <v>10860.9</v>
      </c>
      <c r="E85" s="5">
        <f>100*('Parameter &lt;x, y&gt;'!B85-B85)/B85</f>
        <v>33.040165718699534</v>
      </c>
      <c r="F85" s="5">
        <f>100*('Parameter &lt;x, y&gt;'!G85-B85)/B85</f>
        <v>4.0832806684923879</v>
      </c>
      <c r="G85" s="5">
        <f>100*('Parameter &lt;x, y&gt;'!L85-B85)/B85</f>
        <v>0</v>
      </c>
      <c r="H85" s="5">
        <f>100*('Parameter &lt;x, y&gt;'!Q85-B85)/B85</f>
        <v>9.5639351169159497</v>
      </c>
      <c r="J85" s="5">
        <f>100*('Parameter &lt;x, y&gt;'!D85-C85)/C85</f>
        <v>30.026977506468164</v>
      </c>
      <c r="K85" s="5">
        <f>100*('Parameter &lt;x, y&gt;'!I85-C85)/C85</f>
        <v>17.725971144196158</v>
      </c>
      <c r="L85" s="5">
        <f>100*('Parameter &lt;x, y&gt;'!N85-C85)/C85</f>
        <v>0</v>
      </c>
      <c r="M85" s="5">
        <f>100*('Parameter &lt;x, y&gt;'!S85-C85)/C85</f>
        <v>19.801305600824982</v>
      </c>
    </row>
    <row r="86" spans="1:13" ht="12.75" customHeight="1">
      <c r="A86" s="13"/>
      <c r="B86" s="5">
        <f>MIN('Parameter &lt;x, y&gt;'!B86,'Parameter &lt;x, y&gt;'!G86,'Parameter &lt;x, y&gt;'!L86,'Parameter &lt;x, y&gt;'!Q86)</f>
        <v>9139.1</v>
      </c>
      <c r="C86" s="5">
        <f>MIN('Parameter &lt;x, y&gt;'!D86,'Parameter &lt;x, y&gt;'!I86,'Parameter &lt;x, y&gt;'!N86,'Parameter &lt;x, y&gt;'!S86)</f>
        <v>9449</v>
      </c>
      <c r="E86" s="5">
        <f>100*('Parameter &lt;x, y&gt;'!B86-B86)/B86</f>
        <v>0</v>
      </c>
      <c r="F86" s="5">
        <f>100*('Parameter &lt;x, y&gt;'!G86-B86)/B86</f>
        <v>0</v>
      </c>
      <c r="G86" s="5">
        <f>100*('Parameter &lt;x, y&gt;'!L86-B86)/B86</f>
        <v>6.7512118261097918</v>
      </c>
      <c r="H86" s="5">
        <f>100*('Parameter &lt;x, y&gt;'!Q86-B86)/B86</f>
        <v>40.456937772866027</v>
      </c>
      <c r="J86" s="5">
        <f>100*('Parameter &lt;x, y&gt;'!D86-C86)/C86</f>
        <v>0</v>
      </c>
      <c r="K86" s="5">
        <f>100*('Parameter &lt;x, y&gt;'!I86-C86)/C86</f>
        <v>2.5346597523547465</v>
      </c>
      <c r="L86" s="5">
        <f>100*('Parameter &lt;x, y&gt;'!N86-C86)/C86</f>
        <v>11.440364059688855</v>
      </c>
      <c r="M86" s="5">
        <f>100*('Parameter &lt;x, y&gt;'!S86-C86)/C86</f>
        <v>8.4188803047941576</v>
      </c>
    </row>
    <row r="87" spans="1:13" ht="12.75" customHeight="1">
      <c r="A87" s="13"/>
      <c r="B87" s="5">
        <f>MIN('Parameter &lt;x, y&gt;'!B87,'Parameter &lt;x, y&gt;'!G87,'Parameter &lt;x, y&gt;'!L87,'Parameter &lt;x, y&gt;'!Q87)</f>
        <v>10412.799999999999</v>
      </c>
      <c r="C87" s="5">
        <f>MIN('Parameter &lt;x, y&gt;'!D87,'Parameter &lt;x, y&gt;'!I87,'Parameter &lt;x, y&gt;'!N87,'Parameter &lt;x, y&gt;'!S87)</f>
        <v>12890.2</v>
      </c>
      <c r="E87" s="5">
        <f>100*('Parameter &lt;x, y&gt;'!B87-B87)/B87</f>
        <v>0.84127228027043999</v>
      </c>
      <c r="F87" s="5">
        <f>100*('Parameter &lt;x, y&gt;'!G87-B87)/B87</f>
        <v>3.0433696988322207</v>
      </c>
      <c r="G87" s="5">
        <f>100*('Parameter &lt;x, y&gt;'!L87-B87)/B87</f>
        <v>0</v>
      </c>
      <c r="H87" s="5">
        <f>100*('Parameter &lt;x, y&gt;'!Q87-B87)/B87</f>
        <v>27.68995851259989</v>
      </c>
      <c r="J87" s="5">
        <f>100*('Parameter &lt;x, y&gt;'!D87-C87)/C87</f>
        <v>2.8548820033824143</v>
      </c>
      <c r="K87" s="5">
        <f>100*('Parameter &lt;x, y&gt;'!I87-C87)/C87</f>
        <v>0</v>
      </c>
      <c r="L87" s="5">
        <f>100*('Parameter &lt;x, y&gt;'!N87-C87)/C87</f>
        <v>15.561434267893436</v>
      </c>
      <c r="M87" s="5">
        <f>100*('Parameter &lt;x, y&gt;'!S87-C87)/C87</f>
        <v>12.244961288420658</v>
      </c>
    </row>
    <row r="88" spans="1:13" ht="12.75" customHeight="1">
      <c r="A88" s="13"/>
      <c r="B88" s="5">
        <f>MIN('Parameter &lt;x, y&gt;'!B88,'Parameter &lt;x, y&gt;'!G88,'Parameter &lt;x, y&gt;'!L88,'Parameter &lt;x, y&gt;'!Q88)</f>
        <v>6345.3</v>
      </c>
      <c r="C88" s="5">
        <f>MIN('Parameter &lt;x, y&gt;'!D88,'Parameter &lt;x, y&gt;'!I88,'Parameter &lt;x, y&gt;'!N88,'Parameter &lt;x, y&gt;'!S88)</f>
        <v>6114.7</v>
      </c>
      <c r="E88" s="5">
        <f>100*('Parameter &lt;x, y&gt;'!B88-B88)/B88</f>
        <v>0</v>
      </c>
      <c r="F88" s="5">
        <f>100*('Parameter &lt;x, y&gt;'!G88-B88)/B88</f>
        <v>23.15572155768837</v>
      </c>
      <c r="G88" s="5">
        <f>100*('Parameter &lt;x, y&gt;'!L88-B88)/B88</f>
        <v>0.42078388728665023</v>
      </c>
      <c r="H88" s="5">
        <f>100*('Parameter &lt;x, y&gt;'!Q88-B88)/B88</f>
        <v>10.940381069452979</v>
      </c>
      <c r="J88" s="5">
        <f>100*('Parameter &lt;x, y&gt;'!D88-C88)/C88</f>
        <v>0</v>
      </c>
      <c r="K88" s="5">
        <f>100*('Parameter &lt;x, y&gt;'!I88-C88)/C88</f>
        <v>6.7280488004317558</v>
      </c>
      <c r="L88" s="5">
        <f>100*('Parameter &lt;x, y&gt;'!N88-C88)/C88</f>
        <v>7.099285328797821</v>
      </c>
      <c r="M88" s="5">
        <f>100*('Parameter &lt;x, y&gt;'!S88-C88)/C88</f>
        <v>7.5244901630497063</v>
      </c>
    </row>
    <row r="89" spans="1:13" ht="12.75" customHeight="1">
      <c r="A89" s="13"/>
      <c r="B89" s="5">
        <f>MIN('Parameter &lt;x, y&gt;'!B89,'Parameter &lt;x, y&gt;'!G89,'Parameter &lt;x, y&gt;'!L89,'Parameter &lt;x, y&gt;'!Q89)</f>
        <v>10189.700000000001</v>
      </c>
      <c r="C89" s="5">
        <f>MIN('Parameter &lt;x, y&gt;'!D89,'Parameter &lt;x, y&gt;'!I89,'Parameter &lt;x, y&gt;'!N89,'Parameter &lt;x, y&gt;'!S89)</f>
        <v>9853</v>
      </c>
      <c r="E89" s="5">
        <f>100*('Parameter &lt;x, y&gt;'!B89-B89)/B89</f>
        <v>0</v>
      </c>
      <c r="F89" s="5">
        <f>100*('Parameter &lt;x, y&gt;'!G89-B89)/B89</f>
        <v>3.0570085478473357</v>
      </c>
      <c r="G89" s="5">
        <f>100*('Parameter &lt;x, y&gt;'!L89-B89)/B89</f>
        <v>3.3317958330470963</v>
      </c>
      <c r="H89" s="5">
        <f>100*('Parameter &lt;x, y&gt;'!Q89-B89)/B89</f>
        <v>37.904943226984102</v>
      </c>
      <c r="J89" s="5">
        <f>100*('Parameter &lt;x, y&gt;'!D89-C89)/C89</f>
        <v>0</v>
      </c>
      <c r="K89" s="5">
        <f>100*('Parameter &lt;x, y&gt;'!I89-C89)/C89</f>
        <v>0</v>
      </c>
      <c r="L89" s="5">
        <f>100*('Parameter &lt;x, y&gt;'!N89-C89)/C89</f>
        <v>0</v>
      </c>
      <c r="M89" s="5">
        <f>100*('Parameter &lt;x, y&gt;'!S89-C89)/C89</f>
        <v>11.372170912412463</v>
      </c>
    </row>
    <row r="90" spans="1:13" ht="12.75" customHeight="1">
      <c r="A90" s="13"/>
      <c r="B90" s="5">
        <f>MIN('Parameter &lt;x, y&gt;'!B90,'Parameter &lt;x, y&gt;'!G90,'Parameter &lt;x, y&gt;'!L90,'Parameter &lt;x, y&gt;'!Q90)</f>
        <v>8115.7</v>
      </c>
      <c r="C90" s="5">
        <f>MIN('Parameter &lt;x, y&gt;'!D90,'Parameter &lt;x, y&gt;'!I90,'Parameter &lt;x, y&gt;'!N90,'Parameter &lt;x, y&gt;'!S90)</f>
        <v>7199.7</v>
      </c>
      <c r="E90" s="5">
        <f>100*('Parameter &lt;x, y&gt;'!B90-B90)/B90</f>
        <v>0</v>
      </c>
      <c r="F90" s="5">
        <f>100*('Parameter &lt;x, y&gt;'!G90-B90)/B90</f>
        <v>1.1015685646339879</v>
      </c>
      <c r="G90" s="5">
        <f>100*('Parameter &lt;x, y&gt;'!L90-B90)/B90</f>
        <v>1.2666806313688306</v>
      </c>
      <c r="H90" s="5">
        <f>100*('Parameter &lt;x, y&gt;'!Q90-B90)/B90</f>
        <v>24.594304865877263</v>
      </c>
      <c r="J90" s="5">
        <f>100*('Parameter &lt;x, y&gt;'!D90-C90)/C90</f>
        <v>0</v>
      </c>
      <c r="K90" s="5">
        <f>100*('Parameter &lt;x, y&gt;'!I90-C90)/C90</f>
        <v>0</v>
      </c>
      <c r="L90" s="5">
        <f>100*('Parameter &lt;x, y&gt;'!N90-C90)/C90</f>
        <v>0</v>
      </c>
      <c r="M90" s="5">
        <f>100*('Parameter &lt;x, y&gt;'!S90-C90)/C90</f>
        <v>46.350542383710426</v>
      </c>
    </row>
    <row r="91" spans="1:13" ht="12.75" customHeight="1">
      <c r="A91" s="13"/>
      <c r="B91" s="5">
        <f>MIN('Parameter &lt;x, y&gt;'!B91,'Parameter &lt;x, y&gt;'!G91,'Parameter &lt;x, y&gt;'!L91,'Parameter &lt;x, y&gt;'!Q91)</f>
        <v>10603.1</v>
      </c>
      <c r="C91" s="5">
        <f>MIN('Parameter &lt;x, y&gt;'!D91,'Parameter &lt;x, y&gt;'!I91,'Parameter &lt;x, y&gt;'!N91,'Parameter &lt;x, y&gt;'!S91)</f>
        <v>10406.1</v>
      </c>
      <c r="E91" s="5">
        <f>100*('Parameter &lt;x, y&gt;'!B91-B91)/B91</f>
        <v>0</v>
      </c>
      <c r="F91" s="5">
        <f>100*('Parameter &lt;x, y&gt;'!G91-B91)/B91</f>
        <v>1.9088757061614021</v>
      </c>
      <c r="G91" s="5">
        <f>100*('Parameter &lt;x, y&gt;'!L91-B91)/B91</f>
        <v>5.6851298205241791</v>
      </c>
      <c r="H91" s="5">
        <f>100*('Parameter &lt;x, y&gt;'!Q91-B91)/B91</f>
        <v>12.513321575765572</v>
      </c>
      <c r="J91" s="5">
        <f>100*('Parameter &lt;x, y&gt;'!D91-C91)/C91</f>
        <v>0</v>
      </c>
      <c r="K91" s="5">
        <f>100*('Parameter &lt;x, y&gt;'!I91-C91)/C91</f>
        <v>0</v>
      </c>
      <c r="L91" s="5">
        <f>100*('Parameter &lt;x, y&gt;'!N91-C91)/C91</f>
        <v>0</v>
      </c>
      <c r="M91" s="5">
        <f>100*('Parameter &lt;x, y&gt;'!S91-C91)/C91</f>
        <v>17.287936883174293</v>
      </c>
    </row>
    <row r="92" spans="1:13" ht="12.75" customHeight="1">
      <c r="A92" s="13"/>
      <c r="B92" s="5">
        <f>MIN('Parameter &lt;x, y&gt;'!B92,'Parameter &lt;x, y&gt;'!G92,'Parameter &lt;x, y&gt;'!L92,'Parameter &lt;x, y&gt;'!Q92)</f>
        <v>9920.6</v>
      </c>
      <c r="C92" s="5">
        <f>MIN('Parameter &lt;x, y&gt;'!D92,'Parameter &lt;x, y&gt;'!I92,'Parameter &lt;x, y&gt;'!N92,'Parameter &lt;x, y&gt;'!S92)</f>
        <v>8923.1</v>
      </c>
      <c r="E92" s="5">
        <f>100*('Parameter &lt;x, y&gt;'!B92-B92)/B92</f>
        <v>0</v>
      </c>
      <c r="F92" s="5">
        <f>100*('Parameter &lt;x, y&gt;'!G92-B92)/B92</f>
        <v>12.292603269963509</v>
      </c>
      <c r="G92" s="5">
        <f>100*('Parameter &lt;x, y&gt;'!L92-B92)/B92</f>
        <v>24.951111827913628</v>
      </c>
      <c r="H92" s="5">
        <f>100*('Parameter &lt;x, y&gt;'!Q92-B92)/B92</f>
        <v>5.9482289377658644</v>
      </c>
      <c r="J92" s="5">
        <f>100*('Parameter &lt;x, y&gt;'!D92-C92)/C92</f>
        <v>2.483441853167625</v>
      </c>
      <c r="K92" s="5">
        <f>100*('Parameter &lt;x, y&gt;'!I92-C92)/C92</f>
        <v>42.106442828165086</v>
      </c>
      <c r="L92" s="5">
        <f>100*('Parameter &lt;x, y&gt;'!N92-C92)/C92</f>
        <v>0</v>
      </c>
      <c r="M92" s="5">
        <f>100*('Parameter &lt;x, y&gt;'!S92-C92)/C92</f>
        <v>104.92541829633198</v>
      </c>
    </row>
    <row r="93" spans="1:13" ht="12.75" customHeight="1">
      <c r="A93" s="13"/>
      <c r="B93" s="5">
        <f>MIN('Parameter &lt;x, y&gt;'!B93,'Parameter &lt;x, y&gt;'!G93,'Parameter &lt;x, y&gt;'!L93,'Parameter &lt;x, y&gt;'!Q93)</f>
        <v>7728.8</v>
      </c>
      <c r="C93" s="5">
        <f>MIN('Parameter &lt;x, y&gt;'!D93,'Parameter &lt;x, y&gt;'!I93,'Parameter &lt;x, y&gt;'!N93,'Parameter &lt;x, y&gt;'!S93)</f>
        <v>7568.6</v>
      </c>
      <c r="E93" s="5">
        <f>100*('Parameter &lt;x, y&gt;'!B93-B93)/B93</f>
        <v>5.0434737604802837</v>
      </c>
      <c r="F93" s="5">
        <f>100*('Parameter &lt;x, y&gt;'!G93-B93)/B93</f>
        <v>16.554963254321486</v>
      </c>
      <c r="G93" s="5">
        <f>100*('Parameter &lt;x, y&gt;'!L93-B93)/B93</f>
        <v>0</v>
      </c>
      <c r="H93" s="5">
        <f>100*('Parameter &lt;x, y&gt;'!Q93-B93)/B93</f>
        <v>19.000362281337324</v>
      </c>
      <c r="J93" s="5">
        <f>100*('Parameter &lt;x, y&gt;'!D93-C93)/C93</f>
        <v>5.3550194223502263</v>
      </c>
      <c r="K93" s="5">
        <f>100*('Parameter &lt;x, y&gt;'!I93-C93)/C93</f>
        <v>12.434267896308436</v>
      </c>
      <c r="L93" s="5">
        <f>100*('Parameter &lt;x, y&gt;'!N93-C93)/C93</f>
        <v>0</v>
      </c>
      <c r="M93" s="5">
        <f>100*('Parameter &lt;x, y&gt;'!S93-C93)/C93</f>
        <v>11.68776259810269</v>
      </c>
    </row>
    <row r="94" spans="1:13" ht="12.75" customHeight="1">
      <c r="A94" s="13"/>
      <c r="B94" s="5">
        <f>MIN('Parameter &lt;x, y&gt;'!B94,'Parameter &lt;x, y&gt;'!G94,'Parameter &lt;x, y&gt;'!L94,'Parameter &lt;x, y&gt;'!Q94)</f>
        <v>9712.5</v>
      </c>
      <c r="C94" s="5">
        <f>MIN('Parameter &lt;x, y&gt;'!D94,'Parameter &lt;x, y&gt;'!I94,'Parameter &lt;x, y&gt;'!N94,'Parameter &lt;x, y&gt;'!S94)</f>
        <v>9650.2000000000007</v>
      </c>
      <c r="E94" s="5">
        <f>100*('Parameter &lt;x, y&gt;'!B94-B94)/B94</f>
        <v>0</v>
      </c>
      <c r="F94" s="5">
        <f>100*('Parameter &lt;x, y&gt;'!G94-B94)/B94</f>
        <v>3.7333333333333369</v>
      </c>
      <c r="G94" s="5">
        <f>100*('Parameter &lt;x, y&gt;'!L94-B94)/B94</f>
        <v>3.7333333333333369</v>
      </c>
      <c r="H94" s="5">
        <f>100*('Parameter &lt;x, y&gt;'!Q94-B94)/B94</f>
        <v>20.874131274131273</v>
      </c>
      <c r="J94" s="5">
        <f>100*('Parameter &lt;x, y&gt;'!D94-C94)/C94</f>
        <v>0</v>
      </c>
      <c r="K94" s="5">
        <f>100*('Parameter &lt;x, y&gt;'!I94-C94)/C94</f>
        <v>0</v>
      </c>
      <c r="L94" s="5">
        <f>100*('Parameter &lt;x, y&gt;'!N94-C94)/C94</f>
        <v>3.8817848334749385</v>
      </c>
      <c r="M94" s="5">
        <f>100*('Parameter &lt;x, y&gt;'!S94-C94)/C94</f>
        <v>12.313734430374492</v>
      </c>
    </row>
    <row r="95" spans="1:13" ht="12.75" customHeight="1">
      <c r="A95" s="13"/>
      <c r="B95" s="5">
        <f>MIN('Parameter &lt;x, y&gt;'!B95,'Parameter &lt;x, y&gt;'!G95,'Parameter &lt;x, y&gt;'!L95,'Parameter &lt;x, y&gt;'!Q95)</f>
        <v>10463</v>
      </c>
      <c r="C95" s="5">
        <f>MIN('Parameter &lt;x, y&gt;'!D95,'Parameter &lt;x, y&gt;'!I95,'Parameter &lt;x, y&gt;'!N95,'Parameter &lt;x, y&gt;'!S95)</f>
        <v>10015.799999999999</v>
      </c>
      <c r="E95" s="5">
        <f>100*('Parameter &lt;x, y&gt;'!B95-B95)/B95</f>
        <v>11.7413743668164</v>
      </c>
      <c r="F95" s="5">
        <f>100*('Parameter &lt;x, y&gt;'!G95-B95)/B95</f>
        <v>13.775207875370347</v>
      </c>
      <c r="G95" s="5">
        <f>100*('Parameter &lt;x, y&gt;'!L95-B95)/B95</f>
        <v>9.7266558348466088</v>
      </c>
      <c r="H95" s="5">
        <f>100*('Parameter &lt;x, y&gt;'!Q95-B95)/B95</f>
        <v>0</v>
      </c>
      <c r="J95" s="5">
        <f>100*('Parameter &lt;x, y&gt;'!D95-C95)/C95</f>
        <v>15.910860839873004</v>
      </c>
      <c r="K95" s="5">
        <f>100*('Parameter &lt;x, y&gt;'!I95-C95)/C95</f>
        <v>10.85385091555343</v>
      </c>
      <c r="L95" s="5">
        <f>100*('Parameter &lt;x, y&gt;'!N95-C95)/C95</f>
        <v>12.98248766948223</v>
      </c>
      <c r="M95" s="5">
        <f>100*('Parameter &lt;x, y&gt;'!S95-C95)/C95</f>
        <v>0</v>
      </c>
    </row>
    <row r="96" spans="1:13" ht="12.75" customHeight="1">
      <c r="A96" s="13"/>
      <c r="B96" s="5">
        <f>MIN('Parameter &lt;x, y&gt;'!B96,'Parameter &lt;x, y&gt;'!G96,'Parameter &lt;x, y&gt;'!L96,'Parameter &lt;x, y&gt;'!Q96)</f>
        <v>8425.1</v>
      </c>
      <c r="C96" s="5">
        <f>MIN('Parameter &lt;x, y&gt;'!D96,'Parameter &lt;x, y&gt;'!I96,'Parameter &lt;x, y&gt;'!N96,'Parameter &lt;x, y&gt;'!S96)</f>
        <v>6885.5</v>
      </c>
      <c r="E96" s="5">
        <f>100*('Parameter &lt;x, y&gt;'!B96-B96)/B96</f>
        <v>8.7512314393894339</v>
      </c>
      <c r="F96" s="5">
        <f>100*('Parameter &lt;x, y&gt;'!G96-B96)/B96</f>
        <v>0</v>
      </c>
      <c r="G96" s="5">
        <f>100*('Parameter &lt;x, y&gt;'!L96-B96)/B96</f>
        <v>16.56360161897188</v>
      </c>
      <c r="H96" s="5">
        <f>100*('Parameter &lt;x, y&gt;'!Q96-B96)/B96</f>
        <v>6.1637250596432001</v>
      </c>
      <c r="J96" s="5">
        <f>100*('Parameter &lt;x, y&gt;'!D96-C96)/C96</f>
        <v>0.68840316607362773</v>
      </c>
      <c r="K96" s="5">
        <f>100*('Parameter &lt;x, y&gt;'!I96-C96)/C96</f>
        <v>19.523636627695875</v>
      </c>
      <c r="L96" s="5">
        <f>100*('Parameter &lt;x, y&gt;'!N96-C96)/C96</f>
        <v>0</v>
      </c>
      <c r="M96" s="5">
        <f>100*('Parameter &lt;x, y&gt;'!S96-C96)/C96</f>
        <v>23.90240360177183</v>
      </c>
    </row>
    <row r="97" spans="1:13" ht="12.75" customHeight="1">
      <c r="A97" s="13"/>
      <c r="B97" s="5">
        <f>MIN('Parameter &lt;x, y&gt;'!B97,'Parameter &lt;x, y&gt;'!G97,'Parameter &lt;x, y&gt;'!L97,'Parameter &lt;x, y&gt;'!Q97)</f>
        <v>13479</v>
      </c>
      <c r="C97" s="5">
        <f>MIN('Parameter &lt;x, y&gt;'!D97,'Parameter &lt;x, y&gt;'!I97,'Parameter &lt;x, y&gt;'!N97,'Parameter &lt;x, y&gt;'!S97)</f>
        <v>14230.6</v>
      </c>
      <c r="E97" s="5">
        <f>100*('Parameter &lt;x, y&gt;'!B97-B97)/B97</f>
        <v>0</v>
      </c>
      <c r="F97" s="5">
        <f>100*('Parameter &lt;x, y&gt;'!G97-B97)/B97</f>
        <v>1.1655167297277274</v>
      </c>
      <c r="G97" s="5">
        <f>100*('Parameter &lt;x, y&gt;'!L97-B97)/B97</f>
        <v>0.7760219600860625</v>
      </c>
      <c r="H97" s="5">
        <f>100*('Parameter &lt;x, y&gt;'!Q97-B97)/B97</f>
        <v>2.6641442243489899</v>
      </c>
      <c r="J97" s="5">
        <f>100*('Parameter &lt;x, y&gt;'!D97-C97)/C97</f>
        <v>33.352775005973051</v>
      </c>
      <c r="K97" s="5">
        <f>100*('Parameter &lt;x, y&gt;'!I97-C97)/C97</f>
        <v>42.706561915871433</v>
      </c>
      <c r="L97" s="5">
        <f>100*('Parameter &lt;x, y&gt;'!N97-C97)/C97</f>
        <v>0</v>
      </c>
      <c r="M97" s="5">
        <f>100*('Parameter &lt;x, y&gt;'!S97-C97)/C97</f>
        <v>1.5087206442454915</v>
      </c>
    </row>
    <row r="98" spans="1:13" ht="12.75" customHeight="1">
      <c r="A98" s="13"/>
      <c r="B98" s="5">
        <f>MIN('Parameter &lt;x, y&gt;'!B98,'Parameter &lt;x, y&gt;'!G98,'Parameter &lt;x, y&gt;'!L98,'Parameter &lt;x, y&gt;'!Q98)</f>
        <v>9576.2999999999993</v>
      </c>
      <c r="C98" s="5">
        <f>MIN('Parameter &lt;x, y&gt;'!D98,'Parameter &lt;x, y&gt;'!I98,'Parameter &lt;x, y&gt;'!N98,'Parameter &lt;x, y&gt;'!S98)</f>
        <v>9018</v>
      </c>
      <c r="E98" s="5">
        <f>100*('Parameter &lt;x, y&gt;'!B98-B98)/B98</f>
        <v>1.0170942848490696</v>
      </c>
      <c r="F98" s="5">
        <f>100*('Parameter &lt;x, y&gt;'!G98-B98)/B98</f>
        <v>2.4738155655107033</v>
      </c>
      <c r="G98" s="5">
        <f>100*('Parameter &lt;x, y&gt;'!L98-B98)/B98</f>
        <v>0</v>
      </c>
      <c r="H98" s="5">
        <f>100*('Parameter &lt;x, y&gt;'!Q98-B98)/B98</f>
        <v>22.535843697461445</v>
      </c>
      <c r="J98" s="5">
        <f>100*('Parameter &lt;x, y&gt;'!D98-C98)/C98</f>
        <v>0</v>
      </c>
      <c r="K98" s="5">
        <f>100*('Parameter &lt;x, y&gt;'!I98-C98)/C98</f>
        <v>1.6821911732091452</v>
      </c>
      <c r="L98" s="5">
        <f>100*('Parameter &lt;x, y&gt;'!N98-C98)/C98</f>
        <v>1.6821911732091452</v>
      </c>
      <c r="M98" s="5">
        <f>100*('Parameter &lt;x, y&gt;'!S98-C98)/C98</f>
        <v>48.015080949212688</v>
      </c>
    </row>
    <row r="99" spans="1:13" ht="12.75" customHeight="1">
      <c r="A99" s="13"/>
      <c r="B99" s="5">
        <f>MIN('Parameter &lt;x, y&gt;'!B99,'Parameter &lt;x, y&gt;'!G99,'Parameter &lt;x, y&gt;'!L99,'Parameter &lt;x, y&gt;'!Q99)</f>
        <v>8992.2999999999993</v>
      </c>
      <c r="C99" s="5">
        <f>MIN('Parameter &lt;x, y&gt;'!D99,'Parameter &lt;x, y&gt;'!I99,'Parameter &lt;x, y&gt;'!N99,'Parameter &lt;x, y&gt;'!S99)</f>
        <v>8610.7999999999993</v>
      </c>
      <c r="E99" s="5">
        <f>100*('Parameter &lt;x, y&gt;'!B99-B99)/B99</f>
        <v>0</v>
      </c>
      <c r="F99" s="5">
        <f>100*('Parameter &lt;x, y&gt;'!G99-B99)/B99</f>
        <v>3.7209612668616527</v>
      </c>
      <c r="G99" s="5">
        <f>100*('Parameter &lt;x, y&gt;'!L99-B99)/B99</f>
        <v>7.9846090544132204</v>
      </c>
      <c r="H99" s="5">
        <f>100*('Parameter &lt;x, y&gt;'!Q99-B99)/B99</f>
        <v>13.232432191986495</v>
      </c>
      <c r="J99" s="5">
        <f>100*('Parameter &lt;x, y&gt;'!D99-C99)/C99</f>
        <v>2.2471779625586477</v>
      </c>
      <c r="K99" s="5">
        <f>100*('Parameter &lt;x, y&gt;'!I99-C99)/C99</f>
        <v>9.4346634459051604</v>
      </c>
      <c r="L99" s="5">
        <f>100*('Parameter &lt;x, y&gt;'!N99-C99)/C99</f>
        <v>0</v>
      </c>
      <c r="M99" s="5">
        <f>100*('Parameter &lt;x, y&gt;'!S99-C99)/C99</f>
        <v>16.077484089747777</v>
      </c>
    </row>
    <row r="100" spans="1:13" ht="12.75" customHeight="1">
      <c r="A100" s="13"/>
      <c r="B100" s="5">
        <f>MIN('Parameter &lt;x, y&gt;'!B100,'Parameter &lt;x, y&gt;'!G100,'Parameter &lt;x, y&gt;'!L100,'Parameter &lt;x, y&gt;'!Q100)</f>
        <v>9183.7000000000007</v>
      </c>
      <c r="C100" s="5">
        <f>MIN('Parameter &lt;x, y&gt;'!D100,'Parameter &lt;x, y&gt;'!I100,'Parameter &lt;x, y&gt;'!N100,'Parameter &lt;x, y&gt;'!S100)</f>
        <v>9183.7000000000007</v>
      </c>
      <c r="E100" s="5">
        <f>100*('Parameter &lt;x, y&gt;'!B100-B100)/B100</f>
        <v>11.525855591972734</v>
      </c>
      <c r="F100" s="5">
        <f>100*('Parameter &lt;x, y&gt;'!G100-B100)/B100</f>
        <v>8.7785968618312751</v>
      </c>
      <c r="G100" s="5">
        <f>100*('Parameter &lt;x, y&gt;'!L100-B100)/B100</f>
        <v>0</v>
      </c>
      <c r="H100" s="5">
        <f>100*('Parameter &lt;x, y&gt;'!Q100-B100)/B100</f>
        <v>27.995252458159563</v>
      </c>
      <c r="J100" s="5">
        <f>100*('Parameter &lt;x, y&gt;'!D100-C100)/C100</f>
        <v>0</v>
      </c>
      <c r="K100" s="5">
        <f>100*('Parameter &lt;x, y&gt;'!I100-C100)/C100</f>
        <v>0</v>
      </c>
      <c r="L100" s="5">
        <f>100*('Parameter &lt;x, y&gt;'!N100-C100)/C100</f>
        <v>7.4915339133464718</v>
      </c>
      <c r="M100" s="5">
        <f>100*('Parameter &lt;x, y&gt;'!S100-C100)/C100</f>
        <v>24.842928231540661</v>
      </c>
    </row>
    <row r="101" spans="1:13" ht="12.75" customHeight="1">
      <c r="A101" s="13"/>
      <c r="B101" s="5">
        <f>MIN('Parameter &lt;x, y&gt;'!B101,'Parameter &lt;x, y&gt;'!G101,'Parameter &lt;x, y&gt;'!L101,'Parameter &lt;x, y&gt;'!Q101)</f>
        <v>7907.2</v>
      </c>
      <c r="C101" s="5">
        <f>MIN('Parameter &lt;x, y&gt;'!D101,'Parameter &lt;x, y&gt;'!I101,'Parameter &lt;x, y&gt;'!N101,'Parameter &lt;x, y&gt;'!S101)</f>
        <v>7651.4</v>
      </c>
      <c r="E101" s="5">
        <f>100*('Parameter &lt;x, y&gt;'!B101-B101)/B101</f>
        <v>7.9079825981384078</v>
      </c>
      <c r="F101" s="5">
        <f>100*('Parameter &lt;x, y&gt;'!G101-B101)/B101</f>
        <v>0</v>
      </c>
      <c r="G101" s="5">
        <f>100*('Parameter &lt;x, y&gt;'!L101-B101)/B101</f>
        <v>5.9022157021448791</v>
      </c>
      <c r="H101" s="5">
        <f>100*('Parameter &lt;x, y&gt;'!Q101-B101)/B101</f>
        <v>4.6223694860380524</v>
      </c>
      <c r="J101" s="5">
        <f>100*('Parameter &lt;x, y&gt;'!D101-C101)/C101</f>
        <v>7.4744491204224017</v>
      </c>
      <c r="K101" s="5">
        <f>100*('Parameter &lt;x, y&gt;'!I101-C101)/C101</f>
        <v>21.869200407768528</v>
      </c>
      <c r="L101" s="5">
        <f>100*('Parameter &lt;x, y&gt;'!N101-C101)/C101</f>
        <v>0</v>
      </c>
      <c r="M101" s="5">
        <f>100*('Parameter &lt;x, y&gt;'!S101-C101)/C101</f>
        <v>0</v>
      </c>
    </row>
    <row r="102" spans="1:13" ht="12.75" customHeight="1">
      <c r="A102" s="13"/>
      <c r="B102" s="5">
        <f>MIN('Parameter &lt;x, y&gt;'!B102,'Parameter &lt;x, y&gt;'!G102,'Parameter &lt;x, y&gt;'!L102,'Parameter &lt;x, y&gt;'!Q102)</f>
        <v>10135.6</v>
      </c>
      <c r="C102" s="5">
        <f>MIN('Parameter &lt;x, y&gt;'!D102,'Parameter &lt;x, y&gt;'!I102,'Parameter &lt;x, y&gt;'!N102,'Parameter &lt;x, y&gt;'!S102)</f>
        <v>10283.799999999999</v>
      </c>
      <c r="E102" s="5">
        <f>100*('Parameter &lt;x, y&gt;'!B102-B102)/B102</f>
        <v>0</v>
      </c>
      <c r="F102" s="5">
        <f>100*('Parameter &lt;x, y&gt;'!G102-B102)/B102</f>
        <v>7.3700619598247759</v>
      </c>
      <c r="G102" s="5">
        <f>100*('Parameter &lt;x, y&gt;'!L102-B102)/B102</f>
        <v>24.827341252614541</v>
      </c>
      <c r="H102" s="5">
        <f>100*('Parameter &lt;x, y&gt;'!Q102-B102)/B102</f>
        <v>10.342752279095459</v>
      </c>
      <c r="J102" s="5">
        <f>100*('Parameter &lt;x, y&gt;'!D102-C102)/C102</f>
        <v>0</v>
      </c>
      <c r="K102" s="5">
        <f>100*('Parameter &lt;x, y&gt;'!I102-C102)/C102</f>
        <v>24.156440226375473</v>
      </c>
      <c r="L102" s="5">
        <f>100*('Parameter &lt;x, y&gt;'!N102-C102)/C102</f>
        <v>24.156440226375473</v>
      </c>
      <c r="M102" s="5">
        <f>100*('Parameter &lt;x, y&gt;'!S102-C102)/C102</f>
        <v>9.8679476458118707</v>
      </c>
    </row>
    <row r="103" spans="1:13" ht="12.75" customHeight="1">
      <c r="A103" s="13"/>
      <c r="B103" s="5">
        <f>MIN('Parameter &lt;x, y&gt;'!B103,'Parameter &lt;x, y&gt;'!G103,'Parameter &lt;x, y&gt;'!L103,'Parameter &lt;x, y&gt;'!Q103)</f>
        <v>10437.6</v>
      </c>
      <c r="C103" s="5">
        <f>MIN('Parameter &lt;x, y&gt;'!D103,'Parameter &lt;x, y&gt;'!I103,'Parameter &lt;x, y&gt;'!N103,'Parameter &lt;x, y&gt;'!S103)</f>
        <v>10072.299999999999</v>
      </c>
      <c r="E103" s="5">
        <f>100*('Parameter &lt;x, y&gt;'!B103-B103)/B103</f>
        <v>2.3712347666130142</v>
      </c>
      <c r="F103" s="5">
        <f>100*('Parameter &lt;x, y&gt;'!G103-B103)/B103</f>
        <v>0</v>
      </c>
      <c r="G103" s="5">
        <f>100*('Parameter &lt;x, y&gt;'!L103-B103)/B103</f>
        <v>2.6883574768145966</v>
      </c>
      <c r="H103" s="5">
        <f>100*('Parameter &lt;x, y&gt;'!Q103-B103)/B103</f>
        <v>3.8093048210316582</v>
      </c>
      <c r="J103" s="5">
        <f>100*('Parameter &lt;x, y&gt;'!D103-C103)/C103</f>
        <v>2.5714087149906182</v>
      </c>
      <c r="K103" s="5">
        <f>100*('Parameter &lt;x, y&gt;'!I103-C103)/C103</f>
        <v>3.3051040973759864</v>
      </c>
      <c r="L103" s="5">
        <f>100*('Parameter &lt;x, y&gt;'!N103-C103)/C103</f>
        <v>0</v>
      </c>
      <c r="M103" s="5">
        <f>100*('Parameter &lt;x, y&gt;'!S103-C103)/C103</f>
        <v>8.2632566543887815</v>
      </c>
    </row>
    <row r="104" spans="1:13" ht="12.75" customHeight="1">
      <c r="A104" s="13"/>
      <c r="B104" s="5">
        <f>MIN('Parameter &lt;x, y&gt;'!B104,'Parameter &lt;x, y&gt;'!G104,'Parameter &lt;x, y&gt;'!L104,'Parameter &lt;x, y&gt;'!Q104)</f>
        <v>9080.5</v>
      </c>
      <c r="C104" s="5">
        <f>MIN('Parameter &lt;x, y&gt;'!D104,'Parameter &lt;x, y&gt;'!I104,'Parameter &lt;x, y&gt;'!N104,'Parameter &lt;x, y&gt;'!S104)</f>
        <v>8725.6</v>
      </c>
      <c r="E104" s="5">
        <f>100*('Parameter &lt;x, y&gt;'!B104-B104)/B104</f>
        <v>0</v>
      </c>
      <c r="F104" s="5">
        <f>100*('Parameter &lt;x, y&gt;'!G104-B104)/B104</f>
        <v>6.1560486757337154</v>
      </c>
      <c r="G104" s="5">
        <f>100*('Parameter &lt;x, y&gt;'!L104-B104)/B104</f>
        <v>8.9730741699245549</v>
      </c>
      <c r="H104" s="5">
        <f>100*('Parameter &lt;x, y&gt;'!Q104-B104)/B104</f>
        <v>12.417818402070374</v>
      </c>
      <c r="J104" s="5">
        <f>100*('Parameter &lt;x, y&gt;'!D104-C104)/C104</f>
        <v>8.4303658201155258</v>
      </c>
      <c r="K104" s="5">
        <f>100*('Parameter &lt;x, y&gt;'!I104-C104)/C104</f>
        <v>0</v>
      </c>
      <c r="L104" s="5">
        <f>100*('Parameter &lt;x, y&gt;'!N104-C104)/C104</f>
        <v>6.5405244338498081</v>
      </c>
      <c r="M104" s="5">
        <f>100*('Parameter &lt;x, y&gt;'!S104-C104)/C104</f>
        <v>33.30888420280553</v>
      </c>
    </row>
    <row r="105" spans="1:13" ht="12.75" customHeight="1">
      <c r="A105" s="13"/>
      <c r="B105" s="5">
        <f>MIN('Parameter &lt;x, y&gt;'!B105,'Parameter &lt;x, y&gt;'!G105,'Parameter &lt;x, y&gt;'!L105,'Parameter &lt;x, y&gt;'!Q105)</f>
        <v>12269.3</v>
      </c>
      <c r="C105" s="5">
        <f>MIN('Parameter &lt;x, y&gt;'!D105,'Parameter &lt;x, y&gt;'!I105,'Parameter &lt;x, y&gt;'!N105,'Parameter &lt;x, y&gt;'!S105)</f>
        <v>11582.7</v>
      </c>
      <c r="E105" s="5">
        <f>100*('Parameter &lt;x, y&gt;'!B105-B105)/B105</f>
        <v>0</v>
      </c>
      <c r="F105" s="5">
        <f>100*('Parameter &lt;x, y&gt;'!G105-B105)/B105</f>
        <v>0.40996633874794075</v>
      </c>
      <c r="G105" s="5">
        <f>100*('Parameter &lt;x, y&gt;'!L105-B105)/B105</f>
        <v>3.8437400666704735</v>
      </c>
      <c r="H105" s="5">
        <f>100*('Parameter &lt;x, y&gt;'!Q105-B105)/B105</f>
        <v>7.453562957951962</v>
      </c>
      <c r="J105" s="5">
        <f>100*('Parameter &lt;x, y&gt;'!D105-C105)/C105</f>
        <v>0</v>
      </c>
      <c r="K105" s="5">
        <f>100*('Parameter &lt;x, y&gt;'!I105-C105)/C105</f>
        <v>1.4020910495825638</v>
      </c>
      <c r="L105" s="5">
        <f>100*('Parameter &lt;x, y&gt;'!N105-C105)/C105</f>
        <v>1.7344833242680862</v>
      </c>
      <c r="M105" s="5">
        <f>100*('Parameter &lt;x, y&gt;'!S105-C105)/C105</f>
        <v>13.852555967088847</v>
      </c>
    </row>
    <row r="106" spans="1:13" ht="12.75" customHeight="1">
      <c r="A106" s="13"/>
      <c r="B106" s="5">
        <f>MIN('Parameter &lt;x, y&gt;'!B106,'Parameter &lt;x, y&gt;'!G106,'Parameter &lt;x, y&gt;'!L106,'Parameter &lt;x, y&gt;'!Q106)</f>
        <v>8869</v>
      </c>
      <c r="C106" s="5">
        <f>MIN('Parameter &lt;x, y&gt;'!D106,'Parameter &lt;x, y&gt;'!I106,'Parameter &lt;x, y&gt;'!N106,'Parameter &lt;x, y&gt;'!S106)</f>
        <v>8152.1</v>
      </c>
      <c r="E106" s="5">
        <f>100*('Parameter &lt;x, y&gt;'!B106-B106)/B106</f>
        <v>0.44762656443793808</v>
      </c>
      <c r="F106" s="5">
        <f>100*('Parameter &lt;x, y&gt;'!G106-B106)/B106</f>
        <v>2.9789153230352996</v>
      </c>
      <c r="G106" s="5">
        <f>100*('Parameter &lt;x, y&gt;'!L106-B106)/B106</f>
        <v>0</v>
      </c>
      <c r="H106" s="5">
        <f>100*('Parameter &lt;x, y&gt;'!Q106-B106)/B106</f>
        <v>9.107001916788823</v>
      </c>
      <c r="J106" s="5">
        <f>100*('Parameter &lt;x, y&gt;'!D106-C106)/C106</f>
        <v>0</v>
      </c>
      <c r="K106" s="5">
        <f>100*('Parameter &lt;x, y&gt;'!I106-C106)/C106</f>
        <v>12.4667263649857</v>
      </c>
      <c r="L106" s="5">
        <f>100*('Parameter &lt;x, y&gt;'!N106-C106)/C106</f>
        <v>5.7886924841451846</v>
      </c>
      <c r="M106" s="5">
        <f>100*('Parameter &lt;x, y&gt;'!S106-C106)/C106</f>
        <v>10.221906011947832</v>
      </c>
    </row>
    <row r="107" spans="1:13" ht="12.75" customHeight="1">
      <c r="A107" s="13"/>
      <c r="B107" s="5">
        <f>MIN('Parameter &lt;x, y&gt;'!B107,'Parameter &lt;x, y&gt;'!G107,'Parameter &lt;x, y&gt;'!L107,'Parameter &lt;x, y&gt;'!Q107)</f>
        <v>9780.5</v>
      </c>
      <c r="C107" s="5">
        <f>MIN('Parameter &lt;x, y&gt;'!D107,'Parameter &lt;x, y&gt;'!I107,'Parameter &lt;x, y&gt;'!N107,'Parameter &lt;x, y&gt;'!S107)</f>
        <v>10138</v>
      </c>
      <c r="E107" s="5">
        <f>100*('Parameter &lt;x, y&gt;'!B107-B107)/B107</f>
        <v>6.4362762639946833</v>
      </c>
      <c r="F107" s="5">
        <f>100*('Parameter &lt;x, y&gt;'!G107-B107)/B107</f>
        <v>8.1764735954194645</v>
      </c>
      <c r="G107" s="5">
        <f>100*('Parameter &lt;x, y&gt;'!L107-B107)/B107</f>
        <v>0</v>
      </c>
      <c r="H107" s="5">
        <f>100*('Parameter &lt;x, y&gt;'!Q107-B107)/B107</f>
        <v>15.498185164357645</v>
      </c>
      <c r="J107" s="5">
        <f>100*('Parameter &lt;x, y&gt;'!D107-C107)/C107</f>
        <v>0</v>
      </c>
      <c r="K107" s="5">
        <f>100*('Parameter &lt;x, y&gt;'!I107-C107)/C107</f>
        <v>3.4701124482146306</v>
      </c>
      <c r="L107" s="5">
        <f>100*('Parameter &lt;x, y&gt;'!N107-C107)/C107</f>
        <v>0</v>
      </c>
      <c r="M107" s="5">
        <f>100*('Parameter &lt;x, y&gt;'!S107-C107)/C107</f>
        <v>6.1964884592621887</v>
      </c>
    </row>
    <row r="108" spans="1:13" ht="12.75" customHeight="1">
      <c r="A108" s="13"/>
      <c r="B108" s="5">
        <f>MIN('Parameter &lt;x, y&gt;'!B108,'Parameter &lt;x, y&gt;'!G108,'Parameter &lt;x, y&gt;'!L108,'Parameter &lt;x, y&gt;'!Q108)</f>
        <v>12649.1</v>
      </c>
      <c r="C108" s="5">
        <f>MIN('Parameter &lt;x, y&gt;'!D108,'Parameter &lt;x, y&gt;'!I108,'Parameter &lt;x, y&gt;'!N108,'Parameter &lt;x, y&gt;'!S108)</f>
        <v>11818.3</v>
      </c>
      <c r="E108" s="5">
        <f>100*('Parameter &lt;x, y&gt;'!B108-B108)/B108</f>
        <v>1.0791281593156825</v>
      </c>
      <c r="F108" s="5">
        <f>100*('Parameter &lt;x, y&gt;'!G108-B108)/B108</f>
        <v>0</v>
      </c>
      <c r="G108" s="5">
        <f>100*('Parameter &lt;x, y&gt;'!L108-B108)/B108</f>
        <v>3.1867879928216265</v>
      </c>
      <c r="H108" s="5">
        <f>100*('Parameter &lt;x, y&gt;'!Q108-B108)/B108</f>
        <v>1.5368682356847494</v>
      </c>
      <c r="J108" s="5">
        <f>100*('Parameter &lt;x, y&gt;'!D108-C108)/C108</f>
        <v>5.4153304620812262E-2</v>
      </c>
      <c r="K108" s="5">
        <f>100*('Parameter &lt;x, y&gt;'!I108-C108)/C108</f>
        <v>0</v>
      </c>
      <c r="L108" s="5">
        <f>100*('Parameter &lt;x, y&gt;'!N108-C108)/C108</f>
        <v>11.542269192692691</v>
      </c>
      <c r="M108" s="5">
        <f>100*('Parameter &lt;x, y&gt;'!S108-C108)/C108</f>
        <v>16.301836981630188</v>
      </c>
    </row>
    <row r="109" spans="1:13" ht="12.75" customHeight="1">
      <c r="A109" s="13"/>
      <c r="B109" s="5">
        <f>MIN('Parameter &lt;x, y&gt;'!B109,'Parameter &lt;x, y&gt;'!G109,'Parameter &lt;x, y&gt;'!L109,'Parameter &lt;x, y&gt;'!Q109)</f>
        <v>11450.6</v>
      </c>
      <c r="C109" s="5">
        <f>MIN('Parameter &lt;x, y&gt;'!D109,'Parameter &lt;x, y&gt;'!I109,'Parameter &lt;x, y&gt;'!N109,'Parameter &lt;x, y&gt;'!S109)</f>
        <v>11163.2</v>
      </c>
      <c r="E109" s="5">
        <f>100*('Parameter &lt;x, y&gt;'!B109-B109)/B109</f>
        <v>0</v>
      </c>
      <c r="F109" s="5">
        <f>100*('Parameter &lt;x, y&gt;'!G109-B109)/B109</f>
        <v>4.397149494349641</v>
      </c>
      <c r="G109" s="5">
        <f>100*('Parameter &lt;x, y&gt;'!L109-B109)/B109</f>
        <v>4.2967180759086858</v>
      </c>
      <c r="H109" s="5">
        <f>100*('Parameter &lt;x, y&gt;'!Q109-B109)/B109</f>
        <v>3.6216442806490394</v>
      </c>
      <c r="J109" s="5">
        <f>100*('Parameter &lt;x, y&gt;'!D109-C109)/C109</f>
        <v>2.5745306005446431</v>
      </c>
      <c r="K109" s="5">
        <f>100*('Parameter &lt;x, y&gt;'!I109-C109)/C109</f>
        <v>0</v>
      </c>
      <c r="L109" s="5">
        <f>100*('Parameter &lt;x, y&gt;'!N109-C109)/C109</f>
        <v>4.5918732979790606</v>
      </c>
      <c r="M109" s="5">
        <f>100*('Parameter &lt;x, y&gt;'!S109-C109)/C109</f>
        <v>33.510104629496908</v>
      </c>
    </row>
    <row r="110" spans="1:13" ht="12.75" customHeight="1">
      <c r="A110" s="13"/>
      <c r="B110" s="5">
        <f>MIN('Parameter &lt;x, y&gt;'!B110,'Parameter &lt;x, y&gt;'!G110,'Parameter &lt;x, y&gt;'!L110,'Parameter &lt;x, y&gt;'!Q110)</f>
        <v>14007.1</v>
      </c>
      <c r="C110" s="5">
        <f>MIN('Parameter &lt;x, y&gt;'!D110,'Parameter &lt;x, y&gt;'!I110,'Parameter &lt;x, y&gt;'!N110,'Parameter &lt;x, y&gt;'!S110)</f>
        <v>13520.6</v>
      </c>
      <c r="E110" s="5">
        <f>100*('Parameter &lt;x, y&gt;'!B110-B110)/B110</f>
        <v>11.491315118761202</v>
      </c>
      <c r="F110" s="5">
        <f>100*('Parameter &lt;x, y&gt;'!G110-B110)/B110</f>
        <v>0</v>
      </c>
      <c r="G110" s="5">
        <f>100*('Parameter &lt;x, y&gt;'!L110-B110)/B110</f>
        <v>4.0822154478799986</v>
      </c>
      <c r="H110" s="5">
        <f>100*('Parameter &lt;x, y&gt;'!Q110-B110)/B110</f>
        <v>35.209286718878289</v>
      </c>
      <c r="J110" s="5">
        <f>100*('Parameter &lt;x, y&gt;'!D110-C110)/C110</f>
        <v>40.074404982027431</v>
      </c>
      <c r="K110" s="5">
        <f>100*('Parameter &lt;x, y&gt;'!I110-C110)/C110</f>
        <v>14.312234664142126</v>
      </c>
      <c r="L110" s="5">
        <f>100*('Parameter &lt;x, y&gt;'!N110-C110)/C110</f>
        <v>0</v>
      </c>
      <c r="M110" s="5">
        <f>100*('Parameter &lt;x, y&gt;'!S110-C110)/C110</f>
        <v>16.744079404760143</v>
      </c>
    </row>
    <row r="111" spans="1:13" ht="12.75" customHeight="1">
      <c r="A111" s="13"/>
      <c r="B111" s="5">
        <f>MIN('Parameter &lt;x, y&gt;'!B111,'Parameter &lt;x, y&gt;'!G111,'Parameter &lt;x, y&gt;'!L111,'Parameter &lt;x, y&gt;'!Q111)</f>
        <v>8475.2999999999993</v>
      </c>
      <c r="C111" s="5">
        <f>MIN('Parameter &lt;x, y&gt;'!D111,'Parameter &lt;x, y&gt;'!I111,'Parameter &lt;x, y&gt;'!N111,'Parameter &lt;x, y&gt;'!S111)</f>
        <v>8312.9</v>
      </c>
      <c r="E111" s="5">
        <f>100*('Parameter &lt;x, y&gt;'!B111-B111)/B111</f>
        <v>3.5680152914941239</v>
      </c>
      <c r="F111" s="5">
        <f>100*('Parameter &lt;x, y&gt;'!G111-B111)/B111</f>
        <v>0</v>
      </c>
      <c r="G111" s="5">
        <f>100*('Parameter &lt;x, y&gt;'!L111-B111)/B111</f>
        <v>1.9114367633004143</v>
      </c>
      <c r="H111" s="5">
        <f>100*('Parameter &lt;x, y&gt;'!Q111-B111)/B111</f>
        <v>2.7562446167097376</v>
      </c>
      <c r="J111" s="5">
        <f>100*('Parameter &lt;x, y&gt;'!D111-C111)/C111</f>
        <v>4.1573939299161591</v>
      </c>
      <c r="K111" s="5">
        <f>100*('Parameter &lt;x, y&gt;'!I111-C111)/C111</f>
        <v>0</v>
      </c>
      <c r="L111" s="5">
        <f>100*('Parameter &lt;x, y&gt;'!N111-C111)/C111</f>
        <v>1.9535902031781887</v>
      </c>
      <c r="M111" s="5">
        <f>100*('Parameter &lt;x, y&gt;'!S111-C111)/C111</f>
        <v>31.162410229883676</v>
      </c>
    </row>
    <row r="112" spans="1:13" ht="12.75" customHeight="1">
      <c r="A112" s="13"/>
      <c r="B112" s="5">
        <f>MIN('Parameter &lt;x, y&gt;'!B112,'Parameter &lt;x, y&gt;'!G112,'Parameter &lt;x, y&gt;'!L112,'Parameter &lt;x, y&gt;'!Q112)</f>
        <v>9233.7999999999993</v>
      </c>
      <c r="C112" s="5">
        <f>MIN('Parameter &lt;x, y&gt;'!D112,'Parameter &lt;x, y&gt;'!I112,'Parameter &lt;x, y&gt;'!N112,'Parameter &lt;x, y&gt;'!S112)</f>
        <v>9123.4</v>
      </c>
      <c r="E112" s="5">
        <f>100*('Parameter &lt;x, y&gt;'!B112-B112)/B112</f>
        <v>3.9507028525634205</v>
      </c>
      <c r="F112" s="5">
        <f>100*('Parameter &lt;x, y&gt;'!G112-B112)/B112</f>
        <v>5.2134549156360492</v>
      </c>
      <c r="G112" s="5">
        <f>100*('Parameter &lt;x, y&gt;'!L112-B112)/B112</f>
        <v>0</v>
      </c>
      <c r="H112" s="5">
        <f>100*('Parameter &lt;x, y&gt;'!Q112-B112)/B112</f>
        <v>0</v>
      </c>
      <c r="J112" s="5">
        <f>100*('Parameter &lt;x, y&gt;'!D112-C112)/C112</f>
        <v>1.2166516868711226</v>
      </c>
      <c r="K112" s="5">
        <f>100*('Parameter &lt;x, y&gt;'!I112-C112)/C112</f>
        <v>2.2634105706206022</v>
      </c>
      <c r="L112" s="5">
        <f>100*('Parameter &lt;x, y&gt;'!N112-C112)/C112</f>
        <v>0</v>
      </c>
      <c r="M112" s="5">
        <f>100*('Parameter &lt;x, y&gt;'!S112-C112)/C112</f>
        <v>14.417870530723192</v>
      </c>
    </row>
    <row r="113" spans="1:13" ht="12.75" customHeight="1">
      <c r="A113" s="13"/>
      <c r="B113" s="5">
        <f>MIN('Parameter &lt;x, y&gt;'!B113,'Parameter &lt;x, y&gt;'!G113,'Parameter &lt;x, y&gt;'!L113,'Parameter &lt;x, y&gt;'!Q113)</f>
        <v>9392</v>
      </c>
      <c r="C113" s="5">
        <f>MIN('Parameter &lt;x, y&gt;'!D113,'Parameter &lt;x, y&gt;'!I113,'Parameter &lt;x, y&gt;'!N113,'Parameter &lt;x, y&gt;'!S113)</f>
        <v>9648</v>
      </c>
      <c r="E113" s="5">
        <f>100*('Parameter &lt;x, y&gt;'!B113-B113)/B113</f>
        <v>7.6650340715502523</v>
      </c>
      <c r="F113" s="5">
        <f>100*('Parameter &lt;x, y&gt;'!G113-B113)/B113</f>
        <v>0</v>
      </c>
      <c r="G113" s="5">
        <f>100*('Parameter &lt;x, y&gt;'!L113-B113)/B113</f>
        <v>29.915885860306648</v>
      </c>
      <c r="H113" s="5">
        <f>100*('Parameter &lt;x, y&gt;'!Q113-B113)/B113</f>
        <v>7.2380749574105545</v>
      </c>
      <c r="J113" s="5">
        <f>100*('Parameter &lt;x, y&gt;'!D113-C113)/C113</f>
        <v>0</v>
      </c>
      <c r="K113" s="5">
        <f>100*('Parameter &lt;x, y&gt;'!I113-C113)/C113</f>
        <v>5.0621890547263648</v>
      </c>
      <c r="L113" s="5">
        <f>100*('Parameter &lt;x, y&gt;'!N113-C113)/C113</f>
        <v>28.901326699834158</v>
      </c>
      <c r="M113" s="5">
        <f>100*('Parameter &lt;x, y&gt;'!S113-C113)/C113</f>
        <v>22.289593698175789</v>
      </c>
    </row>
    <row r="114" spans="1:13" ht="12.75" customHeight="1">
      <c r="A114" s="13"/>
      <c r="B114" s="5">
        <f>MIN('Parameter &lt;x, y&gt;'!B114,'Parameter &lt;x, y&gt;'!G114,'Parameter &lt;x, y&gt;'!L114,'Parameter &lt;x, y&gt;'!Q114)</f>
        <v>9975.7000000000007</v>
      </c>
      <c r="C114" s="5">
        <f>MIN('Parameter &lt;x, y&gt;'!D114,'Parameter &lt;x, y&gt;'!I114,'Parameter &lt;x, y&gt;'!N114,'Parameter &lt;x, y&gt;'!S114)</f>
        <v>9324.5</v>
      </c>
      <c r="E114" s="5">
        <f>100*('Parameter &lt;x, y&gt;'!B114-B114)/B114</f>
        <v>1.155808614934283</v>
      </c>
      <c r="F114" s="5">
        <f>100*('Parameter &lt;x, y&gt;'!G114-B114)/B114</f>
        <v>3.6649057209017766</v>
      </c>
      <c r="G114" s="5">
        <f>100*('Parameter &lt;x, y&gt;'!L114-B114)/B114</f>
        <v>0</v>
      </c>
      <c r="H114" s="5">
        <f>100*('Parameter &lt;x, y&gt;'!Q114-B114)/B114</f>
        <v>10.526579588399796</v>
      </c>
      <c r="J114" s="5">
        <f>100*('Parameter &lt;x, y&gt;'!D114-C114)/C114</f>
        <v>0</v>
      </c>
      <c r="K114" s="5">
        <f>100*('Parameter &lt;x, y&gt;'!I114-C114)/C114</f>
        <v>3.1057965574561677</v>
      </c>
      <c r="L114" s="5">
        <f>100*('Parameter &lt;x, y&gt;'!N114-C114)/C114</f>
        <v>6.7917850823100352</v>
      </c>
      <c r="M114" s="5">
        <f>100*('Parameter &lt;x, y&gt;'!S114-C114)/C114</f>
        <v>20.299211753981439</v>
      </c>
    </row>
    <row r="115" spans="1:13" ht="12.75" customHeight="1">
      <c r="A115" s="13"/>
      <c r="B115" s="5">
        <f>MIN('Parameter &lt;x, y&gt;'!B115,'Parameter &lt;x, y&gt;'!G115,'Parameter &lt;x, y&gt;'!L115,'Parameter &lt;x, y&gt;'!Q115)</f>
        <v>14590.3</v>
      </c>
      <c r="C115" s="5">
        <f>MIN('Parameter &lt;x, y&gt;'!D115,'Parameter &lt;x, y&gt;'!I115,'Parameter &lt;x, y&gt;'!N115,'Parameter &lt;x, y&gt;'!S115)</f>
        <v>14433.1</v>
      </c>
      <c r="E115" s="5">
        <f>100*('Parameter &lt;x, y&gt;'!B115-B115)/B115</f>
        <v>0</v>
      </c>
      <c r="F115" s="5">
        <f>100*('Parameter &lt;x, y&gt;'!G115-B115)/B115</f>
        <v>5.7229803362507967</v>
      </c>
      <c r="G115" s="5">
        <f>100*('Parameter &lt;x, y&gt;'!L115-B115)/B115</f>
        <v>10.953852902270691</v>
      </c>
      <c r="H115" s="5">
        <f>100*('Parameter &lt;x, y&gt;'!Q115-B115)/B115</f>
        <v>9.6433932132992464</v>
      </c>
      <c r="J115" s="5">
        <f>100*('Parameter &lt;x, y&gt;'!D115-C115)/C115</f>
        <v>2.8753351670812228</v>
      </c>
      <c r="K115" s="5">
        <f>100*('Parameter &lt;x, y&gt;'!I115-C115)/C115</f>
        <v>4.0379405671685173</v>
      </c>
      <c r="L115" s="5">
        <f>100*('Parameter &lt;x, y&gt;'!N115-C115)/C115</f>
        <v>0</v>
      </c>
      <c r="M115" s="5">
        <f>100*('Parameter &lt;x, y&gt;'!S115-C115)/C115</f>
        <v>2.9584773887799569</v>
      </c>
    </row>
    <row r="116" spans="1:13" ht="12.75" customHeight="1">
      <c r="A116" s="13"/>
      <c r="B116" s="5">
        <f>MIN('Parameter &lt;x, y&gt;'!B116,'Parameter &lt;x, y&gt;'!G116,'Parameter &lt;x, y&gt;'!L116,'Parameter &lt;x, y&gt;'!Q116)</f>
        <v>11239.8</v>
      </c>
      <c r="C116" s="5">
        <f>MIN('Parameter &lt;x, y&gt;'!D116,'Parameter &lt;x, y&gt;'!I116,'Parameter &lt;x, y&gt;'!N116,'Parameter &lt;x, y&gt;'!S116)</f>
        <v>11032.9</v>
      </c>
      <c r="E116" s="5">
        <f>100*('Parameter &lt;x, y&gt;'!B116-B116)/B116</f>
        <v>0</v>
      </c>
      <c r="F116" s="5">
        <f>100*('Parameter &lt;x, y&gt;'!G116-B116)/B116</f>
        <v>1.9306393352194879</v>
      </c>
      <c r="G116" s="5">
        <f>100*('Parameter &lt;x, y&gt;'!L116-B116)/B116</f>
        <v>7.2910550009786652</v>
      </c>
      <c r="H116" s="5">
        <f>100*('Parameter &lt;x, y&gt;'!Q116-B116)/B116</f>
        <v>13.235110945034613</v>
      </c>
      <c r="J116" s="5">
        <f>100*('Parameter &lt;x, y&gt;'!D116-C116)/C116</f>
        <v>0</v>
      </c>
      <c r="K116" s="5">
        <f>100*('Parameter &lt;x, y&gt;'!I116-C116)/C116</f>
        <v>6.8866753074894289</v>
      </c>
      <c r="L116" s="5">
        <f>100*('Parameter &lt;x, y&gt;'!N116-C116)/C116</f>
        <v>10.491348602815217</v>
      </c>
      <c r="M116" s="5">
        <f>100*('Parameter &lt;x, y&gt;'!S116-C116)/C116</f>
        <v>16.014828376945317</v>
      </c>
    </row>
    <row r="117" spans="1:13" ht="12.75" customHeight="1">
      <c r="A117" s="13"/>
      <c r="B117" s="5">
        <f>MIN('Parameter &lt;x, y&gt;'!B117,'Parameter &lt;x, y&gt;'!G117,'Parameter &lt;x, y&gt;'!L117,'Parameter &lt;x, y&gt;'!Q117)</f>
        <v>9334</v>
      </c>
      <c r="C117" s="5">
        <f>MIN('Parameter &lt;x, y&gt;'!D117,'Parameter &lt;x, y&gt;'!I117,'Parameter &lt;x, y&gt;'!N117,'Parameter &lt;x, y&gt;'!S117)</f>
        <v>8675.2000000000007</v>
      </c>
      <c r="E117" s="5">
        <f>100*('Parameter &lt;x, y&gt;'!B117-B117)/B117</f>
        <v>43.736875937433034</v>
      </c>
      <c r="F117" s="5">
        <f>100*('Parameter &lt;x, y&gt;'!G117-B117)/B117</f>
        <v>3.0276408827940902</v>
      </c>
      <c r="G117" s="5">
        <f>100*('Parameter &lt;x, y&gt;'!L117-B117)/B117</f>
        <v>1.9777158774373298</v>
      </c>
      <c r="H117" s="5">
        <f>100*('Parameter &lt;x, y&gt;'!Q117-B117)/B117</f>
        <v>0</v>
      </c>
      <c r="J117" s="5">
        <f>100*('Parameter &lt;x, y&gt;'!D117-C117)/C117</f>
        <v>0</v>
      </c>
      <c r="K117" s="5">
        <f>100*('Parameter &lt;x, y&gt;'!I117-C117)/C117</f>
        <v>0</v>
      </c>
      <c r="L117" s="5">
        <f>100*('Parameter &lt;x, y&gt;'!N117-C117)/C117</f>
        <v>33.209609000368864</v>
      </c>
      <c r="M117" s="5">
        <f>100*('Parameter &lt;x, y&gt;'!S117-C117)/C117</f>
        <v>20.067548874953886</v>
      </c>
    </row>
    <row r="118" spans="1:13" ht="12.75" customHeight="1">
      <c r="A118" s="13"/>
      <c r="B118" s="5">
        <f>MIN('Parameter &lt;x, y&gt;'!B118,'Parameter &lt;x, y&gt;'!G118,'Parameter &lt;x, y&gt;'!L118,'Parameter &lt;x, y&gt;'!Q118)</f>
        <v>9839.9</v>
      </c>
      <c r="C118" s="5">
        <f>MIN('Parameter &lt;x, y&gt;'!D118,'Parameter &lt;x, y&gt;'!I118,'Parameter &lt;x, y&gt;'!N118,'Parameter &lt;x, y&gt;'!S118)</f>
        <v>9563.9</v>
      </c>
      <c r="E118" s="5">
        <f>100*('Parameter &lt;x, y&gt;'!B118-B118)/B118</f>
        <v>3.1433246272828086</v>
      </c>
      <c r="F118" s="5">
        <f>100*('Parameter &lt;x, y&gt;'!G118-B118)/B118</f>
        <v>0.46138680271140597</v>
      </c>
      <c r="G118" s="5">
        <f>100*('Parameter &lt;x, y&gt;'!L118-B118)/B118</f>
        <v>0</v>
      </c>
      <c r="H118" s="5">
        <f>100*('Parameter &lt;x, y&gt;'!Q118-B118)/B118</f>
        <v>9.581398184940916</v>
      </c>
      <c r="J118" s="5">
        <f>100*('Parameter &lt;x, y&gt;'!D118-C118)/C118</f>
        <v>2.4571565992952666</v>
      </c>
      <c r="K118" s="5">
        <f>100*('Parameter &lt;x, y&gt;'!I118-C118)/C118</f>
        <v>6.3875615596147979</v>
      </c>
      <c r="L118" s="5">
        <f>100*('Parameter &lt;x, y&gt;'!N118-C118)/C118</f>
        <v>0</v>
      </c>
      <c r="M118" s="5">
        <f>100*('Parameter &lt;x, y&gt;'!S118-C118)/C118</f>
        <v>8.2319974069156014</v>
      </c>
    </row>
    <row r="119" spans="1:13" ht="12.75" customHeight="1">
      <c r="A119" s="13"/>
      <c r="B119" s="5">
        <f>MIN('Parameter &lt;x, y&gt;'!B119,'Parameter &lt;x, y&gt;'!G119,'Parameter &lt;x, y&gt;'!L119,'Parameter &lt;x, y&gt;'!Q119)</f>
        <v>8230.4</v>
      </c>
      <c r="C119" s="5">
        <f>MIN('Parameter &lt;x, y&gt;'!D119,'Parameter &lt;x, y&gt;'!I119,'Parameter &lt;x, y&gt;'!N119,'Parameter &lt;x, y&gt;'!S119)</f>
        <v>7998.4</v>
      </c>
      <c r="E119" s="5">
        <f>100*('Parameter &lt;x, y&gt;'!B119-B119)/B119</f>
        <v>9.1417185069984424</v>
      </c>
      <c r="F119" s="5">
        <f>100*('Parameter &lt;x, y&gt;'!G119-B119)/B119</f>
        <v>0</v>
      </c>
      <c r="G119" s="5">
        <f>100*('Parameter &lt;x, y&gt;'!L119-B119)/B119</f>
        <v>5.1249027993779297</v>
      </c>
      <c r="H119" s="5">
        <f>100*('Parameter &lt;x, y&gt;'!Q119-B119)/B119</f>
        <v>5.5513705287713799</v>
      </c>
      <c r="J119" s="5">
        <f>100*('Parameter &lt;x, y&gt;'!D119-C119)/C119</f>
        <v>0</v>
      </c>
      <c r="K119" s="5">
        <f>100*('Parameter &lt;x, y&gt;'!I119-C119)/C119</f>
        <v>0</v>
      </c>
      <c r="L119" s="5">
        <f>100*('Parameter &lt;x, y&gt;'!N119-C119)/C119</f>
        <v>0</v>
      </c>
      <c r="M119" s="5">
        <f>100*('Parameter &lt;x, y&gt;'!S119-C119)/C119</f>
        <v>39.060312062412493</v>
      </c>
    </row>
    <row r="120" spans="1:13" ht="12.75" customHeight="1">
      <c r="A120" s="13"/>
      <c r="B120" s="5">
        <f>MIN('Parameter &lt;x, y&gt;'!B120,'Parameter &lt;x, y&gt;'!G120,'Parameter &lt;x, y&gt;'!L120,'Parameter &lt;x, y&gt;'!Q120)</f>
        <v>13643.3</v>
      </c>
      <c r="C120" s="5">
        <f>MIN('Parameter &lt;x, y&gt;'!D120,'Parameter &lt;x, y&gt;'!I120,'Parameter &lt;x, y&gt;'!N120,'Parameter &lt;x, y&gt;'!S120)</f>
        <v>13519.4</v>
      </c>
      <c r="E120" s="5">
        <f>100*('Parameter &lt;x, y&gt;'!B120-B120)/B120</f>
        <v>0</v>
      </c>
      <c r="F120" s="5">
        <f>100*('Parameter &lt;x, y&gt;'!G120-B120)/B120</f>
        <v>18.669969875323424</v>
      </c>
      <c r="G120" s="5">
        <f>100*('Parameter &lt;x, y&gt;'!L120-B120)/B120</f>
        <v>1.0305424640666141</v>
      </c>
      <c r="H120" s="5">
        <f>100*('Parameter &lt;x, y&gt;'!Q120-B120)/B120</f>
        <v>10.428562004793571</v>
      </c>
      <c r="J120" s="5">
        <f>100*('Parameter &lt;x, y&gt;'!D120-C120)/C120</f>
        <v>41.620929922925576</v>
      </c>
      <c r="K120" s="5">
        <f>100*('Parameter &lt;x, y&gt;'!I120-C120)/C120</f>
        <v>0</v>
      </c>
      <c r="L120" s="5">
        <f>100*('Parameter &lt;x, y&gt;'!N120-C120)/C120</f>
        <v>0.25814755092681357</v>
      </c>
      <c r="M120" s="5">
        <f>100*('Parameter &lt;x, y&gt;'!S120-C120)/C120</f>
        <v>5.9691998165599065</v>
      </c>
    </row>
    <row r="121" spans="1:13" ht="12.75" customHeight="1">
      <c r="A121" s="13"/>
      <c r="B121" s="5">
        <f>MIN('Parameter &lt;x, y&gt;'!B121,'Parameter &lt;x, y&gt;'!G121,'Parameter &lt;x, y&gt;'!L121,'Parameter &lt;x, y&gt;'!Q121)</f>
        <v>9950.1</v>
      </c>
      <c r="C121" s="5">
        <f>MIN('Parameter &lt;x, y&gt;'!D121,'Parameter &lt;x, y&gt;'!I121,'Parameter &lt;x, y&gt;'!N121,'Parameter &lt;x, y&gt;'!S121)</f>
        <v>9413.1</v>
      </c>
      <c r="E121" s="5">
        <f>100*('Parameter &lt;x, y&gt;'!B121-B121)/B121</f>
        <v>1.0341604606988837</v>
      </c>
      <c r="F121" s="5">
        <f>100*('Parameter &lt;x, y&gt;'!G121-B121)/B121</f>
        <v>0.1577873589210049</v>
      </c>
      <c r="G121" s="5">
        <f>100*('Parameter &lt;x, y&gt;'!L121-B121)/B121</f>
        <v>0</v>
      </c>
      <c r="H121" s="5">
        <f>100*('Parameter &lt;x, y&gt;'!Q121-B121)/B121</f>
        <v>12.351634656938121</v>
      </c>
      <c r="J121" s="5">
        <f>100*('Parameter &lt;x, y&gt;'!D121-C121)/C121</f>
        <v>0</v>
      </c>
      <c r="K121" s="5">
        <f>100*('Parameter &lt;x, y&gt;'!I121-C121)/C121</f>
        <v>2.5549500164664138</v>
      </c>
      <c r="L121" s="5">
        <f>100*('Parameter &lt;x, y&gt;'!N121-C121)/C121</f>
        <v>0.27727316187016354</v>
      </c>
      <c r="M121" s="5">
        <f>100*('Parameter &lt;x, y&gt;'!S121-C121)/C121</f>
        <v>8.4254921333035906</v>
      </c>
    </row>
    <row r="122" spans="1:13" ht="12.75" customHeight="1">
      <c r="A122" s="13"/>
      <c r="B122" s="5">
        <f>MIN('Parameter &lt;x, y&gt;'!B122,'Parameter &lt;x, y&gt;'!G122,'Parameter &lt;x, y&gt;'!L122,'Parameter &lt;x, y&gt;'!Q122)</f>
        <v>11694.6</v>
      </c>
      <c r="C122" s="5">
        <f>MIN('Parameter &lt;x, y&gt;'!D122,'Parameter &lt;x, y&gt;'!I122,'Parameter &lt;x, y&gt;'!N122,'Parameter &lt;x, y&gt;'!S122)</f>
        <v>11435.8</v>
      </c>
      <c r="E122" s="5">
        <f>100*('Parameter &lt;x, y&gt;'!B122-B122)/B122</f>
        <v>1.8264840182648432</v>
      </c>
      <c r="F122" s="5">
        <f>100*('Parameter &lt;x, y&gt;'!G122-B122)/B122</f>
        <v>0</v>
      </c>
      <c r="G122" s="5">
        <f>100*('Parameter &lt;x, y&gt;'!L122-B122)/B122</f>
        <v>2.9620508610811798</v>
      </c>
      <c r="H122" s="5">
        <f>100*('Parameter &lt;x, y&gt;'!Q122-B122)/B122</f>
        <v>9.7344073332991261</v>
      </c>
      <c r="J122" s="5">
        <f>100*('Parameter &lt;x, y&gt;'!D122-C122)/C122</f>
        <v>3.9542489375470082</v>
      </c>
      <c r="K122" s="5">
        <f>100*('Parameter &lt;x, y&gt;'!I122-C122)/C122</f>
        <v>5.4530509452771154</v>
      </c>
      <c r="L122" s="5">
        <f>100*('Parameter &lt;x, y&gt;'!N122-C122)/C122</f>
        <v>0</v>
      </c>
      <c r="M122" s="5">
        <f>100*('Parameter &lt;x, y&gt;'!S122-C122)/C122</f>
        <v>0</v>
      </c>
    </row>
    <row r="123" spans="1:13" ht="12.75" customHeight="1">
      <c r="A123" s="13"/>
      <c r="B123" s="5">
        <f>MIN('Parameter &lt;x, y&gt;'!B123,'Parameter &lt;x, y&gt;'!G123,'Parameter &lt;x, y&gt;'!L123,'Parameter &lt;x, y&gt;'!Q123)</f>
        <v>8802.7999999999993</v>
      </c>
      <c r="C123" s="5">
        <f>MIN('Parameter &lt;x, y&gt;'!D123,'Parameter &lt;x, y&gt;'!I123,'Parameter &lt;x, y&gt;'!N123,'Parameter &lt;x, y&gt;'!S123)</f>
        <v>7803.5</v>
      </c>
      <c r="E123" s="5">
        <f>100*('Parameter &lt;x, y&gt;'!B123-B123)/B123</f>
        <v>0</v>
      </c>
      <c r="F123" s="5">
        <f>100*('Parameter &lt;x, y&gt;'!G123-B123)/B123</f>
        <v>3.2557822511019263</v>
      </c>
      <c r="G123" s="5">
        <f>100*('Parameter &lt;x, y&gt;'!L123-B123)/B123</f>
        <v>0.26809651474531249</v>
      </c>
      <c r="H123" s="5">
        <f>100*('Parameter &lt;x, y&gt;'!Q123-B123)/B123</f>
        <v>4.9495615031580948</v>
      </c>
      <c r="J123" s="5">
        <f>100*('Parameter &lt;x, y&gt;'!D123-C123)/C123</f>
        <v>7.3620811174472989</v>
      </c>
      <c r="K123" s="5">
        <f>100*('Parameter &lt;x, y&gt;'!I123-C123)/C123</f>
        <v>13.629781508297562</v>
      </c>
      <c r="L123" s="5">
        <f>100*('Parameter &lt;x, y&gt;'!N123-C123)/C123</f>
        <v>0</v>
      </c>
      <c r="M123" s="5">
        <f>100*('Parameter &lt;x, y&gt;'!S123-C123)/C123</f>
        <v>13.987313385019542</v>
      </c>
    </row>
    <row r="124" spans="1:13" ht="12.75" customHeight="1">
      <c r="A124" s="13"/>
      <c r="B124" s="5">
        <f>MIN('Parameter &lt;x, y&gt;'!B124,'Parameter &lt;x, y&gt;'!G124,'Parameter &lt;x, y&gt;'!L124,'Parameter &lt;x, y&gt;'!Q124)</f>
        <v>11443.4</v>
      </c>
      <c r="C124" s="5">
        <f>MIN('Parameter &lt;x, y&gt;'!D124,'Parameter &lt;x, y&gt;'!I124,'Parameter &lt;x, y&gt;'!N124,'Parameter &lt;x, y&gt;'!S124)</f>
        <v>11131.8</v>
      </c>
      <c r="E124" s="5">
        <f>100*('Parameter &lt;x, y&gt;'!B124-B124)/B124</f>
        <v>7.1019102714228355</v>
      </c>
      <c r="F124" s="5">
        <f>100*('Parameter &lt;x, y&gt;'!G124-B124)/B124</f>
        <v>0</v>
      </c>
      <c r="G124" s="5">
        <f>100*('Parameter &lt;x, y&gt;'!L124-B124)/B124</f>
        <v>26.894104898893691</v>
      </c>
      <c r="H124" s="5">
        <f>100*('Parameter &lt;x, y&gt;'!Q124-B124)/B124</f>
        <v>0.99183809007812362</v>
      </c>
      <c r="J124" s="5">
        <f>100*('Parameter &lt;x, y&gt;'!D124-C124)/C124</f>
        <v>8.0849458308629334</v>
      </c>
      <c r="K124" s="5">
        <f>100*('Parameter &lt;x, y&gt;'!I124-C124)/C124</f>
        <v>15.868053684040332</v>
      </c>
      <c r="L124" s="5">
        <f>100*('Parameter &lt;x, y&gt;'!N124-C124)/C124</f>
        <v>0</v>
      </c>
      <c r="M124" s="5">
        <f>100*('Parameter &lt;x, y&gt;'!S124-C124)/C124</f>
        <v>22.688154656030477</v>
      </c>
    </row>
    <row r="125" spans="1:13" ht="12.75" customHeight="1">
      <c r="A125" s="13"/>
      <c r="B125" s="5">
        <f>MIN('Parameter &lt;x, y&gt;'!B125,'Parameter &lt;x, y&gt;'!G125,'Parameter &lt;x, y&gt;'!L125,'Parameter &lt;x, y&gt;'!Q125)</f>
        <v>7024.2</v>
      </c>
      <c r="C125" s="5">
        <f>MIN('Parameter &lt;x, y&gt;'!D125,'Parameter &lt;x, y&gt;'!I125,'Parameter &lt;x, y&gt;'!N125,'Parameter &lt;x, y&gt;'!S125)</f>
        <v>7024.2</v>
      </c>
      <c r="E125" s="5">
        <f>100*('Parameter &lt;x, y&gt;'!B125-B125)/B125</f>
        <v>0</v>
      </c>
      <c r="F125" s="5">
        <f>100*('Parameter &lt;x, y&gt;'!G125-B125)/B125</f>
        <v>13.190114176703398</v>
      </c>
      <c r="G125" s="5">
        <f>100*('Parameter &lt;x, y&gt;'!L125-B125)/B125</f>
        <v>17.670339682810852</v>
      </c>
      <c r="H125" s="5">
        <f>100*('Parameter &lt;x, y&gt;'!Q125-B125)/B125</f>
        <v>30.333703482247085</v>
      </c>
      <c r="J125" s="5">
        <f>100*('Parameter &lt;x, y&gt;'!D125-C125)/C125</f>
        <v>0</v>
      </c>
      <c r="K125" s="5">
        <f>100*('Parameter &lt;x, y&gt;'!I125-C125)/C125</f>
        <v>0</v>
      </c>
      <c r="L125" s="5">
        <f>100*('Parameter &lt;x, y&gt;'!N125-C125)/C125</f>
        <v>0</v>
      </c>
      <c r="M125" s="5">
        <f>100*('Parameter &lt;x, y&gt;'!S125-C125)/C125</f>
        <v>22.782665641638911</v>
      </c>
    </row>
    <row r="126" spans="1:13" ht="12.75" customHeight="1">
      <c r="A126" s="13"/>
      <c r="B126" s="5">
        <f>MIN('Parameter &lt;x, y&gt;'!B126,'Parameter &lt;x, y&gt;'!G126,'Parameter &lt;x, y&gt;'!L126,'Parameter &lt;x, y&gt;'!Q126)</f>
        <v>11636.6</v>
      </c>
      <c r="C126" s="5">
        <f>MIN('Parameter &lt;x, y&gt;'!D126,'Parameter &lt;x, y&gt;'!I126,'Parameter &lt;x, y&gt;'!N126,'Parameter &lt;x, y&gt;'!S126)</f>
        <v>10039.200000000001</v>
      </c>
      <c r="E126" s="5">
        <f>100*('Parameter &lt;x, y&gt;'!B126-B126)/B126</f>
        <v>3.4597734733513255</v>
      </c>
      <c r="F126" s="5">
        <f>100*('Parameter &lt;x, y&gt;'!G126-B126)/B126</f>
        <v>0</v>
      </c>
      <c r="G126" s="5">
        <f>100*('Parameter &lt;x, y&gt;'!L126-B126)/B126</f>
        <v>11.135555059037857</v>
      </c>
      <c r="H126" s="5">
        <f>100*('Parameter &lt;x, y&gt;'!Q126-B126)/B126</f>
        <v>8.2335046319371656</v>
      </c>
      <c r="J126" s="5">
        <f>100*('Parameter &lt;x, y&gt;'!D126-C126)/C126</f>
        <v>29.247350386484964</v>
      </c>
      <c r="K126" s="5">
        <f>100*('Parameter &lt;x, y&gt;'!I126-C126)/C126</f>
        <v>32.478683560443052</v>
      </c>
      <c r="L126" s="5">
        <f>100*('Parameter &lt;x, y&gt;'!N126-C126)/C126</f>
        <v>0</v>
      </c>
      <c r="M126" s="5">
        <f>100*('Parameter &lt;x, y&gt;'!S126-C126)/C126</f>
        <v>14.494182803410615</v>
      </c>
    </row>
    <row r="127" spans="1:13" ht="12.75" customHeight="1">
      <c r="A127" s="13"/>
      <c r="B127" s="5">
        <f>MIN('Parameter &lt;x, y&gt;'!B127,'Parameter &lt;x, y&gt;'!G127,'Parameter &lt;x, y&gt;'!L127,'Parameter &lt;x, y&gt;'!Q127)</f>
        <v>8075.8</v>
      </c>
      <c r="C127" s="5">
        <f>MIN('Parameter &lt;x, y&gt;'!D127,'Parameter &lt;x, y&gt;'!I127,'Parameter &lt;x, y&gt;'!N127,'Parameter &lt;x, y&gt;'!S127)</f>
        <v>7787.4</v>
      </c>
      <c r="E127" s="5">
        <f>100*('Parameter &lt;x, y&gt;'!B127-B127)/B127</f>
        <v>7.0494564006042761</v>
      </c>
      <c r="F127" s="5">
        <f>100*('Parameter &lt;x, y&gt;'!G127-B127)/B127</f>
        <v>5.4062755392654527</v>
      </c>
      <c r="G127" s="5">
        <f>100*('Parameter &lt;x, y&gt;'!L127-B127)/B127</f>
        <v>0</v>
      </c>
      <c r="H127" s="5">
        <f>100*('Parameter &lt;x, y&gt;'!Q127-B127)/B127</f>
        <v>4.9035389682755781</v>
      </c>
      <c r="J127" s="5">
        <f>100*('Parameter &lt;x, y&gt;'!D127-C127)/C127</f>
        <v>1.4818809872357983</v>
      </c>
      <c r="K127" s="5">
        <f>100*('Parameter &lt;x, y&gt;'!I127-C127)/C127</f>
        <v>0</v>
      </c>
      <c r="L127" s="5">
        <f>100*('Parameter &lt;x, y&gt;'!N127-C127)/C127</f>
        <v>0.19775534838329284</v>
      </c>
      <c r="M127" s="5">
        <f>100*('Parameter &lt;x, y&gt;'!S127-C127)/C127</f>
        <v>18.541490099391321</v>
      </c>
    </row>
    <row r="128" spans="1:13" ht="12.75" customHeight="1">
      <c r="A128" s="13"/>
      <c r="B128" s="5">
        <f>MIN('Parameter &lt;x, y&gt;'!B128,'Parameter &lt;x, y&gt;'!G128,'Parameter &lt;x, y&gt;'!L128,'Parameter &lt;x, y&gt;'!Q128)</f>
        <v>10366.200000000001</v>
      </c>
      <c r="C128" s="5">
        <f>MIN('Parameter &lt;x, y&gt;'!D128,'Parameter &lt;x, y&gt;'!I128,'Parameter &lt;x, y&gt;'!N128,'Parameter &lt;x, y&gt;'!S128)</f>
        <v>9487.6</v>
      </c>
      <c r="E128" s="5">
        <f>100*('Parameter &lt;x, y&gt;'!B128-B128)/B128</f>
        <v>4.7346182786363302</v>
      </c>
      <c r="F128" s="5">
        <f>100*('Parameter &lt;x, y&gt;'!G128-B128)/B128</f>
        <v>0</v>
      </c>
      <c r="G128" s="5">
        <f>100*('Parameter &lt;x, y&gt;'!L128-B128)/B128</f>
        <v>10.554494414539546</v>
      </c>
      <c r="H128" s="5">
        <f>100*('Parameter &lt;x, y&gt;'!Q128-B128)/B128</f>
        <v>17.074723620999016</v>
      </c>
      <c r="J128" s="5">
        <f>100*('Parameter &lt;x, y&gt;'!D128-C128)/C128</f>
        <v>9.2605084531388364</v>
      </c>
      <c r="K128" s="5">
        <f>100*('Parameter &lt;x, y&gt;'!I128-C128)/C128</f>
        <v>0</v>
      </c>
      <c r="L128" s="5">
        <f>100*('Parameter &lt;x, y&gt;'!N128-C128)/C128</f>
        <v>0</v>
      </c>
      <c r="M128" s="5">
        <f>100*('Parameter &lt;x, y&gt;'!S128-C128)/C128</f>
        <v>20.68910999620557</v>
      </c>
    </row>
    <row r="129" spans="1:13" ht="12.75" customHeight="1">
      <c r="A129" s="13"/>
      <c r="B129" s="5">
        <f>MIN('Parameter &lt;x, y&gt;'!B129,'Parameter &lt;x, y&gt;'!G129,'Parameter &lt;x, y&gt;'!L129,'Parameter &lt;x, y&gt;'!Q129)</f>
        <v>11396.8</v>
      </c>
      <c r="C129" s="5">
        <f>MIN('Parameter &lt;x, y&gt;'!D129,'Parameter &lt;x, y&gt;'!I129,'Parameter &lt;x, y&gt;'!N129,'Parameter &lt;x, y&gt;'!S129)</f>
        <v>11334.8</v>
      </c>
      <c r="E129" s="5">
        <f>100*('Parameter &lt;x, y&gt;'!B129-B129)/B129</f>
        <v>0</v>
      </c>
      <c r="F129" s="5">
        <f>100*('Parameter &lt;x, y&gt;'!G129-B129)/B129</f>
        <v>7.324863119472143</v>
      </c>
      <c r="G129" s="5">
        <f>100*('Parameter &lt;x, y&gt;'!L129-B129)/B129</f>
        <v>8.5111610276568861</v>
      </c>
      <c r="H129" s="5">
        <f>100*('Parameter &lt;x, y&gt;'!Q129-B129)/B129</f>
        <v>18.14719921381441</v>
      </c>
      <c r="J129" s="5">
        <f>100*('Parameter &lt;x, y&gt;'!D129-C129)/C129</f>
        <v>1.0013410029290328</v>
      </c>
      <c r="K129" s="5">
        <f>100*('Parameter &lt;x, y&gt;'!I129-C129)/C129</f>
        <v>0</v>
      </c>
      <c r="L129" s="5">
        <f>100*('Parameter &lt;x, y&gt;'!N129-C129)/C129</f>
        <v>0</v>
      </c>
      <c r="M129" s="5">
        <f>100*('Parameter &lt;x, y&gt;'!S129-C129)/C129</f>
        <v>19.973003493665541</v>
      </c>
    </row>
    <row r="130" spans="1:13" ht="12.75" customHeight="1">
      <c r="A130" s="13"/>
      <c r="B130" s="5">
        <f>MIN('Parameter &lt;x, y&gt;'!B130,'Parameter &lt;x, y&gt;'!G130,'Parameter &lt;x, y&gt;'!L130,'Parameter &lt;x, y&gt;'!Q130)</f>
        <v>12350.1</v>
      </c>
      <c r="C130" s="5">
        <f>MIN('Parameter &lt;x, y&gt;'!D130,'Parameter &lt;x, y&gt;'!I130,'Parameter &lt;x, y&gt;'!N130,'Parameter &lt;x, y&gt;'!S130)</f>
        <v>11915.9</v>
      </c>
      <c r="E130" s="5">
        <f>100*('Parameter &lt;x, y&gt;'!B130-B130)/B130</f>
        <v>0</v>
      </c>
      <c r="F130" s="5">
        <f>100*('Parameter &lt;x, y&gt;'!G130-B130)/B130</f>
        <v>0</v>
      </c>
      <c r="G130" s="5">
        <f>100*('Parameter &lt;x, y&gt;'!L130-B130)/B130</f>
        <v>0.91254321827352736</v>
      </c>
      <c r="H130" s="5">
        <f>100*('Parameter &lt;x, y&gt;'!Q130-B130)/B130</f>
        <v>6.4088549890284288</v>
      </c>
      <c r="J130" s="5">
        <f>100*('Parameter &lt;x, y&gt;'!D130-C130)/C130</f>
        <v>0</v>
      </c>
      <c r="K130" s="5">
        <f>100*('Parameter &lt;x, y&gt;'!I130-C130)/C130</f>
        <v>10.564875502479877</v>
      </c>
      <c r="L130" s="5">
        <f>100*('Parameter &lt;x, y&gt;'!N130-C130)/C130</f>
        <v>9.9371428091877263</v>
      </c>
      <c r="M130" s="5">
        <f>100*('Parameter &lt;x, y&gt;'!S130-C130)/C130</f>
        <v>6.1606760714675373</v>
      </c>
    </row>
    <row r="131" spans="1:13" ht="12.75" customHeight="1">
      <c r="A131" s="13"/>
      <c r="B131" s="5">
        <f>MIN('Parameter &lt;x, y&gt;'!B131,'Parameter &lt;x, y&gt;'!G131,'Parameter &lt;x, y&gt;'!L131,'Parameter &lt;x, y&gt;'!Q131)</f>
        <v>13682.2</v>
      </c>
      <c r="C131" s="5">
        <f>MIN('Parameter &lt;x, y&gt;'!D131,'Parameter &lt;x, y&gt;'!I131,'Parameter &lt;x, y&gt;'!N131,'Parameter &lt;x, y&gt;'!S131)</f>
        <v>12335.2</v>
      </c>
      <c r="E131" s="5">
        <f>100*('Parameter &lt;x, y&gt;'!B131-B131)/B131</f>
        <v>0</v>
      </c>
      <c r="F131" s="5">
        <f>100*('Parameter &lt;x, y&gt;'!G131-B131)/B131</f>
        <v>1.7299849439417556</v>
      </c>
      <c r="G131" s="5">
        <f>100*('Parameter &lt;x, y&gt;'!L131-B131)/B131</f>
        <v>2.4900966218882847</v>
      </c>
      <c r="H131" s="5">
        <f>100*('Parameter &lt;x, y&gt;'!Q131-B131)/B131</f>
        <v>2.8759994737688381</v>
      </c>
      <c r="J131" s="5">
        <f>100*('Parameter &lt;x, y&gt;'!D131-C131)/C131</f>
        <v>7.2305272715480875</v>
      </c>
      <c r="K131" s="5">
        <f>100*('Parameter &lt;x, y&gt;'!I131-C131)/C131</f>
        <v>15.435501653803748</v>
      </c>
      <c r="L131" s="5">
        <f>100*('Parameter &lt;x, y&gt;'!N131-C131)/C131</f>
        <v>0</v>
      </c>
      <c r="M131" s="5">
        <f>100*('Parameter &lt;x, y&gt;'!S131-C131)/C131</f>
        <v>15.04880342434658</v>
      </c>
    </row>
    <row r="132" spans="1:13" ht="12.75" customHeight="1">
      <c r="A132" s="13"/>
      <c r="B132" s="5">
        <f>MIN('Parameter &lt;x, y&gt;'!B132,'Parameter &lt;x, y&gt;'!G132,'Parameter &lt;x, y&gt;'!L132,'Parameter &lt;x, y&gt;'!Q132)</f>
        <v>10399.700000000001</v>
      </c>
      <c r="C132" s="5">
        <f>MIN('Parameter &lt;x, y&gt;'!D132,'Parameter &lt;x, y&gt;'!I132,'Parameter &lt;x, y&gt;'!N132,'Parameter &lt;x, y&gt;'!S132)</f>
        <v>9803.7000000000007</v>
      </c>
      <c r="E132" s="5">
        <f>100*('Parameter &lt;x, y&gt;'!B132-B132)/B132</f>
        <v>0</v>
      </c>
      <c r="F132" s="5">
        <f>100*('Parameter &lt;x, y&gt;'!G132-B132)/B132</f>
        <v>10.75511793609431</v>
      </c>
      <c r="G132" s="5">
        <f>100*('Parameter &lt;x, y&gt;'!L132-B132)/B132</f>
        <v>13.11287825610353</v>
      </c>
      <c r="H132" s="5">
        <f>100*('Parameter &lt;x, y&gt;'!Q132-B132)/B132</f>
        <v>5.7145879208054007</v>
      </c>
      <c r="J132" s="5">
        <f>100*('Parameter &lt;x, y&gt;'!D132-C132)/C132</f>
        <v>3.3670960963717631</v>
      </c>
      <c r="K132" s="5">
        <f>100*('Parameter &lt;x, y&gt;'!I132-C132)/C132</f>
        <v>6.9738976100859755</v>
      </c>
      <c r="L132" s="5">
        <f>100*('Parameter &lt;x, y&gt;'!N132-C132)/C132</f>
        <v>0</v>
      </c>
      <c r="M132" s="5">
        <f>100*('Parameter &lt;x, y&gt;'!S132-C132)/C132</f>
        <v>12.388179972867386</v>
      </c>
    </row>
    <row r="133" spans="1:13" ht="12.75" customHeight="1">
      <c r="A133" s="13"/>
      <c r="B133" s="5">
        <f>MIN('Parameter &lt;x, y&gt;'!B133,'Parameter &lt;x, y&gt;'!G133,'Parameter &lt;x, y&gt;'!L133,'Parameter &lt;x, y&gt;'!Q133)</f>
        <v>11260.9</v>
      </c>
      <c r="C133" s="5">
        <f>MIN('Parameter &lt;x, y&gt;'!D133,'Parameter &lt;x, y&gt;'!I133,'Parameter &lt;x, y&gt;'!N133,'Parameter &lt;x, y&gt;'!S133)</f>
        <v>11675.9</v>
      </c>
      <c r="E133" s="5">
        <f>100*('Parameter &lt;x, y&gt;'!B133-B133)/B133</f>
        <v>4.3779804456126952</v>
      </c>
      <c r="F133" s="5">
        <f>100*('Parameter &lt;x, y&gt;'!G133-B133)/B133</f>
        <v>9.9334866662522554</v>
      </c>
      <c r="G133" s="5">
        <f>100*('Parameter &lt;x, y&gt;'!L133-B133)/B133</f>
        <v>5.6798302089531063</v>
      </c>
      <c r="H133" s="5">
        <f>100*('Parameter &lt;x, y&gt;'!Q133-B133)/B133</f>
        <v>0</v>
      </c>
      <c r="J133" s="5">
        <f>100*('Parameter &lt;x, y&gt;'!D133-C133)/C133</f>
        <v>0</v>
      </c>
      <c r="K133" s="5">
        <f>100*('Parameter &lt;x, y&gt;'!I133-C133)/C133</f>
        <v>5.0325884942488406</v>
      </c>
      <c r="L133" s="5">
        <f>100*('Parameter &lt;x, y&gt;'!N133-C133)/C133</f>
        <v>0</v>
      </c>
      <c r="M133" s="5">
        <f>100*('Parameter &lt;x, y&gt;'!S133-C133)/C133</f>
        <v>10.750349009498203</v>
      </c>
    </row>
    <row r="134" spans="1:13" ht="12.75" customHeight="1">
      <c r="A134" s="13"/>
      <c r="B134" s="5">
        <f>MIN('Parameter &lt;x, y&gt;'!B134,'Parameter &lt;x, y&gt;'!G134,'Parameter &lt;x, y&gt;'!L134,'Parameter &lt;x, y&gt;'!Q134)</f>
        <v>10807.1</v>
      </c>
      <c r="C134" s="5">
        <f>MIN('Parameter &lt;x, y&gt;'!D134,'Parameter &lt;x, y&gt;'!I134,'Parameter &lt;x, y&gt;'!N134,'Parameter &lt;x, y&gt;'!S134)</f>
        <v>10507.1</v>
      </c>
      <c r="E134" s="5">
        <f>100*('Parameter &lt;x, y&gt;'!B134-B134)/B134</f>
        <v>0</v>
      </c>
      <c r="F134" s="5">
        <f>100*('Parameter &lt;x, y&gt;'!G134-B134)/B134</f>
        <v>23.565063708117801</v>
      </c>
      <c r="G134" s="5">
        <f>100*('Parameter &lt;x, y&gt;'!L134-B134)/B134</f>
        <v>7.9586568089496748</v>
      </c>
      <c r="H134" s="5">
        <f>100*('Parameter &lt;x, y&gt;'!Q134-B134)/B134</f>
        <v>11.306455941001746</v>
      </c>
      <c r="J134" s="5">
        <f>100*('Parameter &lt;x, y&gt;'!D134-C134)/C134</f>
        <v>0</v>
      </c>
      <c r="K134" s="5">
        <f>100*('Parameter &lt;x, y&gt;'!I134-C134)/C134</f>
        <v>7.41974474403023</v>
      </c>
      <c r="L134" s="5">
        <f>100*('Parameter &lt;x, y&gt;'!N134-C134)/C134</f>
        <v>6.8734474783717561</v>
      </c>
      <c r="M134" s="5">
        <f>100*('Parameter &lt;x, y&gt;'!S134-C134)/C134</f>
        <v>17.287358072160725</v>
      </c>
    </row>
    <row r="135" spans="1:13" ht="12.75" customHeight="1">
      <c r="A135" s="13"/>
      <c r="B135" s="5">
        <f>MIN('Parameter &lt;x, y&gt;'!B135,'Parameter &lt;x, y&gt;'!G135,'Parameter &lt;x, y&gt;'!L135,'Parameter &lt;x, y&gt;'!Q135)</f>
        <v>9186</v>
      </c>
      <c r="C135" s="5">
        <f>MIN('Parameter &lt;x, y&gt;'!D135,'Parameter &lt;x, y&gt;'!I135,'Parameter &lt;x, y&gt;'!N135,'Parameter &lt;x, y&gt;'!S135)</f>
        <v>9186</v>
      </c>
      <c r="E135" s="5">
        <f>100*('Parameter &lt;x, y&gt;'!B135-B135)/B135</f>
        <v>0</v>
      </c>
      <c r="F135" s="5">
        <f>100*('Parameter &lt;x, y&gt;'!G135-B135)/B135</f>
        <v>4.8737208795993983</v>
      </c>
      <c r="G135" s="5">
        <f>100*('Parameter &lt;x, y&gt;'!L135-B135)/B135</f>
        <v>1.7319834530807789</v>
      </c>
      <c r="H135" s="5">
        <f>100*('Parameter &lt;x, y&gt;'!Q135-B135)/B135</f>
        <v>15.86327019377314</v>
      </c>
      <c r="J135" s="5">
        <f>100*('Parameter &lt;x, y&gt;'!D135-C135)/C135</f>
        <v>0</v>
      </c>
      <c r="K135" s="5">
        <f>100*('Parameter &lt;x, y&gt;'!I135-C135)/C135</f>
        <v>0</v>
      </c>
      <c r="L135" s="5">
        <f>100*('Parameter &lt;x, y&gt;'!N135-C135)/C135</f>
        <v>1.7319834530807789</v>
      </c>
      <c r="M135" s="5">
        <f>100*('Parameter &lt;x, y&gt;'!S135-C135)/C135</f>
        <v>10.129544959721315</v>
      </c>
    </row>
    <row r="136" spans="1:13" ht="12.75" customHeight="1">
      <c r="A136" s="13"/>
      <c r="B136" s="5">
        <f>MIN('Parameter &lt;x, y&gt;'!B136,'Parameter &lt;x, y&gt;'!G136,'Parameter &lt;x, y&gt;'!L136,'Parameter &lt;x, y&gt;'!Q136)</f>
        <v>10954.7</v>
      </c>
      <c r="C136" s="5">
        <f>MIN('Parameter &lt;x, y&gt;'!D136,'Parameter &lt;x, y&gt;'!I136,'Parameter &lt;x, y&gt;'!N136,'Parameter &lt;x, y&gt;'!S136)</f>
        <v>10399.5</v>
      </c>
      <c r="E136" s="5">
        <f>100*('Parameter &lt;x, y&gt;'!B136-B136)/B136</f>
        <v>0</v>
      </c>
      <c r="F136" s="5">
        <f>100*('Parameter &lt;x, y&gt;'!G136-B136)/B136</f>
        <v>1.2898573215149594</v>
      </c>
      <c r="G136" s="5">
        <f>100*('Parameter &lt;x, y&gt;'!L136-B136)/B136</f>
        <v>7.0143408765187516</v>
      </c>
      <c r="H136" s="5">
        <f>100*('Parameter &lt;x, y&gt;'!Q136-B136)/B136</f>
        <v>13.294750198544913</v>
      </c>
      <c r="J136" s="5">
        <f>100*('Parameter &lt;x, y&gt;'!D136-C136)/C136</f>
        <v>0</v>
      </c>
      <c r="K136" s="5">
        <f>100*('Parameter &lt;x, y&gt;'!I136-C136)/C136</f>
        <v>15.045915669022556</v>
      </c>
      <c r="L136" s="5">
        <f>100*('Parameter &lt;x, y&gt;'!N136-C136)/C136</f>
        <v>0</v>
      </c>
      <c r="M136" s="5">
        <f>100*('Parameter &lt;x, y&gt;'!S136-C136)/C136</f>
        <v>18.61820279821146</v>
      </c>
    </row>
    <row r="137" spans="1:13" ht="12.75" customHeight="1">
      <c r="A137" s="13"/>
      <c r="B137" s="5">
        <f>MIN('Parameter &lt;x, y&gt;'!B137,'Parameter &lt;x, y&gt;'!G137,'Parameter &lt;x, y&gt;'!L137,'Parameter &lt;x, y&gt;'!Q137)</f>
        <v>13477.6</v>
      </c>
      <c r="C137" s="5">
        <f>MIN('Parameter &lt;x, y&gt;'!D137,'Parameter &lt;x, y&gt;'!I137,'Parameter &lt;x, y&gt;'!N137,'Parameter &lt;x, y&gt;'!S137)</f>
        <v>13339.3</v>
      </c>
      <c r="E137" s="5">
        <f>100*('Parameter &lt;x, y&gt;'!B137-B137)/B137</f>
        <v>4.0867810292633644</v>
      </c>
      <c r="F137" s="5">
        <f>100*('Parameter &lt;x, y&gt;'!G137-B137)/B137</f>
        <v>4.9355968421677359</v>
      </c>
      <c r="G137" s="5">
        <f>100*('Parameter &lt;x, y&gt;'!L137-B137)/B137</f>
        <v>5.7844126550721215</v>
      </c>
      <c r="H137" s="5">
        <f>100*('Parameter &lt;x, y&gt;'!Q137-B137)/B137</f>
        <v>0</v>
      </c>
      <c r="J137" s="5">
        <f>100*('Parameter &lt;x, y&gt;'!D137-C137)/C137</f>
        <v>0.14768391144963175</v>
      </c>
      <c r="K137" s="5">
        <f>100*('Parameter &lt;x, y&gt;'!I137-C137)/C137</f>
        <v>0</v>
      </c>
      <c r="L137" s="5">
        <f>100*('Parameter &lt;x, y&gt;'!N137-C137)/C137</f>
        <v>0.14768391144963175</v>
      </c>
      <c r="M137" s="5">
        <f>100*('Parameter &lt;x, y&gt;'!S137-C137)/C137</f>
        <v>17.958213699369534</v>
      </c>
    </row>
    <row r="138" spans="1:13" ht="12.75" customHeight="1">
      <c r="A138" s="13"/>
      <c r="B138" s="5">
        <f>MIN('Parameter &lt;x, y&gt;'!B138,'Parameter &lt;x, y&gt;'!G138,'Parameter &lt;x, y&gt;'!L138,'Parameter &lt;x, y&gt;'!Q138)</f>
        <v>8351.9</v>
      </c>
      <c r="C138" s="5">
        <f>MIN('Parameter &lt;x, y&gt;'!D138,'Parameter &lt;x, y&gt;'!I138,'Parameter &lt;x, y&gt;'!N138,'Parameter &lt;x, y&gt;'!S138)</f>
        <v>7865.8</v>
      </c>
      <c r="E138" s="5">
        <f>100*('Parameter &lt;x, y&gt;'!B138-B138)/B138</f>
        <v>0</v>
      </c>
      <c r="F138" s="5">
        <f>100*('Parameter &lt;x, y&gt;'!G138-B138)/B138</f>
        <v>7.3516205893269797</v>
      </c>
      <c r="G138" s="5">
        <f>100*('Parameter &lt;x, y&gt;'!L138-B138)/B138</f>
        <v>0</v>
      </c>
      <c r="H138" s="5">
        <f>100*('Parameter &lt;x, y&gt;'!Q138-B138)/B138</f>
        <v>11.832038218848416</v>
      </c>
      <c r="J138" s="5">
        <f>100*('Parameter &lt;x, y&gt;'!D138-C138)/C138</f>
        <v>5.199725393475541</v>
      </c>
      <c r="K138" s="5">
        <f>100*('Parameter &lt;x, y&gt;'!I138-C138)/C138</f>
        <v>0</v>
      </c>
      <c r="L138" s="5">
        <f>100*('Parameter &lt;x, y&gt;'!N138-C138)/C138</f>
        <v>0</v>
      </c>
      <c r="M138" s="5">
        <f>100*('Parameter &lt;x, y&gt;'!S138-C138)/C138</f>
        <v>18.684685600956033</v>
      </c>
    </row>
    <row r="139" spans="1:13" ht="12.75" customHeight="1">
      <c r="A139" s="13"/>
      <c r="B139" s="5">
        <f>MIN('Parameter &lt;x, y&gt;'!B139,'Parameter &lt;x, y&gt;'!G139,'Parameter &lt;x, y&gt;'!L139,'Parameter &lt;x, y&gt;'!Q139)</f>
        <v>9005.5</v>
      </c>
      <c r="C139" s="5">
        <f>MIN('Parameter &lt;x, y&gt;'!D139,'Parameter &lt;x, y&gt;'!I139,'Parameter &lt;x, y&gt;'!N139,'Parameter &lt;x, y&gt;'!S139)</f>
        <v>8968.7000000000007</v>
      </c>
      <c r="E139" s="5">
        <f>100*('Parameter &lt;x, y&gt;'!B139-B139)/B139</f>
        <v>0.94386763644439509</v>
      </c>
      <c r="F139" s="5">
        <f>100*('Parameter &lt;x, y&gt;'!G139-B139)/B139</f>
        <v>1.5212925434456721</v>
      </c>
      <c r="G139" s="5">
        <f>100*('Parameter &lt;x, y&gt;'!L139-B139)/B139</f>
        <v>0</v>
      </c>
      <c r="H139" s="5">
        <f>100*('Parameter &lt;x, y&gt;'!Q139-B139)/B139</f>
        <v>26.773638332130368</v>
      </c>
      <c r="J139" s="5">
        <f>100*('Parameter &lt;x, y&gt;'!D139-C139)/C139</f>
        <v>0</v>
      </c>
      <c r="K139" s="5">
        <f>100*('Parameter &lt;x, y&gt;'!I139-C139)/C139</f>
        <v>14.19603732982482</v>
      </c>
      <c r="L139" s="5">
        <f>100*('Parameter &lt;x, y&gt;'!N139-C139)/C139</f>
        <v>0.41031587632543476</v>
      </c>
      <c r="M139" s="5">
        <f>100*('Parameter &lt;x, y&gt;'!S139-C139)/C139</f>
        <v>23.445984367857093</v>
      </c>
    </row>
    <row r="140" spans="1:13" ht="12.75" customHeight="1">
      <c r="A140" s="13"/>
      <c r="B140" s="5">
        <f>MIN('Parameter &lt;x, y&gt;'!B140,'Parameter &lt;x, y&gt;'!G140,'Parameter &lt;x, y&gt;'!L140,'Parameter &lt;x, y&gt;'!Q140)</f>
        <v>11348</v>
      </c>
      <c r="C140" s="5">
        <f>MIN('Parameter &lt;x, y&gt;'!D140,'Parameter &lt;x, y&gt;'!I140,'Parameter &lt;x, y&gt;'!N140,'Parameter &lt;x, y&gt;'!S140)</f>
        <v>10601.1</v>
      </c>
      <c r="E140" s="5">
        <f>100*('Parameter &lt;x, y&gt;'!B140-B140)/B140</f>
        <v>5.2423334508283368</v>
      </c>
      <c r="F140" s="5">
        <f>100*('Parameter &lt;x, y&gt;'!G140-B140)/B140</f>
        <v>0</v>
      </c>
      <c r="G140" s="5">
        <f>100*('Parameter &lt;x, y&gt;'!L140-B140)/B140</f>
        <v>13.962812830454705</v>
      </c>
      <c r="H140" s="5">
        <f>100*('Parameter &lt;x, y&gt;'!Q140-B140)/B140</f>
        <v>6.7166020444131185</v>
      </c>
      <c r="J140" s="5">
        <f>100*('Parameter &lt;x, y&gt;'!D140-C140)/C140</f>
        <v>0</v>
      </c>
      <c r="K140" s="5">
        <f>100*('Parameter &lt;x, y&gt;'!I140-C140)/C140</f>
        <v>7.0454952787918206</v>
      </c>
      <c r="L140" s="5">
        <f>100*('Parameter &lt;x, y&gt;'!N140-C140)/C140</f>
        <v>0.13583496052296115</v>
      </c>
      <c r="M140" s="5">
        <f>100*('Parameter &lt;x, y&gt;'!S140-C140)/C140</f>
        <v>9.9970757751554018</v>
      </c>
    </row>
    <row r="141" spans="1:13" ht="12.75" customHeight="1">
      <c r="A141" s="13"/>
      <c r="B141" s="5">
        <f>MIN('Parameter &lt;x, y&gt;'!B141,'Parameter &lt;x, y&gt;'!G141,'Parameter &lt;x, y&gt;'!L141,'Parameter &lt;x, y&gt;'!Q141)</f>
        <v>5524.5</v>
      </c>
      <c r="C141" s="5">
        <f>MIN('Parameter &lt;x, y&gt;'!D141,'Parameter &lt;x, y&gt;'!I141,'Parameter &lt;x, y&gt;'!N141,'Parameter &lt;x, y&gt;'!S141)</f>
        <v>6428</v>
      </c>
      <c r="E141" s="5">
        <f>100*('Parameter &lt;x, y&gt;'!B141-B141)/B141</f>
        <v>0</v>
      </c>
      <c r="F141" s="5">
        <f>100*('Parameter &lt;x, y&gt;'!G141-B141)/B141</f>
        <v>0.25703683591274901</v>
      </c>
      <c r="G141" s="5">
        <f>100*('Parameter &lt;x, y&gt;'!L141-B141)/B141</f>
        <v>7.2531450810028026</v>
      </c>
      <c r="H141" s="5">
        <f>100*('Parameter &lt;x, y&gt;'!Q141-B141)/B141</f>
        <v>5.7996198751018122</v>
      </c>
      <c r="J141" s="5">
        <f>100*('Parameter &lt;x, y&gt;'!D141-C141)/C141</f>
        <v>0.39514623522090286</v>
      </c>
      <c r="K141" s="5">
        <f>100*('Parameter &lt;x, y&gt;'!I141-C141)/C141</f>
        <v>25.320472930927199</v>
      </c>
      <c r="L141" s="5">
        <f>100*('Parameter &lt;x, y&gt;'!N141-C141)/C141</f>
        <v>0</v>
      </c>
      <c r="M141" s="5">
        <f>100*('Parameter &lt;x, y&gt;'!S141-C141)/C141</f>
        <v>50.27846919726197</v>
      </c>
    </row>
    <row r="142" spans="1:13" ht="12.75" customHeight="1">
      <c r="A142" s="13"/>
      <c r="B142" s="5">
        <f>MIN('Parameter &lt;x, y&gt;'!B142,'Parameter &lt;x, y&gt;'!G142,'Parameter &lt;x, y&gt;'!L142,'Parameter &lt;x, y&gt;'!Q142)</f>
        <v>8905.5</v>
      </c>
      <c r="C142" s="5">
        <f>MIN('Parameter &lt;x, y&gt;'!D142,'Parameter &lt;x, y&gt;'!I142,'Parameter &lt;x, y&gt;'!N142,'Parameter &lt;x, y&gt;'!S142)</f>
        <v>8905.5</v>
      </c>
      <c r="E142" s="5">
        <f>100*('Parameter &lt;x, y&gt;'!B142-B142)/B142</f>
        <v>7.221380046038969</v>
      </c>
      <c r="F142" s="5">
        <f>100*('Parameter &lt;x, y&gt;'!G142-B142)/B142</f>
        <v>13.344562349110097</v>
      </c>
      <c r="G142" s="5">
        <f>100*('Parameter &lt;x, y&gt;'!L142-B142)/B142</f>
        <v>0</v>
      </c>
      <c r="H142" s="5">
        <f>100*('Parameter &lt;x, y&gt;'!Q142-B142)/B142</f>
        <v>14.656111391836514</v>
      </c>
      <c r="J142" s="5">
        <f>100*('Parameter &lt;x, y&gt;'!D142-C142)/C142</f>
        <v>1.576553815058106</v>
      </c>
      <c r="K142" s="5">
        <f>100*('Parameter &lt;x, y&gt;'!I142-C142)/C142</f>
        <v>0</v>
      </c>
      <c r="L142" s="5">
        <f>100*('Parameter &lt;x, y&gt;'!N142-C142)/C142</f>
        <v>6.6037841783167748</v>
      </c>
      <c r="M142" s="5">
        <f>100*('Parameter &lt;x, y&gt;'!S142-C142)/C142</f>
        <v>14.112627028240967</v>
      </c>
    </row>
    <row r="143" spans="1:13" ht="12.75" customHeight="1">
      <c r="A143" s="13"/>
      <c r="B143" s="5">
        <f>MIN('Parameter &lt;x, y&gt;'!B143,'Parameter &lt;x, y&gt;'!G143,'Parameter &lt;x, y&gt;'!L143,'Parameter &lt;x, y&gt;'!Q143)</f>
        <v>11507.8</v>
      </c>
      <c r="C143" s="5">
        <f>MIN('Parameter &lt;x, y&gt;'!D143,'Parameter &lt;x, y&gt;'!I143,'Parameter &lt;x, y&gt;'!N143,'Parameter &lt;x, y&gt;'!S143)</f>
        <v>10177.6</v>
      </c>
      <c r="E143" s="5">
        <f>100*('Parameter &lt;x, y&gt;'!B143-B143)/B143</f>
        <v>2.9206277481360501</v>
      </c>
      <c r="F143" s="5">
        <f>100*('Parameter &lt;x, y&gt;'!G143-B143)/B143</f>
        <v>0.6473869896939467</v>
      </c>
      <c r="G143" s="5">
        <f>100*('Parameter &lt;x, y&gt;'!L143-B143)/B143</f>
        <v>0</v>
      </c>
      <c r="H143" s="5">
        <f>100*('Parameter &lt;x, y&gt;'!Q143-B143)/B143</f>
        <v>1.0879577330158738</v>
      </c>
      <c r="J143" s="5">
        <f>100*('Parameter &lt;x, y&gt;'!D143-C143)/C143</f>
        <v>5.3873211759157291</v>
      </c>
      <c r="K143" s="5">
        <f>100*('Parameter &lt;x, y&gt;'!I143-C143)/C143</f>
        <v>0</v>
      </c>
      <c r="L143" s="5">
        <f>100*('Parameter &lt;x, y&gt;'!N143-C143)/C143</f>
        <v>9.0266860556516146</v>
      </c>
      <c r="M143" s="5">
        <f>100*('Parameter &lt;x, y&gt;'!S143-C143)/C143</f>
        <v>40.885867002043689</v>
      </c>
    </row>
    <row r="144" spans="1:13" ht="12.75" customHeight="1">
      <c r="A144" s="13"/>
      <c r="B144" s="5">
        <f>MIN('Parameter &lt;x, y&gt;'!B144,'Parameter &lt;x, y&gt;'!G144,'Parameter &lt;x, y&gt;'!L144,'Parameter &lt;x, y&gt;'!Q144)</f>
        <v>9069.4</v>
      </c>
      <c r="C144" s="5">
        <f>MIN('Parameter &lt;x, y&gt;'!D144,'Parameter &lt;x, y&gt;'!I144,'Parameter &lt;x, y&gt;'!N144,'Parameter &lt;x, y&gt;'!S144)</f>
        <v>8911.5</v>
      </c>
      <c r="E144" s="5">
        <f>100*('Parameter &lt;x, y&gt;'!B144-B144)/B144</f>
        <v>4.7544490263964621</v>
      </c>
      <c r="F144" s="5">
        <f>100*('Parameter &lt;x, y&gt;'!G144-B144)/B144</f>
        <v>6.3267691357752565</v>
      </c>
      <c r="G144" s="5">
        <f>100*('Parameter &lt;x, y&gt;'!L144-B144)/B144</f>
        <v>11.254327739431503</v>
      </c>
      <c r="H144" s="5">
        <f>100*('Parameter &lt;x, y&gt;'!Q144-B144)/B144</f>
        <v>0</v>
      </c>
      <c r="J144" s="5">
        <f>100*('Parameter &lt;x, y&gt;'!D144-C144)/C144</f>
        <v>3.1801604668125414</v>
      </c>
      <c r="K144" s="5">
        <f>100*('Parameter &lt;x, y&gt;'!I144-C144)/C144</f>
        <v>0</v>
      </c>
      <c r="L144" s="5">
        <f>100*('Parameter &lt;x, y&gt;'!N144-C144)/C144</f>
        <v>2.1545194411715198</v>
      </c>
      <c r="M144" s="5">
        <f>100*('Parameter &lt;x, y&gt;'!S144-C144)/C144</f>
        <v>11.120462323963418</v>
      </c>
    </row>
    <row r="145" spans="1:13" ht="12.75" customHeight="1">
      <c r="A145" s="13"/>
      <c r="B145" s="5">
        <f>MIN('Parameter &lt;x, y&gt;'!B145,'Parameter &lt;x, y&gt;'!G145,'Parameter &lt;x, y&gt;'!L145,'Parameter &lt;x, y&gt;'!Q145)</f>
        <v>9937.5</v>
      </c>
      <c r="C145" s="5">
        <f>MIN('Parameter &lt;x, y&gt;'!D145,'Parameter &lt;x, y&gt;'!I145,'Parameter &lt;x, y&gt;'!N145,'Parameter &lt;x, y&gt;'!S145)</f>
        <v>9222.6</v>
      </c>
      <c r="E145" s="5">
        <f>100*('Parameter &lt;x, y&gt;'!B145-B145)/B145</f>
        <v>0</v>
      </c>
      <c r="F145" s="5">
        <f>100*('Parameter &lt;x, y&gt;'!G145-B145)/B145</f>
        <v>27.864150943396226</v>
      </c>
      <c r="G145" s="5">
        <f>100*('Parameter &lt;x, y&gt;'!L145-B145)/B145</f>
        <v>0.53534591194969283</v>
      </c>
      <c r="H145" s="5">
        <f>100*('Parameter &lt;x, y&gt;'!Q145-B145)/B145</f>
        <v>12.158993710691817</v>
      </c>
      <c r="J145" s="5">
        <f>100*('Parameter &lt;x, y&gt;'!D145-C145)/C145</f>
        <v>0</v>
      </c>
      <c r="K145" s="5">
        <f>100*('Parameter &lt;x, y&gt;'!I145-C145)/C145</f>
        <v>6.2390215340576365</v>
      </c>
      <c r="L145" s="5">
        <f>100*('Parameter &lt;x, y&gt;'!N145-C145)/C145</f>
        <v>4.1636848611020749</v>
      </c>
      <c r="M145" s="5">
        <f>100*('Parameter &lt;x, y&gt;'!S145-C145)/C145</f>
        <v>15.930431765445739</v>
      </c>
    </row>
    <row r="146" spans="1:13" ht="12.75" customHeight="1">
      <c r="A146" s="13"/>
      <c r="B146" s="5">
        <f>MIN('Parameter &lt;x, y&gt;'!B146,'Parameter &lt;x, y&gt;'!G146,'Parameter &lt;x, y&gt;'!L146,'Parameter &lt;x, y&gt;'!Q146)</f>
        <v>9324.7000000000007</v>
      </c>
      <c r="C146" s="5">
        <f>MIN('Parameter &lt;x, y&gt;'!D146,'Parameter &lt;x, y&gt;'!I146,'Parameter &lt;x, y&gt;'!N146,'Parameter &lt;x, y&gt;'!S146)</f>
        <v>9007.2999999999993</v>
      </c>
      <c r="E146" s="5">
        <f>100*('Parameter &lt;x, y&gt;'!B146-B146)/B146</f>
        <v>6.0602485870858951</v>
      </c>
      <c r="F146" s="5">
        <f>100*('Parameter &lt;x, y&gt;'!G146-B146)/B146</f>
        <v>0</v>
      </c>
      <c r="G146" s="5">
        <f>100*('Parameter &lt;x, y&gt;'!L146-B146)/B146</f>
        <v>15.038553519148062</v>
      </c>
      <c r="H146" s="5">
        <f>100*('Parameter &lt;x, y&gt;'!Q146-B146)/B146</f>
        <v>28.843823393782092</v>
      </c>
      <c r="J146" s="5">
        <f>100*('Parameter &lt;x, y&gt;'!D146-C146)/C146</f>
        <v>0</v>
      </c>
      <c r="K146" s="5">
        <f>100*('Parameter &lt;x, y&gt;'!I146-C146)/C146</f>
        <v>5.0225927858514927</v>
      </c>
      <c r="L146" s="5">
        <f>100*('Parameter &lt;x, y&gt;'!N146-C146)/C146</f>
        <v>0</v>
      </c>
      <c r="M146" s="5">
        <f>100*('Parameter &lt;x, y&gt;'!S146-C146)/C146</f>
        <v>5.5166365059451943</v>
      </c>
    </row>
    <row r="147" spans="1:13" ht="12.75" customHeight="1">
      <c r="A147" s="13"/>
      <c r="B147" s="5">
        <f>MIN('Parameter &lt;x, y&gt;'!B147,'Parameter &lt;x, y&gt;'!G147,'Parameter &lt;x, y&gt;'!L147,'Parameter &lt;x, y&gt;'!Q147)</f>
        <v>10885.3</v>
      </c>
      <c r="C147" s="5">
        <f>MIN('Parameter &lt;x, y&gt;'!D147,'Parameter &lt;x, y&gt;'!I147,'Parameter &lt;x, y&gt;'!N147,'Parameter &lt;x, y&gt;'!S147)</f>
        <v>10200.5</v>
      </c>
      <c r="E147" s="5">
        <f>100*('Parameter &lt;x, y&gt;'!B147-B147)/B147</f>
        <v>0</v>
      </c>
      <c r="F147" s="5">
        <f>100*('Parameter &lt;x, y&gt;'!G147-B147)/B147</f>
        <v>3.9980524193178026</v>
      </c>
      <c r="G147" s="5">
        <f>100*('Parameter &lt;x, y&gt;'!L147-B147)/B147</f>
        <v>6.1293671281453044</v>
      </c>
      <c r="H147" s="5">
        <f>100*('Parameter &lt;x, y&gt;'!Q147-B147)/B147</f>
        <v>2.3747622941030566</v>
      </c>
      <c r="J147" s="5">
        <f>100*('Parameter &lt;x, y&gt;'!D147-C147)/C147</f>
        <v>6.3212587618253933</v>
      </c>
      <c r="K147" s="5">
        <f>100*('Parameter &lt;x, y&gt;'!I147-C147)/C147</f>
        <v>16.030586735944322</v>
      </c>
      <c r="L147" s="5">
        <f>100*('Parameter &lt;x, y&gt;'!N147-C147)/C147</f>
        <v>0</v>
      </c>
      <c r="M147" s="5">
        <f>100*('Parameter &lt;x, y&gt;'!S147-C147)/C147</f>
        <v>18.089309347581008</v>
      </c>
    </row>
    <row r="148" spans="1:13" ht="12.75" customHeight="1">
      <c r="A148" s="13"/>
      <c r="B148" s="5">
        <f>MIN('Parameter &lt;x, y&gt;'!B148,'Parameter &lt;x, y&gt;'!G148,'Parameter &lt;x, y&gt;'!L148,'Parameter &lt;x, y&gt;'!Q148)</f>
        <v>9723.2999999999993</v>
      </c>
      <c r="C148" s="5">
        <f>MIN('Parameter &lt;x, y&gt;'!D148,'Parameter &lt;x, y&gt;'!I148,'Parameter &lt;x, y&gt;'!N148,'Parameter &lt;x, y&gt;'!S148)</f>
        <v>9206</v>
      </c>
      <c r="E148" s="5">
        <f>100*('Parameter &lt;x, y&gt;'!B148-B148)/B148</f>
        <v>2.450814024045346</v>
      </c>
      <c r="F148" s="5">
        <f>100*('Parameter &lt;x, y&gt;'!G148-B148)/B148</f>
        <v>0</v>
      </c>
      <c r="G148" s="5">
        <f>100*('Parameter &lt;x, y&gt;'!L148-B148)/B148</f>
        <v>2.450814024045346</v>
      </c>
      <c r="H148" s="5">
        <f>100*('Parameter &lt;x, y&gt;'!Q148-B148)/B148</f>
        <v>70.965618668559046</v>
      </c>
      <c r="J148" s="5">
        <f>100*('Parameter &lt;x, y&gt;'!D148-C148)/C148</f>
        <v>5.2998044753421638</v>
      </c>
      <c r="K148" s="5">
        <f>100*('Parameter &lt;x, y&gt;'!I148-C148)/C148</f>
        <v>0</v>
      </c>
      <c r="L148" s="5">
        <f>100*('Parameter &lt;x, y&gt;'!N148-C148)/C148</f>
        <v>5.2998044753421638</v>
      </c>
      <c r="M148" s="5">
        <f>100*('Parameter &lt;x, y&gt;'!S148-C148)/C148</f>
        <v>39.999999999999993</v>
      </c>
    </row>
    <row r="149" spans="1:13" ht="12.75" customHeight="1">
      <c r="A149" s="13"/>
      <c r="B149" s="5">
        <f>MIN('Parameter &lt;x, y&gt;'!B149,'Parameter &lt;x, y&gt;'!G149,'Parameter &lt;x, y&gt;'!L149,'Parameter &lt;x, y&gt;'!Q149)</f>
        <v>7272.6</v>
      </c>
      <c r="C149" s="5">
        <f>MIN('Parameter &lt;x, y&gt;'!D149,'Parameter &lt;x, y&gt;'!I149,'Parameter &lt;x, y&gt;'!N149,'Parameter &lt;x, y&gt;'!S149)</f>
        <v>7172.6</v>
      </c>
      <c r="E149" s="5">
        <f>100*('Parameter &lt;x, y&gt;'!B149-B149)/B149</f>
        <v>0</v>
      </c>
      <c r="F149" s="5">
        <f>100*('Parameter &lt;x, y&gt;'!G149-B149)/B149</f>
        <v>13.131479800896516</v>
      </c>
      <c r="G149" s="5">
        <f>100*('Parameter &lt;x, y&gt;'!L149-B149)/B149</f>
        <v>13.823116904545818</v>
      </c>
      <c r="H149" s="5">
        <f>100*('Parameter &lt;x, y&gt;'!Q149-B149)/B149</f>
        <v>69.492341115969523</v>
      </c>
      <c r="J149" s="5">
        <f>100*('Parameter &lt;x, y&gt;'!D149-C149)/C149</f>
        <v>0.66363661712627853</v>
      </c>
      <c r="K149" s="5">
        <f>100*('Parameter &lt;x, y&gt;'!I149-C149)/C149</f>
        <v>13.877812787552626</v>
      </c>
      <c r="L149" s="5">
        <f>100*('Parameter &lt;x, y&gt;'!N149-C149)/C149</f>
        <v>0</v>
      </c>
      <c r="M149" s="5">
        <f>100*('Parameter &lt;x, y&gt;'!S149-C149)/C149</f>
        <v>52.648969690209952</v>
      </c>
    </row>
    <row r="150" spans="1:13" ht="12.75" customHeight="1">
      <c r="A150" s="13"/>
      <c r="B150" s="5">
        <f>MIN('Parameter &lt;x, y&gt;'!B150,'Parameter &lt;x, y&gt;'!G150,'Parameter &lt;x, y&gt;'!L150,'Parameter &lt;x, y&gt;'!Q150)</f>
        <v>7917.3</v>
      </c>
      <c r="C150" s="5">
        <f>MIN('Parameter &lt;x, y&gt;'!D150,'Parameter &lt;x, y&gt;'!I150,'Parameter &lt;x, y&gt;'!N150,'Parameter &lt;x, y&gt;'!S150)</f>
        <v>7521.7</v>
      </c>
      <c r="E150" s="5">
        <f>100*('Parameter &lt;x, y&gt;'!B150-B150)/B150</f>
        <v>4.1200914453159516</v>
      </c>
      <c r="F150" s="5">
        <f>100*('Parameter &lt;x, y&gt;'!G150-B150)/B150</f>
        <v>9.590390663483765</v>
      </c>
      <c r="G150" s="5">
        <f>100*('Parameter &lt;x, y&gt;'!L150-B150)/B150</f>
        <v>7.1476387152185792</v>
      </c>
      <c r="H150" s="5">
        <f>100*('Parameter &lt;x, y&gt;'!Q150-B150)/B150</f>
        <v>0</v>
      </c>
      <c r="J150" s="5">
        <f>100*('Parameter &lt;x, y&gt;'!D150-C150)/C150</f>
        <v>2.1776991903426111</v>
      </c>
      <c r="K150" s="5">
        <f>100*('Parameter &lt;x, y&gt;'!I150-C150)/C150</f>
        <v>5.5572543440977444</v>
      </c>
      <c r="L150" s="5">
        <f>100*('Parameter &lt;x, y&gt;'!N150-C150)/C150</f>
        <v>2.1776991903426111</v>
      </c>
      <c r="M150" s="5">
        <f>100*('Parameter &lt;x, y&gt;'!S150-C150)/C150</f>
        <v>0</v>
      </c>
    </row>
    <row r="151" spans="1:13" ht="12.75" customHeight="1">
      <c r="A151" s="13"/>
      <c r="B151" s="5">
        <f>MIN('Parameter &lt;x, y&gt;'!B151,'Parameter &lt;x, y&gt;'!G151,'Parameter &lt;x, y&gt;'!L151,'Parameter &lt;x, y&gt;'!Q151)</f>
        <v>8920.9</v>
      </c>
      <c r="C151" s="5">
        <f>MIN('Parameter &lt;x, y&gt;'!D151,'Parameter &lt;x, y&gt;'!I151,'Parameter &lt;x, y&gt;'!N151,'Parameter &lt;x, y&gt;'!S151)</f>
        <v>8783.6</v>
      </c>
      <c r="E151" s="5">
        <f>100*('Parameter &lt;x, y&gt;'!B151-B151)/B151</f>
        <v>3.5018888228766119</v>
      </c>
      <c r="F151" s="5">
        <f>100*('Parameter &lt;x, y&gt;'!G151-B151)/B151</f>
        <v>7.0553419498032675</v>
      </c>
      <c r="G151" s="5">
        <f>100*('Parameter &lt;x, y&gt;'!L151-B151)/B151</f>
        <v>0</v>
      </c>
      <c r="H151" s="5">
        <f>100*('Parameter &lt;x, y&gt;'!Q151-B151)/B151</f>
        <v>19.722225336008695</v>
      </c>
      <c r="J151" s="5">
        <f>100*('Parameter &lt;x, y&gt;'!D151-C151)/C151</f>
        <v>3.8480805136845939</v>
      </c>
      <c r="K151" s="5">
        <f>100*('Parameter &lt;x, y&gt;'!I151-C151)/C151</f>
        <v>0</v>
      </c>
      <c r="L151" s="5">
        <f>100*('Parameter &lt;x, y&gt;'!N151-C151)/C151</f>
        <v>0</v>
      </c>
      <c r="M151" s="5">
        <f>100*('Parameter &lt;x, y&gt;'!S151-C151)/C151</f>
        <v>27.274693747438395</v>
      </c>
    </row>
    <row r="152" spans="1:13" ht="12.75" customHeight="1">
      <c r="A152" s="13"/>
      <c r="B152" s="5">
        <f>MIN('Parameter &lt;x, y&gt;'!B152,'Parameter &lt;x, y&gt;'!G152,'Parameter &lt;x, y&gt;'!L152,'Parameter &lt;x, y&gt;'!Q152)</f>
        <v>11449.6</v>
      </c>
      <c r="C152" s="5">
        <f>MIN('Parameter &lt;x, y&gt;'!D152,'Parameter &lt;x, y&gt;'!I152,'Parameter &lt;x, y&gt;'!N152,'Parameter &lt;x, y&gt;'!S152)</f>
        <v>10510.8</v>
      </c>
      <c r="E152" s="5">
        <f>100*('Parameter &lt;x, y&gt;'!B152-B152)/B152</f>
        <v>0</v>
      </c>
      <c r="F152" s="5">
        <f>100*('Parameter &lt;x, y&gt;'!G152-B152)/B152</f>
        <v>6.4543739519284511</v>
      </c>
      <c r="G152" s="5">
        <f>100*('Parameter &lt;x, y&gt;'!L152-B152)/B152</f>
        <v>1.5825880380100519</v>
      </c>
      <c r="H152" s="5">
        <f>100*('Parameter &lt;x, y&gt;'!Q152-B152)/B152</f>
        <v>9.2020681945220808</v>
      </c>
      <c r="J152" s="5">
        <f>100*('Parameter &lt;x, y&gt;'!D152-C152)/C152</f>
        <v>13.856224074285512</v>
      </c>
      <c r="K152" s="5">
        <f>100*('Parameter &lt;x, y&gt;'!I152-C152)/C152</f>
        <v>0</v>
      </c>
      <c r="L152" s="5">
        <f>100*('Parameter &lt;x, y&gt;'!N152-C152)/C152</f>
        <v>10.202838984663408</v>
      </c>
      <c r="M152" s="5">
        <f>100*('Parameter &lt;x, y&gt;'!S152-C152)/C152</f>
        <v>32.707310575788725</v>
      </c>
    </row>
    <row r="153" spans="1:13" ht="12.75" customHeight="1">
      <c r="A153" s="13"/>
      <c r="B153" s="5">
        <f>MIN('Parameter &lt;x, y&gt;'!B153,'Parameter &lt;x, y&gt;'!G153,'Parameter &lt;x, y&gt;'!L153,'Parameter &lt;x, y&gt;'!Q153)</f>
        <v>10618.7</v>
      </c>
      <c r="C153" s="5">
        <f>MIN('Parameter &lt;x, y&gt;'!D153,'Parameter &lt;x, y&gt;'!I153,'Parameter &lt;x, y&gt;'!N153,'Parameter &lt;x, y&gt;'!S153)</f>
        <v>10173.799999999999</v>
      </c>
      <c r="E153" s="5">
        <f>100*('Parameter &lt;x, y&gt;'!B153-B153)/B153</f>
        <v>13.816192189251023</v>
      </c>
      <c r="F153" s="5">
        <f>100*('Parameter &lt;x, y&gt;'!G153-B153)/B153</f>
        <v>0</v>
      </c>
      <c r="G153" s="5">
        <f>100*('Parameter &lt;x, y&gt;'!L153-B153)/B153</f>
        <v>4.8028478062272638E-2</v>
      </c>
      <c r="H153" s="5">
        <f>100*('Parameter &lt;x, y&gt;'!Q153-B153)/B153</f>
        <v>7.557422283330351</v>
      </c>
      <c r="J153" s="5">
        <f>100*('Parameter &lt;x, y&gt;'!D153-C153)/C153</f>
        <v>0</v>
      </c>
      <c r="K153" s="5">
        <f>100*('Parameter &lt;x, y&gt;'!I153-C153)/C153</f>
        <v>0.98586565491754408</v>
      </c>
      <c r="L153" s="5">
        <f>100*('Parameter &lt;x, y&gt;'!N153-C153)/C153</f>
        <v>0.97308773516286939</v>
      </c>
      <c r="M153" s="5">
        <f>100*('Parameter &lt;x, y&gt;'!S153-C153)/C153</f>
        <v>14.503921838447782</v>
      </c>
    </row>
    <row r="154" spans="1:13" ht="12.75" customHeight="1">
      <c r="A154" s="13"/>
      <c r="B154" s="5">
        <f>MIN('Parameter &lt;x, y&gt;'!B154,'Parameter &lt;x, y&gt;'!G154,'Parameter &lt;x, y&gt;'!L154,'Parameter &lt;x, y&gt;'!Q154)</f>
        <v>10043.700000000001</v>
      </c>
      <c r="C154" s="5">
        <f>MIN('Parameter &lt;x, y&gt;'!D154,'Parameter &lt;x, y&gt;'!I154,'Parameter &lt;x, y&gt;'!N154,'Parameter &lt;x, y&gt;'!S154)</f>
        <v>9295.6</v>
      </c>
      <c r="E154" s="5">
        <f>100*('Parameter &lt;x, y&gt;'!B154-B154)/B154</f>
        <v>0</v>
      </c>
      <c r="F154" s="5">
        <f>100*('Parameter &lt;x, y&gt;'!G154-B154)/B154</f>
        <v>4.1966605932076817</v>
      </c>
      <c r="G154" s="5">
        <f>100*('Parameter &lt;x, y&gt;'!L154-B154)/B154</f>
        <v>0.39825960552386069</v>
      </c>
      <c r="H154" s="5">
        <f>100*('Parameter &lt;x, y&gt;'!Q154-B154)/B154</f>
        <v>1.9435068749564293</v>
      </c>
      <c r="J154" s="5">
        <f>100*('Parameter &lt;x, y&gt;'!D154-C154)/C154</f>
        <v>5.3068118249494303</v>
      </c>
      <c r="K154" s="5">
        <f>100*('Parameter &lt;x, y&gt;'!I154-C154)/C154</f>
        <v>0</v>
      </c>
      <c r="L154" s="5">
        <f>100*('Parameter &lt;x, y&gt;'!N154-C154)/C154</f>
        <v>0.34424889194887903</v>
      </c>
      <c r="M154" s="5">
        <f>100*('Parameter &lt;x, y&gt;'!S154-C154)/C154</f>
        <v>23.238951762124003</v>
      </c>
    </row>
    <row r="155" spans="1:13" ht="12.75" customHeight="1">
      <c r="A155" s="13"/>
      <c r="B155" s="5">
        <f>MIN('Parameter &lt;x, y&gt;'!B155,'Parameter &lt;x, y&gt;'!G155,'Parameter &lt;x, y&gt;'!L155,'Parameter &lt;x, y&gt;'!Q155)</f>
        <v>8319.2000000000007</v>
      </c>
      <c r="C155" s="5">
        <f>MIN('Parameter &lt;x, y&gt;'!D155,'Parameter &lt;x, y&gt;'!I155,'Parameter &lt;x, y&gt;'!N155,'Parameter &lt;x, y&gt;'!S155)</f>
        <v>8106.6</v>
      </c>
      <c r="E155" s="5">
        <f>100*('Parameter &lt;x, y&gt;'!B155-B155)/B155</f>
        <v>12.252380036541965</v>
      </c>
      <c r="F155" s="5">
        <f>100*('Parameter &lt;x, y&gt;'!G155-B155)/B155</f>
        <v>4.2456005385133047</v>
      </c>
      <c r="G155" s="5">
        <f>100*('Parameter &lt;x, y&gt;'!L155-B155)/B155</f>
        <v>3.5724588902778978</v>
      </c>
      <c r="H155" s="5">
        <f>100*('Parameter &lt;x, y&gt;'!Q155-B155)/B155</f>
        <v>0</v>
      </c>
      <c r="J155" s="5">
        <f>100*('Parameter &lt;x, y&gt;'!D155-C155)/C155</f>
        <v>0</v>
      </c>
      <c r="K155" s="5">
        <f>100*('Parameter &lt;x, y&gt;'!I155-C155)/C155</f>
        <v>5.7965114844694403</v>
      </c>
      <c r="L155" s="5">
        <f>100*('Parameter &lt;x, y&gt;'!N155-C155)/C155</f>
        <v>6.1752152567044183</v>
      </c>
      <c r="M155" s="5">
        <f>100*('Parameter &lt;x, y&gt;'!S155-C155)/C155</f>
        <v>2.7989539387659392</v>
      </c>
    </row>
    <row r="156" spans="1:13" ht="12.75" customHeight="1">
      <c r="A156" s="13"/>
      <c r="B156" s="5">
        <f>MIN('Parameter &lt;x, y&gt;'!B156,'Parameter &lt;x, y&gt;'!G156,'Parameter &lt;x, y&gt;'!L156,'Parameter &lt;x, y&gt;'!Q156)</f>
        <v>12460.6</v>
      </c>
      <c r="C156" s="5">
        <f>MIN('Parameter &lt;x, y&gt;'!D156,'Parameter &lt;x, y&gt;'!I156,'Parameter &lt;x, y&gt;'!N156,'Parameter &lt;x, y&gt;'!S156)</f>
        <v>13189.2</v>
      </c>
      <c r="E156" s="5">
        <f>100*('Parameter &lt;x, y&gt;'!B156-B156)/B156</f>
        <v>23.572701154037521</v>
      </c>
      <c r="F156" s="5">
        <f>100*('Parameter &lt;x, y&gt;'!G156-B156)/B156</f>
        <v>0</v>
      </c>
      <c r="G156" s="5">
        <f>100*('Parameter &lt;x, y&gt;'!L156-B156)/B156</f>
        <v>28.224965089963565</v>
      </c>
      <c r="H156" s="5">
        <f>100*('Parameter &lt;x, y&gt;'!Q156-B156)/B156</f>
        <v>4.5318844999438141</v>
      </c>
      <c r="J156" s="5">
        <f>100*('Parameter &lt;x, y&gt;'!D156-C156)/C156</f>
        <v>1.7400600491311071</v>
      </c>
      <c r="K156" s="5">
        <f>100*('Parameter &lt;x, y&gt;'!I156-C156)/C156</f>
        <v>2.9228459648803566</v>
      </c>
      <c r="L156" s="5">
        <f>100*('Parameter &lt;x, y&gt;'!N156-C156)/C156</f>
        <v>4.2845661601916607</v>
      </c>
      <c r="M156" s="5">
        <f>100*('Parameter &lt;x, y&gt;'!S156-C156)/C156</f>
        <v>0</v>
      </c>
    </row>
    <row r="157" spans="1:13" ht="12.75" customHeight="1">
      <c r="A157" s="13"/>
      <c r="B157" s="5">
        <f>MIN('Parameter &lt;x, y&gt;'!B157,'Parameter &lt;x, y&gt;'!G157,'Parameter &lt;x, y&gt;'!L157,'Parameter &lt;x, y&gt;'!Q157)</f>
        <v>9010</v>
      </c>
      <c r="C157" s="5">
        <f>MIN('Parameter &lt;x, y&gt;'!D157,'Parameter &lt;x, y&gt;'!I157,'Parameter &lt;x, y&gt;'!N157,'Parameter &lt;x, y&gt;'!S157)</f>
        <v>8618.2999999999993</v>
      </c>
      <c r="E157" s="5">
        <f>100*('Parameter &lt;x, y&gt;'!B157-B157)/B157</f>
        <v>0.876803551609323</v>
      </c>
      <c r="F157" s="5">
        <f>100*('Parameter &lt;x, y&gt;'!G157-B157)/B157</f>
        <v>6.3995560488346319</v>
      </c>
      <c r="G157" s="5">
        <f>100*('Parameter &lt;x, y&gt;'!L157-B157)/B157</f>
        <v>0</v>
      </c>
      <c r="H157" s="5">
        <f>100*('Parameter &lt;x, y&gt;'!Q157-B157)/B157</f>
        <v>9.7569367369589379</v>
      </c>
      <c r="J157" s="5">
        <f>100*('Parameter &lt;x, y&gt;'!D157-C157)/C157</f>
        <v>0</v>
      </c>
      <c r="K157" s="5">
        <f>100*('Parameter &lt;x, y&gt;'!I157-C157)/C157</f>
        <v>0.92593666964483834</v>
      </c>
      <c r="L157" s="5">
        <f>100*('Parameter &lt;x, y&gt;'!N157-C157)/C157</f>
        <v>8.2081152895582825</v>
      </c>
      <c r="M157" s="5">
        <f>100*('Parameter &lt;x, y&gt;'!S157-C157)/C157</f>
        <v>80.485710638989133</v>
      </c>
    </row>
    <row r="158" spans="1:13" ht="12.75" customHeight="1">
      <c r="A158" s="13"/>
      <c r="B158" s="5">
        <f>MIN('Parameter &lt;x, y&gt;'!B158,'Parameter &lt;x, y&gt;'!G158,'Parameter &lt;x, y&gt;'!L158,'Parameter &lt;x, y&gt;'!Q158)</f>
        <v>14503.7</v>
      </c>
      <c r="C158" s="5">
        <f>MIN('Parameter &lt;x, y&gt;'!D158,'Parameter &lt;x, y&gt;'!I158,'Parameter &lt;x, y&gt;'!N158,'Parameter &lt;x, y&gt;'!S158)</f>
        <v>14563.9</v>
      </c>
      <c r="E158" s="5">
        <f>100*('Parameter &lt;x, y&gt;'!B158-B158)/B158</f>
        <v>0</v>
      </c>
      <c r="F158" s="5">
        <f>100*('Parameter &lt;x, y&gt;'!G158-B158)/B158</f>
        <v>25.0860125347325</v>
      </c>
      <c r="G158" s="5">
        <f>100*('Parameter &lt;x, y&gt;'!L158-B158)/B158</f>
        <v>5.6854457828002403</v>
      </c>
      <c r="H158" s="5">
        <f>100*('Parameter &lt;x, y&gt;'!Q158-B158)/B158</f>
        <v>20.476154360611424</v>
      </c>
      <c r="J158" s="5">
        <f>100*('Parameter &lt;x, y&gt;'!D158-C158)/C158</f>
        <v>0</v>
      </c>
      <c r="K158" s="5">
        <f>100*('Parameter &lt;x, y&gt;'!I158-C158)/C158</f>
        <v>3.8224651363989093</v>
      </c>
      <c r="L158" s="5">
        <f>100*('Parameter &lt;x, y&gt;'!N158-C158)/C158</f>
        <v>0</v>
      </c>
      <c r="M158" s="5">
        <f>100*('Parameter &lt;x, y&gt;'!S158-C158)/C158</f>
        <v>20.743756823378359</v>
      </c>
    </row>
    <row r="159" spans="1:13" ht="12.75" customHeight="1">
      <c r="A159" s="13"/>
      <c r="B159" s="5">
        <f>MIN('Parameter &lt;x, y&gt;'!B159,'Parameter &lt;x, y&gt;'!G159,'Parameter &lt;x, y&gt;'!L159,'Parameter &lt;x, y&gt;'!Q159)</f>
        <v>10754.7</v>
      </c>
      <c r="C159" s="5">
        <f>MIN('Parameter &lt;x, y&gt;'!D159,'Parameter &lt;x, y&gt;'!I159,'Parameter &lt;x, y&gt;'!N159,'Parameter &lt;x, y&gt;'!S159)</f>
        <v>10655.4</v>
      </c>
      <c r="E159" s="5">
        <f>100*('Parameter &lt;x, y&gt;'!B159-B159)/B159</f>
        <v>1.8643011892474917</v>
      </c>
      <c r="F159" s="5">
        <f>100*('Parameter &lt;x, y&gt;'!G159-B159)/B159</f>
        <v>0</v>
      </c>
      <c r="G159" s="5">
        <f>100*('Parameter &lt;x, y&gt;'!L159-B159)/B159</f>
        <v>21.930876732963249</v>
      </c>
      <c r="H159" s="5">
        <f>100*('Parameter &lt;x, y&gt;'!Q159-B159)/B159</f>
        <v>10.179735371511983</v>
      </c>
      <c r="J159" s="5">
        <f>100*('Parameter &lt;x, y&gt;'!D159-C159)/C159</f>
        <v>0</v>
      </c>
      <c r="K159" s="5">
        <f>100*('Parameter &lt;x, y&gt;'!I159-C159)/C159</f>
        <v>0</v>
      </c>
      <c r="L159" s="5">
        <f>100*('Parameter &lt;x, y&gt;'!N159-C159)/C159</f>
        <v>0</v>
      </c>
      <c r="M159" s="5">
        <f>100*('Parameter &lt;x, y&gt;'!S159-C159)/C159</f>
        <v>1.1074197120708749</v>
      </c>
    </row>
    <row r="160" spans="1:13" ht="12.75" customHeight="1">
      <c r="A160" s="13"/>
      <c r="B160" s="5">
        <f>MIN('Parameter &lt;x, y&gt;'!B160,'Parameter &lt;x, y&gt;'!G160,'Parameter &lt;x, y&gt;'!L160,'Parameter &lt;x, y&gt;'!Q160)</f>
        <v>10311.299999999999</v>
      </c>
      <c r="C160" s="5">
        <f>MIN('Parameter &lt;x, y&gt;'!D160,'Parameter &lt;x, y&gt;'!I160,'Parameter &lt;x, y&gt;'!N160,'Parameter &lt;x, y&gt;'!S160)</f>
        <v>10128.299999999999</v>
      </c>
      <c r="E160" s="5">
        <f>100*('Parameter &lt;x, y&gt;'!B160-B160)/B160</f>
        <v>0</v>
      </c>
      <c r="F160" s="5">
        <f>100*('Parameter &lt;x, y&gt;'!G160-B160)/B160</f>
        <v>2.3653661516976663</v>
      </c>
      <c r="G160" s="5">
        <f>100*('Parameter &lt;x, y&gt;'!L160-B160)/B160</f>
        <v>0.96980982029424034</v>
      </c>
      <c r="H160" s="5">
        <f>100*('Parameter &lt;x, y&gt;'!Q160-B160)/B160</f>
        <v>44.238844762542072</v>
      </c>
      <c r="J160" s="5">
        <f>100*('Parameter &lt;x, y&gt;'!D160-C160)/C160</f>
        <v>0</v>
      </c>
      <c r="K160" s="5">
        <f>100*('Parameter &lt;x, y&gt;'!I160-C160)/C160</f>
        <v>4.038190022017516</v>
      </c>
      <c r="L160" s="5">
        <f>100*('Parameter &lt;x, y&gt;'!N160-C160)/C160</f>
        <v>3.93550743955057</v>
      </c>
      <c r="M160" s="5">
        <f>100*('Parameter &lt;x, y&gt;'!S160-C160)/C160</f>
        <v>3.3095386195116729</v>
      </c>
    </row>
    <row r="161" spans="1:13" ht="12.75" customHeight="1">
      <c r="A161" s="13"/>
      <c r="B161" s="5">
        <f>MIN('Parameter &lt;x, y&gt;'!B161,'Parameter &lt;x, y&gt;'!G161,'Parameter &lt;x, y&gt;'!L161,'Parameter &lt;x, y&gt;'!Q161)</f>
        <v>10521.3</v>
      </c>
      <c r="C161" s="5">
        <f>MIN('Parameter &lt;x, y&gt;'!D161,'Parameter &lt;x, y&gt;'!I161,'Parameter &lt;x, y&gt;'!N161,'Parameter &lt;x, y&gt;'!S161)</f>
        <v>9529.2999999999993</v>
      </c>
      <c r="E161" s="5">
        <f>100*('Parameter &lt;x, y&gt;'!B161-B161)/B161</f>
        <v>3.8417305846235803</v>
      </c>
      <c r="F161" s="5">
        <f>100*('Parameter &lt;x, y&gt;'!G161-B161)/B161</f>
        <v>5.702717344814805</v>
      </c>
      <c r="G161" s="5">
        <f>100*('Parameter &lt;x, y&gt;'!L161-B161)/B161</f>
        <v>0</v>
      </c>
      <c r="H161" s="5">
        <f>100*('Parameter &lt;x, y&gt;'!Q161-B161)/B161</f>
        <v>28.603879748700258</v>
      </c>
      <c r="J161" s="5">
        <f>100*('Parameter &lt;x, y&gt;'!D161-C161)/C161</f>
        <v>6.2963701426127843</v>
      </c>
      <c r="K161" s="5">
        <f>100*('Parameter &lt;x, y&gt;'!I161-C161)/C161</f>
        <v>0</v>
      </c>
      <c r="L161" s="5">
        <f>100*('Parameter &lt;x, y&gt;'!N161-C161)/C161</f>
        <v>29.945536398266409</v>
      </c>
      <c r="M161" s="5">
        <f>100*('Parameter &lt;x, y&gt;'!S161-C161)/C161</f>
        <v>84.196110942041912</v>
      </c>
    </row>
    <row r="162" spans="1:13" ht="12.75" customHeight="1">
      <c r="A162" s="13"/>
      <c r="B162" s="5">
        <f>MIN('Parameter &lt;x, y&gt;'!B162,'Parameter &lt;x, y&gt;'!G162,'Parameter &lt;x, y&gt;'!L162,'Parameter &lt;x, y&gt;'!Q162)</f>
        <v>11189.4</v>
      </c>
      <c r="C162" s="5">
        <f>MIN('Parameter &lt;x, y&gt;'!D162,'Parameter &lt;x, y&gt;'!I162,'Parameter &lt;x, y&gt;'!N162,'Parameter &lt;x, y&gt;'!S162)</f>
        <v>10882.8</v>
      </c>
      <c r="E162" s="5">
        <f>100*('Parameter &lt;x, y&gt;'!B162-B162)/B162</f>
        <v>4.3389279139185302</v>
      </c>
      <c r="F162" s="5">
        <f>100*('Parameter &lt;x, y&gt;'!G162-B162)/B162</f>
        <v>1.8133233238600788</v>
      </c>
      <c r="G162" s="5">
        <f>100*('Parameter &lt;x, y&gt;'!L162-B162)/B162</f>
        <v>0</v>
      </c>
      <c r="H162" s="5">
        <f>100*('Parameter &lt;x, y&gt;'!Q162-B162)/B162</f>
        <v>6.1996174951293259</v>
      </c>
      <c r="J162" s="5">
        <f>100*('Parameter &lt;x, y&gt;'!D162-C162)/C162</f>
        <v>5.3772926085198733</v>
      </c>
      <c r="K162" s="5">
        <f>100*('Parameter &lt;x, y&gt;'!I162-C162)/C162</f>
        <v>0.14058881905392998</v>
      </c>
      <c r="L162" s="5">
        <f>100*('Parameter &lt;x, y&gt;'!N162-C162)/C162</f>
        <v>0</v>
      </c>
      <c r="M162" s="5">
        <f>100*('Parameter &lt;x, y&gt;'!S162-C162)/C162</f>
        <v>15.819458227662002</v>
      </c>
    </row>
    <row r="163" spans="1:13" ht="12.75" customHeight="1">
      <c r="A163" s="13"/>
      <c r="B163" s="5">
        <f>MIN('Parameter &lt;x, y&gt;'!B163,'Parameter &lt;x, y&gt;'!G163,'Parameter &lt;x, y&gt;'!L163,'Parameter &lt;x, y&gt;'!Q163)</f>
        <v>8975.6</v>
      </c>
      <c r="C163" s="5">
        <f>MIN('Parameter &lt;x, y&gt;'!D163,'Parameter &lt;x, y&gt;'!I163,'Parameter &lt;x, y&gt;'!N163,'Parameter &lt;x, y&gt;'!S163)</f>
        <v>8774</v>
      </c>
      <c r="E163" s="5">
        <f>100*('Parameter &lt;x, y&gt;'!B163-B163)/B163</f>
        <v>0.33869602032175716</v>
      </c>
      <c r="F163" s="5">
        <f>100*('Parameter &lt;x, y&gt;'!G163-B163)/B163</f>
        <v>0</v>
      </c>
      <c r="G163" s="5">
        <f>100*('Parameter &lt;x, y&gt;'!L163-B163)/B163</f>
        <v>2.5580462587459372</v>
      </c>
      <c r="H163" s="5">
        <f>100*('Parameter &lt;x, y&gt;'!Q163-B163)/B163</f>
        <v>5.0804403048264177</v>
      </c>
      <c r="J163" s="5">
        <f>100*('Parameter &lt;x, y&gt;'!D163-C163)/C163</f>
        <v>13.025985867335306</v>
      </c>
      <c r="K163" s="5">
        <f>100*('Parameter &lt;x, y&gt;'!I163-C163)/C163</f>
        <v>13.808981080465013</v>
      </c>
      <c r="L163" s="5">
        <f>100*('Parameter &lt;x, y&gt;'!N163-C163)/C163</f>
        <v>0</v>
      </c>
      <c r="M163" s="5">
        <f>100*('Parameter &lt;x, y&gt;'!S163-C163)/C163</f>
        <v>14.742420788693869</v>
      </c>
    </row>
    <row r="164" spans="1:13" ht="12.75" customHeight="1">
      <c r="A164" s="13"/>
      <c r="B164" s="5">
        <f>MIN('Parameter &lt;x, y&gt;'!B164,'Parameter &lt;x, y&gt;'!G164,'Parameter &lt;x, y&gt;'!L164,'Parameter &lt;x, y&gt;'!Q164)</f>
        <v>11892.7</v>
      </c>
      <c r="C164" s="5">
        <f>MIN('Parameter &lt;x, y&gt;'!D164,'Parameter &lt;x, y&gt;'!I164,'Parameter &lt;x, y&gt;'!N164,'Parameter &lt;x, y&gt;'!S164)</f>
        <v>11303.7</v>
      </c>
      <c r="E164" s="5">
        <f>100*('Parameter &lt;x, y&gt;'!B164-B164)/B164</f>
        <v>3.5769842003918337</v>
      </c>
      <c r="F164" s="5">
        <f>100*('Parameter &lt;x, y&gt;'!G164-B164)/B164</f>
        <v>0</v>
      </c>
      <c r="G164" s="5">
        <f>100*('Parameter &lt;x, y&gt;'!L164-B164)/B164</f>
        <v>2.5746886745650599</v>
      </c>
      <c r="H164" s="5">
        <f>100*('Parameter &lt;x, y&gt;'!Q164-B164)/B164</f>
        <v>2.9085068991902565</v>
      </c>
      <c r="J164" s="5">
        <f>100*('Parameter &lt;x, y&gt;'!D164-C164)/C164</f>
        <v>0</v>
      </c>
      <c r="K164" s="5">
        <f>100*('Parameter &lt;x, y&gt;'!I164-C164)/C164</f>
        <v>3.9774587082105728</v>
      </c>
      <c r="L164" s="5">
        <f>100*('Parameter &lt;x, y&gt;'!N164-C164)/C164</f>
        <v>8.6378796323327727</v>
      </c>
      <c r="M164" s="5">
        <f>100*('Parameter &lt;x, y&gt;'!S164-C164)/C164</f>
        <v>13.259375248812329</v>
      </c>
    </row>
    <row r="165" spans="1:13" ht="12.75" customHeight="1">
      <c r="A165" s="13"/>
      <c r="B165" s="5">
        <f>MIN('Parameter &lt;x, y&gt;'!B165,'Parameter &lt;x, y&gt;'!G165,'Parameter &lt;x, y&gt;'!L165,'Parameter &lt;x, y&gt;'!Q165)</f>
        <v>9597.2999999999993</v>
      </c>
      <c r="C165" s="5">
        <f>MIN('Parameter &lt;x, y&gt;'!D165,'Parameter &lt;x, y&gt;'!I165,'Parameter &lt;x, y&gt;'!N165,'Parameter &lt;x, y&gt;'!S165)</f>
        <v>9460.1</v>
      </c>
      <c r="E165" s="5">
        <f>100*('Parameter &lt;x, y&gt;'!B165-B165)/B165</f>
        <v>5.9297927542121265</v>
      </c>
      <c r="F165" s="5">
        <f>100*('Parameter &lt;x, y&gt;'!G165-B165)/B165</f>
        <v>1.0096589665843672</v>
      </c>
      <c r="G165" s="5">
        <f>100*('Parameter &lt;x, y&gt;'!L165-B165)/B165</f>
        <v>0</v>
      </c>
      <c r="H165" s="5">
        <f>100*('Parameter &lt;x, y&gt;'!Q165-B165)/B165</f>
        <v>26.110468569285128</v>
      </c>
      <c r="J165" s="5">
        <f>100*('Parameter &lt;x, y&gt;'!D165-C165)/C165</f>
        <v>0</v>
      </c>
      <c r="K165" s="5">
        <f>100*('Parameter &lt;x, y&gt;'!I165-C165)/C165</f>
        <v>10.573883996997909</v>
      </c>
      <c r="L165" s="5">
        <f>100*('Parameter &lt;x, y&gt;'!N165-C165)/C165</f>
        <v>0.14481876512932113</v>
      </c>
      <c r="M165" s="5">
        <f>100*('Parameter &lt;x, y&gt;'!S165-C165)/C165</f>
        <v>24.29361211826512</v>
      </c>
    </row>
    <row r="166" spans="1:13" ht="12.75" customHeight="1">
      <c r="A166" s="13"/>
      <c r="B166" s="5">
        <f>MIN('Parameter &lt;x, y&gt;'!B166,'Parameter &lt;x, y&gt;'!G166,'Parameter &lt;x, y&gt;'!L166,'Parameter &lt;x, y&gt;'!Q166)</f>
        <v>10470</v>
      </c>
      <c r="C166" s="5">
        <f>MIN('Parameter &lt;x, y&gt;'!D166,'Parameter &lt;x, y&gt;'!I166,'Parameter &lt;x, y&gt;'!N166,'Parameter &lt;x, y&gt;'!S166)</f>
        <v>9965.1</v>
      </c>
      <c r="E166" s="5">
        <f>100*('Parameter &lt;x, y&gt;'!B166-B166)/B166</f>
        <v>2.4641833810888252</v>
      </c>
      <c r="F166" s="5">
        <f>100*('Parameter &lt;x, y&gt;'!G166-B166)/B166</f>
        <v>2.4823304680038172</v>
      </c>
      <c r="G166" s="5">
        <f>100*('Parameter &lt;x, y&gt;'!L166-B166)/B166</f>
        <v>6.083094555873922</v>
      </c>
      <c r="H166" s="5">
        <f>100*('Parameter &lt;x, y&gt;'!Q166-B166)/B166</f>
        <v>0</v>
      </c>
      <c r="J166" s="5">
        <f>100*('Parameter &lt;x, y&gt;'!D166-C166)/C166</f>
        <v>1.7832234498399304</v>
      </c>
      <c r="K166" s="5">
        <f>100*('Parameter &lt;x, y&gt;'!I166-C166)/C166</f>
        <v>0</v>
      </c>
      <c r="L166" s="5">
        <f>100*('Parameter &lt;x, y&gt;'!N166-C166)/C166</f>
        <v>1.9066542232387393E-2</v>
      </c>
      <c r="M166" s="5">
        <f>100*('Parameter &lt;x, y&gt;'!S166-C166)/C166</f>
        <v>20.357046090857093</v>
      </c>
    </row>
    <row r="167" spans="1:13" ht="12.75" customHeight="1">
      <c r="A167" s="13"/>
      <c r="B167" s="5">
        <f>MIN('Parameter &lt;x, y&gt;'!B167,'Parameter &lt;x, y&gt;'!G167,'Parameter &lt;x, y&gt;'!L167,'Parameter &lt;x, y&gt;'!Q167)</f>
        <v>8559.2000000000007</v>
      </c>
      <c r="C167" s="5">
        <f>MIN('Parameter &lt;x, y&gt;'!D167,'Parameter &lt;x, y&gt;'!I167,'Parameter &lt;x, y&gt;'!N167,'Parameter &lt;x, y&gt;'!S167)</f>
        <v>8393.4</v>
      </c>
      <c r="E167" s="5">
        <f>100*('Parameter &lt;x, y&gt;'!B167-B167)/B167</f>
        <v>0.1869333582577811</v>
      </c>
      <c r="F167" s="5">
        <f>100*('Parameter &lt;x, y&gt;'!G167-B167)/B167</f>
        <v>0</v>
      </c>
      <c r="G167" s="5">
        <f>100*('Parameter &lt;x, y&gt;'!L167-B167)/B167</f>
        <v>2.6602953547060344</v>
      </c>
      <c r="H167" s="5">
        <f>100*('Parameter &lt;x, y&gt;'!Q167-B167)/B167</f>
        <v>8.6258061501074774</v>
      </c>
      <c r="J167" s="5">
        <f>100*('Parameter &lt;x, y&gt;'!D167-C167)/C167</f>
        <v>4.7835203850644552</v>
      </c>
      <c r="K167" s="5">
        <f>100*('Parameter &lt;x, y&gt;'!I167-C167)/C167</f>
        <v>0</v>
      </c>
      <c r="L167" s="5">
        <f>100*('Parameter &lt;x, y&gt;'!N167-C167)/C167</f>
        <v>0.29308742583458869</v>
      </c>
      <c r="M167" s="5">
        <f>100*('Parameter &lt;x, y&gt;'!S167-C167)/C167</f>
        <v>25.696380489432187</v>
      </c>
    </row>
    <row r="168" spans="1:13" ht="12.75" customHeight="1">
      <c r="A168" s="13"/>
      <c r="B168" s="5">
        <f>MIN('Parameter &lt;x, y&gt;'!B168,'Parameter &lt;x, y&gt;'!G168,'Parameter &lt;x, y&gt;'!L168,'Parameter &lt;x, y&gt;'!Q168)</f>
        <v>9498</v>
      </c>
      <c r="C168" s="5">
        <f>MIN('Parameter &lt;x, y&gt;'!D168,'Parameter &lt;x, y&gt;'!I168,'Parameter &lt;x, y&gt;'!N168,'Parameter &lt;x, y&gt;'!S168)</f>
        <v>9474</v>
      </c>
      <c r="E168" s="5">
        <f>100*('Parameter &lt;x, y&gt;'!B168-B168)/B168</f>
        <v>7.1488734470414821</v>
      </c>
      <c r="F168" s="5">
        <f>100*('Parameter &lt;x, y&gt;'!G168-B168)/B168</f>
        <v>5.8222783743946094</v>
      </c>
      <c r="G168" s="5">
        <f>100*('Parameter &lt;x, y&gt;'!L168-B168)/B168</f>
        <v>0</v>
      </c>
      <c r="H168" s="5">
        <f>100*('Parameter &lt;x, y&gt;'!Q168-B168)/B168</f>
        <v>24.811539271425566</v>
      </c>
      <c r="J168" s="5">
        <f>100*('Parameter &lt;x, y&gt;'!D168-C168)/C168</f>
        <v>5.8053620434874391</v>
      </c>
      <c r="K168" s="5">
        <f>100*('Parameter &lt;x, y&gt;'!I168-C168)/C168</f>
        <v>0</v>
      </c>
      <c r="L168" s="5">
        <f>100*('Parameter &lt;x, y&gt;'!N168-C168)/C168</f>
        <v>0.33776651889381465</v>
      </c>
      <c r="M168" s="5">
        <f>100*('Parameter &lt;x, y&gt;'!S168-C168)/C168</f>
        <v>29.797340088663713</v>
      </c>
    </row>
    <row r="169" spans="1:13" ht="12.75" customHeight="1">
      <c r="A169" s="13"/>
      <c r="B169" s="5">
        <f>MIN('Parameter &lt;x, y&gt;'!B169,'Parameter &lt;x, y&gt;'!G169,'Parameter &lt;x, y&gt;'!L169,'Parameter &lt;x, y&gt;'!Q169)</f>
        <v>8112.7</v>
      </c>
      <c r="C169" s="5">
        <f>MIN('Parameter &lt;x, y&gt;'!D169,'Parameter &lt;x, y&gt;'!I169,'Parameter &lt;x, y&gt;'!N169,'Parameter &lt;x, y&gt;'!S169)</f>
        <v>8204.7000000000007</v>
      </c>
      <c r="E169" s="5">
        <f>100*('Parameter &lt;x, y&gt;'!B169-B169)/B169</f>
        <v>1.4766970305816829</v>
      </c>
      <c r="F169" s="5">
        <f>100*('Parameter &lt;x, y&gt;'!G169-B169)/B169</f>
        <v>0</v>
      </c>
      <c r="G169" s="5">
        <f>100*('Parameter &lt;x, y&gt;'!L169-B169)/B169</f>
        <v>45.089797478028295</v>
      </c>
      <c r="H169" s="5">
        <f>100*('Parameter &lt;x, y&gt;'!Q169-B169)/B169</f>
        <v>11.155349020671304</v>
      </c>
      <c r="J169" s="5">
        <f>100*('Parameter &lt;x, y&gt;'!D169-C169)/C169</f>
        <v>4.9898229063829218</v>
      </c>
      <c r="K169" s="5">
        <f>100*('Parameter &lt;x, y&gt;'!I169-C169)/C169</f>
        <v>0</v>
      </c>
      <c r="L169" s="5">
        <f>100*('Parameter &lt;x, y&gt;'!N169-C169)/C169</f>
        <v>1.850159055175683</v>
      </c>
      <c r="M169" s="5">
        <f>100*('Parameter &lt;x, y&gt;'!S169-C169)/C169</f>
        <v>8.3829999878118535</v>
      </c>
    </row>
    <row r="170" spans="1:13" ht="12.75" customHeight="1">
      <c r="A170" s="13"/>
      <c r="B170" s="5">
        <f>MIN('Parameter &lt;x, y&gt;'!B170,'Parameter &lt;x, y&gt;'!G170,'Parameter &lt;x, y&gt;'!L170,'Parameter &lt;x, y&gt;'!Q170)</f>
        <v>12862.9</v>
      </c>
      <c r="C170" s="5">
        <f>MIN('Parameter &lt;x, y&gt;'!D170,'Parameter &lt;x, y&gt;'!I170,'Parameter &lt;x, y&gt;'!N170,'Parameter &lt;x, y&gt;'!S170)</f>
        <v>11994.8</v>
      </c>
      <c r="E170" s="5">
        <f>100*('Parameter &lt;x, y&gt;'!B170-B170)/B170</f>
        <v>3.9734430027443297</v>
      </c>
      <c r="F170" s="5">
        <f>100*('Parameter &lt;x, y&gt;'!G170-B170)/B170</f>
        <v>2.2187842554944814</v>
      </c>
      <c r="G170" s="5">
        <f>100*('Parameter &lt;x, y&gt;'!L170-B170)/B170</f>
        <v>0</v>
      </c>
      <c r="H170" s="5">
        <f>100*('Parameter &lt;x, y&gt;'!Q170-B170)/B170</f>
        <v>5.0144213202310519</v>
      </c>
      <c r="J170" s="5">
        <f>100*('Parameter &lt;x, y&gt;'!D170-C170)/C170</f>
        <v>6.674558975556077</v>
      </c>
      <c r="K170" s="5">
        <f>100*('Parameter &lt;x, y&gt;'!I170-C170)/C170</f>
        <v>0</v>
      </c>
      <c r="L170" s="5">
        <f>100*('Parameter &lt;x, y&gt;'!N170-C170)/C170</f>
        <v>6.1026444792743524</v>
      </c>
      <c r="M170" s="5">
        <f>100*('Parameter &lt;x, y&gt;'!S170-C170)/C170</f>
        <v>27.441891486310741</v>
      </c>
    </row>
    <row r="171" spans="1:13" ht="12.75" customHeight="1">
      <c r="A171" s="13"/>
      <c r="B171" s="5">
        <f>MIN('Parameter &lt;x, y&gt;'!B171,'Parameter &lt;x, y&gt;'!G171,'Parameter &lt;x, y&gt;'!L171,'Parameter &lt;x, y&gt;'!Q171)</f>
        <v>9550.7000000000007</v>
      </c>
      <c r="C171" s="5">
        <f>MIN('Parameter &lt;x, y&gt;'!D171,'Parameter &lt;x, y&gt;'!I171,'Parameter &lt;x, y&gt;'!N171,'Parameter &lt;x, y&gt;'!S171)</f>
        <v>9215</v>
      </c>
      <c r="E171" s="5">
        <f>100*('Parameter &lt;x, y&gt;'!B171-B171)/B171</f>
        <v>2.9181107143978857</v>
      </c>
      <c r="F171" s="5">
        <f>100*('Parameter &lt;x, y&gt;'!G171-B171)/B171</f>
        <v>3.4060330656391598</v>
      </c>
      <c r="G171" s="5">
        <f>100*('Parameter &lt;x, y&gt;'!L171-B171)/B171</f>
        <v>0</v>
      </c>
      <c r="H171" s="5">
        <f>100*('Parameter &lt;x, y&gt;'!Q171-B171)/B171</f>
        <v>15.469023212958207</v>
      </c>
      <c r="J171" s="5">
        <f>100*('Parameter &lt;x, y&gt;'!D171-C171)/C171</f>
        <v>9.5659251220835593</v>
      </c>
      <c r="K171" s="5">
        <f>100*('Parameter &lt;x, y&gt;'!I171-C171)/C171</f>
        <v>0</v>
      </c>
      <c r="L171" s="5">
        <f>100*('Parameter &lt;x, y&gt;'!N171-C171)/C171</f>
        <v>5.2371134020618593</v>
      </c>
      <c r="M171" s="5">
        <f>100*('Parameter &lt;x, y&gt;'!S171-C171)/C171</f>
        <v>16.255018990775906</v>
      </c>
    </row>
    <row r="172" spans="1:13" ht="12.75" customHeight="1">
      <c r="A172" s="13"/>
      <c r="B172" s="5">
        <f>MIN('Parameter &lt;x, y&gt;'!B172,'Parameter &lt;x, y&gt;'!G172,'Parameter &lt;x, y&gt;'!L172,'Parameter &lt;x, y&gt;'!Q172)</f>
        <v>12842.5</v>
      </c>
      <c r="C172" s="5">
        <f>MIN('Parameter &lt;x, y&gt;'!D172,'Parameter &lt;x, y&gt;'!I172,'Parameter &lt;x, y&gt;'!N172,'Parameter &lt;x, y&gt;'!S172)</f>
        <v>13977.6</v>
      </c>
      <c r="E172" s="5">
        <f>100*('Parameter &lt;x, y&gt;'!B172-B172)/B172</f>
        <v>0</v>
      </c>
      <c r="F172" s="5">
        <f>100*('Parameter &lt;x, y&gt;'!G172-B172)/B172</f>
        <v>21.45454545454545</v>
      </c>
      <c r="G172" s="5">
        <f>100*('Parameter &lt;x, y&gt;'!L172-B172)/B172</f>
        <v>18.4489001362663</v>
      </c>
      <c r="H172" s="5">
        <f>100*('Parameter &lt;x, y&gt;'!Q172-B172)/B172</f>
        <v>6.8187658166244951</v>
      </c>
      <c r="J172" s="5">
        <f>100*('Parameter &lt;x, y&gt;'!D172-C172)/C172</f>
        <v>0</v>
      </c>
      <c r="K172" s="5">
        <f>100*('Parameter &lt;x, y&gt;'!I172-C172)/C172</f>
        <v>0</v>
      </c>
      <c r="L172" s="5">
        <f>100*('Parameter &lt;x, y&gt;'!N172-C172)/C172</f>
        <v>4.3290693681318704</v>
      </c>
      <c r="M172" s="5">
        <f>100*('Parameter &lt;x, y&gt;'!S172-C172)/C172</f>
        <v>8.2782451923076934</v>
      </c>
    </row>
    <row r="173" spans="1:13" ht="12.75" customHeight="1">
      <c r="A173" s="13"/>
      <c r="B173" s="5">
        <f>MIN('Parameter &lt;x, y&gt;'!B173,'Parameter &lt;x, y&gt;'!G173,'Parameter &lt;x, y&gt;'!L173,'Parameter &lt;x, y&gt;'!Q173)</f>
        <v>14288.2</v>
      </c>
      <c r="C173" s="5">
        <f>MIN('Parameter &lt;x, y&gt;'!D173,'Parameter &lt;x, y&gt;'!I173,'Parameter &lt;x, y&gt;'!N173,'Parameter &lt;x, y&gt;'!S173)</f>
        <v>14288.2</v>
      </c>
      <c r="E173" s="5">
        <f>100*('Parameter &lt;x, y&gt;'!B173-B173)/B173</f>
        <v>0</v>
      </c>
      <c r="F173" s="5">
        <f>100*('Parameter &lt;x, y&gt;'!G173-B173)/B173</f>
        <v>2.495065858540614</v>
      </c>
      <c r="G173" s="5">
        <f>100*('Parameter &lt;x, y&gt;'!L173-B173)/B173</f>
        <v>1.1478002827508014</v>
      </c>
      <c r="H173" s="5">
        <f>100*('Parameter &lt;x, y&gt;'!Q173-B173)/B173</f>
        <v>7.7945437493875982</v>
      </c>
      <c r="J173" s="5">
        <f>100*('Parameter &lt;x, y&gt;'!D173-C173)/C173</f>
        <v>0</v>
      </c>
      <c r="K173" s="5">
        <f>100*('Parameter &lt;x, y&gt;'!I173-C173)/C173</f>
        <v>7.4425050041292788</v>
      </c>
      <c r="L173" s="5">
        <f>100*('Parameter &lt;x, y&gt;'!N173-C173)/C173</f>
        <v>0</v>
      </c>
      <c r="M173" s="5">
        <f>100*('Parameter &lt;x, y&gt;'!S173-C173)/C173</f>
        <v>6.9091977995828637</v>
      </c>
    </row>
    <row r="174" spans="1:13" ht="12.75" customHeight="1">
      <c r="A174" s="13"/>
      <c r="B174" s="5">
        <f>MIN('Parameter &lt;x, y&gt;'!B174,'Parameter &lt;x, y&gt;'!G174,'Parameter &lt;x, y&gt;'!L174,'Parameter &lt;x, y&gt;'!Q174)</f>
        <v>7655.4</v>
      </c>
      <c r="C174" s="5">
        <f>MIN('Parameter &lt;x, y&gt;'!D174,'Parameter &lt;x, y&gt;'!I174,'Parameter &lt;x, y&gt;'!N174,'Parameter &lt;x, y&gt;'!S174)</f>
        <v>7869.4</v>
      </c>
      <c r="E174" s="5">
        <f>100*('Parameter &lt;x, y&gt;'!B174-B174)/B174</f>
        <v>0</v>
      </c>
      <c r="F174" s="5">
        <f>100*('Parameter &lt;x, y&gt;'!G174-B174)/B174</f>
        <v>6.217833163518562</v>
      </c>
      <c r="G174" s="5">
        <f>100*('Parameter &lt;x, y&gt;'!L174-B174)/B174</f>
        <v>5.0578676489798147</v>
      </c>
      <c r="H174" s="5">
        <f>100*('Parameter &lt;x, y&gt;'!Q174-B174)/B174</f>
        <v>34.333934216370139</v>
      </c>
      <c r="J174" s="5">
        <f>100*('Parameter &lt;x, y&gt;'!D174-C174)/C174</f>
        <v>0</v>
      </c>
      <c r="K174" s="5">
        <f>100*('Parameter &lt;x, y&gt;'!I174-C174)/C174</f>
        <v>15.04053676265027</v>
      </c>
      <c r="L174" s="5">
        <f>100*('Parameter &lt;x, y&gt;'!N174-C174)/C174</f>
        <v>0</v>
      </c>
      <c r="M174" s="5">
        <f>100*('Parameter &lt;x, y&gt;'!S174-C174)/C174</f>
        <v>12.955244364246322</v>
      </c>
    </row>
    <row r="175" spans="1:13" ht="12.75" customHeight="1">
      <c r="A175" s="13"/>
      <c r="B175" s="5">
        <f>MIN('Parameter &lt;x, y&gt;'!B175,'Parameter &lt;x, y&gt;'!G175,'Parameter &lt;x, y&gt;'!L175,'Parameter &lt;x, y&gt;'!Q175)</f>
        <v>10547.9</v>
      </c>
      <c r="C175" s="5">
        <f>MIN('Parameter &lt;x, y&gt;'!D175,'Parameter &lt;x, y&gt;'!I175,'Parameter &lt;x, y&gt;'!N175,'Parameter &lt;x, y&gt;'!S175)</f>
        <v>9657.4</v>
      </c>
      <c r="E175" s="5">
        <f>100*('Parameter &lt;x, y&gt;'!B175-B175)/B175</f>
        <v>0</v>
      </c>
      <c r="F175" s="5">
        <f>100*('Parameter &lt;x, y&gt;'!G175-B175)/B175</f>
        <v>12.445131258354749</v>
      </c>
      <c r="G175" s="5">
        <f>100*('Parameter &lt;x, y&gt;'!L175-B175)/B175</f>
        <v>0.24933873093223383</v>
      </c>
      <c r="H175" s="5">
        <f>100*('Parameter &lt;x, y&gt;'!Q175-B175)/B175</f>
        <v>66.609467287327334</v>
      </c>
      <c r="J175" s="5">
        <f>100*('Parameter &lt;x, y&gt;'!D175-C175)/C175</f>
        <v>8.2123552923147045</v>
      </c>
      <c r="K175" s="5">
        <f>100*('Parameter &lt;x, y&gt;'!I175-C175)/C175</f>
        <v>0</v>
      </c>
      <c r="L175" s="5">
        <f>100*('Parameter &lt;x, y&gt;'!N175-C175)/C175</f>
        <v>7.5620767494356782</v>
      </c>
      <c r="M175" s="5">
        <f>100*('Parameter &lt;x, y&gt;'!S175-C175)/C175</f>
        <v>17.645536065607725</v>
      </c>
    </row>
    <row r="176" spans="1:13" ht="12.75" customHeight="1">
      <c r="A176" s="13"/>
      <c r="B176" s="5">
        <f>MIN('Parameter &lt;x, y&gt;'!B176,'Parameter &lt;x, y&gt;'!G176,'Parameter &lt;x, y&gt;'!L176,'Parameter &lt;x, y&gt;'!Q176)</f>
        <v>10088.5</v>
      </c>
      <c r="C176" s="5">
        <f>MIN('Parameter &lt;x, y&gt;'!D176,'Parameter &lt;x, y&gt;'!I176,'Parameter &lt;x, y&gt;'!N176,'Parameter &lt;x, y&gt;'!S176)</f>
        <v>10706.4</v>
      </c>
      <c r="E176" s="5">
        <f>100*('Parameter &lt;x, y&gt;'!B176-B176)/B176</f>
        <v>0</v>
      </c>
      <c r="F176" s="5">
        <f>100*('Parameter &lt;x, y&gt;'!G176-B176)/B176</f>
        <v>24.722208455171732</v>
      </c>
      <c r="G176" s="5">
        <f>100*('Parameter &lt;x, y&gt;'!L176-B176)/B176</f>
        <v>25.691629082618821</v>
      </c>
      <c r="H176" s="5">
        <f>100*('Parameter &lt;x, y&gt;'!Q176-B176)/B176</f>
        <v>20.733508450215599</v>
      </c>
      <c r="J176" s="5">
        <f>100*('Parameter &lt;x, y&gt;'!D176-C176)/C176</f>
        <v>20.551259060001506</v>
      </c>
      <c r="K176" s="5">
        <f>100*('Parameter &lt;x, y&gt;'!I176-C176)/C176</f>
        <v>24.624523649405958</v>
      </c>
      <c r="L176" s="5">
        <f>100*('Parameter &lt;x, y&gt;'!N176-C176)/C176</f>
        <v>15.689680938504084</v>
      </c>
      <c r="M176" s="5">
        <f>100*('Parameter &lt;x, y&gt;'!S176-C176)/C176</f>
        <v>0</v>
      </c>
    </row>
    <row r="177" spans="1:13" ht="12.75" customHeight="1">
      <c r="A177" s="13"/>
      <c r="B177" s="5">
        <f>MIN('Parameter &lt;x, y&gt;'!B177,'Parameter &lt;x, y&gt;'!G177,'Parameter &lt;x, y&gt;'!L177,'Parameter &lt;x, y&gt;'!Q177)</f>
        <v>8203.7999999999993</v>
      </c>
      <c r="C177" s="5">
        <f>MIN('Parameter &lt;x, y&gt;'!D177,'Parameter &lt;x, y&gt;'!I177,'Parameter &lt;x, y&gt;'!N177,'Parameter &lt;x, y&gt;'!S177)</f>
        <v>8163.8</v>
      </c>
      <c r="E177" s="5">
        <f>100*('Parameter &lt;x, y&gt;'!B177-B177)/B177</f>
        <v>0</v>
      </c>
      <c r="F177" s="5">
        <f>100*('Parameter &lt;x, y&gt;'!G177-B177)/B177</f>
        <v>28.052853555669344</v>
      </c>
      <c r="G177" s="5">
        <f>100*('Parameter &lt;x, y&gt;'!L177-B177)/B177</f>
        <v>13.121967868548722</v>
      </c>
      <c r="H177" s="5">
        <f>100*('Parameter &lt;x, y&gt;'!Q177-B177)/B177</f>
        <v>30.532192398644547</v>
      </c>
      <c r="J177" s="5">
        <f>100*('Parameter &lt;x, y&gt;'!D177-C177)/C177</f>
        <v>4.2712952301624227</v>
      </c>
      <c r="K177" s="5">
        <f>100*('Parameter &lt;x, y&gt;'!I177-C177)/C177</f>
        <v>9.7993581420416961E-2</v>
      </c>
      <c r="L177" s="5">
        <f>100*('Parameter &lt;x, y&gt;'!N177-C177)/C177</f>
        <v>0</v>
      </c>
      <c r="M177" s="5">
        <f>100*('Parameter &lt;x, y&gt;'!S177-C177)/C177</f>
        <v>25.397486464636572</v>
      </c>
    </row>
    <row r="178" spans="1:13" ht="12.75" customHeight="1">
      <c r="A178" s="13"/>
      <c r="B178" s="5">
        <f>MIN('Parameter &lt;x, y&gt;'!B178,'Parameter &lt;x, y&gt;'!G178,'Parameter &lt;x, y&gt;'!L178,'Parameter &lt;x, y&gt;'!Q178)</f>
        <v>11612.8</v>
      </c>
      <c r="C178" s="5">
        <f>MIN('Parameter &lt;x, y&gt;'!D178,'Parameter &lt;x, y&gt;'!I178,'Parameter &lt;x, y&gt;'!N178,'Parameter &lt;x, y&gt;'!S178)</f>
        <v>10683</v>
      </c>
      <c r="E178" s="5">
        <f>100*('Parameter &lt;x, y&gt;'!B178-B178)/B178</f>
        <v>4.4416505924497205</v>
      </c>
      <c r="F178" s="5">
        <f>100*('Parameter &lt;x, y&gt;'!G178-B178)/B178</f>
        <v>13.014087903003594</v>
      </c>
      <c r="G178" s="5">
        <f>100*('Parameter &lt;x, y&gt;'!L178-B178)/B178</f>
        <v>0</v>
      </c>
      <c r="H178" s="5">
        <f>100*('Parameter &lt;x, y&gt;'!Q178-B178)/B178</f>
        <v>8.0213213006337831</v>
      </c>
      <c r="J178" s="5">
        <f>100*('Parameter &lt;x, y&gt;'!D178-C178)/C178</f>
        <v>9.0339792193204183</v>
      </c>
      <c r="K178" s="5">
        <f>100*('Parameter &lt;x, y&gt;'!I178-C178)/C178</f>
        <v>59.462697744079392</v>
      </c>
      <c r="L178" s="5">
        <f>100*('Parameter &lt;x, y&gt;'!N178-C178)/C178</f>
        <v>0</v>
      </c>
      <c r="M178" s="5">
        <f>100*('Parameter &lt;x, y&gt;'!S178-C178)/C178</f>
        <v>5.4834784236637582</v>
      </c>
    </row>
    <row r="179" spans="1:13" ht="12.75" customHeight="1">
      <c r="A179" s="13"/>
      <c r="B179" s="5">
        <f>MIN('Parameter &lt;x, y&gt;'!B179,'Parameter &lt;x, y&gt;'!G179,'Parameter &lt;x, y&gt;'!L179,'Parameter &lt;x, y&gt;'!Q179)</f>
        <v>9769.5</v>
      </c>
      <c r="C179" s="5">
        <f>MIN('Parameter &lt;x, y&gt;'!D179,'Parameter &lt;x, y&gt;'!I179,'Parameter &lt;x, y&gt;'!N179,'Parameter &lt;x, y&gt;'!S179)</f>
        <v>9386.9</v>
      </c>
      <c r="E179" s="5">
        <f>100*('Parameter &lt;x, y&gt;'!B179-B179)/B179</f>
        <v>6.3688008598188315</v>
      </c>
      <c r="F179" s="5">
        <f>100*('Parameter &lt;x, y&gt;'!G179-B179)/B179</f>
        <v>0</v>
      </c>
      <c r="G179" s="5">
        <f>100*('Parameter &lt;x, y&gt;'!L179-B179)/B179</f>
        <v>0.37668253237114768</v>
      </c>
      <c r="H179" s="5">
        <f>100*('Parameter &lt;x, y&gt;'!Q179-B179)/B179</f>
        <v>1.1392599416551439</v>
      </c>
      <c r="J179" s="5">
        <f>100*('Parameter &lt;x, y&gt;'!D179-C179)/C179</f>
        <v>0.17045030840852679</v>
      </c>
      <c r="K179" s="5">
        <f>100*('Parameter &lt;x, y&gt;'!I179-C179)/C179</f>
        <v>0</v>
      </c>
      <c r="L179" s="5">
        <f>100*('Parameter &lt;x, y&gt;'!N179-C179)/C179</f>
        <v>16.854339558320643</v>
      </c>
      <c r="M179" s="5">
        <f>100*('Parameter &lt;x, y&gt;'!S179-C179)/C179</f>
        <v>4.8674216194909894</v>
      </c>
    </row>
    <row r="180" spans="1:13" ht="12.75" customHeight="1">
      <c r="A180" s="13"/>
      <c r="B180" s="5">
        <f>MIN('Parameter &lt;x, y&gt;'!B180,'Parameter &lt;x, y&gt;'!G180,'Parameter &lt;x, y&gt;'!L180,'Parameter &lt;x, y&gt;'!Q180)</f>
        <v>9721</v>
      </c>
      <c r="C180" s="5">
        <f>MIN('Parameter &lt;x, y&gt;'!D180,'Parameter &lt;x, y&gt;'!I180,'Parameter &lt;x, y&gt;'!N180,'Parameter &lt;x, y&gt;'!S180)</f>
        <v>9428</v>
      </c>
      <c r="E180" s="5">
        <f>100*('Parameter &lt;x, y&gt;'!B180-B180)/B180</f>
        <v>0</v>
      </c>
      <c r="F180" s="5">
        <f>100*('Parameter &lt;x, y&gt;'!G180-B180)/B180</f>
        <v>4.990227342865964</v>
      </c>
      <c r="G180" s="5">
        <f>100*('Parameter &lt;x, y&gt;'!L180-B180)/B180</f>
        <v>7.6843946096080646</v>
      </c>
      <c r="H180" s="5">
        <f>100*('Parameter &lt;x, y&gt;'!Q180-B180)/B180</f>
        <v>2.5738092788807809</v>
      </c>
      <c r="J180" s="5">
        <f>100*('Parameter &lt;x, y&gt;'!D180-C180)/C180</f>
        <v>3.1130674586338567</v>
      </c>
      <c r="K180" s="5">
        <f>100*('Parameter &lt;x, y&gt;'!I180-C180)/C180</f>
        <v>0</v>
      </c>
      <c r="L180" s="5">
        <f>100*('Parameter &lt;x, y&gt;'!N180-C180)/C180</f>
        <v>0.62261349172677904</v>
      </c>
      <c r="M180" s="5">
        <f>100*('Parameter &lt;x, y&gt;'!S180-C180)/C180</f>
        <v>0.45820958845991439</v>
      </c>
    </row>
    <row r="181" spans="1:13" ht="12.75" customHeight="1">
      <c r="A181" s="13"/>
      <c r="B181" s="5">
        <f>MIN('Parameter &lt;x, y&gt;'!B181,'Parameter &lt;x, y&gt;'!G181,'Parameter &lt;x, y&gt;'!L181,'Parameter &lt;x, y&gt;'!Q181)</f>
        <v>12921.6</v>
      </c>
      <c r="C181" s="5">
        <f>MIN('Parameter &lt;x, y&gt;'!D181,'Parameter &lt;x, y&gt;'!I181,'Parameter &lt;x, y&gt;'!N181,'Parameter &lt;x, y&gt;'!S181)</f>
        <v>11907.6</v>
      </c>
      <c r="E181" s="5">
        <f>100*('Parameter &lt;x, y&gt;'!B181-B181)/B181</f>
        <v>0</v>
      </c>
      <c r="F181" s="5">
        <f>100*('Parameter &lt;x, y&gt;'!G181-B181)/B181</f>
        <v>3.758822436849917</v>
      </c>
      <c r="G181" s="5">
        <f>100*('Parameter &lt;x, y&gt;'!L181-B181)/B181</f>
        <v>4.0714772164437871</v>
      </c>
      <c r="H181" s="5">
        <f>100*('Parameter &lt;x, y&gt;'!Q181-B181)/B181</f>
        <v>9.2163509162951929</v>
      </c>
      <c r="J181" s="5">
        <f>100*('Parameter &lt;x, y&gt;'!D181-C181)/C181</f>
        <v>7.1752494205381412</v>
      </c>
      <c r="K181" s="5">
        <f>100*('Parameter &lt;x, y&gt;'!I181-C181)/C181</f>
        <v>0</v>
      </c>
      <c r="L181" s="5">
        <f>100*('Parameter &lt;x, y&gt;'!N181-C181)/C181</f>
        <v>5.1790453155967526</v>
      </c>
      <c r="M181" s="5">
        <f>100*('Parameter &lt;x, y&gt;'!S181-C181)/C181</f>
        <v>30.577950216668349</v>
      </c>
    </row>
    <row r="182" spans="1:13" ht="12.75" customHeight="1">
      <c r="A182" s="13"/>
      <c r="B182" s="5">
        <f>MIN('Parameter &lt;x, y&gt;'!B182,'Parameter &lt;x, y&gt;'!G182,'Parameter &lt;x, y&gt;'!L182,'Parameter &lt;x, y&gt;'!Q182)</f>
        <v>8611.7000000000007</v>
      </c>
      <c r="C182" s="5">
        <f>MIN('Parameter &lt;x, y&gt;'!D182,'Parameter &lt;x, y&gt;'!I182,'Parameter &lt;x, y&gt;'!N182,'Parameter &lt;x, y&gt;'!S182)</f>
        <v>8635.9</v>
      </c>
      <c r="E182" s="5">
        <f>100*('Parameter &lt;x, y&gt;'!B182-B182)/B182</f>
        <v>0</v>
      </c>
      <c r="F182" s="5">
        <f>100*('Parameter &lt;x, y&gt;'!G182-B182)/B182</f>
        <v>8.116864266056643</v>
      </c>
      <c r="G182" s="5">
        <f>100*('Parameter &lt;x, y&gt;'!L182-B182)/B182</f>
        <v>4.5972339956106181</v>
      </c>
      <c r="H182" s="5">
        <f>100*('Parameter &lt;x, y&gt;'!Q182-B182)/B182</f>
        <v>22.70631814856532</v>
      </c>
      <c r="J182" s="5">
        <f>100*('Parameter &lt;x, y&gt;'!D182-C182)/C182</f>
        <v>0</v>
      </c>
      <c r="K182" s="5">
        <f>100*('Parameter &lt;x, y&gt;'!I182-C182)/C182</f>
        <v>10.611517039335792</v>
      </c>
      <c r="L182" s="5">
        <f>100*('Parameter &lt;x, y&gt;'!N182-C182)/C182</f>
        <v>1.3826005396079117</v>
      </c>
      <c r="M182" s="5">
        <f>100*('Parameter &lt;x, y&gt;'!S182-C182)/C182</f>
        <v>18.542363853217399</v>
      </c>
    </row>
    <row r="183" spans="1:13" ht="12.75" customHeight="1">
      <c r="A183" s="13"/>
      <c r="B183" s="5">
        <f>MIN('Parameter &lt;x, y&gt;'!B183,'Parameter &lt;x, y&gt;'!G183,'Parameter &lt;x, y&gt;'!L183,'Parameter &lt;x, y&gt;'!Q183)</f>
        <v>9417.2999999999993</v>
      </c>
      <c r="C183" s="5">
        <f>MIN('Parameter &lt;x, y&gt;'!D183,'Parameter &lt;x, y&gt;'!I183,'Parameter &lt;x, y&gt;'!N183,'Parameter &lt;x, y&gt;'!S183)</f>
        <v>9101.1</v>
      </c>
      <c r="E183" s="5">
        <f>100*('Parameter &lt;x, y&gt;'!B183-B183)/B183</f>
        <v>2.1492359805889318</v>
      </c>
      <c r="F183" s="5">
        <f>100*('Parameter &lt;x, y&gt;'!G183-B183)/B183</f>
        <v>0</v>
      </c>
      <c r="G183" s="5">
        <f>100*('Parameter &lt;x, y&gt;'!L183-B183)/B183</f>
        <v>3.9692905609888305</v>
      </c>
      <c r="H183" s="5">
        <f>100*('Parameter &lt;x, y&gt;'!Q183-B183)/B183</f>
        <v>1.820054580399918</v>
      </c>
      <c r="J183" s="5">
        <f>100*('Parameter &lt;x, y&gt;'!D183-C183)/C183</f>
        <v>0</v>
      </c>
      <c r="K183" s="5">
        <f>100*('Parameter &lt;x, y&gt;'!I183-C183)/C183</f>
        <v>3.732515849732438</v>
      </c>
      <c r="L183" s="5">
        <f>100*('Parameter &lt;x, y&gt;'!N183-C183)/C183</f>
        <v>2.0052521123820197</v>
      </c>
      <c r="M183" s="5">
        <f>100*('Parameter &lt;x, y&gt;'!S183-C183)/C183</f>
        <v>18.129676632494974</v>
      </c>
    </row>
    <row r="184" spans="1:13" ht="12.75" customHeight="1">
      <c r="A184" s="13"/>
      <c r="B184" s="5">
        <f>MIN('Parameter &lt;x, y&gt;'!B184,'Parameter &lt;x, y&gt;'!G184,'Parameter &lt;x, y&gt;'!L184,'Parameter &lt;x, y&gt;'!Q184)</f>
        <v>14032.9</v>
      </c>
      <c r="C184" s="5">
        <f>MIN('Parameter &lt;x, y&gt;'!D184,'Parameter &lt;x, y&gt;'!I184,'Parameter &lt;x, y&gt;'!N184,'Parameter &lt;x, y&gt;'!S184)</f>
        <v>13333.9</v>
      </c>
      <c r="E184" s="5">
        <f>100*('Parameter &lt;x, y&gt;'!B184-B184)/B184</f>
        <v>1.0589400622822109</v>
      </c>
      <c r="F184" s="5">
        <f>100*('Parameter &lt;x, y&gt;'!G184-B184)/B184</f>
        <v>2.6694410991313298</v>
      </c>
      <c r="G184" s="5">
        <f>100*('Parameter &lt;x, y&gt;'!L184-B184)/B184</f>
        <v>0</v>
      </c>
      <c r="H184" s="5">
        <f>100*('Parameter &lt;x, y&gt;'!Q184-B184)/B184</f>
        <v>3.2552074054543332</v>
      </c>
      <c r="J184" s="5">
        <f>100*('Parameter &lt;x, y&gt;'!D184-C184)/C184</f>
        <v>0</v>
      </c>
      <c r="K184" s="5">
        <f>100*('Parameter &lt;x, y&gt;'!I184-C184)/C184</f>
        <v>0</v>
      </c>
      <c r="L184" s="5">
        <f>100*('Parameter &lt;x, y&gt;'!N184-C184)/C184</f>
        <v>1.7894239494821498</v>
      </c>
      <c r="M184" s="5">
        <f>100*('Parameter &lt;x, y&gt;'!S184-C184)/C184</f>
        <v>8.3088968718829435</v>
      </c>
    </row>
    <row r="185" spans="1:13" ht="12.75" customHeight="1">
      <c r="A185" s="13"/>
      <c r="B185" s="5">
        <f>MIN('Parameter &lt;x, y&gt;'!B185,'Parameter &lt;x, y&gt;'!G185,'Parameter &lt;x, y&gt;'!L185,'Parameter &lt;x, y&gt;'!Q185)</f>
        <v>12307.8</v>
      </c>
      <c r="C185" s="5">
        <f>MIN('Parameter &lt;x, y&gt;'!D185,'Parameter &lt;x, y&gt;'!I185,'Parameter &lt;x, y&gt;'!N185,'Parameter &lt;x, y&gt;'!S185)</f>
        <v>12186.6</v>
      </c>
      <c r="E185" s="5">
        <f>100*('Parameter &lt;x, y&gt;'!B185-B185)/B185</f>
        <v>0</v>
      </c>
      <c r="F185" s="5">
        <f>100*('Parameter &lt;x, y&gt;'!G185-B185)/B185</f>
        <v>31.391475324590917</v>
      </c>
      <c r="G185" s="5">
        <f>100*('Parameter &lt;x, y&gt;'!L185-B185)/B185</f>
        <v>6.0108224053039638</v>
      </c>
      <c r="H185" s="5">
        <f>100*('Parameter &lt;x, y&gt;'!Q185-B185)/B185</f>
        <v>12.494515672987871</v>
      </c>
      <c r="J185" s="5">
        <f>100*('Parameter &lt;x, y&gt;'!D185-C185)/C185</f>
        <v>0</v>
      </c>
      <c r="K185" s="5">
        <f>100*('Parameter &lt;x, y&gt;'!I185-C185)/C185</f>
        <v>25.851344919829973</v>
      </c>
      <c r="L185" s="5">
        <f>100*('Parameter &lt;x, y&gt;'!N185-C185)/C185</f>
        <v>0.19119360609193106</v>
      </c>
      <c r="M185" s="5">
        <f>100*('Parameter &lt;x, y&gt;'!S185-C185)/C185</f>
        <v>36.307091395467154</v>
      </c>
    </row>
    <row r="186" spans="1:13" ht="12.75" customHeight="1">
      <c r="A186" s="13"/>
      <c r="B186" s="5">
        <f>MIN('Parameter &lt;x, y&gt;'!B186,'Parameter &lt;x, y&gt;'!G186,'Parameter &lt;x, y&gt;'!L186,'Parameter &lt;x, y&gt;'!Q186)</f>
        <v>11221.1</v>
      </c>
      <c r="C186" s="5">
        <f>MIN('Parameter &lt;x, y&gt;'!D186,'Parameter &lt;x, y&gt;'!I186,'Parameter &lt;x, y&gt;'!N186,'Parameter &lt;x, y&gt;'!S186)</f>
        <v>9902.2999999999993</v>
      </c>
      <c r="E186" s="5">
        <f>100*('Parameter &lt;x, y&gt;'!B186-B186)/B186</f>
        <v>28.209355589024241</v>
      </c>
      <c r="F186" s="5">
        <f>100*('Parameter &lt;x, y&gt;'!G186-B186)/B186</f>
        <v>0</v>
      </c>
      <c r="G186" s="5">
        <f>100*('Parameter &lt;x, y&gt;'!L186-B186)/B186</f>
        <v>2.8348379392394718</v>
      </c>
      <c r="H186" s="5">
        <f>100*('Parameter &lt;x, y&gt;'!Q186-B186)/B186</f>
        <v>18.408177451408509</v>
      </c>
      <c r="J186" s="5">
        <f>100*('Parameter &lt;x, y&gt;'!D186-C186)/C186</f>
        <v>5.3482524262040174</v>
      </c>
      <c r="K186" s="5">
        <f>100*('Parameter &lt;x, y&gt;'!I186-C186)/C186</f>
        <v>0</v>
      </c>
      <c r="L186" s="5">
        <f>100*('Parameter &lt;x, y&gt;'!N186-C186)/C186</f>
        <v>8.7454429778940259</v>
      </c>
      <c r="M186" s="5">
        <f>100*('Parameter &lt;x, y&gt;'!S186-C186)/C186</f>
        <v>30.687820001413826</v>
      </c>
    </row>
    <row r="187" spans="1:13" ht="12.75" customHeight="1">
      <c r="A187" s="13"/>
      <c r="B187" s="5">
        <f>MIN('Parameter &lt;x, y&gt;'!B187,'Parameter &lt;x, y&gt;'!G187,'Parameter &lt;x, y&gt;'!L187,'Parameter &lt;x, y&gt;'!Q187)</f>
        <v>10681.6</v>
      </c>
      <c r="C187" s="5">
        <f>MIN('Parameter &lt;x, y&gt;'!D187,'Parameter &lt;x, y&gt;'!I187,'Parameter &lt;x, y&gt;'!N187,'Parameter &lt;x, y&gt;'!S187)</f>
        <v>10144.4</v>
      </c>
      <c r="E187" s="5">
        <f>100*('Parameter &lt;x, y&gt;'!B187-B187)/B187</f>
        <v>0</v>
      </c>
      <c r="F187" s="5">
        <f>100*('Parameter &lt;x, y&gt;'!G187-B187)/B187</f>
        <v>21.865638106650692</v>
      </c>
      <c r="G187" s="5">
        <f>100*('Parameter &lt;x, y&gt;'!L187-B187)/B187</f>
        <v>3.5107100059916116</v>
      </c>
      <c r="H187" s="5">
        <f>100*('Parameter &lt;x, y&gt;'!Q187-B187)/B187</f>
        <v>12.405444877171961</v>
      </c>
      <c r="J187" s="5">
        <f>100*('Parameter &lt;x, y&gt;'!D187-C187)/C187</f>
        <v>19.567446078624659</v>
      </c>
      <c r="K187" s="5">
        <f>100*('Parameter &lt;x, y&gt;'!I187-C187)/C187</f>
        <v>0</v>
      </c>
      <c r="L187" s="5">
        <f>100*('Parameter &lt;x, y&gt;'!N187-C187)/C187</f>
        <v>14.638618351011395</v>
      </c>
      <c r="M187" s="5">
        <f>100*('Parameter &lt;x, y&gt;'!S187-C187)/C187</f>
        <v>11.553172193525493</v>
      </c>
    </row>
    <row r="188" spans="1:13" ht="12.75" customHeight="1">
      <c r="A188" s="13"/>
      <c r="B188" s="5">
        <f>MIN('Parameter &lt;x, y&gt;'!B188,'Parameter &lt;x, y&gt;'!G188,'Parameter &lt;x, y&gt;'!L188,'Parameter &lt;x, y&gt;'!Q188)</f>
        <v>12552.6</v>
      </c>
      <c r="C188" s="5">
        <f>MIN('Parameter &lt;x, y&gt;'!D188,'Parameter &lt;x, y&gt;'!I188,'Parameter &lt;x, y&gt;'!N188,'Parameter &lt;x, y&gt;'!S188)</f>
        <v>11909.7</v>
      </c>
      <c r="E188" s="5">
        <f>100*('Parameter &lt;x, y&gt;'!B188-B188)/B188</f>
        <v>1.5215971193218933</v>
      </c>
      <c r="F188" s="5">
        <f>100*('Parameter &lt;x, y&gt;'!G188-B188)/B188</f>
        <v>9.809123209534274</v>
      </c>
      <c r="G188" s="5">
        <f>100*('Parameter &lt;x, y&gt;'!L188-B188)/B188</f>
        <v>0</v>
      </c>
      <c r="H188" s="5">
        <f>100*('Parameter &lt;x, y&gt;'!Q188-B188)/B188</f>
        <v>8.9670665838153081</v>
      </c>
      <c r="J188" s="5">
        <f>100*('Parameter &lt;x, y&gt;'!D188-C188)/C188</f>
        <v>12.128768986624348</v>
      </c>
      <c r="K188" s="5">
        <f>100*('Parameter &lt;x, y&gt;'!I188-C188)/C188</f>
        <v>10.852498383670452</v>
      </c>
      <c r="L188" s="5">
        <f>100*('Parameter &lt;x, y&gt;'!N188-C188)/C188</f>
        <v>0</v>
      </c>
      <c r="M188" s="5">
        <f>100*('Parameter &lt;x, y&gt;'!S188-C188)/C188</f>
        <v>10.401605414074234</v>
      </c>
    </row>
    <row r="189" spans="1:13" ht="12.75" customHeight="1">
      <c r="A189" s="13"/>
      <c r="B189" s="5">
        <f>MIN('Parameter &lt;x, y&gt;'!B189,'Parameter &lt;x, y&gt;'!G189,'Parameter &lt;x, y&gt;'!L189,'Parameter &lt;x, y&gt;'!Q189)</f>
        <v>11461.5</v>
      </c>
      <c r="C189" s="5">
        <f>MIN('Parameter &lt;x, y&gt;'!D189,'Parameter &lt;x, y&gt;'!I189,'Parameter &lt;x, y&gt;'!N189,'Parameter &lt;x, y&gt;'!S189)</f>
        <v>11217.5</v>
      </c>
      <c r="E189" s="5">
        <f>100*('Parameter &lt;x, y&gt;'!B189-B189)/B189</f>
        <v>0</v>
      </c>
      <c r="F189" s="5">
        <f>100*('Parameter &lt;x, y&gt;'!G189-B189)/B189</f>
        <v>8.9360031409501435</v>
      </c>
      <c r="G189" s="5">
        <f>100*('Parameter &lt;x, y&gt;'!L189-B189)/B189</f>
        <v>1.8453082057322341</v>
      </c>
      <c r="H189" s="5">
        <f>100*('Parameter &lt;x, y&gt;'!Q189-B189)/B189</f>
        <v>15.873140513894336</v>
      </c>
      <c r="J189" s="5">
        <f>100*('Parameter &lt;x, y&gt;'!D189-C189)/C189</f>
        <v>7.2618676175618475</v>
      </c>
      <c r="K189" s="5">
        <f>100*('Parameter &lt;x, y&gt;'!I189-C189)/C189</f>
        <v>3.3474481836416312</v>
      </c>
      <c r="L189" s="5">
        <f>100*('Parameter &lt;x, y&gt;'!N189-C189)/C189</f>
        <v>0</v>
      </c>
      <c r="M189" s="5">
        <f>100*('Parameter &lt;x, y&gt;'!S189-C189)/C189</f>
        <v>8.0534878537998633</v>
      </c>
    </row>
    <row r="190" spans="1:13" ht="12.75" customHeight="1">
      <c r="A190" s="13"/>
      <c r="B190" s="5">
        <f>MIN('Parameter &lt;x, y&gt;'!B190,'Parameter &lt;x, y&gt;'!G190,'Parameter &lt;x, y&gt;'!L190,'Parameter &lt;x, y&gt;'!Q190)</f>
        <v>9937.9</v>
      </c>
      <c r="C190" s="5">
        <f>MIN('Parameter &lt;x, y&gt;'!D190,'Parameter &lt;x, y&gt;'!I190,'Parameter &lt;x, y&gt;'!N190,'Parameter &lt;x, y&gt;'!S190)</f>
        <v>9627.5</v>
      </c>
      <c r="E190" s="5">
        <f>100*('Parameter &lt;x, y&gt;'!B190-B190)/B190</f>
        <v>0</v>
      </c>
      <c r="F190" s="5">
        <f>100*('Parameter &lt;x, y&gt;'!G190-B190)/B190</f>
        <v>13.658821280149727</v>
      </c>
      <c r="G190" s="5">
        <f>100*('Parameter &lt;x, y&gt;'!L190-B190)/B190</f>
        <v>13.142615643143927</v>
      </c>
      <c r="H190" s="5">
        <f>100*('Parameter &lt;x, y&gt;'!Q190-B190)/B190</f>
        <v>16.858692480302679</v>
      </c>
      <c r="J190" s="5">
        <f>100*('Parameter &lt;x, y&gt;'!D190-C190)/C190</f>
        <v>0</v>
      </c>
      <c r="K190" s="5">
        <f>100*('Parameter &lt;x, y&gt;'!I190-C190)/C190</f>
        <v>5.4250843936639761</v>
      </c>
      <c r="L190" s="5">
        <f>100*('Parameter &lt;x, y&gt;'!N190-C190)/C190</f>
        <v>0.97117631783952219</v>
      </c>
      <c r="M190" s="5">
        <f>100*('Parameter &lt;x, y&gt;'!S190-C190)/C190</f>
        <v>22.338094001558041</v>
      </c>
    </row>
    <row r="191" spans="1:13" ht="12.75" customHeight="1">
      <c r="A191" s="13"/>
      <c r="B191" s="5">
        <f>MIN('Parameter &lt;x, y&gt;'!B191,'Parameter &lt;x, y&gt;'!G191,'Parameter &lt;x, y&gt;'!L191,'Parameter &lt;x, y&gt;'!Q191)</f>
        <v>11462.7</v>
      </c>
      <c r="C191" s="5">
        <f>MIN('Parameter &lt;x, y&gt;'!D191,'Parameter &lt;x, y&gt;'!I191,'Parameter &lt;x, y&gt;'!N191,'Parameter &lt;x, y&gt;'!S191)</f>
        <v>10909.7</v>
      </c>
      <c r="E191" s="5">
        <f>100*('Parameter &lt;x, y&gt;'!B191-B191)/B191</f>
        <v>8.9952628961762802</v>
      </c>
      <c r="F191" s="5">
        <f>100*('Parameter &lt;x, y&gt;'!G191-B191)/B191</f>
        <v>0</v>
      </c>
      <c r="G191" s="5">
        <f>100*('Parameter &lt;x, y&gt;'!L191-B191)/B191</f>
        <v>2.2263515576609252</v>
      </c>
      <c r="H191" s="5">
        <f>100*('Parameter &lt;x, y&gt;'!Q191-B191)/B191</f>
        <v>13.015258185244312</v>
      </c>
      <c r="J191" s="5">
        <f>100*('Parameter &lt;x, y&gt;'!D191-C191)/C191</f>
        <v>0</v>
      </c>
      <c r="K191" s="5">
        <f>100*('Parameter &lt;x, y&gt;'!I191-C191)/C191</f>
        <v>2.5362750579759195</v>
      </c>
      <c r="L191" s="5">
        <f>100*('Parameter &lt;x, y&gt;'!N191-C191)/C191</f>
        <v>7.520830086986809</v>
      </c>
      <c r="M191" s="5">
        <f>100*('Parameter &lt;x, y&gt;'!S191-C191)/C191</f>
        <v>6.5446345912353223</v>
      </c>
    </row>
    <row r="192" spans="1:13" ht="12.75" customHeight="1">
      <c r="A192" s="13"/>
      <c r="B192" s="5">
        <f>MIN('Parameter &lt;x, y&gt;'!B192,'Parameter &lt;x, y&gt;'!G192,'Parameter &lt;x, y&gt;'!L192,'Parameter &lt;x, y&gt;'!Q192)</f>
        <v>10117</v>
      </c>
      <c r="C192" s="5">
        <f>MIN('Parameter &lt;x, y&gt;'!D192,'Parameter &lt;x, y&gt;'!I192,'Parameter &lt;x, y&gt;'!N192,'Parameter &lt;x, y&gt;'!S192)</f>
        <v>9757.6</v>
      </c>
      <c r="E192" s="5">
        <f>100*('Parameter &lt;x, y&gt;'!B192-B192)/B192</f>
        <v>10.424038746664033</v>
      </c>
      <c r="F192" s="5">
        <f>100*('Parameter &lt;x, y&gt;'!G192-B192)/B192</f>
        <v>0</v>
      </c>
      <c r="G192" s="5">
        <f>100*('Parameter &lt;x, y&gt;'!L192-B192)/B192</f>
        <v>0.89848769398042538</v>
      </c>
      <c r="H192" s="5">
        <f>100*('Parameter &lt;x, y&gt;'!Q192-B192)/B192</f>
        <v>1.6951665513492142</v>
      </c>
      <c r="J192" s="5">
        <f>100*('Parameter &lt;x, y&gt;'!D192-C192)/C192</f>
        <v>4.2623186029351441</v>
      </c>
      <c r="K192" s="5">
        <f>100*('Parameter &lt;x, y&gt;'!I192-C192)/C192</f>
        <v>0</v>
      </c>
      <c r="L192" s="5">
        <f>100*('Parameter &lt;x, y&gt;'!N192-C192)/C192</f>
        <v>0.76863163072886775</v>
      </c>
      <c r="M192" s="5">
        <f>100*('Parameter &lt;x, y&gt;'!S192-C192)/C192</f>
        <v>21.21423300811675</v>
      </c>
    </row>
    <row r="193" spans="1:13" ht="12.75" customHeight="1">
      <c r="A193" s="13"/>
      <c r="B193" s="5">
        <f>MIN('Parameter &lt;x, y&gt;'!B193,'Parameter &lt;x, y&gt;'!G193,'Parameter &lt;x, y&gt;'!L193,'Parameter &lt;x, y&gt;'!Q193)</f>
        <v>9045.4</v>
      </c>
      <c r="C193" s="5">
        <f>MIN('Parameter &lt;x, y&gt;'!D193,'Parameter &lt;x, y&gt;'!I193,'Parameter &lt;x, y&gt;'!N193,'Parameter &lt;x, y&gt;'!S193)</f>
        <v>9035.7999999999993</v>
      </c>
      <c r="E193" s="5">
        <f>100*('Parameter &lt;x, y&gt;'!B193-B193)/B193</f>
        <v>0</v>
      </c>
      <c r="F193" s="5">
        <f>100*('Parameter &lt;x, y&gt;'!G193-B193)/B193</f>
        <v>9.0476927499060267</v>
      </c>
      <c r="G193" s="5">
        <f>100*('Parameter &lt;x, y&gt;'!L193-B193)/B193</f>
        <v>9.9851858403166336</v>
      </c>
      <c r="H193" s="5">
        <f>100*('Parameter &lt;x, y&gt;'!Q193-B193)/B193</f>
        <v>10.113427819665258</v>
      </c>
      <c r="J193" s="5">
        <f>100*('Parameter &lt;x, y&gt;'!D193-C193)/C193</f>
        <v>0</v>
      </c>
      <c r="K193" s="5">
        <f>100*('Parameter &lt;x, y&gt;'!I193-C193)/C193</f>
        <v>0</v>
      </c>
      <c r="L193" s="5">
        <f>100*('Parameter &lt;x, y&gt;'!N193-C193)/C193</f>
        <v>1.5139777330175646</v>
      </c>
      <c r="M193" s="5">
        <f>100*('Parameter &lt;x, y&gt;'!S193-C193)/C193</f>
        <v>7.076296509440243</v>
      </c>
    </row>
    <row r="194" spans="1:13" ht="12.75" customHeight="1">
      <c r="A194" s="13"/>
      <c r="B194" s="5">
        <f>MIN('Parameter &lt;x, y&gt;'!B194,'Parameter &lt;x, y&gt;'!G194,'Parameter &lt;x, y&gt;'!L194,'Parameter &lt;x, y&gt;'!Q194)</f>
        <v>12462.6</v>
      </c>
      <c r="C194" s="5">
        <f>MIN('Parameter &lt;x, y&gt;'!D194,'Parameter &lt;x, y&gt;'!I194,'Parameter &lt;x, y&gt;'!N194,'Parameter &lt;x, y&gt;'!S194)</f>
        <v>11785.4</v>
      </c>
      <c r="E194" s="5">
        <f>100*('Parameter &lt;x, y&gt;'!B194-B194)/B194</f>
        <v>0</v>
      </c>
      <c r="F194" s="5">
        <f>100*('Parameter &lt;x, y&gt;'!G194-B194)/B194</f>
        <v>8.5231011185466823</v>
      </c>
      <c r="G194" s="5">
        <f>100*('Parameter &lt;x, y&gt;'!L194-B194)/B194</f>
        <v>3.3781072970327219</v>
      </c>
      <c r="H194" s="5">
        <f>100*('Parameter &lt;x, y&gt;'!Q194-B194)/B194</f>
        <v>7.2504934764816351</v>
      </c>
      <c r="J194" s="5">
        <f>100*('Parameter &lt;x, y&gt;'!D194-C194)/C194</f>
        <v>1.9074448045887378</v>
      </c>
      <c r="K194" s="5">
        <f>100*('Parameter &lt;x, y&gt;'!I194-C194)/C194</f>
        <v>5.42365978244269</v>
      </c>
      <c r="L194" s="5">
        <f>100*('Parameter &lt;x, y&gt;'!N194-C194)/C194</f>
        <v>0</v>
      </c>
      <c r="M194" s="5">
        <f>100*('Parameter &lt;x, y&gt;'!S194-C194)/C194</f>
        <v>13.195139749181193</v>
      </c>
    </row>
    <row r="195" spans="1:13" ht="12.75" customHeight="1">
      <c r="A195" s="13"/>
      <c r="B195" s="5">
        <f>MIN('Parameter &lt;x, y&gt;'!B195,'Parameter &lt;x, y&gt;'!G195,'Parameter &lt;x, y&gt;'!L195,'Parameter &lt;x, y&gt;'!Q195)</f>
        <v>11122.1</v>
      </c>
      <c r="C195" s="5">
        <f>MIN('Parameter &lt;x, y&gt;'!D195,'Parameter &lt;x, y&gt;'!I195,'Parameter &lt;x, y&gt;'!N195,'Parameter &lt;x, y&gt;'!S195)</f>
        <v>10504.3</v>
      </c>
      <c r="E195" s="5">
        <f>100*('Parameter &lt;x, y&gt;'!B195-B195)/B195</f>
        <v>1.2200933276988959</v>
      </c>
      <c r="F195" s="5">
        <f>100*('Parameter &lt;x, y&gt;'!G195-B195)/B195</f>
        <v>0</v>
      </c>
      <c r="G195" s="5">
        <f>100*('Parameter &lt;x, y&gt;'!L195-B195)/B195</f>
        <v>2.877154494205231</v>
      </c>
      <c r="H195" s="5">
        <f>100*('Parameter &lt;x, y&gt;'!Q195-B195)/B195</f>
        <v>19.190620476348887</v>
      </c>
      <c r="J195" s="5">
        <f>100*('Parameter &lt;x, y&gt;'!D195-C195)/C195</f>
        <v>7.7492074674181053</v>
      </c>
      <c r="K195" s="5">
        <f>100*('Parameter &lt;x, y&gt;'!I195-C195)/C195</f>
        <v>0</v>
      </c>
      <c r="L195" s="5">
        <f>100*('Parameter &lt;x, y&gt;'!N195-C195)/C195</f>
        <v>6.8352960216292384</v>
      </c>
      <c r="M195" s="5">
        <f>100*('Parameter &lt;x, y&gt;'!S195-C195)/C195</f>
        <v>10.976457260360045</v>
      </c>
    </row>
    <row r="196" spans="1:13" ht="12.75" customHeight="1">
      <c r="A196" s="13"/>
      <c r="B196" s="5">
        <f>MIN('Parameter &lt;x, y&gt;'!B196,'Parameter &lt;x, y&gt;'!G196,'Parameter &lt;x, y&gt;'!L196,'Parameter &lt;x, y&gt;'!Q196)</f>
        <v>9941</v>
      </c>
      <c r="C196" s="5">
        <f>MIN('Parameter &lt;x, y&gt;'!D196,'Parameter &lt;x, y&gt;'!I196,'Parameter &lt;x, y&gt;'!N196,'Parameter &lt;x, y&gt;'!S196)</f>
        <v>9657</v>
      </c>
      <c r="E196" s="5">
        <f>100*('Parameter &lt;x, y&gt;'!B196-B196)/B196</f>
        <v>5.5537672266371629</v>
      </c>
      <c r="F196" s="5">
        <f>100*('Parameter &lt;x, y&gt;'!G196-B196)/B196</f>
        <v>10.052308620863085</v>
      </c>
      <c r="G196" s="5">
        <f>100*('Parameter &lt;x, y&gt;'!L196-B196)/B196</f>
        <v>0</v>
      </c>
      <c r="H196" s="5">
        <f>100*('Parameter &lt;x, y&gt;'!Q196-B196)/B196</f>
        <v>5.065888743587168</v>
      </c>
      <c r="J196" s="5">
        <f>100*('Parameter &lt;x, y&gt;'!D196-C196)/C196</f>
        <v>5.0139794967381253</v>
      </c>
      <c r="K196" s="5">
        <f>100*('Parameter &lt;x, y&gt;'!I196-C196)/C196</f>
        <v>0</v>
      </c>
      <c r="L196" s="5">
        <f>100*('Parameter &lt;x, y&gt;'!N196-C196)/C196</f>
        <v>1.0344827586206859</v>
      </c>
      <c r="M196" s="5">
        <f>100*('Parameter &lt;x, y&gt;'!S196-C196)/C196</f>
        <v>24.782023402713065</v>
      </c>
    </row>
    <row r="197" spans="1:13" ht="12.75" customHeight="1">
      <c r="A197" s="13"/>
      <c r="B197" s="5">
        <f>MIN('Parameter &lt;x, y&gt;'!B197,'Parameter &lt;x, y&gt;'!G197,'Parameter &lt;x, y&gt;'!L197,'Parameter &lt;x, y&gt;'!Q197)</f>
        <v>10099.200000000001</v>
      </c>
      <c r="C197" s="5">
        <f>MIN('Parameter &lt;x, y&gt;'!D197,'Parameter &lt;x, y&gt;'!I197,'Parameter &lt;x, y&gt;'!N197,'Parameter &lt;x, y&gt;'!S197)</f>
        <v>9558.7999999999993</v>
      </c>
      <c r="E197" s="5">
        <f>100*('Parameter &lt;x, y&gt;'!B197-B197)/B197</f>
        <v>7.3580085551330647</v>
      </c>
      <c r="F197" s="5">
        <f>100*('Parameter &lt;x, y&gt;'!G197-B197)/B197</f>
        <v>0</v>
      </c>
      <c r="G197" s="5">
        <f>100*('Parameter &lt;x, y&gt;'!L197-B197)/B197</f>
        <v>6.2727740811153359</v>
      </c>
      <c r="H197" s="5">
        <f>100*('Parameter &lt;x, y&gt;'!Q197-B197)/B197</f>
        <v>8.1184648288973342</v>
      </c>
      <c r="J197" s="5">
        <f>100*('Parameter &lt;x, y&gt;'!D197-C197)/C197</f>
        <v>4.6051805665983254</v>
      </c>
      <c r="K197" s="5">
        <f>100*('Parameter &lt;x, y&gt;'!I197-C197)/C197</f>
        <v>0</v>
      </c>
      <c r="L197" s="5">
        <f>100*('Parameter &lt;x, y&gt;'!N197-C197)/C197</f>
        <v>4.6051805665983254</v>
      </c>
      <c r="M197" s="5">
        <f>100*('Parameter &lt;x, y&gt;'!S197-C197)/C197</f>
        <v>34.267899736368591</v>
      </c>
    </row>
    <row r="198" spans="1:13" ht="12.75" customHeight="1">
      <c r="A198" s="13"/>
      <c r="B198" s="5">
        <f>MIN('Parameter &lt;x, y&gt;'!B198,'Parameter &lt;x, y&gt;'!G198,'Parameter &lt;x, y&gt;'!L198,'Parameter &lt;x, y&gt;'!Q198)</f>
        <v>7717.8</v>
      </c>
      <c r="C198" s="5">
        <f>MIN('Parameter &lt;x, y&gt;'!D198,'Parameter &lt;x, y&gt;'!I198,'Parameter &lt;x, y&gt;'!N198,'Parameter &lt;x, y&gt;'!S198)</f>
        <v>7322.1</v>
      </c>
      <c r="E198" s="5">
        <f>100*('Parameter &lt;x, y&gt;'!B198-B198)/B198</f>
        <v>0</v>
      </c>
      <c r="F198" s="5">
        <f>100*('Parameter &lt;x, y&gt;'!G198-B198)/B198</f>
        <v>9.1049262743268784</v>
      </c>
      <c r="G198" s="5">
        <f>100*('Parameter &lt;x, y&gt;'!L198-B198)/B198</f>
        <v>0.97566664075254839</v>
      </c>
      <c r="H198" s="5">
        <f>100*('Parameter &lt;x, y&gt;'!Q198-B198)/B198</f>
        <v>2.1716033066417819</v>
      </c>
      <c r="J198" s="5">
        <f>100*('Parameter &lt;x, y&gt;'!D198-C198)/C198</f>
        <v>2.956802010352221</v>
      </c>
      <c r="K198" s="5">
        <f>100*('Parameter &lt;x, y&gt;'!I198-C198)/C198</f>
        <v>7.6357875472883379</v>
      </c>
      <c r="L198" s="5">
        <f>100*('Parameter &lt;x, y&gt;'!N198-C198)/C198</f>
        <v>0</v>
      </c>
      <c r="M198" s="5">
        <f>100*('Parameter &lt;x, y&gt;'!S198-C198)/C198</f>
        <v>25.287827262670547</v>
      </c>
    </row>
    <row r="199" spans="1:13" ht="12.75" customHeight="1">
      <c r="A199" s="13"/>
      <c r="B199" s="5">
        <f>MIN('Parameter &lt;x, y&gt;'!B199,'Parameter &lt;x, y&gt;'!G199,'Parameter &lt;x, y&gt;'!L199,'Parameter &lt;x, y&gt;'!Q199)</f>
        <v>7853.1</v>
      </c>
      <c r="C199" s="5">
        <f>MIN('Parameter &lt;x, y&gt;'!D199,'Parameter &lt;x, y&gt;'!I199,'Parameter &lt;x, y&gt;'!N199,'Parameter &lt;x, y&gt;'!S199)</f>
        <v>7587.3</v>
      </c>
      <c r="E199" s="5">
        <f>100*('Parameter &lt;x, y&gt;'!B199-B199)/B199</f>
        <v>5.4169690950070626</v>
      </c>
      <c r="F199" s="5">
        <f>100*('Parameter &lt;x, y&gt;'!G199-B199)/B199</f>
        <v>14.860373610421362</v>
      </c>
      <c r="G199" s="5">
        <f>100*('Parameter &lt;x, y&gt;'!L199-B199)/B199</f>
        <v>11.264341470247421</v>
      </c>
      <c r="H199" s="5">
        <f>100*('Parameter &lt;x, y&gt;'!Q199-B199)/B199</f>
        <v>0</v>
      </c>
      <c r="J199" s="5">
        <f>100*('Parameter &lt;x, y&gt;'!D199-C199)/C199</f>
        <v>1.0543935260237502</v>
      </c>
      <c r="K199" s="5">
        <f>100*('Parameter &lt;x, y&gt;'!I199-C199)/C199</f>
        <v>0.23723854335534381</v>
      </c>
      <c r="L199" s="5">
        <f>100*('Parameter &lt;x, y&gt;'!N199-C199)/C199</f>
        <v>0</v>
      </c>
      <c r="M199" s="5">
        <f>100*('Parameter &lt;x, y&gt;'!S199-C199)/C199</f>
        <v>28.228750675470856</v>
      </c>
    </row>
    <row r="200" spans="1:13" ht="12.75" customHeight="1">
      <c r="A200" s="13"/>
      <c r="B200" s="5">
        <f>MIN('Parameter &lt;x, y&gt;'!B200,'Parameter &lt;x, y&gt;'!G200,'Parameter &lt;x, y&gt;'!L200,'Parameter &lt;x, y&gt;'!Q200)</f>
        <v>11135.9</v>
      </c>
      <c r="C200" s="5">
        <f>MIN('Parameter &lt;x, y&gt;'!D200,'Parameter &lt;x, y&gt;'!I200,'Parameter &lt;x, y&gt;'!N200,'Parameter &lt;x, y&gt;'!S200)</f>
        <v>10760.3</v>
      </c>
      <c r="E200" s="5">
        <f>100*('Parameter &lt;x, y&gt;'!B200-B200)/B200</f>
        <v>0</v>
      </c>
      <c r="F200" s="5">
        <f>100*('Parameter &lt;x, y&gt;'!G200-B200)/B200</f>
        <v>2.9202848445119005</v>
      </c>
      <c r="G200" s="5">
        <f>100*('Parameter &lt;x, y&gt;'!L200-B200)/B200</f>
        <v>3.5578624089656046</v>
      </c>
      <c r="H200" s="5">
        <f>100*('Parameter &lt;x, y&gt;'!Q200-B200)/B200</f>
        <v>5.4840650508715125</v>
      </c>
      <c r="J200" s="5">
        <f>100*('Parameter &lt;x, y&gt;'!D200-C200)/C200</f>
        <v>0</v>
      </c>
      <c r="K200" s="5">
        <f>100*('Parameter &lt;x, y&gt;'!I200-C200)/C200</f>
        <v>17.077590773491448</v>
      </c>
      <c r="L200" s="5">
        <f>100*('Parameter &lt;x, y&gt;'!N200-C200)/C200</f>
        <v>7.0118862856983544</v>
      </c>
      <c r="M200" s="5">
        <f>100*('Parameter &lt;x, y&gt;'!S200-C200)/C200</f>
        <v>13.378809141009084</v>
      </c>
    </row>
    <row r="201" spans="1:13" ht="12.75" customHeight="1">
      <c r="A201" s="13"/>
      <c r="B201" s="5">
        <f>MIN('Parameter &lt;x, y&gt;'!B201,'Parameter &lt;x, y&gt;'!G201,'Parameter &lt;x, y&gt;'!L201,'Parameter &lt;x, y&gt;'!Q201)</f>
        <v>9219.7000000000007</v>
      </c>
      <c r="C201" s="5">
        <f>MIN('Parameter &lt;x, y&gt;'!D201,'Parameter &lt;x, y&gt;'!I201,'Parameter &lt;x, y&gt;'!N201,'Parameter &lt;x, y&gt;'!S201)</f>
        <v>9324.1</v>
      </c>
      <c r="E201" s="5">
        <f>100*('Parameter &lt;x, y&gt;'!B201-B201)/B201</f>
        <v>7.4872284347646803</v>
      </c>
      <c r="F201" s="5">
        <f>100*('Parameter &lt;x, y&gt;'!G201-B201)/B201</f>
        <v>2.759308871221402</v>
      </c>
      <c r="G201" s="5">
        <f>100*('Parameter &lt;x, y&gt;'!L201-B201)/B201</f>
        <v>0</v>
      </c>
      <c r="H201" s="5">
        <f>100*('Parameter &lt;x, y&gt;'!Q201-B201)/B201</f>
        <v>17.184940941679226</v>
      </c>
      <c r="J201" s="5">
        <f>100*('Parameter &lt;x, y&gt;'!D201-C201)/C201</f>
        <v>0</v>
      </c>
      <c r="K201" s="5">
        <f>100*('Parameter &lt;x, y&gt;'!I201-C201)/C201</f>
        <v>2.4088115743074439</v>
      </c>
      <c r="L201" s="5">
        <f>100*('Parameter &lt;x, y&gt;'!N201-C201)/C201</f>
        <v>0.51479499361868708</v>
      </c>
      <c r="M201" s="5">
        <f>100*('Parameter &lt;x, y&gt;'!S201-C201)/C201</f>
        <v>4.3875548310292718</v>
      </c>
    </row>
    <row r="202" spans="1:13" ht="12.75" customHeight="1">
      <c r="A202" s="13"/>
      <c r="B202" s="5">
        <f>MIN('Parameter &lt;x, y&gt;'!B202,'Parameter &lt;x, y&gt;'!G202,'Parameter &lt;x, y&gt;'!L202,'Parameter &lt;x, y&gt;'!Q202)</f>
        <v>10295.700000000001</v>
      </c>
      <c r="C202" s="5">
        <f>MIN('Parameter &lt;x, y&gt;'!D202,'Parameter &lt;x, y&gt;'!I202,'Parameter &lt;x, y&gt;'!N202,'Parameter &lt;x, y&gt;'!S202)</f>
        <v>10287.700000000001</v>
      </c>
      <c r="E202" s="5">
        <f>100*('Parameter &lt;x, y&gt;'!B202-B202)/B202</f>
        <v>0</v>
      </c>
      <c r="F202" s="5">
        <f>100*('Parameter &lt;x, y&gt;'!G202-B202)/B202</f>
        <v>7.6536806628009746</v>
      </c>
      <c r="G202" s="5">
        <f>100*('Parameter &lt;x, y&gt;'!L202-B202)/B202</f>
        <v>7.2457433685907704</v>
      </c>
      <c r="H202" s="5">
        <f>100*('Parameter &lt;x, y&gt;'!Q202-B202)/B202</f>
        <v>8.6269024932738798</v>
      </c>
      <c r="J202" s="5">
        <f>100*('Parameter &lt;x, y&gt;'!D202-C202)/C202</f>
        <v>14.500811648862227</v>
      </c>
      <c r="K202" s="5">
        <f>100*('Parameter &lt;x, y&gt;'!I202-C202)/C202</f>
        <v>0</v>
      </c>
      <c r="L202" s="5">
        <f>100*('Parameter &lt;x, y&gt;'!N202-C202)/C202</f>
        <v>1.4191704657017603</v>
      </c>
      <c r="M202" s="5">
        <f>100*('Parameter &lt;x, y&gt;'!S202-C202)/C202</f>
        <v>3.347687043751272</v>
      </c>
    </row>
    <row r="203" spans="1:13" ht="12.75" customHeight="1">
      <c r="A203" s="13"/>
      <c r="B203" s="5">
        <f>MIN('Parameter &lt;x, y&gt;'!B203,'Parameter &lt;x, y&gt;'!G203,'Parameter &lt;x, y&gt;'!L203,'Parameter &lt;x, y&gt;'!Q203)</f>
        <v>12715</v>
      </c>
      <c r="C203" s="5">
        <f>MIN('Parameter &lt;x, y&gt;'!D203,'Parameter &lt;x, y&gt;'!I203,'Parameter &lt;x, y&gt;'!N203,'Parameter &lt;x, y&gt;'!S203)</f>
        <v>11867.3</v>
      </c>
      <c r="E203" s="5">
        <f>100*('Parameter &lt;x, y&gt;'!B203-B203)/B203</f>
        <v>0</v>
      </c>
      <c r="F203" s="5">
        <f>100*('Parameter &lt;x, y&gt;'!G203-B203)/B203</f>
        <v>12.065277231616204</v>
      </c>
      <c r="G203" s="5">
        <f>100*('Parameter &lt;x, y&gt;'!L203-B203)/B203</f>
        <v>2.4537947306331107</v>
      </c>
      <c r="H203" s="5">
        <f>100*('Parameter &lt;x, y&gt;'!Q203-B203)/B203</f>
        <v>6.7848997247345713</v>
      </c>
      <c r="J203" s="5">
        <f>100*('Parameter &lt;x, y&gt;'!D203-C203)/C203</f>
        <v>8.86132481693393</v>
      </c>
      <c r="K203" s="5">
        <f>100*('Parameter &lt;x, y&gt;'!I203-C203)/C203</f>
        <v>0</v>
      </c>
      <c r="L203" s="5">
        <f>100*('Parameter &lt;x, y&gt;'!N203-C203)/C203</f>
        <v>6.6426230060755289</v>
      </c>
      <c r="M203" s="5">
        <f>100*('Parameter &lt;x, y&gt;'!S203-C203)/C203</f>
        <v>16.047458141278991</v>
      </c>
    </row>
    <row r="204" spans="1:13" ht="12.75" customHeight="1">
      <c r="A204" s="13"/>
      <c r="B204" s="5">
        <f>MIN('Parameter &lt;x, y&gt;'!B204,'Parameter &lt;x, y&gt;'!G204,'Parameter &lt;x, y&gt;'!L204,'Parameter &lt;x, y&gt;'!Q204)</f>
        <v>15735.2</v>
      </c>
      <c r="C204" s="5">
        <f>MIN('Parameter &lt;x, y&gt;'!D204,'Parameter &lt;x, y&gt;'!I204,'Parameter &lt;x, y&gt;'!N204,'Parameter &lt;x, y&gt;'!S204)</f>
        <v>15515.8</v>
      </c>
      <c r="E204" s="5">
        <f>100*('Parameter &lt;x, y&gt;'!B204-B204)/B204</f>
        <v>0</v>
      </c>
      <c r="F204" s="5">
        <f>100*('Parameter &lt;x, y&gt;'!G204-B204)/B204</f>
        <v>36.908332909654774</v>
      </c>
      <c r="G204" s="5">
        <f>100*('Parameter &lt;x, y&gt;'!L204-B204)/B204</f>
        <v>7.0383598556103513</v>
      </c>
      <c r="H204" s="5">
        <f>100*('Parameter &lt;x, y&gt;'!Q204-B204)/B204</f>
        <v>13.232752046367382</v>
      </c>
      <c r="J204" s="5">
        <f>100*('Parameter &lt;x, y&gt;'!D204-C204)/C204</f>
        <v>0.53429407442736732</v>
      </c>
      <c r="K204" s="5">
        <f>100*('Parameter &lt;x, y&gt;'!I204-C204)/C204</f>
        <v>35.856997383312496</v>
      </c>
      <c r="L204" s="5">
        <f>100*('Parameter &lt;x, y&gt;'!N204-C204)/C204</f>
        <v>0</v>
      </c>
      <c r="M204" s="5">
        <f>100*('Parameter &lt;x, y&gt;'!S204-C204)/C204</f>
        <v>23.087433454929819</v>
      </c>
    </row>
    <row r="205" spans="1:13" ht="12.75" customHeight="1">
      <c r="A205" s="13"/>
      <c r="B205" s="5">
        <f>MIN('Parameter &lt;x, y&gt;'!B205,'Parameter &lt;x, y&gt;'!G205,'Parameter &lt;x, y&gt;'!L205,'Parameter &lt;x, y&gt;'!Q205)</f>
        <v>13581.3</v>
      </c>
      <c r="C205" s="5">
        <f>MIN('Parameter &lt;x, y&gt;'!D205,'Parameter &lt;x, y&gt;'!I205,'Parameter &lt;x, y&gt;'!N205,'Parameter &lt;x, y&gt;'!S205)</f>
        <v>12907.5</v>
      </c>
      <c r="E205" s="5">
        <f>100*('Parameter &lt;x, y&gt;'!B205-B205)/B205</f>
        <v>1.8871536598116609</v>
      </c>
      <c r="F205" s="5">
        <f>100*('Parameter &lt;x, y&gt;'!G205-B205)/B205</f>
        <v>4.8323798163651581</v>
      </c>
      <c r="G205" s="5">
        <f>100*('Parameter &lt;x, y&gt;'!L205-B205)/B205</f>
        <v>0</v>
      </c>
      <c r="H205" s="5">
        <f>100*('Parameter &lt;x, y&gt;'!Q205-B205)/B205</f>
        <v>4.7742115997732286</v>
      </c>
      <c r="J205" s="5">
        <f>100*('Parameter &lt;x, y&gt;'!D205-C205)/C205</f>
        <v>2.9324036412938215</v>
      </c>
      <c r="K205" s="5">
        <f>100*('Parameter &lt;x, y&gt;'!I205-C205)/C205</f>
        <v>0</v>
      </c>
      <c r="L205" s="5">
        <f>100*('Parameter &lt;x, y&gt;'!N205-C205)/C205</f>
        <v>4.1967848150300266</v>
      </c>
      <c r="M205" s="5">
        <f>100*('Parameter &lt;x, y&gt;'!S205-C205)/C205</f>
        <v>21.914390858028284</v>
      </c>
    </row>
    <row r="206" spans="1:13" ht="12.75" customHeight="1">
      <c r="A206" s="13"/>
      <c r="B206" s="5">
        <f>MIN('Parameter &lt;x, y&gt;'!B206,'Parameter &lt;x, y&gt;'!G206,'Parameter &lt;x, y&gt;'!L206,'Parameter &lt;x, y&gt;'!Q206)</f>
        <v>13067.6</v>
      </c>
      <c r="C206" s="5">
        <f>MIN('Parameter &lt;x, y&gt;'!D206,'Parameter &lt;x, y&gt;'!I206,'Parameter &lt;x, y&gt;'!N206,'Parameter &lt;x, y&gt;'!S206)</f>
        <v>12922.9</v>
      </c>
      <c r="E206" s="5">
        <f>100*('Parameter &lt;x, y&gt;'!B206-B206)/B206</f>
        <v>0</v>
      </c>
      <c r="F206" s="5">
        <f>100*('Parameter &lt;x, y&gt;'!G206-B206)/B206</f>
        <v>28.7619761853745</v>
      </c>
      <c r="G206" s="5">
        <f>100*('Parameter &lt;x, y&gt;'!L206-B206)/B206</f>
        <v>6.8382870611282884</v>
      </c>
      <c r="H206" s="5">
        <f>100*('Parameter &lt;x, y&gt;'!Q206-B206)/B206</f>
        <v>17.41406226085892</v>
      </c>
      <c r="J206" s="5">
        <f>100*('Parameter &lt;x, y&gt;'!D206-C206)/C206</f>
        <v>0</v>
      </c>
      <c r="K206" s="5">
        <f>100*('Parameter &lt;x, y&gt;'!I206-C206)/C206</f>
        <v>15.383543941375388</v>
      </c>
      <c r="L206" s="5">
        <f>100*('Parameter &lt;x, y&gt;'!N206-C206)/C206</f>
        <v>6.476874385780282</v>
      </c>
      <c r="M206" s="5">
        <f>100*('Parameter &lt;x, y&gt;'!S206-C206)/C206</f>
        <v>7.6817123091566195</v>
      </c>
    </row>
    <row r="207" spans="1:13" ht="12.75" customHeight="1">
      <c r="A207" s="13"/>
      <c r="B207" s="5">
        <f>MIN('Parameter &lt;x, y&gt;'!B207,'Parameter &lt;x, y&gt;'!G207,'Parameter &lt;x, y&gt;'!L207,'Parameter &lt;x, y&gt;'!Q207)</f>
        <v>10804.2</v>
      </c>
      <c r="C207" s="5">
        <f>MIN('Parameter &lt;x, y&gt;'!D207,'Parameter &lt;x, y&gt;'!I207,'Parameter &lt;x, y&gt;'!N207,'Parameter &lt;x, y&gt;'!S207)</f>
        <v>10148.200000000001</v>
      </c>
      <c r="E207" s="5">
        <f>100*('Parameter &lt;x, y&gt;'!B207-B207)/B207</f>
        <v>2.7942837044852893</v>
      </c>
      <c r="F207" s="5">
        <f>100*('Parameter &lt;x, y&gt;'!G207-B207)/B207</f>
        <v>0</v>
      </c>
      <c r="G207" s="5">
        <f>100*('Parameter &lt;x, y&gt;'!L207-B207)/B207</f>
        <v>25.180022583809997</v>
      </c>
      <c r="H207" s="5">
        <f>100*('Parameter &lt;x, y&gt;'!Q207-B207)/B207</f>
        <v>10.563484570815046</v>
      </c>
      <c r="J207" s="5">
        <f>100*('Parameter &lt;x, y&gt;'!D207-C207)/C207</f>
        <v>3.0576851067184254</v>
      </c>
      <c r="K207" s="5">
        <f>100*('Parameter &lt;x, y&gt;'!I207-C207)/C207</f>
        <v>29.557951163753163</v>
      </c>
      <c r="L207" s="5">
        <f>100*('Parameter &lt;x, y&gt;'!N207-C207)/C207</f>
        <v>0</v>
      </c>
      <c r="M207" s="5">
        <f>100*('Parameter &lt;x, y&gt;'!S207-C207)/C207</f>
        <v>19.630082182061827</v>
      </c>
    </row>
    <row r="208" spans="1:13" ht="12.75" customHeight="1">
      <c r="A208" s="13"/>
      <c r="B208" s="5">
        <f>MIN('Parameter &lt;x, y&gt;'!B208,'Parameter &lt;x, y&gt;'!G208,'Parameter &lt;x, y&gt;'!L208,'Parameter &lt;x, y&gt;'!Q208)</f>
        <v>14101.1</v>
      </c>
      <c r="C208" s="5">
        <f>MIN('Parameter &lt;x, y&gt;'!D208,'Parameter &lt;x, y&gt;'!I208,'Parameter &lt;x, y&gt;'!N208,'Parameter &lt;x, y&gt;'!S208)</f>
        <v>13086.8</v>
      </c>
      <c r="E208" s="5">
        <f>100*('Parameter &lt;x, y&gt;'!B208-B208)/B208</f>
        <v>43.595180517831942</v>
      </c>
      <c r="F208" s="5">
        <f>100*('Parameter &lt;x, y&gt;'!G208-B208)/B208</f>
        <v>4.2939912489096592</v>
      </c>
      <c r="G208" s="5">
        <f>100*('Parameter &lt;x, y&gt;'!L208-B208)/B208</f>
        <v>0</v>
      </c>
      <c r="H208" s="5">
        <f>100*('Parameter &lt;x, y&gt;'!Q208-B208)/B208</f>
        <v>12.782690712072107</v>
      </c>
      <c r="J208" s="5">
        <f>100*('Parameter &lt;x, y&gt;'!D208-C208)/C208</f>
        <v>0</v>
      </c>
      <c r="K208" s="5">
        <f>100*('Parameter &lt;x, y&gt;'!I208-C208)/C208</f>
        <v>8.5460158327475124</v>
      </c>
      <c r="L208" s="5">
        <f>100*('Parameter &lt;x, y&gt;'!N208-C208)/C208</f>
        <v>2.5674725677782195</v>
      </c>
      <c r="M208" s="5">
        <f>100*('Parameter &lt;x, y&gt;'!S208-C208)/C208</f>
        <v>42.927224378763327</v>
      </c>
    </row>
    <row r="209" spans="1:13" ht="12.75" customHeight="1">
      <c r="A209" s="13"/>
      <c r="B209" s="5">
        <f>MIN('Parameter &lt;x, y&gt;'!B209,'Parameter &lt;x, y&gt;'!G209,'Parameter &lt;x, y&gt;'!L209,'Parameter &lt;x, y&gt;'!Q209)</f>
        <v>10863.5</v>
      </c>
      <c r="C209" s="5">
        <f>MIN('Parameter &lt;x, y&gt;'!D209,'Parameter &lt;x, y&gt;'!I209,'Parameter &lt;x, y&gt;'!N209,'Parameter &lt;x, y&gt;'!S209)</f>
        <v>10188.299999999999</v>
      </c>
      <c r="E209" s="5">
        <f>100*('Parameter &lt;x, y&gt;'!B209-B209)/B209</f>
        <v>0.96653932894555161</v>
      </c>
      <c r="F209" s="5">
        <f>100*('Parameter &lt;x, y&gt;'!G209-B209)/B209</f>
        <v>2.3454687715745317</v>
      </c>
      <c r="G209" s="5">
        <f>100*('Parameter &lt;x, y&gt;'!L209-B209)/B209</f>
        <v>0</v>
      </c>
      <c r="H209" s="5">
        <f>100*('Parameter &lt;x, y&gt;'!Q209-B209)/B209</f>
        <v>1.4470474524784898</v>
      </c>
      <c r="J209" s="5">
        <f>100*('Parameter &lt;x, y&gt;'!D209-C209)/C209</f>
        <v>0</v>
      </c>
      <c r="K209" s="5">
        <f>100*('Parameter &lt;x, y&gt;'!I209-C209)/C209</f>
        <v>5.8341430856963523</v>
      </c>
      <c r="L209" s="5">
        <f>100*('Parameter &lt;x, y&gt;'!N209-C209)/C209</f>
        <v>5.2648626365537083</v>
      </c>
      <c r="M209" s="5">
        <f>100*('Parameter &lt;x, y&gt;'!S209-C209)/C209</f>
        <v>27.089897235063752</v>
      </c>
    </row>
    <row r="210" spans="1:13" ht="12.75" customHeight="1">
      <c r="A210" s="13"/>
      <c r="B210" s="5">
        <f>MIN('Parameter &lt;x, y&gt;'!B210,'Parameter &lt;x, y&gt;'!G210,'Parameter &lt;x, y&gt;'!L210,'Parameter &lt;x, y&gt;'!Q210)</f>
        <v>8624.9</v>
      </c>
      <c r="C210" s="5">
        <f>MIN('Parameter &lt;x, y&gt;'!D210,'Parameter &lt;x, y&gt;'!I210,'Parameter &lt;x, y&gt;'!N210,'Parameter &lt;x, y&gt;'!S210)</f>
        <v>8137.6</v>
      </c>
      <c r="E210" s="5">
        <f>100*('Parameter &lt;x, y&gt;'!B210-B210)/B210</f>
        <v>0</v>
      </c>
      <c r="F210" s="5">
        <f>100*('Parameter &lt;x, y&gt;'!G210-B210)/B210</f>
        <v>1.4840751776832195</v>
      </c>
      <c r="G210" s="5">
        <f>100*('Parameter &lt;x, y&gt;'!L210-B210)/B210</f>
        <v>2.256258043571524</v>
      </c>
      <c r="H210" s="5">
        <f>100*('Parameter &lt;x, y&gt;'!Q210-B210)/B210</f>
        <v>1.0040696124013075</v>
      </c>
      <c r="J210" s="5">
        <f>100*('Parameter &lt;x, y&gt;'!D210-C210)/C210</f>
        <v>1.2780180888714117</v>
      </c>
      <c r="K210" s="5">
        <f>100*('Parameter &lt;x, y&gt;'!I210-C210)/C210</f>
        <v>10.469917420369642</v>
      </c>
      <c r="L210" s="5">
        <f>100*('Parameter &lt;x, y&gt;'!N210-C210)/C210</f>
        <v>0</v>
      </c>
      <c r="M210" s="5">
        <f>100*('Parameter &lt;x, y&gt;'!S210-C210)/C210</f>
        <v>17.331891466771527</v>
      </c>
    </row>
    <row r="211" spans="1:13" ht="12.75" customHeight="1">
      <c r="A211" s="13"/>
      <c r="B211" s="5">
        <f>MIN('Parameter &lt;x, y&gt;'!B211,'Parameter &lt;x, y&gt;'!G211,'Parameter &lt;x, y&gt;'!L211,'Parameter &lt;x, y&gt;'!Q211)</f>
        <v>11323.8</v>
      </c>
      <c r="C211" s="5">
        <f>MIN('Parameter &lt;x, y&gt;'!D211,'Parameter &lt;x, y&gt;'!I211,'Parameter &lt;x, y&gt;'!N211,'Parameter &lt;x, y&gt;'!S211)</f>
        <v>11124.3</v>
      </c>
      <c r="E211" s="5">
        <f>100*('Parameter &lt;x, y&gt;'!B211-B211)/B211</f>
        <v>0</v>
      </c>
      <c r="F211" s="5">
        <f>100*('Parameter &lt;x, y&gt;'!G211-B211)/B211</f>
        <v>7.6140518200604106</v>
      </c>
      <c r="G211" s="5">
        <f>100*('Parameter &lt;x, y&gt;'!L211-B211)/B211</f>
        <v>0.93873081474417686</v>
      </c>
      <c r="H211" s="5">
        <f>100*('Parameter &lt;x, y&gt;'!Q211-B211)/B211</f>
        <v>15.748247054875582</v>
      </c>
      <c r="J211" s="5">
        <f>100*('Parameter &lt;x, y&gt;'!D211-C211)/C211</f>
        <v>3.9067626727074996</v>
      </c>
      <c r="K211" s="5">
        <f>100*('Parameter &lt;x, y&gt;'!I211-C211)/C211</f>
        <v>6.3734347329719627</v>
      </c>
      <c r="L211" s="5">
        <f>100*('Parameter &lt;x, y&gt;'!N211-C211)/C211</f>
        <v>0</v>
      </c>
      <c r="M211" s="5">
        <f>100*('Parameter &lt;x, y&gt;'!S211-C211)/C211</f>
        <v>19.88439722049927</v>
      </c>
    </row>
    <row r="212" spans="1:13" ht="12.75" customHeight="1">
      <c r="A212" s="13"/>
      <c r="B212" s="5">
        <f>MIN('Parameter &lt;x, y&gt;'!B212,'Parameter &lt;x, y&gt;'!G212,'Parameter &lt;x, y&gt;'!L212,'Parameter &lt;x, y&gt;'!Q212)</f>
        <v>12553.2</v>
      </c>
      <c r="C212" s="5">
        <f>MIN('Parameter &lt;x, y&gt;'!D212,'Parameter &lt;x, y&gt;'!I212,'Parameter &lt;x, y&gt;'!N212,'Parameter &lt;x, y&gt;'!S212)</f>
        <v>12553.2</v>
      </c>
      <c r="E212" s="5">
        <f>100*('Parameter &lt;x, y&gt;'!B212-B212)/B212</f>
        <v>6.8715546633527582</v>
      </c>
      <c r="F212" s="5">
        <f>100*('Parameter &lt;x, y&gt;'!G212-B212)/B212</f>
        <v>4.1535226077812801</v>
      </c>
      <c r="G212" s="5">
        <f>100*('Parameter &lt;x, y&gt;'!L212-B212)/B212</f>
        <v>0</v>
      </c>
      <c r="H212" s="5">
        <f>100*('Parameter &lt;x, y&gt;'!Q212-B212)/B212</f>
        <v>7.8999776949303664</v>
      </c>
      <c r="J212" s="5">
        <f>100*('Parameter &lt;x, y&gt;'!D212-C212)/C212</f>
        <v>6.2342669598189984</v>
      </c>
      <c r="K212" s="5">
        <f>100*('Parameter &lt;x, y&gt;'!I212-C212)/C212</f>
        <v>1.9262020839307847</v>
      </c>
      <c r="L212" s="5">
        <f>100*('Parameter &lt;x, y&gt;'!N212-C212)/C212</f>
        <v>0</v>
      </c>
      <c r="M212" s="5">
        <f>100*('Parameter &lt;x, y&gt;'!S212-C212)/C212</f>
        <v>36.146958544434874</v>
      </c>
    </row>
    <row r="213" spans="1:13" ht="12.75" customHeight="1">
      <c r="A213" s="13"/>
      <c r="B213" s="5">
        <f>MIN('Parameter &lt;x, y&gt;'!B213,'Parameter &lt;x, y&gt;'!G213,'Parameter &lt;x, y&gt;'!L213,'Parameter &lt;x, y&gt;'!Q213)</f>
        <v>10306.6</v>
      </c>
      <c r="C213" s="5">
        <f>MIN('Parameter &lt;x, y&gt;'!D213,'Parameter &lt;x, y&gt;'!I213,'Parameter &lt;x, y&gt;'!N213,'Parameter &lt;x, y&gt;'!S213)</f>
        <v>9292.7000000000007</v>
      </c>
      <c r="E213" s="5">
        <f>100*('Parameter &lt;x, y&gt;'!B213-B213)/B213</f>
        <v>1.079890555566329</v>
      </c>
      <c r="F213" s="5">
        <f>100*('Parameter &lt;x, y&gt;'!G213-B213)/B213</f>
        <v>0</v>
      </c>
      <c r="G213" s="5">
        <f>100*('Parameter &lt;x, y&gt;'!L213-B213)/B213</f>
        <v>16.277919003357059</v>
      </c>
      <c r="H213" s="5">
        <f>100*('Parameter &lt;x, y&gt;'!Q213-B213)/B213</f>
        <v>8.5828498243843772</v>
      </c>
      <c r="J213" s="5">
        <f>100*('Parameter &lt;x, y&gt;'!D213-C213)/C213</f>
        <v>0</v>
      </c>
      <c r="K213" s="5">
        <f>100*('Parameter &lt;x, y&gt;'!I213-C213)/C213</f>
        <v>16.262227339739781</v>
      </c>
      <c r="L213" s="5">
        <f>100*('Parameter &lt;x, y&gt;'!N213-C213)/C213</f>
        <v>9.9949422665102627</v>
      </c>
      <c r="M213" s="5">
        <f>100*('Parameter &lt;x, y&gt;'!S213-C213)/C213</f>
        <v>30.18928836613685</v>
      </c>
    </row>
    <row r="214" spans="1:13" ht="12.75" customHeight="1">
      <c r="A214" s="13"/>
      <c r="B214" s="5">
        <f>MIN('Parameter &lt;x, y&gt;'!B214,'Parameter &lt;x, y&gt;'!G214,'Parameter &lt;x, y&gt;'!L214,'Parameter &lt;x, y&gt;'!Q214)</f>
        <v>11338.4</v>
      </c>
      <c r="C214" s="5">
        <f>MIN('Parameter &lt;x, y&gt;'!D214,'Parameter &lt;x, y&gt;'!I214,'Parameter &lt;x, y&gt;'!N214,'Parameter &lt;x, y&gt;'!S214)</f>
        <v>10458.799999999999</v>
      </c>
      <c r="E214" s="5">
        <f>100*('Parameter &lt;x, y&gt;'!B214-B214)/B214</f>
        <v>1.4763987864248893</v>
      </c>
      <c r="F214" s="5">
        <f>100*('Parameter &lt;x, y&gt;'!G214-B214)/B214</f>
        <v>0</v>
      </c>
      <c r="G214" s="5">
        <f>100*('Parameter &lt;x, y&gt;'!L214-B214)/B214</f>
        <v>5.5281168418824622</v>
      </c>
      <c r="H214" s="5">
        <f>100*('Parameter &lt;x, y&gt;'!Q214-B214)/B214</f>
        <v>15.221724405559865</v>
      </c>
      <c r="J214" s="5">
        <f>100*('Parameter &lt;x, y&gt;'!D214-C214)/C214</f>
        <v>8.095575018166528</v>
      </c>
      <c r="K214" s="5">
        <f>100*('Parameter &lt;x, y&gt;'!I214-C214)/C214</f>
        <v>6.0322407924427424</v>
      </c>
      <c r="L214" s="5">
        <f>100*('Parameter &lt;x, y&gt;'!N214-C214)/C214</f>
        <v>0</v>
      </c>
      <c r="M214" s="5">
        <f>100*('Parameter &lt;x, y&gt;'!S214-C214)/C214</f>
        <v>24.488469040425294</v>
      </c>
    </row>
    <row r="215" spans="1:13" ht="12.75" customHeight="1">
      <c r="A215" s="13"/>
      <c r="B215" s="5">
        <f>MIN('Parameter &lt;x, y&gt;'!B215,'Parameter &lt;x, y&gt;'!G215,'Parameter &lt;x, y&gt;'!L215,'Parameter &lt;x, y&gt;'!Q215)</f>
        <v>12888.5</v>
      </c>
      <c r="C215" s="5">
        <f>MIN('Parameter &lt;x, y&gt;'!D215,'Parameter &lt;x, y&gt;'!I215,'Parameter &lt;x, y&gt;'!N215,'Parameter &lt;x, y&gt;'!S215)</f>
        <v>12106.5</v>
      </c>
      <c r="E215" s="5">
        <f>100*('Parameter &lt;x, y&gt;'!B215-B215)/B215</f>
        <v>1.2367614540093854</v>
      </c>
      <c r="F215" s="5">
        <f>100*('Parameter &lt;x, y&gt;'!G215-B215)/B215</f>
        <v>0.47173837141637331</v>
      </c>
      <c r="G215" s="5">
        <f>100*('Parameter &lt;x, y&gt;'!L215-B215)/B215</f>
        <v>0</v>
      </c>
      <c r="H215" s="5">
        <f>100*('Parameter &lt;x, y&gt;'!Q215-B215)/B215</f>
        <v>2.6946502696201984</v>
      </c>
      <c r="J215" s="5">
        <f>100*('Parameter &lt;x, y&gt;'!D215-C215)/C215</f>
        <v>0.26432081939454011</v>
      </c>
      <c r="K215" s="5">
        <f>100*('Parameter &lt;x, y&gt;'!I215-C215)/C215</f>
        <v>5.8018419857101531</v>
      </c>
      <c r="L215" s="5">
        <f>100*('Parameter &lt;x, y&gt;'!N215-C215)/C215</f>
        <v>0</v>
      </c>
      <c r="M215" s="5">
        <f>100*('Parameter &lt;x, y&gt;'!S215-C215)/C215</f>
        <v>4.3555115020856503</v>
      </c>
    </row>
    <row r="216" spans="1:13" ht="12.75" customHeight="1">
      <c r="A216" s="13"/>
      <c r="B216" s="5">
        <f>MIN('Parameter &lt;x, y&gt;'!B216,'Parameter &lt;x, y&gt;'!G216,'Parameter &lt;x, y&gt;'!L216,'Parameter &lt;x, y&gt;'!Q216)</f>
        <v>8837.5</v>
      </c>
      <c r="C216" s="5">
        <f>MIN('Parameter &lt;x, y&gt;'!D216,'Parameter &lt;x, y&gt;'!I216,'Parameter &lt;x, y&gt;'!N216,'Parameter &lt;x, y&gt;'!S216)</f>
        <v>8131</v>
      </c>
      <c r="E216" s="5">
        <f>100*('Parameter &lt;x, y&gt;'!B216-B216)/B216</f>
        <v>17.649787835926443</v>
      </c>
      <c r="F216" s="5">
        <f>100*('Parameter &lt;x, y&gt;'!G216-B216)/B216</f>
        <v>0.16407355021216408</v>
      </c>
      <c r="G216" s="5">
        <f>100*('Parameter &lt;x, y&gt;'!L216-B216)/B216</f>
        <v>16.044130127298441</v>
      </c>
      <c r="H216" s="5">
        <f>100*('Parameter &lt;x, y&gt;'!Q216-B216)/B216</f>
        <v>0</v>
      </c>
      <c r="J216" s="5">
        <f>100*('Parameter &lt;x, y&gt;'!D216-C216)/C216</f>
        <v>26.127167630057802</v>
      </c>
      <c r="K216" s="5">
        <f>100*('Parameter &lt;x, y&gt;'!I216-C216)/C216</f>
        <v>0</v>
      </c>
      <c r="L216" s="5">
        <f>100*('Parameter &lt;x, y&gt;'!N216-C216)/C216</f>
        <v>27.357028655761894</v>
      </c>
      <c r="M216" s="5">
        <f>100*('Parameter &lt;x, y&gt;'!S216-C216)/C216</f>
        <v>16.228016234165541</v>
      </c>
    </row>
    <row r="217" spans="1:13" ht="12.75" customHeight="1">
      <c r="A217" s="13"/>
      <c r="B217" s="5">
        <f>MIN('Parameter &lt;x, y&gt;'!B217,'Parameter &lt;x, y&gt;'!G217,'Parameter &lt;x, y&gt;'!L217,'Parameter &lt;x, y&gt;'!Q217)</f>
        <v>10074.1</v>
      </c>
      <c r="C217" s="5">
        <f>MIN('Parameter &lt;x, y&gt;'!D217,'Parameter &lt;x, y&gt;'!I217,'Parameter &lt;x, y&gt;'!N217,'Parameter &lt;x, y&gt;'!S217)</f>
        <v>9128</v>
      </c>
      <c r="E217" s="5">
        <f>100*('Parameter &lt;x, y&gt;'!B217-B217)/B217</f>
        <v>6.5772624849862549</v>
      </c>
      <c r="F217" s="5">
        <f>100*('Parameter &lt;x, y&gt;'!G217-B217)/B217</f>
        <v>0.29481541775442877</v>
      </c>
      <c r="G217" s="5">
        <f>100*('Parameter &lt;x, y&gt;'!L217-B217)/B217</f>
        <v>3.5407629465659354</v>
      </c>
      <c r="H217" s="5">
        <f>100*('Parameter &lt;x, y&gt;'!Q217-B217)/B217</f>
        <v>0</v>
      </c>
      <c r="J217" s="5">
        <f>100*('Parameter &lt;x, y&gt;'!D217-C217)/C217</f>
        <v>9.536590709903594</v>
      </c>
      <c r="K217" s="5">
        <f>100*('Parameter &lt;x, y&gt;'!I217-C217)/C217</f>
        <v>0</v>
      </c>
      <c r="L217" s="5">
        <f>100*('Parameter &lt;x, y&gt;'!N217-C217)/C217</f>
        <v>6.2708150744960518</v>
      </c>
      <c r="M217" s="5">
        <f>100*('Parameter &lt;x, y&gt;'!S217-C217)/C217</f>
        <v>16.941279579316387</v>
      </c>
    </row>
    <row r="218" spans="1:13" ht="12.75" customHeight="1">
      <c r="A218" s="13"/>
      <c r="B218" s="5">
        <f>MIN('Parameter &lt;x, y&gt;'!B218,'Parameter &lt;x, y&gt;'!G218,'Parameter &lt;x, y&gt;'!L218,'Parameter &lt;x, y&gt;'!Q218)</f>
        <v>11448.9</v>
      </c>
      <c r="C218" s="5">
        <f>MIN('Parameter &lt;x, y&gt;'!D218,'Parameter &lt;x, y&gt;'!I218,'Parameter &lt;x, y&gt;'!N218,'Parameter &lt;x, y&gt;'!S218)</f>
        <v>11552.6</v>
      </c>
      <c r="E218" s="5">
        <f>100*('Parameter &lt;x, y&gt;'!B218-B218)/B218</f>
        <v>10.67438793246513</v>
      </c>
      <c r="F218" s="5">
        <f>100*('Parameter &lt;x, y&gt;'!G218-B218)/B218</f>
        <v>0</v>
      </c>
      <c r="G218" s="5">
        <f>100*('Parameter &lt;x, y&gt;'!L218-B218)/B218</f>
        <v>5.2328171265361769</v>
      </c>
      <c r="H218" s="5">
        <f>100*('Parameter &lt;x, y&gt;'!Q218-B218)/B218</f>
        <v>23.820629056066526</v>
      </c>
      <c r="J218" s="5">
        <f>100*('Parameter &lt;x, y&gt;'!D218-C218)/C218</f>
        <v>11.260668594082714</v>
      </c>
      <c r="K218" s="5">
        <f>100*('Parameter &lt;x, y&gt;'!I218-C218)/C218</f>
        <v>21.810674653324782</v>
      </c>
      <c r="L218" s="5">
        <f>100*('Parameter &lt;x, y&gt;'!N218-C218)/C218</f>
        <v>0</v>
      </c>
      <c r="M218" s="5">
        <f>100*('Parameter &lt;x, y&gt;'!S218-C218)/C218</f>
        <v>14.082544189186846</v>
      </c>
    </row>
    <row r="219" spans="1:13" ht="12.75" customHeight="1">
      <c r="A219" s="13"/>
      <c r="B219" s="5">
        <f>MIN('Parameter &lt;x, y&gt;'!B219,'Parameter &lt;x, y&gt;'!G219,'Parameter &lt;x, y&gt;'!L219,'Parameter &lt;x, y&gt;'!Q219)</f>
        <v>15734.4</v>
      </c>
      <c r="C219" s="5">
        <f>MIN('Parameter &lt;x, y&gt;'!D219,'Parameter &lt;x, y&gt;'!I219,'Parameter &lt;x, y&gt;'!N219,'Parameter &lt;x, y&gt;'!S219)</f>
        <v>15090.5</v>
      </c>
      <c r="E219" s="5">
        <f>100*('Parameter &lt;x, y&gt;'!B219-B219)/B219</f>
        <v>0</v>
      </c>
      <c r="F219" s="5">
        <f>100*('Parameter &lt;x, y&gt;'!G219-B219)/B219</f>
        <v>3.5806894447834021</v>
      </c>
      <c r="G219" s="5">
        <f>100*('Parameter &lt;x, y&gt;'!L219-B219)/B219</f>
        <v>2.2117144600366077</v>
      </c>
      <c r="H219" s="5">
        <f>100*('Parameter &lt;x, y&gt;'!Q219-B219)/B219</f>
        <v>10.022625584706132</v>
      </c>
      <c r="J219" s="5">
        <f>100*('Parameter &lt;x, y&gt;'!D219-C219)/C219</f>
        <v>0</v>
      </c>
      <c r="K219" s="5">
        <f>100*('Parameter &lt;x, y&gt;'!I219-C219)/C219</f>
        <v>13.016135979589812</v>
      </c>
      <c r="L219" s="5">
        <f>100*('Parameter &lt;x, y&gt;'!N219-C219)/C219</f>
        <v>7.7114741062257757</v>
      </c>
      <c r="M219" s="5">
        <f>100*('Parameter &lt;x, y&gt;'!S219-C219)/C219</f>
        <v>8.8433120174944495</v>
      </c>
    </row>
    <row r="220" spans="1:13" ht="12.75" customHeight="1">
      <c r="A220" s="13"/>
      <c r="B220" s="5">
        <f>MIN('Parameter &lt;x, y&gt;'!B220,'Parameter &lt;x, y&gt;'!G220,'Parameter &lt;x, y&gt;'!L220,'Parameter &lt;x, y&gt;'!Q220)</f>
        <v>13442.6</v>
      </c>
      <c r="C220" s="5">
        <f>MIN('Parameter &lt;x, y&gt;'!D220,'Parameter &lt;x, y&gt;'!I220,'Parameter &lt;x, y&gt;'!N220,'Parameter &lt;x, y&gt;'!S220)</f>
        <v>13500.6</v>
      </c>
      <c r="E220" s="5">
        <f>100*('Parameter &lt;x, y&gt;'!B220-B220)/B220</f>
        <v>0.43146415128025828</v>
      </c>
      <c r="F220" s="5">
        <f>100*('Parameter &lt;x, y&gt;'!G220-B220)/B220</f>
        <v>0</v>
      </c>
      <c r="G220" s="5">
        <f>100*('Parameter &lt;x, y&gt;'!L220-B220)/B220</f>
        <v>0.91128204365226961</v>
      </c>
      <c r="H220" s="5">
        <f>100*('Parameter &lt;x, y&gt;'!Q220-B220)/B220</f>
        <v>5.2415455343460362</v>
      </c>
      <c r="J220" s="5">
        <f>100*('Parameter &lt;x, y&gt;'!D220-C220)/C220</f>
        <v>0</v>
      </c>
      <c r="K220" s="5">
        <f>100*('Parameter &lt;x, y&gt;'!I220-C220)/C220</f>
        <v>7.0589455283468885</v>
      </c>
      <c r="L220" s="5">
        <f>100*('Parameter &lt;x, y&gt;'!N220-C220)/C220</f>
        <v>4.1427788394589813</v>
      </c>
      <c r="M220" s="5">
        <f>100*('Parameter &lt;x, y&gt;'!S220-C220)/C220</f>
        <v>12.933499251885102</v>
      </c>
    </row>
    <row r="221" spans="1:13" ht="12.75" customHeight="1">
      <c r="A221" s="13"/>
      <c r="B221" s="5">
        <f>MIN('Parameter &lt;x, y&gt;'!B221,'Parameter &lt;x, y&gt;'!G221,'Parameter &lt;x, y&gt;'!L221,'Parameter &lt;x, y&gt;'!Q221)</f>
        <v>11351.7</v>
      </c>
      <c r="C221" s="5">
        <f>MIN('Parameter &lt;x, y&gt;'!D221,'Parameter &lt;x, y&gt;'!I221,'Parameter &lt;x, y&gt;'!N221,'Parameter &lt;x, y&gt;'!S221)</f>
        <v>11430.6</v>
      </c>
      <c r="E221" s="5">
        <f>100*('Parameter &lt;x, y&gt;'!B221-B221)/B221</f>
        <v>4.6204533241717094</v>
      </c>
      <c r="F221" s="5">
        <f>100*('Parameter &lt;x, y&gt;'!G221-B221)/B221</f>
        <v>13.998784323052922</v>
      </c>
      <c r="G221" s="5">
        <f>100*('Parameter &lt;x, y&gt;'!L221-B221)/B221</f>
        <v>0</v>
      </c>
      <c r="H221" s="5">
        <f>100*('Parameter &lt;x, y&gt;'!Q221-B221)/B221</f>
        <v>7.8402353832465614</v>
      </c>
      <c r="J221" s="5">
        <f>100*('Parameter &lt;x, y&gt;'!D221-C221)/C221</f>
        <v>2.3480832152292934</v>
      </c>
      <c r="K221" s="5">
        <f>100*('Parameter &lt;x, y&gt;'!I221-C221)/C221</f>
        <v>0</v>
      </c>
      <c r="L221" s="5">
        <f>100*('Parameter &lt;x, y&gt;'!N221-C221)/C221</f>
        <v>2.3480832152292934</v>
      </c>
      <c r="M221" s="5">
        <f>100*('Parameter &lt;x, y&gt;'!S221-C221)/C221</f>
        <v>15.603730337865031</v>
      </c>
    </row>
    <row r="222" spans="1:13" ht="12.75" customHeight="1">
      <c r="A222" s="13"/>
      <c r="B222" s="5">
        <f>MIN('Parameter &lt;x, y&gt;'!B222,'Parameter &lt;x, y&gt;'!G222,'Parameter &lt;x, y&gt;'!L222,'Parameter &lt;x, y&gt;'!Q222)</f>
        <v>10966.2</v>
      </c>
      <c r="C222" s="5">
        <f>MIN('Parameter &lt;x, y&gt;'!D222,'Parameter &lt;x, y&gt;'!I222,'Parameter &lt;x, y&gt;'!N222,'Parameter &lt;x, y&gt;'!S222)</f>
        <v>10468.6</v>
      </c>
      <c r="E222" s="5">
        <f>100*('Parameter &lt;x, y&gt;'!B222-B222)/B222</f>
        <v>29.583629698528192</v>
      </c>
      <c r="F222" s="5">
        <f>100*('Parameter &lt;x, y&gt;'!G222-B222)/B222</f>
        <v>0</v>
      </c>
      <c r="G222" s="5">
        <f>100*('Parameter &lt;x, y&gt;'!L222-B222)/B222</f>
        <v>0.10030821980266637</v>
      </c>
      <c r="H222" s="5">
        <f>100*('Parameter &lt;x, y&gt;'!Q222-B222)/B222</f>
        <v>4.509310426583502</v>
      </c>
      <c r="J222" s="5">
        <f>100*('Parameter &lt;x, y&gt;'!D222-C222)/C222</f>
        <v>3.5916932541122977</v>
      </c>
      <c r="K222" s="5">
        <f>100*('Parameter &lt;x, y&gt;'!I222-C222)/C222</f>
        <v>0.81768335785110102</v>
      </c>
      <c r="L222" s="5">
        <f>100*('Parameter &lt;x, y&gt;'!N222-C222)/C222</f>
        <v>0</v>
      </c>
      <c r="M222" s="5">
        <f>100*('Parameter &lt;x, y&gt;'!S222-C222)/C222</f>
        <v>10.443612326385566</v>
      </c>
    </row>
    <row r="223" spans="1:13" ht="12.75" customHeight="1">
      <c r="A223" s="13"/>
      <c r="B223" s="5">
        <f>MIN('Parameter &lt;x, y&gt;'!B223,'Parameter &lt;x, y&gt;'!G223,'Parameter &lt;x, y&gt;'!L223,'Parameter &lt;x, y&gt;'!Q223)</f>
        <v>11004.7</v>
      </c>
      <c r="C223" s="5">
        <f>MIN('Parameter &lt;x, y&gt;'!D223,'Parameter &lt;x, y&gt;'!I223,'Parameter &lt;x, y&gt;'!N223,'Parameter &lt;x, y&gt;'!S223)</f>
        <v>10702.7</v>
      </c>
      <c r="E223" s="5">
        <f>100*('Parameter &lt;x, y&gt;'!B223-B223)/B223</f>
        <v>1.638390869355814</v>
      </c>
      <c r="F223" s="5">
        <f>100*('Parameter &lt;x, y&gt;'!G223-B223)/B223</f>
        <v>2.906939762101644</v>
      </c>
      <c r="G223" s="5">
        <f>100*('Parameter &lt;x, y&gt;'!L223-B223)/B223</f>
        <v>0</v>
      </c>
      <c r="H223" s="5">
        <f>100*('Parameter &lt;x, y&gt;'!Q223-B223)/B223</f>
        <v>18.100447990404096</v>
      </c>
      <c r="J223" s="5">
        <f>100*('Parameter &lt;x, y&gt;'!D223-C223)/C223</f>
        <v>2.9151522513010732</v>
      </c>
      <c r="K223" s="5">
        <f>100*('Parameter &lt;x, y&gt;'!I223-C223)/C223</f>
        <v>0</v>
      </c>
      <c r="L223" s="5">
        <f>100*('Parameter &lt;x, y&gt;'!N223-C223)/C223</f>
        <v>1.5556822110308612</v>
      </c>
      <c r="M223" s="5">
        <f>100*('Parameter &lt;x, y&gt;'!S223-C223)/C223</f>
        <v>15.244751324432139</v>
      </c>
    </row>
    <row r="224" spans="1:13" ht="12.75" customHeight="1">
      <c r="A224" s="13"/>
      <c r="B224" s="5">
        <f>MIN('Parameter &lt;x, y&gt;'!B224,'Parameter &lt;x, y&gt;'!G224,'Parameter &lt;x, y&gt;'!L224,'Parameter &lt;x, y&gt;'!Q224)</f>
        <v>10023.5</v>
      </c>
      <c r="C224" s="5">
        <f>MIN('Parameter &lt;x, y&gt;'!D224,'Parameter &lt;x, y&gt;'!I224,'Parameter &lt;x, y&gt;'!N224,'Parameter &lt;x, y&gt;'!S224)</f>
        <v>9663.9</v>
      </c>
      <c r="E224" s="5">
        <f>100*('Parameter &lt;x, y&gt;'!B224-B224)/B224</f>
        <v>0</v>
      </c>
      <c r="F224" s="5">
        <f>100*('Parameter &lt;x, y&gt;'!G224-B224)/B224</f>
        <v>4.2629819923180454</v>
      </c>
      <c r="G224" s="5">
        <f>100*('Parameter &lt;x, y&gt;'!L224-B224)/B224</f>
        <v>4.491445104005594</v>
      </c>
      <c r="H224" s="5">
        <f>100*('Parameter &lt;x, y&gt;'!Q224-B224)/B224</f>
        <v>4.8555893649922757</v>
      </c>
      <c r="J224" s="5">
        <f>100*('Parameter &lt;x, y&gt;'!D224-C224)/C224</f>
        <v>0</v>
      </c>
      <c r="K224" s="5">
        <f>100*('Parameter &lt;x, y&gt;'!I224-C224)/C224</f>
        <v>4.4485145748610773</v>
      </c>
      <c r="L224" s="5">
        <f>100*('Parameter &lt;x, y&gt;'!N224-C224)/C224</f>
        <v>13.627003590682849</v>
      </c>
      <c r="M224" s="5">
        <f>100*('Parameter &lt;x, y&gt;'!S224-C224)/C224</f>
        <v>24.051366425563192</v>
      </c>
    </row>
    <row r="225" spans="1:13" ht="12.75" customHeight="1">
      <c r="A225" s="13"/>
      <c r="B225" s="5">
        <f>MIN('Parameter &lt;x, y&gt;'!B225,'Parameter &lt;x, y&gt;'!G225,'Parameter &lt;x, y&gt;'!L225,'Parameter &lt;x, y&gt;'!Q225)</f>
        <v>9803.2999999999993</v>
      </c>
      <c r="C225" s="5">
        <f>MIN('Parameter &lt;x, y&gt;'!D225,'Parameter &lt;x, y&gt;'!I225,'Parameter &lt;x, y&gt;'!N225,'Parameter &lt;x, y&gt;'!S225)</f>
        <v>9262.5</v>
      </c>
      <c r="E225" s="5">
        <f>100*('Parameter &lt;x, y&gt;'!B225-B225)/B225</f>
        <v>3.0173513000724359</v>
      </c>
      <c r="F225" s="5">
        <f>100*('Parameter &lt;x, y&gt;'!G225-B225)/B225</f>
        <v>2.7878367488498883</v>
      </c>
      <c r="G225" s="5">
        <f>100*('Parameter &lt;x, y&gt;'!L225-B225)/B225</f>
        <v>0.30397927228587407</v>
      </c>
      <c r="H225" s="5">
        <f>100*('Parameter &lt;x, y&gt;'!Q225-B225)/B225</f>
        <v>0</v>
      </c>
      <c r="J225" s="5">
        <f>100*('Parameter &lt;x, y&gt;'!D225-C225)/C225</f>
        <v>0</v>
      </c>
      <c r="K225" s="5">
        <f>100*('Parameter &lt;x, y&gt;'!I225-C225)/C225</f>
        <v>2.8145748987854331</v>
      </c>
      <c r="L225" s="5">
        <f>100*('Parameter &lt;x, y&gt;'!N225-C225)/C225</f>
        <v>6.097705802968953</v>
      </c>
      <c r="M225" s="5">
        <f>100*('Parameter &lt;x, y&gt;'!S225-C225)/C225</f>
        <v>4.715789473684203</v>
      </c>
    </row>
    <row r="226" spans="1:13" ht="12.75" customHeight="1">
      <c r="A226" s="13"/>
      <c r="B226" s="5">
        <f>MIN('Parameter &lt;x, y&gt;'!B226,'Parameter &lt;x, y&gt;'!G226,'Parameter &lt;x, y&gt;'!L226,'Parameter &lt;x, y&gt;'!Q226)</f>
        <v>7554.2</v>
      </c>
      <c r="C226" s="5">
        <f>MIN('Parameter &lt;x, y&gt;'!D226,'Parameter &lt;x, y&gt;'!I226,'Parameter &lt;x, y&gt;'!N226,'Parameter &lt;x, y&gt;'!S226)</f>
        <v>7562.2</v>
      </c>
      <c r="E226" s="5">
        <f>100*('Parameter &lt;x, y&gt;'!B226-B226)/B226</f>
        <v>0</v>
      </c>
      <c r="F226" s="5">
        <f>100*('Parameter &lt;x, y&gt;'!G226-B226)/B226</f>
        <v>3.9474729289666652</v>
      </c>
      <c r="G226" s="5">
        <f>100*('Parameter &lt;x, y&gt;'!L226-B226)/B226</f>
        <v>1.7341346535701994</v>
      </c>
      <c r="H226" s="5">
        <f>100*('Parameter &lt;x, y&gt;'!Q226-B226)/B226</f>
        <v>14.05046199465199</v>
      </c>
      <c r="J226" s="5">
        <f>100*('Parameter &lt;x, y&gt;'!D226-C226)/C226</f>
        <v>6.4795958847961521E-2</v>
      </c>
      <c r="K226" s="5">
        <f>100*('Parameter &lt;x, y&gt;'!I226-C226)/C226</f>
        <v>18.6043743884055</v>
      </c>
      <c r="L226" s="5">
        <f>100*('Parameter &lt;x, y&gt;'!N226-C226)/C226</f>
        <v>0</v>
      </c>
      <c r="M226" s="5">
        <f>100*('Parameter &lt;x, y&gt;'!S226-C226)/C226</f>
        <v>16.569252333976898</v>
      </c>
    </row>
    <row r="227" spans="1:13" ht="12.75" customHeight="1">
      <c r="A227" s="13"/>
      <c r="B227" s="5">
        <f>MIN('Parameter &lt;x, y&gt;'!B227,'Parameter &lt;x, y&gt;'!G227,'Parameter &lt;x, y&gt;'!L227,'Parameter &lt;x, y&gt;'!Q227)</f>
        <v>8020.1</v>
      </c>
      <c r="C227" s="5">
        <f>MIN('Parameter &lt;x, y&gt;'!D227,'Parameter &lt;x, y&gt;'!I227,'Parameter &lt;x, y&gt;'!N227,'Parameter &lt;x, y&gt;'!S227)</f>
        <v>7533.3</v>
      </c>
      <c r="E227" s="5">
        <f>100*('Parameter &lt;x, y&gt;'!B227-B227)/B227</f>
        <v>0</v>
      </c>
      <c r="F227" s="5">
        <f>100*('Parameter &lt;x, y&gt;'!G227-B227)/B227</f>
        <v>9.867707385194695</v>
      </c>
      <c r="G227" s="5">
        <f>100*('Parameter &lt;x, y&gt;'!L227-B227)/B227</f>
        <v>5.5148938292539897</v>
      </c>
      <c r="H227" s="5">
        <f>100*('Parameter &lt;x, y&gt;'!Q227-B227)/B227</f>
        <v>13.34522013441228</v>
      </c>
      <c r="J227" s="5">
        <f>100*('Parameter &lt;x, y&gt;'!D227-C227)/C227</f>
        <v>0</v>
      </c>
      <c r="K227" s="5">
        <f>100*('Parameter &lt;x, y&gt;'!I227-C227)/C227</f>
        <v>0.42478064062230364</v>
      </c>
      <c r="L227" s="5">
        <f>100*('Parameter &lt;x, y&gt;'!N227-C227)/C227</f>
        <v>12.333240412568189</v>
      </c>
      <c r="M227" s="5">
        <f>100*('Parameter &lt;x, y&gt;'!S227-C227)/C227</f>
        <v>16.677949902433205</v>
      </c>
    </row>
    <row r="228" spans="1:13" ht="12.75" customHeight="1">
      <c r="A228" s="13"/>
      <c r="B228" s="5">
        <f>MIN('Parameter &lt;x, y&gt;'!B228,'Parameter &lt;x, y&gt;'!G228,'Parameter &lt;x, y&gt;'!L228,'Parameter &lt;x, y&gt;'!Q228)</f>
        <v>13599</v>
      </c>
      <c r="C228" s="5">
        <f>MIN('Parameter &lt;x, y&gt;'!D228,'Parameter &lt;x, y&gt;'!I228,'Parameter &lt;x, y&gt;'!N228,'Parameter &lt;x, y&gt;'!S228)</f>
        <v>12746.1</v>
      </c>
      <c r="E228" s="5">
        <f>100*('Parameter &lt;x, y&gt;'!B228-B228)/B228</f>
        <v>10.986837267446138</v>
      </c>
      <c r="F228" s="5">
        <f>100*('Parameter &lt;x, y&gt;'!G228-B228)/B228</f>
        <v>0</v>
      </c>
      <c r="G228" s="5">
        <f>100*('Parameter &lt;x, y&gt;'!L228-B228)/B228</f>
        <v>3.5649680123538441</v>
      </c>
      <c r="H228" s="5">
        <f>100*('Parameter &lt;x, y&gt;'!Q228-B228)/B228</f>
        <v>4.9900727994705516</v>
      </c>
      <c r="J228" s="5">
        <f>100*('Parameter &lt;x, y&gt;'!D228-C228)/C228</f>
        <v>0</v>
      </c>
      <c r="K228" s="5">
        <f>100*('Parameter &lt;x, y&gt;'!I228-C228)/C228</f>
        <v>22.435882348326146</v>
      </c>
      <c r="L228" s="5">
        <f>100*('Parameter &lt;x, y&gt;'!N228-C228)/C228</f>
        <v>4.9426883517311175</v>
      </c>
      <c r="M228" s="5">
        <f>100*('Parameter &lt;x, y&gt;'!S228-C228)/C228</f>
        <v>8.0361836169494918</v>
      </c>
    </row>
    <row r="229" spans="1:13" ht="12.75" customHeight="1">
      <c r="A229" s="13"/>
      <c r="B229" s="5">
        <f>MIN('Parameter &lt;x, y&gt;'!B229,'Parameter &lt;x, y&gt;'!G229,'Parameter &lt;x, y&gt;'!L229,'Parameter &lt;x, y&gt;'!Q229)</f>
        <v>12838.7</v>
      </c>
      <c r="C229" s="5">
        <f>MIN('Parameter &lt;x, y&gt;'!D229,'Parameter &lt;x, y&gt;'!I229,'Parameter &lt;x, y&gt;'!N229,'Parameter &lt;x, y&gt;'!S229)</f>
        <v>13646.8</v>
      </c>
      <c r="E229" s="5">
        <f>100*('Parameter &lt;x, y&gt;'!B229-B229)/B229</f>
        <v>12.458426476200861</v>
      </c>
      <c r="F229" s="5">
        <f>100*('Parameter &lt;x, y&gt;'!G229-B229)/B229</f>
        <v>12.39611487144337</v>
      </c>
      <c r="G229" s="5">
        <f>100*('Parameter &lt;x, y&gt;'!L229-B229)/B229</f>
        <v>11.798702360830919</v>
      </c>
      <c r="H229" s="5">
        <f>100*('Parameter &lt;x, y&gt;'!Q229-B229)/B229</f>
        <v>0</v>
      </c>
      <c r="J229" s="5">
        <f>100*('Parameter &lt;x, y&gt;'!D229-C229)/C229</f>
        <v>6.4403376615763515</v>
      </c>
      <c r="K229" s="5">
        <f>100*('Parameter &lt;x, y&gt;'!I229-C229)/C229</f>
        <v>1.8465867456106928</v>
      </c>
      <c r="L229" s="5">
        <f>100*('Parameter &lt;x, y&gt;'!N229-C229)/C229</f>
        <v>0</v>
      </c>
      <c r="M229" s="5">
        <f>100*('Parameter &lt;x, y&gt;'!S229-C229)/C229</f>
        <v>9.7964357944719751</v>
      </c>
    </row>
    <row r="230" spans="1:13" ht="12.75" customHeight="1">
      <c r="A230" s="13"/>
      <c r="B230" s="5">
        <f>MIN('Parameter &lt;x, y&gt;'!B230,'Parameter &lt;x, y&gt;'!G230,'Parameter &lt;x, y&gt;'!L230,'Parameter &lt;x, y&gt;'!Q230)</f>
        <v>11900.1</v>
      </c>
      <c r="C230" s="5">
        <f>MIN('Parameter &lt;x, y&gt;'!D230,'Parameter &lt;x, y&gt;'!I230,'Parameter &lt;x, y&gt;'!N230,'Parameter &lt;x, y&gt;'!S230)</f>
        <v>11555.4</v>
      </c>
      <c r="E230" s="5">
        <f>100*('Parameter &lt;x, y&gt;'!B230-B230)/B230</f>
        <v>0</v>
      </c>
      <c r="F230" s="5">
        <f>100*('Parameter &lt;x, y&gt;'!G230-B230)/B230</f>
        <v>6.4478449760926315</v>
      </c>
      <c r="G230" s="5">
        <f>100*('Parameter &lt;x, y&gt;'!L230-B230)/B230</f>
        <v>2.9293871480071627</v>
      </c>
      <c r="H230" s="5">
        <f>100*('Parameter &lt;x, y&gt;'!Q230-B230)/B230</f>
        <v>12.753674338871091</v>
      </c>
      <c r="J230" s="5">
        <f>100*('Parameter &lt;x, y&gt;'!D230-C230)/C230</f>
        <v>3.1959084064593273</v>
      </c>
      <c r="K230" s="5">
        <f>100*('Parameter &lt;x, y&gt;'!I230-C230)/C230</f>
        <v>1.2496322065873933</v>
      </c>
      <c r="L230" s="5">
        <f>100*('Parameter &lt;x, y&gt;'!N230-C230)/C230</f>
        <v>0</v>
      </c>
      <c r="M230" s="5">
        <f>100*('Parameter &lt;x, y&gt;'!S230-C230)/C230</f>
        <v>15.996849957595584</v>
      </c>
    </row>
    <row r="231" spans="1:13" ht="12.75" customHeight="1">
      <c r="A231" s="13"/>
      <c r="B231" s="5">
        <f>MIN('Parameter &lt;x, y&gt;'!B231,'Parameter &lt;x, y&gt;'!G231,'Parameter &lt;x, y&gt;'!L231,'Parameter &lt;x, y&gt;'!Q231)</f>
        <v>11837</v>
      </c>
      <c r="C231" s="5">
        <f>MIN('Parameter &lt;x, y&gt;'!D231,'Parameter &lt;x, y&gt;'!I231,'Parameter &lt;x, y&gt;'!N231,'Parameter &lt;x, y&gt;'!S231)</f>
        <v>11795.8</v>
      </c>
      <c r="E231" s="5">
        <f>100*('Parameter &lt;x, y&gt;'!B231-B231)/B231</f>
        <v>0</v>
      </c>
      <c r="F231" s="5">
        <f>100*('Parameter &lt;x, y&gt;'!G231-B231)/B231</f>
        <v>41.317056686660479</v>
      </c>
      <c r="G231" s="5">
        <f>100*('Parameter &lt;x, y&gt;'!L231-B231)/B231</f>
        <v>29.954380332854612</v>
      </c>
      <c r="H231" s="5">
        <f>100*('Parameter &lt;x, y&gt;'!Q231-B231)/B231</f>
        <v>12.787868547773934</v>
      </c>
      <c r="J231" s="5">
        <f>100*('Parameter &lt;x, y&gt;'!D231-C231)/C231</f>
        <v>5.2281320469997858</v>
      </c>
      <c r="K231" s="5">
        <f>100*('Parameter &lt;x, y&gt;'!I231-C231)/C231</f>
        <v>10.05357839230914</v>
      </c>
      <c r="L231" s="5">
        <f>100*('Parameter &lt;x, y&gt;'!N231-C231)/C231</f>
        <v>0</v>
      </c>
      <c r="M231" s="5">
        <f>100*('Parameter &lt;x, y&gt;'!S231-C231)/C231</f>
        <v>12.764712863900716</v>
      </c>
    </row>
    <row r="232" spans="1:13" ht="12.75" customHeight="1">
      <c r="A232" s="13"/>
      <c r="B232" s="5">
        <f>MIN('Parameter &lt;x, y&gt;'!B232,'Parameter &lt;x, y&gt;'!G232,'Parameter &lt;x, y&gt;'!L232,'Parameter &lt;x, y&gt;'!Q232)</f>
        <v>13372.6</v>
      </c>
      <c r="C232" s="5">
        <f>MIN('Parameter &lt;x, y&gt;'!D232,'Parameter &lt;x, y&gt;'!I232,'Parameter &lt;x, y&gt;'!N232,'Parameter &lt;x, y&gt;'!S232)</f>
        <v>12944.6</v>
      </c>
      <c r="E232" s="5">
        <f>100*('Parameter &lt;x, y&gt;'!B232-B232)/B232</f>
        <v>3.0360588068139327</v>
      </c>
      <c r="F232" s="5">
        <f>100*('Parameter &lt;x, y&gt;'!G232-B232)/B232</f>
        <v>0</v>
      </c>
      <c r="G232" s="5">
        <f>100*('Parameter &lt;x, y&gt;'!L232-B232)/B232</f>
        <v>10.472159490301062</v>
      </c>
      <c r="H232" s="5">
        <f>100*('Parameter &lt;x, y&gt;'!Q232-B232)/B232</f>
        <v>7.0651930065955701</v>
      </c>
      <c r="J232" s="5">
        <f>100*('Parameter &lt;x, y&gt;'!D232-C232)/C232</f>
        <v>5.175130942632447</v>
      </c>
      <c r="K232" s="5">
        <f>100*('Parameter &lt;x, y&gt;'!I232-C232)/C232</f>
        <v>0.18540549727299413</v>
      </c>
      <c r="L232" s="5">
        <f>100*('Parameter &lt;x, y&gt;'!N232-C232)/C232</f>
        <v>0</v>
      </c>
      <c r="M232" s="5">
        <f>100*('Parameter &lt;x, y&gt;'!S232-C232)/C232</f>
        <v>7.0562242170480332</v>
      </c>
    </row>
    <row r="233" spans="1:13" ht="12.75" customHeight="1">
      <c r="A233" s="13"/>
      <c r="B233" s="5">
        <f>MIN('Parameter &lt;x, y&gt;'!B233,'Parameter &lt;x, y&gt;'!G233,'Parameter &lt;x, y&gt;'!L233,'Parameter &lt;x, y&gt;'!Q233)</f>
        <v>12301.3</v>
      </c>
      <c r="C233" s="5">
        <f>MIN('Parameter &lt;x, y&gt;'!D233,'Parameter &lt;x, y&gt;'!I233,'Parameter &lt;x, y&gt;'!N233,'Parameter &lt;x, y&gt;'!S233)</f>
        <v>12080.4</v>
      </c>
      <c r="E233" s="5">
        <f>100*('Parameter &lt;x, y&gt;'!B233-B233)/B233</f>
        <v>0</v>
      </c>
      <c r="F233" s="5">
        <f>100*('Parameter &lt;x, y&gt;'!G233-B233)/B233</f>
        <v>0</v>
      </c>
      <c r="G233" s="5">
        <f>100*('Parameter &lt;x, y&gt;'!L233-B233)/B233</f>
        <v>7.3870241356604653</v>
      </c>
      <c r="H233" s="5">
        <f>100*('Parameter &lt;x, y&gt;'!Q233-B233)/B233</f>
        <v>13.673351596985686</v>
      </c>
      <c r="J233" s="5">
        <f>100*('Parameter &lt;x, y&gt;'!D233-C233)/C233</f>
        <v>0.86834873017449454</v>
      </c>
      <c r="K233" s="5">
        <f>100*('Parameter &lt;x, y&gt;'!I233-C233)/C233</f>
        <v>15.454786265355452</v>
      </c>
      <c r="L233" s="5">
        <f>100*('Parameter &lt;x, y&gt;'!N233-C233)/C233</f>
        <v>0</v>
      </c>
      <c r="M233" s="5">
        <f>100*('Parameter &lt;x, y&gt;'!S233-C233)/C233</f>
        <v>22.731035396178935</v>
      </c>
    </row>
    <row r="234" spans="1:13" ht="12.75" customHeight="1">
      <c r="A234" s="13"/>
      <c r="B234" s="5">
        <f>MIN('Parameter &lt;x, y&gt;'!B234,'Parameter &lt;x, y&gt;'!G234,'Parameter &lt;x, y&gt;'!L234,'Parameter &lt;x, y&gt;'!Q234)</f>
        <v>14092.6</v>
      </c>
      <c r="C234" s="5">
        <f>MIN('Parameter &lt;x, y&gt;'!D234,'Parameter &lt;x, y&gt;'!I234,'Parameter &lt;x, y&gt;'!N234,'Parameter &lt;x, y&gt;'!S234)</f>
        <v>14372.6</v>
      </c>
      <c r="E234" s="5">
        <f>100*('Parameter &lt;x, y&gt;'!B234-B234)/B234</f>
        <v>16.186509231795412</v>
      </c>
      <c r="F234" s="5">
        <f>100*('Parameter &lt;x, y&gt;'!G234-B234)/B234</f>
        <v>0</v>
      </c>
      <c r="G234" s="5">
        <f>100*('Parameter &lt;x, y&gt;'!L234-B234)/B234</f>
        <v>16.195024339014797</v>
      </c>
      <c r="H234" s="5">
        <f>100*('Parameter &lt;x, y&gt;'!Q234-B234)/B234</f>
        <v>26.264138625945538</v>
      </c>
      <c r="J234" s="5">
        <f>100*('Parameter &lt;x, y&gt;'!D234-C234)/C234</f>
        <v>14.5714762812574</v>
      </c>
      <c r="K234" s="5">
        <f>100*('Parameter &lt;x, y&gt;'!I234-C234)/C234</f>
        <v>13.278042942821756</v>
      </c>
      <c r="L234" s="5">
        <f>100*('Parameter &lt;x, y&gt;'!N234-C234)/C234</f>
        <v>17.410211096113446</v>
      </c>
      <c r="M234" s="5">
        <f>100*('Parameter &lt;x, y&gt;'!S234-C234)/C234</f>
        <v>0</v>
      </c>
    </row>
    <row r="235" spans="1:13" ht="12.75" customHeight="1">
      <c r="A235" s="13"/>
      <c r="B235" s="5">
        <f>MIN('Parameter &lt;x, y&gt;'!B235,'Parameter &lt;x, y&gt;'!G235,'Parameter &lt;x, y&gt;'!L235,'Parameter &lt;x, y&gt;'!Q235)</f>
        <v>10956.4</v>
      </c>
      <c r="C235" s="5">
        <f>MIN('Parameter &lt;x, y&gt;'!D235,'Parameter &lt;x, y&gt;'!I235,'Parameter &lt;x, y&gt;'!N235,'Parameter &lt;x, y&gt;'!S235)</f>
        <v>10850.4</v>
      </c>
      <c r="E235" s="5">
        <f>100*('Parameter &lt;x, y&gt;'!B235-B235)/B235</f>
        <v>0</v>
      </c>
      <c r="F235" s="5">
        <f>100*('Parameter &lt;x, y&gt;'!G235-B235)/B235</f>
        <v>15.381877258953683</v>
      </c>
      <c r="G235" s="5">
        <f>100*('Parameter &lt;x, y&gt;'!L235-B235)/B235</f>
        <v>18.912233945456538</v>
      </c>
      <c r="H235" s="5">
        <f>100*('Parameter &lt;x, y&gt;'!Q235-B235)/B235</f>
        <v>10.069000766675192</v>
      </c>
      <c r="J235" s="5">
        <f>100*('Parameter &lt;x, y&gt;'!D235-C235)/C235</f>
        <v>0</v>
      </c>
      <c r="K235" s="5">
        <f>100*('Parameter &lt;x, y&gt;'!I235-C235)/C235</f>
        <v>9.7461844724618452</v>
      </c>
      <c r="L235" s="5">
        <f>100*('Parameter &lt;x, y&gt;'!N235-C235)/C235</f>
        <v>0.51611000516110006</v>
      </c>
      <c r="M235" s="5">
        <f>100*('Parameter &lt;x, y&gt;'!S235-C235)/C235</f>
        <v>11.008810735088108</v>
      </c>
    </row>
    <row r="236" spans="1:13" ht="12.75" customHeight="1">
      <c r="A236" s="13"/>
      <c r="B236" s="5">
        <f>MIN('Parameter &lt;x, y&gt;'!B236,'Parameter &lt;x, y&gt;'!G236,'Parameter &lt;x, y&gt;'!L236,'Parameter &lt;x, y&gt;'!Q236)</f>
        <v>13568.6</v>
      </c>
      <c r="C236" s="5">
        <f>MIN('Parameter &lt;x, y&gt;'!D236,'Parameter &lt;x, y&gt;'!I236,'Parameter &lt;x, y&gt;'!N236,'Parameter &lt;x, y&gt;'!S236)</f>
        <v>12834.3</v>
      </c>
      <c r="E236" s="5">
        <f>100*('Parameter &lt;x, y&gt;'!B236-B236)/B236</f>
        <v>3.9237651636867446</v>
      </c>
      <c r="F236" s="5">
        <f>100*('Parameter &lt;x, y&gt;'!G236-B236)/B236</f>
        <v>3.7888949486314014</v>
      </c>
      <c r="G236" s="5">
        <f>100*('Parameter &lt;x, y&gt;'!L236-B236)/B236</f>
        <v>0</v>
      </c>
      <c r="H236" s="5">
        <f>100*('Parameter &lt;x, y&gt;'!Q236-B236)/B236</f>
        <v>4.1669737482127829</v>
      </c>
      <c r="J236" s="5">
        <f>100*('Parameter &lt;x, y&gt;'!D236-C236)/C236</f>
        <v>0</v>
      </c>
      <c r="K236" s="5">
        <f>100*('Parameter &lt;x, y&gt;'!I236-C236)/C236</f>
        <v>2.0429629975923951</v>
      </c>
      <c r="L236" s="5">
        <f>100*('Parameter &lt;x, y&gt;'!N236-C236)/C236</f>
        <v>7.4713852722782041</v>
      </c>
      <c r="M236" s="5">
        <f>100*('Parameter &lt;x, y&gt;'!S236-C236)/C236</f>
        <v>23.99507569559696</v>
      </c>
    </row>
    <row r="237" spans="1:13" ht="12.75" customHeight="1">
      <c r="A237" s="13"/>
      <c r="B237" s="5">
        <f>MIN('Parameter &lt;x, y&gt;'!B237,'Parameter &lt;x, y&gt;'!G237,'Parameter &lt;x, y&gt;'!L237,'Parameter &lt;x, y&gt;'!Q237)</f>
        <v>10125.9</v>
      </c>
      <c r="C237" s="5">
        <f>MIN('Parameter &lt;x, y&gt;'!D237,'Parameter &lt;x, y&gt;'!I237,'Parameter &lt;x, y&gt;'!N237,'Parameter &lt;x, y&gt;'!S237)</f>
        <v>9119.4</v>
      </c>
      <c r="E237" s="5">
        <f>100*('Parameter &lt;x, y&gt;'!B237-B237)/B237</f>
        <v>0</v>
      </c>
      <c r="F237" s="5">
        <f>100*('Parameter &lt;x, y&gt;'!G237-B237)/B237</f>
        <v>1.5366535320317243</v>
      </c>
      <c r="G237" s="5">
        <f>100*('Parameter &lt;x, y&gt;'!L237-B237)/B237</f>
        <v>0.15801064596727205</v>
      </c>
      <c r="H237" s="5">
        <f>100*('Parameter &lt;x, y&gt;'!Q237-B237)/B237</f>
        <v>13.392389812263605</v>
      </c>
      <c r="J237" s="5">
        <f>100*('Parameter &lt;x, y&gt;'!D237-C237)/C237</f>
        <v>3.6537491501633959</v>
      </c>
      <c r="K237" s="5">
        <f>100*('Parameter &lt;x, y&gt;'!I237-C237)/C237</f>
        <v>18.121806259183721</v>
      </c>
      <c r="L237" s="5">
        <f>100*('Parameter &lt;x, y&gt;'!N237-C237)/C237</f>
        <v>0</v>
      </c>
      <c r="M237" s="5">
        <f>100*('Parameter &lt;x, y&gt;'!S237-C237)/C237</f>
        <v>20.286422352347742</v>
      </c>
    </row>
    <row r="238" spans="1:13" ht="12.75" customHeight="1">
      <c r="A238" s="13"/>
      <c r="B238" s="5">
        <f>MIN('Parameter &lt;x, y&gt;'!B238,'Parameter &lt;x, y&gt;'!G238,'Parameter &lt;x, y&gt;'!L238,'Parameter &lt;x, y&gt;'!Q238)</f>
        <v>13426.9</v>
      </c>
      <c r="C238" s="5">
        <f>MIN('Parameter &lt;x, y&gt;'!D238,'Parameter &lt;x, y&gt;'!I238,'Parameter &lt;x, y&gt;'!N238,'Parameter &lt;x, y&gt;'!S238)</f>
        <v>12974.6</v>
      </c>
      <c r="E238" s="5">
        <f>100*('Parameter &lt;x, y&gt;'!B238-B238)/B238</f>
        <v>0.38728224683285051</v>
      </c>
      <c r="F238" s="5">
        <f>100*('Parameter &lt;x, y&gt;'!G238-B238)/B238</f>
        <v>11.276616344800367</v>
      </c>
      <c r="G238" s="5">
        <f>100*('Parameter &lt;x, y&gt;'!L238-B238)/B238</f>
        <v>0</v>
      </c>
      <c r="H238" s="5">
        <f>100*('Parameter &lt;x, y&gt;'!Q238-B238)/B238</f>
        <v>30.337605850941017</v>
      </c>
      <c r="J238" s="5">
        <f>100*('Parameter &lt;x, y&gt;'!D238-C238)/C238</f>
        <v>5.6325435851586887</v>
      </c>
      <c r="K238" s="5">
        <f>100*('Parameter &lt;x, y&gt;'!I238-C238)/C238</f>
        <v>6.1258150540286351</v>
      </c>
      <c r="L238" s="5">
        <f>100*('Parameter &lt;x, y&gt;'!N238-C238)/C238</f>
        <v>0</v>
      </c>
      <c r="M238" s="5">
        <f>100*('Parameter &lt;x, y&gt;'!S238-C238)/C238</f>
        <v>29.577790452114133</v>
      </c>
    </row>
    <row r="239" spans="1:13" ht="12.75" customHeight="1">
      <c r="A239" s="13"/>
      <c r="B239" s="5">
        <f>MIN('Parameter &lt;x, y&gt;'!B239,'Parameter &lt;x, y&gt;'!G239,'Parameter &lt;x, y&gt;'!L239,'Parameter &lt;x, y&gt;'!Q239)</f>
        <v>9490.2000000000007</v>
      </c>
      <c r="C239" s="5">
        <f>MIN('Parameter &lt;x, y&gt;'!D239,'Parameter &lt;x, y&gt;'!I239,'Parameter &lt;x, y&gt;'!N239,'Parameter &lt;x, y&gt;'!S239)</f>
        <v>8593.7000000000007</v>
      </c>
      <c r="E239" s="5">
        <f>100*('Parameter &lt;x, y&gt;'!B239-B239)/B239</f>
        <v>4.5731386061410717</v>
      </c>
      <c r="F239" s="5">
        <f>100*('Parameter &lt;x, y&gt;'!G239-B239)/B239</f>
        <v>2.6111146235063463</v>
      </c>
      <c r="G239" s="5">
        <f>100*('Parameter &lt;x, y&gt;'!L239-B239)/B239</f>
        <v>3.9925396725042632</v>
      </c>
      <c r="H239" s="5">
        <f>100*('Parameter &lt;x, y&gt;'!Q239-B239)/B239</f>
        <v>0</v>
      </c>
      <c r="J239" s="5">
        <f>100*('Parameter &lt;x, y&gt;'!D239-C239)/C239</f>
        <v>0</v>
      </c>
      <c r="K239" s="5">
        <f>100*('Parameter &lt;x, y&gt;'!I239-C239)/C239</f>
        <v>19.818006213854318</v>
      </c>
      <c r="L239" s="5">
        <f>100*('Parameter &lt;x, y&gt;'!N239-C239)/C239</f>
        <v>9.0019432840336346</v>
      </c>
      <c r="M239" s="5">
        <f>100*('Parameter &lt;x, y&gt;'!S239-C239)/C239</f>
        <v>19.488695206953924</v>
      </c>
    </row>
    <row r="240" spans="1:13" ht="12.75" customHeight="1">
      <c r="A240" s="13"/>
      <c r="B240" s="5">
        <f>MIN('Parameter &lt;x, y&gt;'!B240,'Parameter &lt;x, y&gt;'!G240,'Parameter &lt;x, y&gt;'!L240,'Parameter &lt;x, y&gt;'!Q240)</f>
        <v>11222.2</v>
      </c>
      <c r="C240" s="5">
        <f>MIN('Parameter &lt;x, y&gt;'!D240,'Parameter &lt;x, y&gt;'!I240,'Parameter &lt;x, y&gt;'!N240,'Parameter &lt;x, y&gt;'!S240)</f>
        <v>10494.2</v>
      </c>
      <c r="E240" s="5">
        <f>100*('Parameter &lt;x, y&gt;'!B240-B240)/B240</f>
        <v>4.7682272638163505</v>
      </c>
      <c r="F240" s="5">
        <f>100*('Parameter &lt;x, y&gt;'!G240-B240)/B240</f>
        <v>0</v>
      </c>
      <c r="G240" s="5">
        <f>100*('Parameter &lt;x, y&gt;'!L240-B240)/B240</f>
        <v>3.9787207499420787</v>
      </c>
      <c r="H240" s="5">
        <f>100*('Parameter &lt;x, y&gt;'!Q240-B240)/B240</f>
        <v>3.176738963839532</v>
      </c>
      <c r="J240" s="5">
        <f>100*('Parameter &lt;x, y&gt;'!D240-C240)/C240</f>
        <v>0</v>
      </c>
      <c r="K240" s="5">
        <f>100*('Parameter &lt;x, y&gt;'!I240-C240)/C240</f>
        <v>1.8962855672657275</v>
      </c>
      <c r="L240" s="5">
        <f>100*('Parameter &lt;x, y&gt;'!N240-C240)/C240</f>
        <v>0</v>
      </c>
      <c r="M240" s="5">
        <f>100*('Parameter &lt;x, y&gt;'!S240-C240)/C240</f>
        <v>15.148367669760427</v>
      </c>
    </row>
    <row r="241" spans="1:13" ht="12.75" customHeight="1">
      <c r="A241" s="13"/>
      <c r="B241" s="5">
        <f>MIN('Parameter &lt;x, y&gt;'!B241,'Parameter &lt;x, y&gt;'!G241,'Parameter &lt;x, y&gt;'!L241,'Parameter &lt;x, y&gt;'!Q241)</f>
        <v>10137.700000000001</v>
      </c>
      <c r="C241" s="5">
        <f>MIN('Parameter &lt;x, y&gt;'!D241,'Parameter &lt;x, y&gt;'!I241,'Parameter &lt;x, y&gt;'!N241,'Parameter &lt;x, y&gt;'!S241)</f>
        <v>10064.5</v>
      </c>
      <c r="E241" s="5">
        <f>100*('Parameter &lt;x, y&gt;'!B241-B241)/B241</f>
        <v>22.747763299367691</v>
      </c>
      <c r="F241" s="5">
        <f>100*('Parameter &lt;x, y&gt;'!G241-B241)/B241</f>
        <v>3.0509878966629436</v>
      </c>
      <c r="G241" s="5">
        <f>100*('Parameter &lt;x, y&gt;'!L241-B241)/B241</f>
        <v>0</v>
      </c>
      <c r="H241" s="5">
        <f>100*('Parameter &lt;x, y&gt;'!Q241-B241)/B241</f>
        <v>7.7611292502244025</v>
      </c>
      <c r="J241" s="5">
        <f>100*('Parameter &lt;x, y&gt;'!D241-C241)/C241</f>
        <v>27.459883749813706</v>
      </c>
      <c r="K241" s="5">
        <f>100*('Parameter &lt;x, y&gt;'!I241-C241)/C241</f>
        <v>5.8254260022852531</v>
      </c>
      <c r="L241" s="5">
        <f>100*('Parameter &lt;x, y&gt;'!N241-C241)/C241</f>
        <v>0</v>
      </c>
      <c r="M241" s="5">
        <f>100*('Parameter &lt;x, y&gt;'!S241-C241)/C241</f>
        <v>4.3658403298723201</v>
      </c>
    </row>
    <row r="242" spans="1:13" ht="12.75" customHeight="1">
      <c r="A242" s="13"/>
      <c r="B242" s="5">
        <f>MIN('Parameter &lt;x, y&gt;'!B242,'Parameter &lt;x, y&gt;'!G242,'Parameter &lt;x, y&gt;'!L242,'Parameter &lt;x, y&gt;'!Q242)</f>
        <v>13960.2</v>
      </c>
      <c r="C242" s="5">
        <f>MIN('Parameter &lt;x, y&gt;'!D242,'Parameter &lt;x, y&gt;'!I242,'Parameter &lt;x, y&gt;'!N242,'Parameter &lt;x, y&gt;'!S242)</f>
        <v>13137.8</v>
      </c>
      <c r="E242" s="5">
        <f>100*('Parameter &lt;x, y&gt;'!B242-B242)/B242</f>
        <v>11.289236543889055</v>
      </c>
      <c r="F242" s="5">
        <f>100*('Parameter &lt;x, y&gt;'!G242-B242)/B242</f>
        <v>0</v>
      </c>
      <c r="G242" s="5">
        <f>100*('Parameter &lt;x, y&gt;'!L242-B242)/B242</f>
        <v>19.677368519075657</v>
      </c>
      <c r="H242" s="5">
        <f>100*('Parameter &lt;x, y&gt;'!Q242-B242)/B242</f>
        <v>4.0357588000171889</v>
      </c>
      <c r="J242" s="5">
        <f>100*('Parameter &lt;x, y&gt;'!D242-C242)/C242</f>
        <v>0</v>
      </c>
      <c r="K242" s="5">
        <f>100*('Parameter &lt;x, y&gt;'!I242-C242)/C242</f>
        <v>8.7259662957268453</v>
      </c>
      <c r="L242" s="5">
        <f>100*('Parameter &lt;x, y&gt;'!N242-C242)/C242</f>
        <v>3.092603023337249</v>
      </c>
      <c r="M242" s="5">
        <f>100*('Parameter &lt;x, y&gt;'!S242-C242)/C242</f>
        <v>22.529647277321935</v>
      </c>
    </row>
    <row r="243" spans="1:13" ht="12.75" customHeight="1">
      <c r="A243" s="13"/>
      <c r="B243" s="5">
        <f>MIN('Parameter &lt;x, y&gt;'!B243,'Parameter &lt;x, y&gt;'!G243,'Parameter &lt;x, y&gt;'!L243,'Parameter &lt;x, y&gt;'!Q243)</f>
        <v>10667.4</v>
      </c>
      <c r="C243" s="5">
        <f>MIN('Parameter &lt;x, y&gt;'!D243,'Parameter &lt;x, y&gt;'!I243,'Parameter &lt;x, y&gt;'!N243,'Parameter &lt;x, y&gt;'!S243)</f>
        <v>10863.8</v>
      </c>
      <c r="E243" s="5">
        <f>100*('Parameter &lt;x, y&gt;'!B243-B243)/B243</f>
        <v>0</v>
      </c>
      <c r="F243" s="5">
        <f>100*('Parameter &lt;x, y&gt;'!G243-B243)/B243</f>
        <v>3.4225771978176533</v>
      </c>
      <c r="G243" s="5">
        <f>100*('Parameter &lt;x, y&gt;'!L243-B243)/B243</f>
        <v>7.2163788739524266</v>
      </c>
      <c r="H243" s="5">
        <f>100*('Parameter &lt;x, y&gt;'!Q243-B243)/B243</f>
        <v>21.563829986688425</v>
      </c>
      <c r="J243" s="5">
        <f>100*('Parameter &lt;x, y&gt;'!D243-C243)/C243</f>
        <v>0</v>
      </c>
      <c r="K243" s="5">
        <f>100*('Parameter &lt;x, y&gt;'!I243-C243)/C243</f>
        <v>1.4792245807176194</v>
      </c>
      <c r="L243" s="5">
        <f>100*('Parameter &lt;x, y&gt;'!N243-C243)/C243</f>
        <v>0</v>
      </c>
      <c r="M243" s="5">
        <f>100*('Parameter &lt;x, y&gt;'!S243-C243)/C243</f>
        <v>13.51921058929657</v>
      </c>
    </row>
    <row r="244" spans="1:13" ht="12.75" customHeight="1">
      <c r="A244" s="13"/>
      <c r="B244" s="5">
        <f>MIN('Parameter &lt;x, y&gt;'!B244,'Parameter &lt;x, y&gt;'!G244,'Parameter &lt;x, y&gt;'!L244,'Parameter &lt;x, y&gt;'!Q244)</f>
        <v>9157.4</v>
      </c>
      <c r="C244" s="5">
        <f>MIN('Parameter &lt;x, y&gt;'!D244,'Parameter &lt;x, y&gt;'!I244,'Parameter &lt;x, y&gt;'!N244,'Parameter &lt;x, y&gt;'!S244)</f>
        <v>8465</v>
      </c>
      <c r="E244" s="5">
        <f>100*('Parameter &lt;x, y&gt;'!B244-B244)/B244</f>
        <v>0</v>
      </c>
      <c r="F244" s="5">
        <f>100*('Parameter &lt;x, y&gt;'!G244-B244)/B244</f>
        <v>42.02612095136174</v>
      </c>
      <c r="G244" s="5">
        <f>100*('Parameter &lt;x, y&gt;'!L244-B244)/B244</f>
        <v>5.3497717692794859</v>
      </c>
      <c r="H244" s="5">
        <f>100*('Parameter &lt;x, y&gt;'!Q244-B244)/B244</f>
        <v>4.780832987529223</v>
      </c>
      <c r="J244" s="5">
        <f>100*('Parameter &lt;x, y&gt;'!D244-C244)/C244</f>
        <v>8.7879503839338415</v>
      </c>
      <c r="K244" s="5">
        <f>100*('Parameter &lt;x, y&gt;'!I244-C244)/C244</f>
        <v>0.18901358535144713</v>
      </c>
      <c r="L244" s="5">
        <f>100*('Parameter &lt;x, y&gt;'!N244-C244)/C244</f>
        <v>0</v>
      </c>
      <c r="M244" s="5">
        <f>100*('Parameter &lt;x, y&gt;'!S244-C244)/C244</f>
        <v>27.600708800945064</v>
      </c>
    </row>
    <row r="245" spans="1:13" ht="12.75" customHeight="1">
      <c r="A245" s="13"/>
      <c r="B245" s="5">
        <f>MIN('Parameter &lt;x, y&gt;'!B245,'Parameter &lt;x, y&gt;'!G245,'Parameter &lt;x, y&gt;'!L245,'Parameter &lt;x, y&gt;'!Q245)</f>
        <v>10396.299999999999</v>
      </c>
      <c r="C245" s="5">
        <f>MIN('Parameter &lt;x, y&gt;'!D245,'Parameter &lt;x, y&gt;'!I245,'Parameter &lt;x, y&gt;'!N245,'Parameter &lt;x, y&gt;'!S245)</f>
        <v>10172</v>
      </c>
      <c r="E245" s="5">
        <f>100*('Parameter &lt;x, y&gt;'!B245-B245)/B245</f>
        <v>0</v>
      </c>
      <c r="F245" s="5">
        <f>100*('Parameter &lt;x, y&gt;'!G245-B245)/B245</f>
        <v>5.9184517568750534</v>
      </c>
      <c r="G245" s="5">
        <f>100*('Parameter &lt;x, y&gt;'!L245-B245)/B245</f>
        <v>5.2807248732722218</v>
      </c>
      <c r="H245" s="5">
        <f>100*('Parameter &lt;x, y&gt;'!Q245-B245)/B245</f>
        <v>70.130719582928549</v>
      </c>
      <c r="J245" s="5">
        <f>100*('Parameter &lt;x, y&gt;'!D245-C245)/C245</f>
        <v>0</v>
      </c>
      <c r="K245" s="5">
        <f>100*('Parameter &lt;x, y&gt;'!I245-C245)/C245</f>
        <v>1.1806920959496694</v>
      </c>
      <c r="L245" s="5">
        <f>100*('Parameter &lt;x, y&gt;'!N245-C245)/C245</f>
        <v>6.9750294927251275</v>
      </c>
      <c r="M245" s="5">
        <f>100*('Parameter &lt;x, y&gt;'!S245-C245)/C245</f>
        <v>14.031655524970502</v>
      </c>
    </row>
    <row r="246" spans="1:13" ht="12.75" customHeight="1">
      <c r="A246" s="13"/>
      <c r="B246" s="5">
        <f>MIN('Parameter &lt;x, y&gt;'!B246,'Parameter &lt;x, y&gt;'!G246,'Parameter &lt;x, y&gt;'!L246,'Parameter &lt;x, y&gt;'!Q246)</f>
        <v>9562.2999999999993</v>
      </c>
      <c r="C246" s="5">
        <f>MIN('Parameter &lt;x, y&gt;'!D246,'Parameter &lt;x, y&gt;'!I246,'Parameter &lt;x, y&gt;'!N246,'Parameter &lt;x, y&gt;'!S246)</f>
        <v>8995</v>
      </c>
      <c r="E246" s="5">
        <f>100*('Parameter &lt;x, y&gt;'!B246-B246)/B246</f>
        <v>4.0576012047310792</v>
      </c>
      <c r="F246" s="5">
        <f>100*('Parameter &lt;x, y&gt;'!G246-B246)/B246</f>
        <v>4.1987806280915683</v>
      </c>
      <c r="G246" s="5">
        <f>100*('Parameter &lt;x, y&gt;'!L246-B246)/B246</f>
        <v>2.0643569015822707</v>
      </c>
      <c r="H246" s="5">
        <f>100*('Parameter &lt;x, y&gt;'!Q246-B246)/B246</f>
        <v>0</v>
      </c>
      <c r="J246" s="5">
        <f>100*('Parameter &lt;x, y&gt;'!D246-C246)/C246</f>
        <v>0</v>
      </c>
      <c r="K246" s="5">
        <f>100*('Parameter &lt;x, y&gt;'!I246-C246)/C246</f>
        <v>0.44469149527515284</v>
      </c>
      <c r="L246" s="5">
        <f>100*('Parameter &lt;x, y&gt;'!N246-C246)/C246</f>
        <v>5.0794886047804297</v>
      </c>
      <c r="M246" s="5">
        <f>100*('Parameter &lt;x, y&gt;'!S246-C246)/C246</f>
        <v>9.3740967204002299</v>
      </c>
    </row>
    <row r="247" spans="1:13" ht="12.75" customHeight="1">
      <c r="A247" s="13"/>
      <c r="B247" s="5">
        <f>MIN('Parameter &lt;x, y&gt;'!B247,'Parameter &lt;x, y&gt;'!G247,'Parameter &lt;x, y&gt;'!L247,'Parameter &lt;x, y&gt;'!Q247)</f>
        <v>9376.7999999999993</v>
      </c>
      <c r="C247" s="5">
        <f>MIN('Parameter &lt;x, y&gt;'!D247,'Parameter &lt;x, y&gt;'!I247,'Parameter &lt;x, y&gt;'!N247,'Parameter &lt;x, y&gt;'!S247)</f>
        <v>8786</v>
      </c>
      <c r="E247" s="5">
        <f>100*('Parameter &lt;x, y&gt;'!B247-B247)/B247</f>
        <v>0</v>
      </c>
      <c r="F247" s="5">
        <f>100*('Parameter &lt;x, y&gt;'!G247-B247)/B247</f>
        <v>0.33700196228991092</v>
      </c>
      <c r="G247" s="5">
        <f>100*('Parameter &lt;x, y&gt;'!L247-B247)/B247</f>
        <v>8.5839518812388178</v>
      </c>
      <c r="H247" s="5">
        <f>100*('Parameter &lt;x, y&gt;'!Q247-B247)/B247</f>
        <v>3.5683815374114878</v>
      </c>
      <c r="J247" s="5">
        <f>100*('Parameter &lt;x, y&gt;'!D247-C247)/C247</f>
        <v>6.6366947416344226</v>
      </c>
      <c r="K247" s="5">
        <f>100*('Parameter &lt;x, y&gt;'!I247-C247)/C247</f>
        <v>0</v>
      </c>
      <c r="L247" s="5">
        <f>100*('Parameter &lt;x, y&gt;'!N247-C247)/C247</f>
        <v>6.4545868427043063</v>
      </c>
      <c r="M247" s="5">
        <f>100*('Parameter &lt;x, y&gt;'!S247-C247)/C247</f>
        <v>15.865012519918048</v>
      </c>
    </row>
    <row r="248" spans="1:13" ht="12.75" customHeight="1">
      <c r="A248" s="13"/>
      <c r="B248" s="5">
        <f>MIN('Parameter &lt;x, y&gt;'!B248,'Parameter &lt;x, y&gt;'!G248,'Parameter &lt;x, y&gt;'!L248,'Parameter &lt;x, y&gt;'!Q248)</f>
        <v>9603.4</v>
      </c>
      <c r="C248" s="5">
        <f>MIN('Parameter &lt;x, y&gt;'!D248,'Parameter &lt;x, y&gt;'!I248,'Parameter &lt;x, y&gt;'!N248,'Parameter &lt;x, y&gt;'!S248)</f>
        <v>8775.6</v>
      </c>
      <c r="E248" s="5">
        <f>100*('Parameter &lt;x, y&gt;'!B248-B248)/B248</f>
        <v>0.87469021388258328</v>
      </c>
      <c r="F248" s="5">
        <f>100*('Parameter &lt;x, y&gt;'!G248-B248)/B248</f>
        <v>0</v>
      </c>
      <c r="G248" s="5">
        <f>100*('Parameter &lt;x, y&gt;'!L248-B248)/B248</f>
        <v>5.9905866672220371</v>
      </c>
      <c r="H248" s="5">
        <f>100*('Parameter &lt;x, y&gt;'!Q248-B248)/B248</f>
        <v>10.614990524189347</v>
      </c>
      <c r="J248" s="5">
        <f>100*('Parameter &lt;x, y&gt;'!D248-C248)/C248</f>
        <v>0</v>
      </c>
      <c r="K248" s="5">
        <f>100*('Parameter &lt;x, y&gt;'!I248-C248)/C248</f>
        <v>9.6813893067140739</v>
      </c>
      <c r="L248" s="5">
        <f>100*('Parameter &lt;x, y&gt;'!N248-C248)/C248</f>
        <v>3.7376361730252059</v>
      </c>
      <c r="M248" s="5">
        <f>100*('Parameter &lt;x, y&gt;'!S248-C248)/C248</f>
        <v>13.093121837823054</v>
      </c>
    </row>
    <row r="249" spans="1:13" ht="12.75" customHeight="1">
      <c r="A249" s="13"/>
      <c r="B249" s="5">
        <f>MIN('Parameter &lt;x, y&gt;'!B249,'Parameter &lt;x, y&gt;'!G249,'Parameter &lt;x, y&gt;'!L249,'Parameter &lt;x, y&gt;'!Q249)</f>
        <v>11723.1</v>
      </c>
      <c r="C249" s="5">
        <f>MIN('Parameter &lt;x, y&gt;'!D249,'Parameter &lt;x, y&gt;'!I249,'Parameter &lt;x, y&gt;'!N249,'Parameter &lt;x, y&gt;'!S249)</f>
        <v>10800.7</v>
      </c>
      <c r="E249" s="5">
        <f>100*('Parameter &lt;x, y&gt;'!B249-B249)/B249</f>
        <v>2.1709274850508824</v>
      </c>
      <c r="F249" s="5">
        <f>100*('Parameter &lt;x, y&gt;'!G249-B249)/B249</f>
        <v>0</v>
      </c>
      <c r="G249" s="5">
        <f>100*('Parameter &lt;x, y&gt;'!L249-B249)/B249</f>
        <v>2.1709274850508824</v>
      </c>
      <c r="H249" s="5">
        <f>100*('Parameter &lt;x, y&gt;'!Q249-B249)/B249</f>
        <v>9.7661881243015891</v>
      </c>
      <c r="J249" s="5">
        <f>100*('Parameter &lt;x, y&gt;'!D249-C249)/C249</f>
        <v>9.9669465867953004</v>
      </c>
      <c r="K249" s="5">
        <f>100*('Parameter &lt;x, y&gt;'!I249-C249)/C249</f>
        <v>3.9571509254029795</v>
      </c>
      <c r="L249" s="5">
        <f>100*('Parameter &lt;x, y&gt;'!N249-C249)/C249</f>
        <v>0</v>
      </c>
      <c r="M249" s="5">
        <f>100*('Parameter &lt;x, y&gt;'!S249-C249)/C249</f>
        <v>6.8893682816854325</v>
      </c>
    </row>
    <row r="250" spans="1:13" ht="12.75" customHeight="1">
      <c r="A250" s="13"/>
      <c r="B250" s="5">
        <f>MIN('Parameter &lt;x, y&gt;'!B250,'Parameter &lt;x, y&gt;'!G250,'Parameter &lt;x, y&gt;'!L250,'Parameter &lt;x, y&gt;'!Q250)</f>
        <v>10911.6</v>
      </c>
      <c r="C250" s="5">
        <f>MIN('Parameter &lt;x, y&gt;'!D250,'Parameter &lt;x, y&gt;'!I250,'Parameter &lt;x, y&gt;'!N250,'Parameter &lt;x, y&gt;'!S250)</f>
        <v>10604.1</v>
      </c>
      <c r="E250" s="5">
        <f>100*('Parameter &lt;x, y&gt;'!B250-B250)/B250</f>
        <v>24.292496059239696</v>
      </c>
      <c r="F250" s="5">
        <f>100*('Parameter &lt;x, y&gt;'!G250-B250)/B250</f>
        <v>0.24561017632610499</v>
      </c>
      <c r="G250" s="5">
        <f>100*('Parameter &lt;x, y&gt;'!L250-B250)/B250</f>
        <v>0</v>
      </c>
      <c r="H250" s="5">
        <f>100*('Parameter &lt;x, y&gt;'!Q250-B250)/B250</f>
        <v>29.787565526595543</v>
      </c>
      <c r="J250" s="5">
        <f>100*('Parameter &lt;x, y&gt;'!D250-C250)/C250</f>
        <v>0</v>
      </c>
      <c r="K250" s="5">
        <f>100*('Parameter &lt;x, y&gt;'!I250-C250)/C250</f>
        <v>18.699370998010199</v>
      </c>
      <c r="L250" s="5">
        <f>100*('Parameter &lt;x, y&gt;'!N250-C250)/C250</f>
        <v>0</v>
      </c>
      <c r="M250" s="5">
        <f>100*('Parameter &lt;x, y&gt;'!S250-C250)/C250</f>
        <v>0.81289312624361243</v>
      </c>
    </row>
    <row r="251" spans="1:13" ht="12.75" customHeight="1">
      <c r="A251" s="13"/>
      <c r="B251" s="5">
        <f>MIN('Parameter &lt;x, y&gt;'!B251,'Parameter &lt;x, y&gt;'!G251,'Parameter &lt;x, y&gt;'!L251,'Parameter &lt;x, y&gt;'!Q251)</f>
        <v>12195.5</v>
      </c>
      <c r="C251" s="5">
        <f>MIN('Parameter &lt;x, y&gt;'!D251,'Parameter &lt;x, y&gt;'!I251,'Parameter &lt;x, y&gt;'!N251,'Parameter &lt;x, y&gt;'!S251)</f>
        <v>12203.5</v>
      </c>
      <c r="E251" s="5">
        <f>100*('Parameter &lt;x, y&gt;'!B251-B251)/B251</f>
        <v>0.13119593292607928</v>
      </c>
      <c r="F251" s="5">
        <f>100*('Parameter &lt;x, y&gt;'!G251-B251)/B251</f>
        <v>6.3630027469148454</v>
      </c>
      <c r="G251" s="5">
        <f>100*('Parameter &lt;x, y&gt;'!L251-B251)/B251</f>
        <v>0</v>
      </c>
      <c r="H251" s="5">
        <f>100*('Parameter &lt;x, y&gt;'!Q251-B251)/B251</f>
        <v>27.922594399573608</v>
      </c>
      <c r="J251" s="5">
        <f>100*('Parameter &lt;x, y&gt;'!D251-C251)/C251</f>
        <v>0</v>
      </c>
      <c r="K251" s="5">
        <f>100*('Parameter &lt;x, y&gt;'!I251-C251)/C251</f>
        <v>3.9701724914983405</v>
      </c>
      <c r="L251" s="5">
        <f>100*('Parameter &lt;x, y&gt;'!N251-C251)/C251</f>
        <v>0</v>
      </c>
      <c r="M251" s="5">
        <f>100*('Parameter &lt;x, y&gt;'!S251-C251)/C251</f>
        <v>16.63866923423608</v>
      </c>
    </row>
    <row r="252" spans="1:13" ht="12.75" customHeight="1">
      <c r="A252" s="13"/>
      <c r="B252" s="5">
        <f>MIN('Parameter &lt;x, y&gt;'!B252,'Parameter &lt;x, y&gt;'!G252,'Parameter &lt;x, y&gt;'!L252,'Parameter &lt;x, y&gt;'!Q252)</f>
        <v>9296.5</v>
      </c>
      <c r="C252" s="5">
        <f>MIN('Parameter &lt;x, y&gt;'!D252,'Parameter &lt;x, y&gt;'!I252,'Parameter &lt;x, y&gt;'!N252,'Parameter &lt;x, y&gt;'!S252)</f>
        <v>9328.5</v>
      </c>
      <c r="E252" s="5">
        <f>100*('Parameter &lt;x, y&gt;'!B252-B252)/B252</f>
        <v>0</v>
      </c>
      <c r="F252" s="5">
        <f>100*('Parameter &lt;x, y&gt;'!G252-B252)/B252</f>
        <v>5.7451729145377328</v>
      </c>
      <c r="G252" s="5">
        <f>100*('Parameter &lt;x, y&gt;'!L252-B252)/B252</f>
        <v>3.5325122357876579</v>
      </c>
      <c r="H252" s="5">
        <f>100*('Parameter &lt;x, y&gt;'!Q252-B252)/B252</f>
        <v>6.0248480610982664</v>
      </c>
      <c r="J252" s="5">
        <f>100*('Parameter &lt;x, y&gt;'!D252-C252)/C252</f>
        <v>0.12113415876077904</v>
      </c>
      <c r="K252" s="5">
        <f>100*('Parameter &lt;x, y&gt;'!I252-C252)/C252</f>
        <v>0</v>
      </c>
      <c r="L252" s="5">
        <f>100*('Parameter &lt;x, y&gt;'!N252-C252)/C252</f>
        <v>5.4971324435868496</v>
      </c>
      <c r="M252" s="5">
        <f>100*('Parameter &lt;x, y&gt;'!S252-C252)/C252</f>
        <v>15.531971914026904</v>
      </c>
    </row>
    <row r="253" spans="1:13" ht="12.75" customHeight="1">
      <c r="A253" s="13"/>
      <c r="B253" s="5">
        <f>MIN('Parameter &lt;x, y&gt;'!B253,'Parameter &lt;x, y&gt;'!G253,'Parameter &lt;x, y&gt;'!L253,'Parameter &lt;x, y&gt;'!Q253)</f>
        <v>14544.9</v>
      </c>
      <c r="C253" s="5">
        <f>MIN('Parameter &lt;x, y&gt;'!D253,'Parameter &lt;x, y&gt;'!I253,'Parameter &lt;x, y&gt;'!N253,'Parameter &lt;x, y&gt;'!S253)</f>
        <v>14930.9</v>
      </c>
      <c r="E253" s="5">
        <f>100*('Parameter &lt;x, y&gt;'!B253-B253)/B253</f>
        <v>0.13338008511574254</v>
      </c>
      <c r="F253" s="5">
        <f>100*('Parameter &lt;x, y&gt;'!G253-B253)/B253</f>
        <v>1.6060612310844375</v>
      </c>
      <c r="G253" s="5">
        <f>100*('Parameter &lt;x, y&gt;'!L253-B253)/B253</f>
        <v>0</v>
      </c>
      <c r="H253" s="5">
        <f>100*('Parameter &lt;x, y&gt;'!Q253-B253)/B253</f>
        <v>19.262421879834161</v>
      </c>
      <c r="J253" s="5">
        <f>100*('Parameter &lt;x, y&gt;'!D253-C253)/C253</f>
        <v>0</v>
      </c>
      <c r="K253" s="5">
        <f>100*('Parameter &lt;x, y&gt;'!I253-C253)/C253</f>
        <v>8.7148129047813647</v>
      </c>
      <c r="L253" s="5">
        <f>100*('Parameter &lt;x, y&gt;'!N253-C253)/C253</f>
        <v>6.5394584385402066</v>
      </c>
      <c r="M253" s="5">
        <f>100*('Parameter &lt;x, y&gt;'!S253-C253)/C253</f>
        <v>12.719260058000526</v>
      </c>
    </row>
    <row r="254" spans="1:13" ht="12.75" customHeight="1">
      <c r="A254" s="13"/>
      <c r="B254" s="5">
        <f>MIN('Parameter &lt;x, y&gt;'!B254,'Parameter &lt;x, y&gt;'!G254,'Parameter &lt;x, y&gt;'!L254,'Parameter &lt;x, y&gt;'!Q254)</f>
        <v>12504.6</v>
      </c>
      <c r="C254" s="5">
        <f>MIN('Parameter &lt;x, y&gt;'!D254,'Parameter &lt;x, y&gt;'!I254,'Parameter &lt;x, y&gt;'!N254,'Parameter &lt;x, y&gt;'!S254)</f>
        <v>12176.4</v>
      </c>
      <c r="E254" s="5">
        <f>100*('Parameter &lt;x, y&gt;'!B254-B254)/B254</f>
        <v>13.777329942581124</v>
      </c>
      <c r="F254" s="5">
        <f>100*('Parameter &lt;x, y&gt;'!G254-B254)/B254</f>
        <v>10.737648545335308</v>
      </c>
      <c r="G254" s="5">
        <f>100*('Parameter &lt;x, y&gt;'!L254-B254)/B254</f>
        <v>6.770308526462264</v>
      </c>
      <c r="H254" s="5">
        <f>100*('Parameter &lt;x, y&gt;'!Q254-B254)/B254</f>
        <v>0</v>
      </c>
      <c r="J254" s="5">
        <f>100*('Parameter &lt;x, y&gt;'!D254-C254)/C254</f>
        <v>9.8419894221608999</v>
      </c>
      <c r="K254" s="5">
        <f>100*('Parameter &lt;x, y&gt;'!I254-C254)/C254</f>
        <v>0.20285141749614605</v>
      </c>
      <c r="L254" s="5">
        <f>100*('Parameter &lt;x, y&gt;'!N254-C254)/C254</f>
        <v>0</v>
      </c>
      <c r="M254" s="5">
        <f>100*('Parameter &lt;x, y&gt;'!S254-C254)/C254</f>
        <v>3.7079925101015081</v>
      </c>
    </row>
    <row r="255" spans="1:13" ht="12.75" customHeight="1">
      <c r="A255" s="13"/>
      <c r="B255" s="5">
        <f>MIN('Parameter &lt;x, y&gt;'!B255,'Parameter &lt;x, y&gt;'!G255,'Parameter &lt;x, y&gt;'!L255,'Parameter &lt;x, y&gt;'!Q255)</f>
        <v>10580.7</v>
      </c>
      <c r="C255" s="5">
        <f>MIN('Parameter &lt;x, y&gt;'!D255,'Parameter &lt;x, y&gt;'!I255,'Parameter &lt;x, y&gt;'!N255,'Parameter &lt;x, y&gt;'!S255)</f>
        <v>9992.2999999999993</v>
      </c>
      <c r="E255" s="5">
        <f>100*('Parameter &lt;x, y&gt;'!B255-B255)/B255</f>
        <v>5.4003988393962556</v>
      </c>
      <c r="F255" s="5">
        <f>100*('Parameter &lt;x, y&gt;'!G255-B255)/B255</f>
        <v>6.0147249236817943</v>
      </c>
      <c r="G255" s="5">
        <f>100*('Parameter &lt;x, y&gt;'!L255-B255)/B255</f>
        <v>0</v>
      </c>
      <c r="H255" s="5">
        <f>100*('Parameter &lt;x, y&gt;'!Q255-B255)/B255</f>
        <v>4.4363794455943335</v>
      </c>
      <c r="J255" s="5">
        <f>100*('Parameter &lt;x, y&gt;'!D255-C255)/C255</f>
        <v>0</v>
      </c>
      <c r="K255" s="5">
        <f>100*('Parameter &lt;x, y&gt;'!I255-C255)/C255</f>
        <v>0.639492409155064</v>
      </c>
      <c r="L255" s="5">
        <f>100*('Parameter &lt;x, y&gt;'!N255-C255)/C255</f>
        <v>1.5211713019024651</v>
      </c>
      <c r="M255" s="5">
        <f>100*('Parameter &lt;x, y&gt;'!S255-C255)/C255</f>
        <v>9.774526385316701</v>
      </c>
    </row>
    <row r="256" spans="1:13" ht="12.75" customHeight="1">
      <c r="A256" s="13"/>
      <c r="B256" s="5">
        <f>MIN('Parameter &lt;x, y&gt;'!B256,'Parameter &lt;x, y&gt;'!G256,'Parameter &lt;x, y&gt;'!L256,'Parameter &lt;x, y&gt;'!Q256)</f>
        <v>13578.3</v>
      </c>
      <c r="C256" s="5">
        <f>MIN('Parameter &lt;x, y&gt;'!D256,'Parameter &lt;x, y&gt;'!I256,'Parameter &lt;x, y&gt;'!N256,'Parameter &lt;x, y&gt;'!S256)</f>
        <v>13140.5</v>
      </c>
      <c r="E256" s="5">
        <f>100*('Parameter &lt;x, y&gt;'!B256-B256)/B256</f>
        <v>4.4372270460956083</v>
      </c>
      <c r="F256" s="5">
        <f>100*('Parameter &lt;x, y&gt;'!G256-B256)/B256</f>
        <v>0</v>
      </c>
      <c r="G256" s="5">
        <f>100*('Parameter &lt;x, y&gt;'!L256-B256)/B256</f>
        <v>0.4330439009301687</v>
      </c>
      <c r="H256" s="5">
        <f>100*('Parameter &lt;x, y&gt;'!Q256-B256)/B256</f>
        <v>0.72763158863776101</v>
      </c>
      <c r="J256" s="5">
        <f>100*('Parameter &lt;x, y&gt;'!D256-C256)/C256</f>
        <v>8.2820288421292894</v>
      </c>
      <c r="K256" s="5">
        <f>100*('Parameter &lt;x, y&gt;'!I256-C256)/C256</f>
        <v>1.432974392146412</v>
      </c>
      <c r="L256" s="5">
        <f>100*('Parameter &lt;x, y&gt;'!N256-C256)/C256</f>
        <v>0</v>
      </c>
      <c r="M256" s="5">
        <f>100*('Parameter &lt;x, y&gt;'!S256-C256)/C256</f>
        <v>7.4472052052813842</v>
      </c>
    </row>
    <row r="257" spans="1:13" ht="12.75" customHeight="1">
      <c r="A257" s="13"/>
      <c r="B257" s="5">
        <f>MIN('Parameter &lt;x, y&gt;'!B257,'Parameter &lt;x, y&gt;'!G257,'Parameter &lt;x, y&gt;'!L257,'Parameter &lt;x, y&gt;'!Q257)</f>
        <v>13956.9</v>
      </c>
      <c r="C257" s="5">
        <f>MIN('Parameter &lt;x, y&gt;'!D257,'Parameter &lt;x, y&gt;'!I257,'Parameter &lt;x, y&gt;'!N257,'Parameter &lt;x, y&gt;'!S257)</f>
        <v>14232.5</v>
      </c>
      <c r="E257" s="5">
        <f>100*('Parameter &lt;x, y&gt;'!B257-B257)/B257</f>
        <v>0</v>
      </c>
      <c r="F257" s="5">
        <f>100*('Parameter &lt;x, y&gt;'!G257-B257)/B257</f>
        <v>0.85692381546045593</v>
      </c>
      <c r="G257" s="5">
        <f>100*('Parameter &lt;x, y&gt;'!L257-B257)/B257</f>
        <v>19.134621585022465</v>
      </c>
      <c r="H257" s="5">
        <f>100*('Parameter &lt;x, y&gt;'!Q257-B257)/B257</f>
        <v>7.7488554048535132</v>
      </c>
      <c r="J257" s="5">
        <f>100*('Parameter &lt;x, y&gt;'!D257-C257)/C257</f>
        <v>0</v>
      </c>
      <c r="K257" s="5">
        <f>100*('Parameter &lt;x, y&gt;'!I257-C257)/C257</f>
        <v>15.41753030036887</v>
      </c>
      <c r="L257" s="5">
        <f>100*('Parameter &lt;x, y&gt;'!N257-C257)/C257</f>
        <v>4.9148076585280167</v>
      </c>
      <c r="M257" s="5">
        <f>100*('Parameter &lt;x, y&gt;'!S257-C257)/C257</f>
        <v>2.6601089056736367</v>
      </c>
    </row>
    <row r="258" spans="1:13" ht="12.75" customHeight="1">
      <c r="A258" s="13"/>
      <c r="B258" s="5">
        <f>MIN('Parameter &lt;x, y&gt;'!B258,'Parameter &lt;x, y&gt;'!G258,'Parameter &lt;x, y&gt;'!L258,'Parameter &lt;x, y&gt;'!Q258)</f>
        <v>8846.7999999999993</v>
      </c>
      <c r="C258" s="5">
        <f>MIN('Parameter &lt;x, y&gt;'!D258,'Parameter &lt;x, y&gt;'!I258,'Parameter &lt;x, y&gt;'!N258,'Parameter &lt;x, y&gt;'!S258)</f>
        <v>8307.2000000000007</v>
      </c>
      <c r="E258" s="5">
        <f>100*('Parameter &lt;x, y&gt;'!B258-B258)/B258</f>
        <v>6.2248496631550481</v>
      </c>
      <c r="F258" s="5">
        <f>100*('Parameter &lt;x, y&gt;'!G258-B258)/B258</f>
        <v>0</v>
      </c>
      <c r="G258" s="5">
        <f>100*('Parameter &lt;x, y&gt;'!L258-B258)/B258</f>
        <v>6.3491884071076639</v>
      </c>
      <c r="H258" s="5">
        <f>100*('Parameter &lt;x, y&gt;'!Q258-B258)/B258</f>
        <v>15.742415336618897</v>
      </c>
      <c r="J258" s="5">
        <f>100*('Parameter &lt;x, y&gt;'!D258-C258)/C258</f>
        <v>0.28890600924499227</v>
      </c>
      <c r="K258" s="5">
        <f>100*('Parameter &lt;x, y&gt;'!I258-C258)/C258</f>
        <v>0.19260400616332818</v>
      </c>
      <c r="L258" s="5">
        <f>100*('Parameter &lt;x, y&gt;'!N258-C258)/C258</f>
        <v>0</v>
      </c>
      <c r="M258" s="5">
        <f>100*('Parameter &lt;x, y&gt;'!S258-C258)/C258</f>
        <v>20.655575885978422</v>
      </c>
    </row>
    <row r="259" spans="1:13" ht="12.75" customHeight="1">
      <c r="A259" s="13"/>
      <c r="B259" s="5">
        <f>MIN('Parameter &lt;x, y&gt;'!B259,'Parameter &lt;x, y&gt;'!G259,'Parameter &lt;x, y&gt;'!L259,'Parameter &lt;x, y&gt;'!Q259)</f>
        <v>12613.3</v>
      </c>
      <c r="C259" s="5">
        <f>MIN('Parameter &lt;x, y&gt;'!D259,'Parameter &lt;x, y&gt;'!I259,'Parameter &lt;x, y&gt;'!N259,'Parameter &lt;x, y&gt;'!S259)</f>
        <v>12038.6</v>
      </c>
      <c r="E259" s="5">
        <f>100*('Parameter &lt;x, y&gt;'!B259-B259)/B259</f>
        <v>0</v>
      </c>
      <c r="F259" s="5">
        <f>100*('Parameter &lt;x, y&gt;'!G259-B259)/B259</f>
        <v>1.1583011583011613</v>
      </c>
      <c r="G259" s="5">
        <f>100*('Parameter &lt;x, y&gt;'!L259-B259)/B259</f>
        <v>34.55320970721381</v>
      </c>
      <c r="H259" s="5">
        <f>100*('Parameter &lt;x, y&gt;'!Q259-B259)/B259</f>
        <v>9.380574472976944</v>
      </c>
      <c r="J259" s="5">
        <f>100*('Parameter &lt;x, y&gt;'!D259-C259)/C259</f>
        <v>0.27577957569816181</v>
      </c>
      <c r="K259" s="5">
        <f>100*('Parameter &lt;x, y&gt;'!I259-C259)/C259</f>
        <v>0</v>
      </c>
      <c r="L259" s="5">
        <f>100*('Parameter &lt;x, y&gt;'!N259-C259)/C259</f>
        <v>8.2409914774143189</v>
      </c>
      <c r="M259" s="5">
        <f>100*('Parameter &lt;x, y&gt;'!S259-C259)/C259</f>
        <v>18.232186466864913</v>
      </c>
    </row>
    <row r="260" spans="1:13" ht="12.75" customHeight="1">
      <c r="A260" s="13"/>
      <c r="B260" s="5">
        <f>MIN('Parameter &lt;x, y&gt;'!B260,'Parameter &lt;x, y&gt;'!G260,'Parameter &lt;x, y&gt;'!L260,'Parameter &lt;x, y&gt;'!Q260)</f>
        <v>9089.2000000000007</v>
      </c>
      <c r="C260" s="5">
        <f>MIN('Parameter &lt;x, y&gt;'!D260,'Parameter &lt;x, y&gt;'!I260,'Parameter &lt;x, y&gt;'!N260,'Parameter &lt;x, y&gt;'!S260)</f>
        <v>8820.5</v>
      </c>
      <c r="E260" s="5">
        <f>100*('Parameter &lt;x, y&gt;'!B260-B260)/B260</f>
        <v>0</v>
      </c>
      <c r="F260" s="5">
        <f>100*('Parameter &lt;x, y&gt;'!G260-B260)/B260</f>
        <v>0.70413237688685471</v>
      </c>
      <c r="G260" s="5">
        <f>100*('Parameter &lt;x, y&gt;'!L260-B260)/B260</f>
        <v>3.5932755358007142</v>
      </c>
      <c r="H260" s="5">
        <f>100*('Parameter &lt;x, y&gt;'!Q260-B260)/B260</f>
        <v>9.361659992078506</v>
      </c>
      <c r="J260" s="5">
        <f>100*('Parameter &lt;x, y&gt;'!D260-C260)/C260</f>
        <v>5.8500085029193354</v>
      </c>
      <c r="K260" s="5">
        <f>100*('Parameter &lt;x, y&gt;'!I260-C260)/C260</f>
        <v>6.3703871662604117</v>
      </c>
      <c r="L260" s="5">
        <f>100*('Parameter &lt;x, y&gt;'!N260-C260)/C260</f>
        <v>0</v>
      </c>
      <c r="M260" s="5">
        <f>100*('Parameter &lt;x, y&gt;'!S260-C260)/C260</f>
        <v>18.816393628479119</v>
      </c>
    </row>
    <row r="261" spans="1:13" ht="12.75" customHeight="1">
      <c r="A261" s="13"/>
      <c r="B261" s="5">
        <f>MIN('Parameter &lt;x, y&gt;'!B261,'Parameter &lt;x, y&gt;'!G261,'Parameter &lt;x, y&gt;'!L261,'Parameter &lt;x, y&gt;'!Q261)</f>
        <v>7624.1</v>
      </c>
      <c r="C261" s="5">
        <f>MIN('Parameter &lt;x, y&gt;'!D261,'Parameter &lt;x, y&gt;'!I261,'Parameter &lt;x, y&gt;'!N261,'Parameter &lt;x, y&gt;'!S261)</f>
        <v>7616</v>
      </c>
      <c r="E261" s="5">
        <f>100*('Parameter &lt;x, y&gt;'!B261-B261)/B261</f>
        <v>0</v>
      </c>
      <c r="F261" s="5">
        <f>100*('Parameter &lt;x, y&gt;'!G261-B261)/B261</f>
        <v>21.845201400821079</v>
      </c>
      <c r="G261" s="5">
        <f>100*('Parameter &lt;x, y&gt;'!L261-B261)/B261</f>
        <v>10.889154129667748</v>
      </c>
      <c r="H261" s="5">
        <f>100*('Parameter &lt;x, y&gt;'!Q261-B261)/B261</f>
        <v>14.561718760247095</v>
      </c>
      <c r="J261" s="5">
        <f>100*('Parameter &lt;x, y&gt;'!D261-C261)/C261</f>
        <v>3.3994222689075584</v>
      </c>
      <c r="K261" s="5">
        <f>100*('Parameter &lt;x, y&gt;'!I261-C261)/C261</f>
        <v>2.5722163865546173</v>
      </c>
      <c r="L261" s="5">
        <f>100*('Parameter &lt;x, y&gt;'!N261-C261)/C261</f>
        <v>0</v>
      </c>
      <c r="M261" s="5">
        <f>100*('Parameter &lt;x, y&gt;'!S261-C261)/C261</f>
        <v>19.529936974789912</v>
      </c>
    </row>
    <row r="262" spans="1:13" ht="12.75" customHeight="1">
      <c r="A262" s="13"/>
      <c r="B262" s="5">
        <f>MIN('Parameter &lt;x, y&gt;'!B262,'Parameter &lt;x, y&gt;'!G262,'Parameter &lt;x, y&gt;'!L262,'Parameter &lt;x, y&gt;'!Q262)</f>
        <v>12225.7</v>
      </c>
      <c r="C262" s="5">
        <f>MIN('Parameter &lt;x, y&gt;'!D262,'Parameter &lt;x, y&gt;'!I262,'Parameter &lt;x, y&gt;'!N262,'Parameter &lt;x, y&gt;'!S262)</f>
        <v>11791.5</v>
      </c>
      <c r="E262" s="5">
        <f>100*('Parameter &lt;x, y&gt;'!B262-B262)/B262</f>
        <v>0</v>
      </c>
      <c r="F262" s="5">
        <f>100*('Parameter &lt;x, y&gt;'!G262-B262)/B262</f>
        <v>1.9401752046917469</v>
      </c>
      <c r="G262" s="5">
        <f>100*('Parameter &lt;x, y&gt;'!L262-B262)/B262</f>
        <v>1.9401752046917469</v>
      </c>
      <c r="H262" s="5">
        <f>100*('Parameter &lt;x, y&gt;'!Q262-B262)/B262</f>
        <v>7.9390137170059667</v>
      </c>
      <c r="J262" s="5">
        <f>100*('Parameter &lt;x, y&gt;'!D262-C262)/C262</f>
        <v>22.599330025866085</v>
      </c>
      <c r="K262" s="5">
        <f>100*('Parameter &lt;x, y&gt;'!I262-C262)/C262</f>
        <v>6.7133104354831898</v>
      </c>
      <c r="L262" s="5">
        <f>100*('Parameter &lt;x, y&gt;'!N262-C262)/C262</f>
        <v>0</v>
      </c>
      <c r="M262" s="5">
        <f>100*('Parameter &lt;x, y&gt;'!S262-C262)/C262</f>
        <v>12.520883687401939</v>
      </c>
    </row>
    <row r="263" spans="1:13" ht="12.75" customHeight="1">
      <c r="A263" s="13"/>
      <c r="B263" s="5">
        <f>MIN('Parameter &lt;x, y&gt;'!B263,'Parameter &lt;x, y&gt;'!G263,'Parameter &lt;x, y&gt;'!L263,'Parameter &lt;x, y&gt;'!Q263)</f>
        <v>13825.1</v>
      </c>
      <c r="C263" s="5">
        <f>MIN('Parameter &lt;x, y&gt;'!D263,'Parameter &lt;x, y&gt;'!I263,'Parameter &lt;x, y&gt;'!N263,'Parameter &lt;x, y&gt;'!S263)</f>
        <v>13232.7</v>
      </c>
      <c r="E263" s="5">
        <f>100*('Parameter &lt;x, y&gt;'!B263-B263)/B263</f>
        <v>1.973945938908215</v>
      </c>
      <c r="F263" s="5">
        <f>100*('Parameter &lt;x, y&gt;'!G263-B263)/B263</f>
        <v>1.9428430897425724</v>
      </c>
      <c r="G263" s="5">
        <f>100*('Parameter &lt;x, y&gt;'!L263-B263)/B263</f>
        <v>0</v>
      </c>
      <c r="H263" s="5">
        <f>100*('Parameter &lt;x, y&gt;'!Q263-B263)/B263</f>
        <v>8.6943313249090419</v>
      </c>
      <c r="J263" s="5">
        <f>100*('Parameter &lt;x, y&gt;'!D263-C263)/C263</f>
        <v>0</v>
      </c>
      <c r="K263" s="5">
        <f>100*('Parameter &lt;x, y&gt;'!I263-C263)/C263</f>
        <v>0.33175391265576665</v>
      </c>
      <c r="L263" s="5">
        <f>100*('Parameter &lt;x, y&gt;'!N263-C263)/C263</f>
        <v>0.60456293878044542</v>
      </c>
      <c r="M263" s="5">
        <f>100*('Parameter &lt;x, y&gt;'!S263-C263)/C263</f>
        <v>6.2798975265818759</v>
      </c>
    </row>
    <row r="264" spans="1:13" ht="12.75" customHeight="1">
      <c r="A264" s="13"/>
      <c r="B264" s="5">
        <f>MIN('Parameter &lt;x, y&gt;'!B264,'Parameter &lt;x, y&gt;'!G264,'Parameter &lt;x, y&gt;'!L264,'Parameter &lt;x, y&gt;'!Q264)</f>
        <v>7925.5</v>
      </c>
      <c r="C264" s="5">
        <f>MIN('Parameter &lt;x, y&gt;'!D264,'Parameter &lt;x, y&gt;'!I264,'Parameter &lt;x, y&gt;'!N264,'Parameter &lt;x, y&gt;'!S264)</f>
        <v>7786.8</v>
      </c>
      <c r="E264" s="5">
        <f>100*('Parameter &lt;x, y&gt;'!B264-B264)/B264</f>
        <v>12.84209198157844</v>
      </c>
      <c r="F264" s="5">
        <f>100*('Parameter &lt;x, y&gt;'!G264-B264)/B264</f>
        <v>13.170146993880502</v>
      </c>
      <c r="G264" s="5">
        <f>100*('Parameter &lt;x, y&gt;'!L264-B264)/B264</f>
        <v>0</v>
      </c>
      <c r="H264" s="5">
        <f>100*('Parameter &lt;x, y&gt;'!Q264-B264)/B264</f>
        <v>12.527916219796854</v>
      </c>
      <c r="J264" s="5">
        <f>100*('Parameter &lt;x, y&gt;'!D264-C264)/C264</f>
        <v>1.9263368777931885E-2</v>
      </c>
      <c r="K264" s="5">
        <f>100*('Parameter &lt;x, y&gt;'!I264-C264)/C264</f>
        <v>1.9263368777931885E-2</v>
      </c>
      <c r="L264" s="5">
        <f>100*('Parameter &lt;x, y&gt;'!N264-C264)/C264</f>
        <v>0</v>
      </c>
      <c r="M264" s="5">
        <f>100*('Parameter &lt;x, y&gt;'!S264-C264)/C264</f>
        <v>5.7584630400164452</v>
      </c>
    </row>
    <row r="265" spans="1:13" ht="12.75" customHeight="1">
      <c r="A265" s="13"/>
      <c r="B265" s="5">
        <f>MIN('Parameter &lt;x, y&gt;'!B265,'Parameter &lt;x, y&gt;'!G265,'Parameter &lt;x, y&gt;'!L265,'Parameter &lt;x, y&gt;'!Q265)</f>
        <v>11273.4</v>
      </c>
      <c r="C265" s="5">
        <f>MIN('Parameter &lt;x, y&gt;'!D265,'Parameter &lt;x, y&gt;'!I265,'Parameter &lt;x, y&gt;'!N265,'Parameter &lt;x, y&gt;'!S265)</f>
        <v>11078.1</v>
      </c>
      <c r="E265" s="5">
        <f>100*('Parameter &lt;x, y&gt;'!B265-B265)/B265</f>
        <v>15.274894885305232</v>
      </c>
      <c r="F265" s="5">
        <f>100*('Parameter &lt;x, y&gt;'!G265-B265)/B265</f>
        <v>0</v>
      </c>
      <c r="G265" s="5">
        <f>100*('Parameter &lt;x, y&gt;'!L265-B265)/B265</f>
        <v>14.967977717458794</v>
      </c>
      <c r="H265" s="5">
        <f>100*('Parameter &lt;x, y&gt;'!Q265-B265)/B265</f>
        <v>18.729930633171893</v>
      </c>
      <c r="J265" s="5">
        <f>100*('Parameter &lt;x, y&gt;'!D265-C265)/C265</f>
        <v>0</v>
      </c>
      <c r="K265" s="5">
        <f>100*('Parameter &lt;x, y&gt;'!I265-C265)/C265</f>
        <v>4.9918307290961446</v>
      </c>
      <c r="L265" s="5">
        <f>100*('Parameter &lt;x, y&gt;'!N265-C265)/C265</f>
        <v>11.443298038472291</v>
      </c>
      <c r="M265" s="5">
        <f>100*('Parameter &lt;x, y&gt;'!S265-C265)/C265</f>
        <v>21.601177097155649</v>
      </c>
    </row>
    <row r="266" spans="1:13" ht="12.75" customHeight="1">
      <c r="A266" s="13"/>
      <c r="B266" s="5">
        <f>MIN('Parameter &lt;x, y&gt;'!B266,'Parameter &lt;x, y&gt;'!G266,'Parameter &lt;x, y&gt;'!L266,'Parameter &lt;x, y&gt;'!Q266)</f>
        <v>11750.7</v>
      </c>
      <c r="C266" s="5">
        <f>MIN('Parameter &lt;x, y&gt;'!D266,'Parameter &lt;x, y&gt;'!I266,'Parameter &lt;x, y&gt;'!N266,'Parameter &lt;x, y&gt;'!S266)</f>
        <v>11361.4</v>
      </c>
      <c r="E266" s="5">
        <f>100*('Parameter &lt;x, y&gt;'!B266-B266)/B266</f>
        <v>2.4287914762524752</v>
      </c>
      <c r="F266" s="5">
        <f>100*('Parameter &lt;x, y&gt;'!G266-B266)/B266</f>
        <v>0</v>
      </c>
      <c r="G266" s="5">
        <f>100*('Parameter &lt;x, y&gt;'!L266-B266)/B266</f>
        <v>2.1181716833890714</v>
      </c>
      <c r="H266" s="5">
        <f>100*('Parameter &lt;x, y&gt;'!Q266-B266)/B266</f>
        <v>5.9911324431735977</v>
      </c>
      <c r="J266" s="5">
        <f>100*('Parameter &lt;x, y&gt;'!D266-C266)/C266</f>
        <v>7.2147798686781623</v>
      </c>
      <c r="K266" s="5">
        <f>100*('Parameter &lt;x, y&gt;'!I266-C266)/C266</f>
        <v>3.393947928952421</v>
      </c>
      <c r="L266" s="5">
        <f>100*('Parameter &lt;x, y&gt;'!N266-C266)/C266</f>
        <v>0</v>
      </c>
      <c r="M266" s="5">
        <f>100*('Parameter &lt;x, y&gt;'!S266-C266)/C266</f>
        <v>11.161476578590669</v>
      </c>
    </row>
    <row r="267" spans="1:13" ht="12.75" customHeight="1">
      <c r="A267" s="13"/>
      <c r="B267" s="5">
        <f>MIN('Parameter &lt;x, y&gt;'!B267,'Parameter &lt;x, y&gt;'!G267,'Parameter &lt;x, y&gt;'!L267,'Parameter &lt;x, y&gt;'!Q267)</f>
        <v>7521.4</v>
      </c>
      <c r="C267" s="5">
        <f>MIN('Parameter &lt;x, y&gt;'!D267,'Parameter &lt;x, y&gt;'!I267,'Parameter &lt;x, y&gt;'!N267,'Parameter &lt;x, y&gt;'!S267)</f>
        <v>7366.2</v>
      </c>
      <c r="E267" s="5">
        <f>100*('Parameter &lt;x, y&gt;'!B267-B267)/B267</f>
        <v>8.5595766745552719</v>
      </c>
      <c r="F267" s="5">
        <f>100*('Parameter &lt;x, y&gt;'!G267-B267)/B267</f>
        <v>5.4644082218735877</v>
      </c>
      <c r="G267" s="5">
        <f>100*('Parameter &lt;x, y&gt;'!L267-B267)/B267</f>
        <v>0</v>
      </c>
      <c r="H267" s="5">
        <f>100*('Parameter &lt;x, y&gt;'!Q267-B267)/B267</f>
        <v>21.279283112186562</v>
      </c>
      <c r="J267" s="5">
        <f>100*('Parameter &lt;x, y&gt;'!D267-C267)/C267</f>
        <v>17.62102576633815</v>
      </c>
      <c r="K267" s="5">
        <f>100*('Parameter &lt;x, y&gt;'!I267-C267)/C267</f>
        <v>0</v>
      </c>
      <c r="L267" s="5">
        <f>100*('Parameter &lt;x, y&gt;'!N267-C267)/C267</f>
        <v>8.4819852841356482</v>
      </c>
      <c r="M267" s="5">
        <f>100*('Parameter &lt;x, y&gt;'!S267-C267)/C267</f>
        <v>17.243626293068338</v>
      </c>
    </row>
    <row r="268" spans="1:13" ht="12.75" customHeight="1">
      <c r="A268" s="13"/>
      <c r="B268" s="5">
        <f>MIN('Parameter &lt;x, y&gt;'!B268,'Parameter &lt;x, y&gt;'!G268,'Parameter &lt;x, y&gt;'!L268,'Parameter &lt;x, y&gt;'!Q268)</f>
        <v>11831.4</v>
      </c>
      <c r="C268" s="5">
        <f>MIN('Parameter &lt;x, y&gt;'!D268,'Parameter &lt;x, y&gt;'!I268,'Parameter &lt;x, y&gt;'!N268,'Parameter &lt;x, y&gt;'!S268)</f>
        <v>11154</v>
      </c>
      <c r="E268" s="5">
        <f>100*('Parameter &lt;x, y&gt;'!B268-B268)/B268</f>
        <v>4.3967746843146269</v>
      </c>
      <c r="F268" s="5">
        <f>100*('Parameter &lt;x, y&gt;'!G268-B268)/B268</f>
        <v>5.3679192656828469</v>
      </c>
      <c r="G268" s="5">
        <f>100*('Parameter &lt;x, y&gt;'!L268-B268)/B268</f>
        <v>0</v>
      </c>
      <c r="H268" s="5">
        <f>100*('Parameter &lt;x, y&gt;'!Q268-B268)/B268</f>
        <v>5.9080075054515948</v>
      </c>
      <c r="J268" s="5">
        <f>100*('Parameter &lt;x, y&gt;'!D268-C268)/C268</f>
        <v>0</v>
      </c>
      <c r="K268" s="5">
        <f>100*('Parameter &lt;x, y&gt;'!I268-C268)/C268</f>
        <v>3.381746458669542</v>
      </c>
      <c r="L268" s="5">
        <f>100*('Parameter &lt;x, y&gt;'!N268-C268)/C268</f>
        <v>6.5034965034965007</v>
      </c>
      <c r="M268" s="5">
        <f>100*('Parameter &lt;x, y&gt;'!S268-C268)/C268</f>
        <v>16.248879325802399</v>
      </c>
    </row>
    <row r="269" spans="1:13" ht="12.75" customHeight="1">
      <c r="A269" s="13"/>
      <c r="B269" s="5">
        <f>MIN('Parameter &lt;x, y&gt;'!B269,'Parameter &lt;x, y&gt;'!G269,'Parameter &lt;x, y&gt;'!L269,'Parameter &lt;x, y&gt;'!Q269)</f>
        <v>11229.2</v>
      </c>
      <c r="C269" s="5">
        <f>MIN('Parameter &lt;x, y&gt;'!D269,'Parameter &lt;x, y&gt;'!I269,'Parameter &lt;x, y&gt;'!N269,'Parameter &lt;x, y&gt;'!S269)</f>
        <v>11229.2</v>
      </c>
      <c r="E269" s="5">
        <f>100*('Parameter &lt;x, y&gt;'!B269-B269)/B269</f>
        <v>4.6236597442382257</v>
      </c>
      <c r="F269" s="5">
        <f>100*('Parameter &lt;x, y&gt;'!G269-B269)/B269</f>
        <v>2.5638513874541342</v>
      </c>
      <c r="G269" s="5">
        <f>100*('Parameter &lt;x, y&gt;'!L269-B269)/B269</f>
        <v>0</v>
      </c>
      <c r="H269" s="5">
        <f>100*('Parameter &lt;x, y&gt;'!Q269-B269)/B269</f>
        <v>9.2063548605421506</v>
      </c>
      <c r="J269" s="5">
        <f>100*('Parameter &lt;x, y&gt;'!D269-C269)/C269</f>
        <v>0</v>
      </c>
      <c r="K269" s="5">
        <f>100*('Parameter &lt;x, y&gt;'!I269-C269)/C269</f>
        <v>3.4196558971253515</v>
      </c>
      <c r="L269" s="5">
        <f>100*('Parameter &lt;x, y&gt;'!N269-C269)/C269</f>
        <v>3.3403982474263394</v>
      </c>
      <c r="M269" s="5">
        <f>100*('Parameter &lt;x, y&gt;'!S269-C269)/C269</f>
        <v>3.2869661240337558</v>
      </c>
    </row>
    <row r="270" spans="1:13" ht="12.75" customHeight="1">
      <c r="A270" s="13"/>
      <c r="B270" s="5">
        <f>MIN('Parameter &lt;x, y&gt;'!B270,'Parameter &lt;x, y&gt;'!G270,'Parameter &lt;x, y&gt;'!L270,'Parameter &lt;x, y&gt;'!Q270)</f>
        <v>13151.8</v>
      </c>
      <c r="C270" s="5">
        <f>MIN('Parameter &lt;x, y&gt;'!D270,'Parameter &lt;x, y&gt;'!I270,'Parameter &lt;x, y&gt;'!N270,'Parameter &lt;x, y&gt;'!S270)</f>
        <v>13087.2</v>
      </c>
      <c r="E270" s="5">
        <f>100*('Parameter &lt;x, y&gt;'!B270-B270)/B270</f>
        <v>0</v>
      </c>
      <c r="F270" s="5">
        <f>100*('Parameter &lt;x, y&gt;'!G270-B270)/B270</f>
        <v>8.3098891406499611</v>
      </c>
      <c r="G270" s="5">
        <f>100*('Parameter &lt;x, y&gt;'!L270-B270)/B270</f>
        <v>10.409981903617759</v>
      </c>
      <c r="H270" s="5">
        <f>100*('Parameter &lt;x, y&gt;'!Q270-B270)/B270</f>
        <v>16.555148344713281</v>
      </c>
      <c r="J270" s="5">
        <f>100*('Parameter &lt;x, y&gt;'!D270-C270)/C270</f>
        <v>5.5030869857570668</v>
      </c>
      <c r="K270" s="5">
        <f>100*('Parameter &lt;x, y&gt;'!I270-C270)/C270</f>
        <v>0</v>
      </c>
      <c r="L270" s="5">
        <f>100*('Parameter &lt;x, y&gt;'!N270-C270)/C270</f>
        <v>8.9660125924567495</v>
      </c>
      <c r="M270" s="5">
        <f>100*('Parameter &lt;x, y&gt;'!S270-C270)/C270</f>
        <v>24.243535668439385</v>
      </c>
    </row>
    <row r="271" spans="1:13" ht="12.75" customHeight="1">
      <c r="A271" s="13"/>
      <c r="B271" s="5">
        <f>MIN('Parameter &lt;x, y&gt;'!B271,'Parameter &lt;x, y&gt;'!G271,'Parameter &lt;x, y&gt;'!L271,'Parameter &lt;x, y&gt;'!Q271)</f>
        <v>10197.700000000001</v>
      </c>
      <c r="C271" s="5">
        <f>MIN('Parameter &lt;x, y&gt;'!D271,'Parameter &lt;x, y&gt;'!I271,'Parameter &lt;x, y&gt;'!N271,'Parameter &lt;x, y&gt;'!S271)</f>
        <v>9805.2999999999993</v>
      </c>
      <c r="E271" s="5">
        <f>100*('Parameter &lt;x, y&gt;'!B271-B271)/B271</f>
        <v>8.8127715073006545</v>
      </c>
      <c r="F271" s="5">
        <f>100*('Parameter &lt;x, y&gt;'!G271-B271)/B271</f>
        <v>45.305313943340153</v>
      </c>
      <c r="G271" s="5">
        <f>100*('Parameter &lt;x, y&gt;'!L271-B271)/B271</f>
        <v>0</v>
      </c>
      <c r="H271" s="5">
        <f>100*('Parameter &lt;x, y&gt;'!Q271-B271)/B271</f>
        <v>2.3338595957912078</v>
      </c>
      <c r="J271" s="5">
        <f>100*('Parameter &lt;x, y&gt;'!D271-C271)/C271</f>
        <v>10.524920196220412</v>
      </c>
      <c r="K271" s="5">
        <f>100*('Parameter &lt;x, y&gt;'!I271-C271)/C271</f>
        <v>0.31309597870540146</v>
      </c>
      <c r="L271" s="5">
        <f>100*('Parameter &lt;x, y&gt;'!N271-C271)/C271</f>
        <v>0</v>
      </c>
      <c r="M271" s="5">
        <f>100*('Parameter &lt;x, y&gt;'!S271-C271)/C271</f>
        <v>17.554791796273456</v>
      </c>
    </row>
    <row r="272" spans="1:13" ht="12.75" customHeight="1">
      <c r="A272" s="13"/>
      <c r="B272" s="5">
        <f>MIN('Parameter &lt;x, y&gt;'!B272,'Parameter &lt;x, y&gt;'!G272,'Parameter &lt;x, y&gt;'!L272,'Parameter &lt;x, y&gt;'!Q272)</f>
        <v>11817.6</v>
      </c>
      <c r="C272" s="5">
        <f>MIN('Parameter &lt;x, y&gt;'!D272,'Parameter &lt;x, y&gt;'!I272,'Parameter &lt;x, y&gt;'!N272,'Parameter &lt;x, y&gt;'!S272)</f>
        <v>11146.4</v>
      </c>
      <c r="E272" s="5">
        <f>100*('Parameter &lt;x, y&gt;'!B272-B272)/B272</f>
        <v>6.4928581099377141</v>
      </c>
      <c r="F272" s="5">
        <f>100*('Parameter &lt;x, y&gt;'!G272-B272)/B272</f>
        <v>1.8404752233956132</v>
      </c>
      <c r="G272" s="5">
        <f>100*('Parameter &lt;x, y&gt;'!L272-B272)/B272</f>
        <v>11.022542648253454</v>
      </c>
      <c r="H272" s="5">
        <f>100*('Parameter &lt;x, y&gt;'!Q272-B272)/B272</f>
        <v>0</v>
      </c>
      <c r="J272" s="5">
        <f>100*('Parameter &lt;x, y&gt;'!D272-C272)/C272</f>
        <v>0.77334385990096111</v>
      </c>
      <c r="K272" s="5">
        <f>100*('Parameter &lt;x, y&gt;'!I272-C272)/C272</f>
        <v>0</v>
      </c>
      <c r="L272" s="5">
        <f>100*('Parameter &lt;x, y&gt;'!N272-C272)/C272</f>
        <v>6.0216751596928226</v>
      </c>
      <c r="M272" s="5">
        <f>100*('Parameter &lt;x, y&gt;'!S272-C272)/C272</f>
        <v>4.0901098112395005</v>
      </c>
    </row>
    <row r="273" spans="1:13" ht="12.75" customHeight="1">
      <c r="A273" s="13"/>
      <c r="B273" s="5">
        <f>MIN('Parameter &lt;x, y&gt;'!B273,'Parameter &lt;x, y&gt;'!G273,'Parameter &lt;x, y&gt;'!L273,'Parameter &lt;x, y&gt;'!Q273)</f>
        <v>7988.1</v>
      </c>
      <c r="C273" s="5">
        <f>MIN('Parameter &lt;x, y&gt;'!D273,'Parameter &lt;x, y&gt;'!I273,'Parameter &lt;x, y&gt;'!N273,'Parameter &lt;x, y&gt;'!S273)</f>
        <v>8231.1</v>
      </c>
      <c r="E273" s="5">
        <f>100*('Parameter &lt;x, y&gt;'!B273-B273)/B273</f>
        <v>5.659668757276453</v>
      </c>
      <c r="F273" s="5">
        <f>100*('Parameter &lt;x, y&gt;'!G273-B273)/B273</f>
        <v>5.0212190633567477</v>
      </c>
      <c r="G273" s="5">
        <f>100*('Parameter &lt;x, y&gt;'!L273-B273)/B273</f>
        <v>2.8617568633342141</v>
      </c>
      <c r="H273" s="5">
        <f>100*('Parameter &lt;x, y&gt;'!Q273-B273)/B273</f>
        <v>0</v>
      </c>
      <c r="J273" s="5">
        <f>100*('Parameter &lt;x, y&gt;'!D273-C273)/C273</f>
        <v>0</v>
      </c>
      <c r="K273" s="5">
        <f>100*('Parameter &lt;x, y&gt;'!I273-C273)/C273</f>
        <v>24.41107506894582</v>
      </c>
      <c r="L273" s="5">
        <f>100*('Parameter &lt;x, y&gt;'!N273-C273)/C273</f>
        <v>7.1691511462623509</v>
      </c>
      <c r="M273" s="5">
        <f>100*('Parameter &lt;x, y&gt;'!S273-C273)/C273</f>
        <v>19.094653205525372</v>
      </c>
    </row>
    <row r="274" spans="1:13" ht="12.75" customHeight="1">
      <c r="A274" s="13"/>
      <c r="B274" s="5">
        <f>MIN('Parameter &lt;x, y&gt;'!B274,'Parameter &lt;x, y&gt;'!G274,'Parameter &lt;x, y&gt;'!L274,'Parameter &lt;x, y&gt;'!Q274)</f>
        <v>8964.1</v>
      </c>
      <c r="C274" s="5">
        <f>MIN('Parameter &lt;x, y&gt;'!D274,'Parameter &lt;x, y&gt;'!I274,'Parameter &lt;x, y&gt;'!N274,'Parameter &lt;x, y&gt;'!S274)</f>
        <v>8413.1</v>
      </c>
      <c r="E274" s="5">
        <f>100*('Parameter &lt;x, y&gt;'!B274-B274)/B274</f>
        <v>6.5405339074753659</v>
      </c>
      <c r="F274" s="5">
        <f>100*('Parameter &lt;x, y&gt;'!G274-B274)/B274</f>
        <v>10.711616336274682</v>
      </c>
      <c r="G274" s="5">
        <f>100*('Parameter &lt;x, y&gt;'!L274-B274)/B274</f>
        <v>0</v>
      </c>
      <c r="H274" s="5">
        <f>100*('Parameter &lt;x, y&gt;'!Q274-B274)/B274</f>
        <v>0.88129315826463328</v>
      </c>
      <c r="J274" s="5">
        <f>100*('Parameter &lt;x, y&gt;'!D274-C274)/C274</f>
        <v>0</v>
      </c>
      <c r="K274" s="5">
        <f>100*('Parameter &lt;x, y&gt;'!I274-C274)/C274</f>
        <v>8.4772557083595679</v>
      </c>
      <c r="L274" s="5">
        <f>100*('Parameter &lt;x, y&gt;'!N274-C274)/C274</f>
        <v>5.6935018007630953</v>
      </c>
      <c r="M274" s="5">
        <f>100*('Parameter &lt;x, y&gt;'!S274-C274)/C274</f>
        <v>5.6935018007630953</v>
      </c>
    </row>
    <row r="275" spans="1:13" ht="12.75" customHeight="1">
      <c r="A275" s="13"/>
      <c r="B275" s="5">
        <f>MIN('Parameter &lt;x, y&gt;'!B275,'Parameter &lt;x, y&gt;'!G275,'Parameter &lt;x, y&gt;'!L275,'Parameter &lt;x, y&gt;'!Q275)</f>
        <v>12509.4</v>
      </c>
      <c r="C275" s="5">
        <f>MIN('Parameter &lt;x, y&gt;'!D275,'Parameter &lt;x, y&gt;'!I275,'Parameter &lt;x, y&gt;'!N275,'Parameter &lt;x, y&gt;'!S275)</f>
        <v>11590</v>
      </c>
      <c r="E275" s="5">
        <f>100*('Parameter &lt;x, y&gt;'!B275-B275)/B275</f>
        <v>4.3143556045853577</v>
      </c>
      <c r="F275" s="5">
        <f>100*('Parameter &lt;x, y&gt;'!G275-B275)/B275</f>
        <v>1.6603514157353729</v>
      </c>
      <c r="G275" s="5">
        <f>100*('Parameter &lt;x, y&gt;'!L275-B275)/B275</f>
        <v>0</v>
      </c>
      <c r="H275" s="5">
        <f>100*('Parameter &lt;x, y&gt;'!Q275-B275)/B275</f>
        <v>2.1527811086063369</v>
      </c>
      <c r="J275" s="5">
        <f>100*('Parameter &lt;x, y&gt;'!D275-C275)/C275</f>
        <v>11.256255392579813</v>
      </c>
      <c r="K275" s="5">
        <f>100*('Parameter &lt;x, y&gt;'!I275-C275)/C275</f>
        <v>0</v>
      </c>
      <c r="L275" s="5">
        <f>100*('Parameter &lt;x, y&gt;'!N275-C275)/C275</f>
        <v>12.589301121656604</v>
      </c>
      <c r="M275" s="5">
        <f>100*('Parameter &lt;x, y&gt;'!S275-C275)/C275</f>
        <v>11.817946505608289</v>
      </c>
    </row>
    <row r="276" spans="1:13" ht="12.75" customHeight="1">
      <c r="A276" s="13"/>
      <c r="B276" s="5">
        <f>MIN('Parameter &lt;x, y&gt;'!B276,'Parameter &lt;x, y&gt;'!G276,'Parameter &lt;x, y&gt;'!L276,'Parameter &lt;x, y&gt;'!Q276)</f>
        <v>13742.5</v>
      </c>
      <c r="C276" s="5">
        <f>MIN('Parameter &lt;x, y&gt;'!D276,'Parameter &lt;x, y&gt;'!I276,'Parameter &lt;x, y&gt;'!N276,'Parameter &lt;x, y&gt;'!S276)</f>
        <v>13278.4</v>
      </c>
      <c r="E276" s="5">
        <f>100*('Parameter &lt;x, y&gt;'!B276-B276)/B276</f>
        <v>0.44678915772239136</v>
      </c>
      <c r="F276" s="5">
        <f>100*('Parameter &lt;x, y&gt;'!G276-B276)/B276</f>
        <v>4.4067673276332568</v>
      </c>
      <c r="G276" s="5">
        <f>100*('Parameter &lt;x, y&gt;'!L276-B276)/B276</f>
        <v>0</v>
      </c>
      <c r="H276" s="5">
        <f>100*('Parameter &lt;x, y&gt;'!Q276-B276)/B276</f>
        <v>10.112424959068587</v>
      </c>
      <c r="J276" s="5">
        <f>100*('Parameter &lt;x, y&gt;'!D276-C276)/C276</f>
        <v>0.24099289070972407</v>
      </c>
      <c r="K276" s="5">
        <f>100*('Parameter &lt;x, y&gt;'!I276-C276)/C276</f>
        <v>0</v>
      </c>
      <c r="L276" s="5">
        <f>100*('Parameter &lt;x, y&gt;'!N276-C276)/C276</f>
        <v>0.24099289070972407</v>
      </c>
      <c r="M276" s="5">
        <f>100*('Parameter &lt;x, y&gt;'!S276-C276)/C276</f>
        <v>19.588203397999759</v>
      </c>
    </row>
    <row r="277" spans="1:13" ht="12.75" customHeight="1">
      <c r="A277" s="13"/>
      <c r="B277" s="5">
        <f>MIN('Parameter &lt;x, y&gt;'!B277,'Parameter &lt;x, y&gt;'!G277,'Parameter &lt;x, y&gt;'!L277,'Parameter &lt;x, y&gt;'!Q277)</f>
        <v>11804.4</v>
      </c>
      <c r="C277" s="5">
        <f>MIN('Parameter &lt;x, y&gt;'!D277,'Parameter &lt;x, y&gt;'!I277,'Parameter &lt;x, y&gt;'!N277,'Parameter &lt;x, y&gt;'!S277)</f>
        <v>11275.4</v>
      </c>
      <c r="E277" s="5">
        <f>100*('Parameter &lt;x, y&gt;'!B277-B277)/B277</f>
        <v>2.2584798888550064</v>
      </c>
      <c r="F277" s="5">
        <f>100*('Parameter &lt;x, y&gt;'!G277-B277)/B277</f>
        <v>0</v>
      </c>
      <c r="G277" s="5">
        <f>100*('Parameter &lt;x, y&gt;'!L277-B277)/B277</f>
        <v>4.8608993256751818</v>
      </c>
      <c r="H277" s="5">
        <f>100*('Parameter &lt;x, y&gt;'!Q277-B277)/B277</f>
        <v>4.1814916471824102</v>
      </c>
      <c r="J277" s="5">
        <f>100*('Parameter &lt;x, y&gt;'!D277-C277)/C277</f>
        <v>0</v>
      </c>
      <c r="K277" s="5">
        <f>100*('Parameter &lt;x, y&gt;'!I277-C277)/C277</f>
        <v>2.5719708391720029</v>
      </c>
      <c r="L277" s="5">
        <f>100*('Parameter &lt;x, y&gt;'!N277-C277)/C277</f>
        <v>4.1488550295333297</v>
      </c>
      <c r="M277" s="5">
        <f>100*('Parameter &lt;x, y&gt;'!S277-C277)/C277</f>
        <v>6.5691682778438079</v>
      </c>
    </row>
    <row r="278" spans="1:13" ht="12.75" customHeight="1">
      <c r="A278" s="13"/>
      <c r="B278" s="5">
        <f>MIN('Parameter &lt;x, y&gt;'!B278,'Parameter &lt;x, y&gt;'!G278,'Parameter &lt;x, y&gt;'!L278,'Parameter &lt;x, y&gt;'!Q278)</f>
        <v>14094</v>
      </c>
      <c r="C278" s="5">
        <f>MIN('Parameter &lt;x, y&gt;'!D278,'Parameter &lt;x, y&gt;'!I278,'Parameter &lt;x, y&gt;'!N278,'Parameter &lt;x, y&gt;'!S278)</f>
        <v>13114.9</v>
      </c>
      <c r="E278" s="5">
        <f>100*('Parameter &lt;x, y&gt;'!B278-B278)/B278</f>
        <v>0</v>
      </c>
      <c r="F278" s="5">
        <f>100*('Parameter &lt;x, y&gt;'!G278-B278)/B278</f>
        <v>2.7352064708386545</v>
      </c>
      <c r="G278" s="5">
        <f>100*('Parameter &lt;x, y&gt;'!L278-B278)/B278</f>
        <v>4.3926493543351803</v>
      </c>
      <c r="H278" s="5">
        <f>100*('Parameter &lt;x, y&gt;'!Q278-B278)/B278</f>
        <v>13.991060025542781</v>
      </c>
      <c r="J278" s="5">
        <f>100*('Parameter &lt;x, y&gt;'!D278-C278)/C278</f>
        <v>13.590648804032053</v>
      </c>
      <c r="K278" s="5">
        <f>100*('Parameter &lt;x, y&gt;'!I278-C278)/C278</f>
        <v>0</v>
      </c>
      <c r="L278" s="5">
        <f>100*('Parameter &lt;x, y&gt;'!N278-C278)/C278</f>
        <v>8.3805442664450389</v>
      </c>
      <c r="M278" s="5">
        <f>100*('Parameter &lt;x, y&gt;'!S278-C278)/C278</f>
        <v>20.438585120740534</v>
      </c>
    </row>
    <row r="279" spans="1:13" ht="12.75" customHeight="1">
      <c r="A279" s="13"/>
      <c r="B279" s="5">
        <f>MIN('Parameter &lt;x, y&gt;'!B279,'Parameter &lt;x, y&gt;'!G279,'Parameter &lt;x, y&gt;'!L279,'Parameter &lt;x, y&gt;'!Q279)</f>
        <v>10582.3</v>
      </c>
      <c r="C279" s="5">
        <f>MIN('Parameter &lt;x, y&gt;'!D279,'Parameter &lt;x, y&gt;'!I279,'Parameter &lt;x, y&gt;'!N279,'Parameter &lt;x, y&gt;'!S279)</f>
        <v>9695.6</v>
      </c>
      <c r="E279" s="5">
        <f>100*('Parameter &lt;x, y&gt;'!B279-B279)/B279</f>
        <v>0</v>
      </c>
      <c r="F279" s="5">
        <f>100*('Parameter &lt;x, y&gt;'!G279-B279)/B279</f>
        <v>0.30617162620603705</v>
      </c>
      <c r="G279" s="5">
        <f>100*('Parameter &lt;x, y&gt;'!L279-B279)/B279</f>
        <v>2.6553773754287824</v>
      </c>
      <c r="H279" s="5">
        <f>100*('Parameter &lt;x, y&gt;'!Q279-B279)/B279</f>
        <v>5.8503349933379356</v>
      </c>
      <c r="J279" s="5">
        <f>100*('Parameter &lt;x, y&gt;'!D279-C279)/C279</f>
        <v>1.9936878584099929</v>
      </c>
      <c r="K279" s="5">
        <f>100*('Parameter &lt;x, y&gt;'!I279-C279)/C279</f>
        <v>0</v>
      </c>
      <c r="L279" s="5">
        <f>100*('Parameter &lt;x, y&gt;'!N279-C279)/C279</f>
        <v>9.899335781179083</v>
      </c>
      <c r="M279" s="5">
        <f>100*('Parameter &lt;x, y&gt;'!S279-C279)/C279</f>
        <v>15.770040018152564</v>
      </c>
    </row>
    <row r="280" spans="1:13" ht="12.75" customHeight="1">
      <c r="A280" s="13"/>
      <c r="B280" s="5">
        <f>MIN('Parameter &lt;x, y&gt;'!B280,'Parameter &lt;x, y&gt;'!G280,'Parameter &lt;x, y&gt;'!L280,'Parameter &lt;x, y&gt;'!Q280)</f>
        <v>10199.299999999999</v>
      </c>
      <c r="C280" s="5">
        <f>MIN('Parameter &lt;x, y&gt;'!D280,'Parameter &lt;x, y&gt;'!I280,'Parameter &lt;x, y&gt;'!N280,'Parameter &lt;x, y&gt;'!S280)</f>
        <v>10919.3</v>
      </c>
      <c r="E280" s="5">
        <f>100*('Parameter &lt;x, y&gt;'!B280-B280)/B280</f>
        <v>6.8573333464061408</v>
      </c>
      <c r="F280" s="5">
        <f>100*('Parameter &lt;x, y&gt;'!G280-B280)/B280</f>
        <v>18.853254635122035</v>
      </c>
      <c r="G280" s="5">
        <f>100*('Parameter &lt;x, y&gt;'!L280-B280)/B280</f>
        <v>13.365623130999193</v>
      </c>
      <c r="H280" s="5">
        <f>100*('Parameter &lt;x, y&gt;'!Q280-B280)/B280</f>
        <v>0</v>
      </c>
      <c r="J280" s="5">
        <f>100*('Parameter &lt;x, y&gt;'!D280-C280)/C280</f>
        <v>0</v>
      </c>
      <c r="K280" s="5">
        <f>100*('Parameter &lt;x, y&gt;'!I280-C280)/C280</f>
        <v>1.1072138323885365</v>
      </c>
      <c r="L280" s="5">
        <f>100*('Parameter &lt;x, y&gt;'!N280-C280)/C280</f>
        <v>6.5727656534759626</v>
      </c>
      <c r="M280" s="5">
        <f>100*('Parameter &lt;x, y&gt;'!S280-C280)/C280</f>
        <v>22.132371122691023</v>
      </c>
    </row>
    <row r="281" spans="1:13" ht="12.75" customHeight="1">
      <c r="A281" s="13"/>
      <c r="B281" s="5">
        <f>MIN('Parameter &lt;x, y&gt;'!B281,'Parameter &lt;x, y&gt;'!G281,'Parameter &lt;x, y&gt;'!L281,'Parameter &lt;x, y&gt;'!Q281)</f>
        <v>16224.8</v>
      </c>
      <c r="C281" s="5">
        <f>MIN('Parameter &lt;x, y&gt;'!D281,'Parameter &lt;x, y&gt;'!I281,'Parameter &lt;x, y&gt;'!N281,'Parameter &lt;x, y&gt;'!S281)</f>
        <v>15726</v>
      </c>
      <c r="E281" s="5">
        <f>100*('Parameter &lt;x, y&gt;'!B281-B281)/B281</f>
        <v>36.635274394753715</v>
      </c>
      <c r="F281" s="5">
        <f>100*('Parameter &lt;x, y&gt;'!G281-B281)/B281</f>
        <v>39.098170701641948</v>
      </c>
      <c r="G281" s="5">
        <f>100*('Parameter &lt;x, y&gt;'!L281-B281)/B281</f>
        <v>0</v>
      </c>
      <c r="H281" s="5">
        <f>100*('Parameter &lt;x, y&gt;'!Q281-B281)/B281</f>
        <v>12.586903998816631</v>
      </c>
      <c r="J281" s="5">
        <f>100*('Parameter &lt;x, y&gt;'!D281-C281)/C281</f>
        <v>0</v>
      </c>
      <c r="K281" s="5">
        <f>100*('Parameter &lt;x, y&gt;'!I281-C281)/C281</f>
        <v>16.582729238204244</v>
      </c>
      <c r="L281" s="5">
        <f>100*('Parameter &lt;x, y&gt;'!N281-C281)/C281</f>
        <v>1.9839755818389928</v>
      </c>
      <c r="M281" s="5">
        <f>100*('Parameter &lt;x, y&gt;'!S281-C281)/C281</f>
        <v>4.4804781889863827</v>
      </c>
    </row>
    <row r="282" spans="1:13" ht="12.75" customHeight="1">
      <c r="A282" s="13"/>
      <c r="B282" s="5">
        <f>MIN('Parameter &lt;x, y&gt;'!B282,'Parameter &lt;x, y&gt;'!G282,'Parameter &lt;x, y&gt;'!L282,'Parameter &lt;x, y&gt;'!Q282)</f>
        <v>12336.2</v>
      </c>
      <c r="C282" s="5">
        <f>MIN('Parameter &lt;x, y&gt;'!D282,'Parameter &lt;x, y&gt;'!I282,'Parameter &lt;x, y&gt;'!N282,'Parameter &lt;x, y&gt;'!S282)</f>
        <v>11472.9</v>
      </c>
      <c r="E282" s="5">
        <f>100*('Parameter &lt;x, y&gt;'!B282-B282)/B282</f>
        <v>5.0955723804737154</v>
      </c>
      <c r="F282" s="5">
        <f>100*('Parameter &lt;x, y&gt;'!G282-B282)/B282</f>
        <v>0</v>
      </c>
      <c r="G282" s="5">
        <f>100*('Parameter &lt;x, y&gt;'!L282-B282)/B282</f>
        <v>0.85277476046107314</v>
      </c>
      <c r="H282" s="5">
        <f>100*('Parameter &lt;x, y&gt;'!Q282-B282)/B282</f>
        <v>20.727614662537896</v>
      </c>
      <c r="J282" s="5">
        <f>100*('Parameter &lt;x, y&gt;'!D282-C282)/C282</f>
        <v>4.9455673805227942</v>
      </c>
      <c r="K282" s="5">
        <f>100*('Parameter &lt;x, y&gt;'!I282-C282)/C282</f>
        <v>0</v>
      </c>
      <c r="L282" s="5">
        <f>100*('Parameter &lt;x, y&gt;'!N282-C282)/C282</f>
        <v>5.129479033199976</v>
      </c>
      <c r="M282" s="5">
        <f>100*('Parameter &lt;x, y&gt;'!S282-C282)/C282</f>
        <v>17.69909961735917</v>
      </c>
    </row>
    <row r="283" spans="1:13" ht="12.75" customHeight="1">
      <c r="A283" s="13"/>
      <c r="B283" s="5">
        <f>MIN('Parameter &lt;x, y&gt;'!B283,'Parameter &lt;x, y&gt;'!G283,'Parameter &lt;x, y&gt;'!L283,'Parameter &lt;x, y&gt;'!Q283)</f>
        <v>12970</v>
      </c>
      <c r="C283" s="5">
        <f>MIN('Parameter &lt;x, y&gt;'!D283,'Parameter &lt;x, y&gt;'!I283,'Parameter &lt;x, y&gt;'!N283,'Parameter &lt;x, y&gt;'!S283)</f>
        <v>13250.9</v>
      </c>
      <c r="E283" s="5">
        <f>100*('Parameter &lt;x, y&gt;'!B283-B283)/B283</f>
        <v>4.2043176561295237</v>
      </c>
      <c r="F283" s="5">
        <f>100*('Parameter &lt;x, y&gt;'!G283-B283)/B283</f>
        <v>9.5936777178103263</v>
      </c>
      <c r="G283" s="5">
        <f>100*('Parameter &lt;x, y&gt;'!L283-B283)/B283</f>
        <v>6.0740169622205036</v>
      </c>
      <c r="H283" s="5">
        <f>100*('Parameter &lt;x, y&gt;'!Q283-B283)/B283</f>
        <v>0</v>
      </c>
      <c r="J283" s="5">
        <f>100*('Parameter &lt;x, y&gt;'!D283-C283)/C283</f>
        <v>0</v>
      </c>
      <c r="K283" s="5">
        <f>100*('Parameter &lt;x, y&gt;'!I283-C283)/C283</f>
        <v>36.14773336150752</v>
      </c>
      <c r="L283" s="5">
        <f>100*('Parameter &lt;x, y&gt;'!N283-C283)/C283</f>
        <v>0.60373257665517066</v>
      </c>
      <c r="M283" s="5">
        <f>100*('Parameter &lt;x, y&gt;'!S283-C283)/C283</f>
        <v>9.2854070289565218</v>
      </c>
    </row>
    <row r="284" spans="1:13" ht="12.75" customHeight="1">
      <c r="A284" s="13"/>
      <c r="B284" s="5">
        <f>MIN('Parameter &lt;x, y&gt;'!B284,'Parameter &lt;x, y&gt;'!G284,'Parameter &lt;x, y&gt;'!L284,'Parameter &lt;x, y&gt;'!Q284)</f>
        <v>9625.2999999999993</v>
      </c>
      <c r="C284" s="5">
        <f>MIN('Parameter &lt;x, y&gt;'!D284,'Parameter &lt;x, y&gt;'!I284,'Parameter &lt;x, y&gt;'!N284,'Parameter &lt;x, y&gt;'!S284)</f>
        <v>9184.2999999999993</v>
      </c>
      <c r="E284" s="5">
        <f>100*('Parameter &lt;x, y&gt;'!B284-B284)/B284</f>
        <v>11.812618827465119</v>
      </c>
      <c r="F284" s="5">
        <f>100*('Parameter &lt;x, y&gt;'!G284-B284)/B284</f>
        <v>0</v>
      </c>
      <c r="G284" s="5">
        <f>100*('Parameter &lt;x, y&gt;'!L284-B284)/B284</f>
        <v>33.2955855921374</v>
      </c>
      <c r="H284" s="5">
        <f>100*('Parameter &lt;x, y&gt;'!Q284-B284)/B284</f>
        <v>15.359521261674978</v>
      </c>
      <c r="J284" s="5">
        <f>100*('Parameter &lt;x, y&gt;'!D284-C284)/C284</f>
        <v>3.1118321483401141</v>
      </c>
      <c r="K284" s="5">
        <f>100*('Parameter &lt;x, y&gt;'!I284-C284)/C284</f>
        <v>0</v>
      </c>
      <c r="L284" s="5">
        <f>100*('Parameter &lt;x, y&gt;'!N284-C284)/C284</f>
        <v>2.5892011367224623</v>
      </c>
      <c r="M284" s="5">
        <f>100*('Parameter &lt;x, y&gt;'!S284-C284)/C284</f>
        <v>38.554925252877197</v>
      </c>
    </row>
    <row r="285" spans="1:13" ht="12.75" customHeight="1">
      <c r="A285" s="13"/>
      <c r="B285" s="5">
        <f>MIN('Parameter &lt;x, y&gt;'!B285,'Parameter &lt;x, y&gt;'!G285,'Parameter &lt;x, y&gt;'!L285,'Parameter &lt;x, y&gt;'!Q285)</f>
        <v>11167.7</v>
      </c>
      <c r="C285" s="5">
        <f>MIN('Parameter &lt;x, y&gt;'!D285,'Parameter &lt;x, y&gt;'!I285,'Parameter &lt;x, y&gt;'!N285,'Parameter &lt;x, y&gt;'!S285)</f>
        <v>10321.4</v>
      </c>
      <c r="E285" s="5">
        <f>100*('Parameter &lt;x, y&gt;'!B285-B285)/B285</f>
        <v>10.294868236073667</v>
      </c>
      <c r="F285" s="5">
        <f>100*('Parameter &lt;x, y&gt;'!G285-B285)/B285</f>
        <v>43.051836994188591</v>
      </c>
      <c r="G285" s="5">
        <f>100*('Parameter &lt;x, y&gt;'!L285-B285)/B285</f>
        <v>2.7391495115377347</v>
      </c>
      <c r="H285" s="5">
        <f>100*('Parameter &lt;x, y&gt;'!Q285-B285)/B285</f>
        <v>0</v>
      </c>
      <c r="J285" s="5">
        <f>100*('Parameter &lt;x, y&gt;'!D285-C285)/C285</f>
        <v>11.582731024860969</v>
      </c>
      <c r="K285" s="5">
        <f>100*('Parameter &lt;x, y&gt;'!I285-C285)/C285</f>
        <v>0</v>
      </c>
      <c r="L285" s="5">
        <f>100*('Parameter &lt;x, y&gt;'!N285-C285)/C285</f>
        <v>35.311101207200579</v>
      </c>
      <c r="M285" s="5">
        <f>100*('Parameter &lt;x, y&gt;'!S285-C285)/C285</f>
        <v>17.194372856395457</v>
      </c>
    </row>
    <row r="286" spans="1:13" ht="12.75" customHeight="1">
      <c r="A286" s="13"/>
      <c r="B286" s="5">
        <f>MIN('Parameter &lt;x, y&gt;'!B286,'Parameter &lt;x, y&gt;'!G286,'Parameter &lt;x, y&gt;'!L286,'Parameter &lt;x, y&gt;'!Q286)</f>
        <v>11279.8</v>
      </c>
      <c r="C286" s="5">
        <f>MIN('Parameter &lt;x, y&gt;'!D286,'Parameter &lt;x, y&gt;'!I286,'Parameter &lt;x, y&gt;'!N286,'Parameter &lt;x, y&gt;'!S286)</f>
        <v>12268.8</v>
      </c>
      <c r="E286" s="5">
        <f>100*('Parameter &lt;x, y&gt;'!B286-B286)/B286</f>
        <v>0</v>
      </c>
      <c r="F286" s="5">
        <f>100*('Parameter &lt;x, y&gt;'!G286-B286)/B286</f>
        <v>0.60196102767780868</v>
      </c>
      <c r="G286" s="5">
        <f>100*('Parameter &lt;x, y&gt;'!L286-B286)/B286</f>
        <v>1.1028564336247226</v>
      </c>
      <c r="H286" s="5">
        <f>100*('Parameter &lt;x, y&gt;'!Q286-B286)/B286</f>
        <v>18.817709533856988</v>
      </c>
      <c r="J286" s="5">
        <f>100*('Parameter &lt;x, y&gt;'!D286-C286)/C286</f>
        <v>7.7766366718831534</v>
      </c>
      <c r="K286" s="5">
        <f>100*('Parameter &lt;x, y&gt;'!I286-C286)/C286</f>
        <v>11.662917318727191</v>
      </c>
      <c r="L286" s="5">
        <f>100*('Parameter &lt;x, y&gt;'!N286-C286)/C286</f>
        <v>0</v>
      </c>
      <c r="M286" s="5">
        <f>100*('Parameter &lt;x, y&gt;'!S286-C286)/C286</f>
        <v>4.3606546687532601</v>
      </c>
    </row>
    <row r="287" spans="1:13" ht="12.75" customHeight="1">
      <c r="A287" s="13"/>
      <c r="B287" s="5">
        <f>MIN('Parameter &lt;x, y&gt;'!B287,'Parameter &lt;x, y&gt;'!G287,'Parameter &lt;x, y&gt;'!L287,'Parameter &lt;x, y&gt;'!Q287)</f>
        <v>9277.2000000000007</v>
      </c>
      <c r="C287" s="5">
        <f>MIN('Parameter &lt;x, y&gt;'!D287,'Parameter &lt;x, y&gt;'!I287,'Parameter &lt;x, y&gt;'!N287,'Parameter &lt;x, y&gt;'!S287)</f>
        <v>8101.7</v>
      </c>
      <c r="E287" s="5">
        <f>100*('Parameter &lt;x, y&gt;'!B287-B287)/B287</f>
        <v>0</v>
      </c>
      <c r="F287" s="5">
        <f>100*('Parameter &lt;x, y&gt;'!G287-B287)/B287</f>
        <v>2.5169232095891001</v>
      </c>
      <c r="G287" s="5">
        <f>100*('Parameter &lt;x, y&gt;'!L287-B287)/B287</f>
        <v>3.9376104859224683</v>
      </c>
      <c r="H287" s="5">
        <f>100*('Parameter &lt;x, y&gt;'!Q287-B287)/B287</f>
        <v>22.586556288535331</v>
      </c>
      <c r="J287" s="5">
        <f>100*('Parameter &lt;x, y&gt;'!D287-C287)/C287</f>
        <v>12.503548637940197</v>
      </c>
      <c r="K287" s="5">
        <f>100*('Parameter &lt;x, y&gt;'!I287-C287)/C287</f>
        <v>0</v>
      </c>
      <c r="L287" s="5">
        <f>100*('Parameter &lt;x, y&gt;'!N287-C287)/C287</f>
        <v>26.546280410284258</v>
      </c>
      <c r="M287" s="5">
        <f>100*('Parameter &lt;x, y&gt;'!S287-C287)/C287</f>
        <v>26.546280410284258</v>
      </c>
    </row>
    <row r="288" spans="1:13" ht="12.75" customHeight="1">
      <c r="A288" s="13"/>
      <c r="B288" s="5">
        <f>MIN('Parameter &lt;x, y&gt;'!B288,'Parameter &lt;x, y&gt;'!G288,'Parameter &lt;x, y&gt;'!L288,'Parameter &lt;x, y&gt;'!Q288)</f>
        <v>9967.1</v>
      </c>
      <c r="C288" s="5">
        <f>MIN('Parameter &lt;x, y&gt;'!D288,'Parameter &lt;x, y&gt;'!I288,'Parameter &lt;x, y&gt;'!N288,'Parameter &lt;x, y&gt;'!S288)</f>
        <v>9919</v>
      </c>
      <c r="E288" s="5">
        <f>100*('Parameter &lt;x, y&gt;'!B288-B288)/B288</f>
        <v>0</v>
      </c>
      <c r="F288" s="5">
        <f>100*('Parameter &lt;x, y&gt;'!G288-B288)/B288</f>
        <v>23.979893850769031</v>
      </c>
      <c r="G288" s="5">
        <f>100*('Parameter &lt;x, y&gt;'!L288-B288)/B288</f>
        <v>14.560905378695903</v>
      </c>
      <c r="H288" s="5">
        <f>100*('Parameter &lt;x, y&gt;'!Q288-B288)/B288</f>
        <v>12.64359743556299</v>
      </c>
      <c r="J288" s="5">
        <f>100*('Parameter &lt;x, y&gt;'!D288-C288)/C288</f>
        <v>0</v>
      </c>
      <c r="K288" s="5">
        <f>100*('Parameter &lt;x, y&gt;'!I288-C288)/C288</f>
        <v>7.8566387740699595</v>
      </c>
      <c r="L288" s="5">
        <f>100*('Parameter &lt;x, y&gt;'!N288-C288)/C288</f>
        <v>2.7885875592297649</v>
      </c>
      <c r="M288" s="5">
        <f>100*('Parameter &lt;x, y&gt;'!S288-C288)/C288</f>
        <v>3.1918540175420946</v>
      </c>
    </row>
    <row r="289" spans="1:13" ht="12.75" customHeight="1">
      <c r="A289" s="13"/>
      <c r="B289" s="5">
        <f>MIN('Parameter &lt;x, y&gt;'!B289,'Parameter &lt;x, y&gt;'!G289,'Parameter &lt;x, y&gt;'!L289,'Parameter &lt;x, y&gt;'!Q289)</f>
        <v>12371.1</v>
      </c>
      <c r="C289" s="5">
        <f>MIN('Parameter &lt;x, y&gt;'!D289,'Parameter &lt;x, y&gt;'!I289,'Parameter &lt;x, y&gt;'!N289,'Parameter &lt;x, y&gt;'!S289)</f>
        <v>11682.6</v>
      </c>
      <c r="E289" s="5">
        <f>100*('Parameter &lt;x, y&gt;'!B289-B289)/B289</f>
        <v>6.7584935858573632</v>
      </c>
      <c r="F289" s="5">
        <f>100*('Parameter &lt;x, y&gt;'!G289-B289)/B289</f>
        <v>0</v>
      </c>
      <c r="G289" s="5">
        <f>100*('Parameter &lt;x, y&gt;'!L289-B289)/B289</f>
        <v>5.0464388777069074</v>
      </c>
      <c r="H289" s="5">
        <f>100*('Parameter &lt;x, y&gt;'!Q289-B289)/B289</f>
        <v>6.313909029916501</v>
      </c>
      <c r="J289" s="5">
        <f>100*('Parameter &lt;x, y&gt;'!D289-C289)/C289</f>
        <v>0</v>
      </c>
      <c r="K289" s="5">
        <f>100*('Parameter &lt;x, y&gt;'!I289-C289)/C289</f>
        <v>37.337578963586871</v>
      </c>
      <c r="L289" s="5">
        <f>100*('Parameter &lt;x, y&gt;'!N289-C289)/C289</f>
        <v>2.2178282231695028</v>
      </c>
      <c r="M289" s="5">
        <f>100*('Parameter &lt;x, y&gt;'!S289-C289)/C289</f>
        <v>16.830157670381581</v>
      </c>
    </row>
    <row r="290" spans="1:13" ht="12.75" customHeight="1">
      <c r="A290" s="13"/>
      <c r="B290" s="5">
        <f>MIN('Parameter &lt;x, y&gt;'!B290,'Parameter &lt;x, y&gt;'!G290,'Parameter &lt;x, y&gt;'!L290,'Parameter &lt;x, y&gt;'!Q290)</f>
        <v>12362.2</v>
      </c>
      <c r="C290" s="5">
        <f>MIN('Parameter &lt;x, y&gt;'!D290,'Parameter &lt;x, y&gt;'!I290,'Parameter &lt;x, y&gt;'!N290,'Parameter &lt;x, y&gt;'!S290)</f>
        <v>11242</v>
      </c>
      <c r="E290" s="5">
        <f>100*('Parameter &lt;x, y&gt;'!B290-B290)/B290</f>
        <v>0</v>
      </c>
      <c r="F290" s="5">
        <f>100*('Parameter &lt;x, y&gt;'!G290-B290)/B290</f>
        <v>3.4799631133616904</v>
      </c>
      <c r="G290" s="5">
        <f>100*('Parameter &lt;x, y&gt;'!L290-B290)/B290</f>
        <v>3.7962498584394302</v>
      </c>
      <c r="H290" s="5">
        <f>100*('Parameter &lt;x, y&gt;'!Q290-B290)/B290</f>
        <v>35.716943586093066</v>
      </c>
      <c r="J290" s="5">
        <f>100*('Parameter &lt;x, y&gt;'!D290-C290)/C290</f>
        <v>8.551859099804302</v>
      </c>
      <c r="K290" s="5">
        <f>100*('Parameter &lt;x, y&gt;'!I290-C290)/C290</f>
        <v>4.7313645258850707</v>
      </c>
      <c r="L290" s="5">
        <f>100*('Parameter &lt;x, y&gt;'!N290-C290)/C290</f>
        <v>0</v>
      </c>
      <c r="M290" s="5">
        <f>100*('Parameter &lt;x, y&gt;'!S290-C290)/C290</f>
        <v>8.9174524106030955</v>
      </c>
    </row>
    <row r="291" spans="1:13" ht="12.75" customHeight="1">
      <c r="A291" s="13"/>
      <c r="B291" s="5">
        <f>MIN('Parameter &lt;x, y&gt;'!B291,'Parameter &lt;x, y&gt;'!G291,'Parameter &lt;x, y&gt;'!L291,'Parameter &lt;x, y&gt;'!Q291)</f>
        <v>11156.8</v>
      </c>
      <c r="C291" s="5">
        <f>MIN('Parameter &lt;x, y&gt;'!D291,'Parameter &lt;x, y&gt;'!I291,'Parameter &lt;x, y&gt;'!N291,'Parameter &lt;x, y&gt;'!S291)</f>
        <v>10081.299999999999</v>
      </c>
      <c r="E291" s="5">
        <f>100*('Parameter &lt;x, y&gt;'!B291-B291)/B291</f>
        <v>0</v>
      </c>
      <c r="F291" s="5">
        <f>100*('Parameter &lt;x, y&gt;'!G291-B291)/B291</f>
        <v>0.93127061523018662</v>
      </c>
      <c r="G291" s="5">
        <f>100*('Parameter &lt;x, y&gt;'!L291-B291)/B291</f>
        <v>0.28144270758641776</v>
      </c>
      <c r="H291" s="5">
        <f>100*('Parameter &lt;x, y&gt;'!Q291-B291)/B291</f>
        <v>9.0886275634590561</v>
      </c>
      <c r="J291" s="5">
        <f>100*('Parameter &lt;x, y&gt;'!D291-C291)/C291</f>
        <v>11.591758999335408</v>
      </c>
      <c r="K291" s="5">
        <f>100*('Parameter &lt;x, y&gt;'!I291-C291)/C291</f>
        <v>0</v>
      </c>
      <c r="L291" s="5">
        <f>100*('Parameter &lt;x, y&gt;'!N291-C291)/C291</f>
        <v>3.2049438068503107</v>
      </c>
      <c r="M291" s="5">
        <f>100*('Parameter &lt;x, y&gt;'!S291-C291)/C291</f>
        <v>18.25954985964113</v>
      </c>
    </row>
    <row r="292" spans="1:13" ht="12.75" customHeight="1">
      <c r="A292" s="13"/>
      <c r="B292" s="5">
        <f>MIN('Parameter &lt;x, y&gt;'!B292,'Parameter &lt;x, y&gt;'!G292,'Parameter &lt;x, y&gt;'!L292,'Parameter &lt;x, y&gt;'!Q292)</f>
        <v>12247.5</v>
      </c>
      <c r="C292" s="5">
        <f>MIN('Parameter &lt;x, y&gt;'!D292,'Parameter &lt;x, y&gt;'!I292,'Parameter &lt;x, y&gt;'!N292,'Parameter &lt;x, y&gt;'!S292)</f>
        <v>11029.9</v>
      </c>
      <c r="E292" s="5">
        <f>100*('Parameter &lt;x, y&gt;'!B292-B292)/B292</f>
        <v>3.3541539089610066</v>
      </c>
      <c r="F292" s="5">
        <f>100*('Parameter &lt;x, y&gt;'!G292-B292)/B292</f>
        <v>3.9044703000612428</v>
      </c>
      <c r="G292" s="5">
        <f>100*('Parameter &lt;x, y&gt;'!L292-B292)/B292</f>
        <v>0</v>
      </c>
      <c r="H292" s="5">
        <f>100*('Parameter &lt;x, y&gt;'!Q292-B292)/B292</f>
        <v>10.246172688303734</v>
      </c>
      <c r="J292" s="5">
        <f>100*('Parameter &lt;x, y&gt;'!D292-C292)/C292</f>
        <v>17.006500512244003</v>
      </c>
      <c r="K292" s="5">
        <f>100*('Parameter &lt;x, y&gt;'!I292-C292)/C292</f>
        <v>0</v>
      </c>
      <c r="L292" s="5">
        <f>100*('Parameter &lt;x, y&gt;'!N292-C292)/C292</f>
        <v>8.6510303810551381</v>
      </c>
      <c r="M292" s="5">
        <f>100*('Parameter &lt;x, y&gt;'!S292-C292)/C292</f>
        <v>21.263112086238326</v>
      </c>
    </row>
    <row r="293" spans="1:13" ht="12.75" customHeight="1">
      <c r="A293" s="13"/>
      <c r="B293" s="5">
        <f>MIN('Parameter &lt;x, y&gt;'!B293,'Parameter &lt;x, y&gt;'!G293,'Parameter &lt;x, y&gt;'!L293,'Parameter &lt;x, y&gt;'!Q293)</f>
        <v>14793.5</v>
      </c>
      <c r="C293" s="5">
        <f>MIN('Parameter &lt;x, y&gt;'!D293,'Parameter &lt;x, y&gt;'!I293,'Parameter &lt;x, y&gt;'!N293,'Parameter &lt;x, y&gt;'!S293)</f>
        <v>14214.6</v>
      </c>
      <c r="E293" s="5">
        <f>100*('Parameter &lt;x, y&gt;'!B293-B293)/B293</f>
        <v>11.832899584276879</v>
      </c>
      <c r="F293" s="5">
        <f>100*('Parameter &lt;x, y&gt;'!G293-B293)/B293</f>
        <v>0</v>
      </c>
      <c r="G293" s="5">
        <f>100*('Parameter &lt;x, y&gt;'!L293-B293)/B293</f>
        <v>3.7009497414404975</v>
      </c>
      <c r="H293" s="5">
        <f>100*('Parameter &lt;x, y&gt;'!Q293-B293)/B293</f>
        <v>9.4433366005340176</v>
      </c>
      <c r="J293" s="5">
        <f>100*('Parameter &lt;x, y&gt;'!D293-C293)/C293</f>
        <v>37.956748695003725</v>
      </c>
      <c r="K293" s="5">
        <f>100*('Parameter &lt;x, y&gt;'!I293-C293)/C293</f>
        <v>0</v>
      </c>
      <c r="L293" s="5">
        <f>100*('Parameter &lt;x, y&gt;'!N293-C293)/C293</f>
        <v>9.8560634840234691</v>
      </c>
      <c r="M293" s="5">
        <f>100*('Parameter &lt;x, y&gt;'!S293-C293)/C293</f>
        <v>13.294077919885179</v>
      </c>
    </row>
    <row r="294" spans="1:13" ht="12.75" customHeight="1">
      <c r="A294" s="13"/>
      <c r="B294" s="5">
        <f>MIN('Parameter &lt;x, y&gt;'!B294,'Parameter &lt;x, y&gt;'!G294,'Parameter &lt;x, y&gt;'!L294,'Parameter &lt;x, y&gt;'!Q294)</f>
        <v>11231.8</v>
      </c>
      <c r="C294" s="5">
        <f>MIN('Parameter &lt;x, y&gt;'!D294,'Parameter &lt;x, y&gt;'!I294,'Parameter &lt;x, y&gt;'!N294,'Parameter &lt;x, y&gt;'!S294)</f>
        <v>10181.1</v>
      </c>
      <c r="E294" s="5">
        <f>100*('Parameter &lt;x, y&gt;'!B294-B294)/B294</f>
        <v>0.25018251749497289</v>
      </c>
      <c r="F294" s="5">
        <f>100*('Parameter &lt;x, y&gt;'!G294-B294)/B294</f>
        <v>3.3449669687850636</v>
      </c>
      <c r="G294" s="5">
        <f>100*('Parameter &lt;x, y&gt;'!L294-B294)/B294</f>
        <v>4.5255435460033224</v>
      </c>
      <c r="H294" s="5">
        <f>100*('Parameter &lt;x, y&gt;'!Q294-B294)/B294</f>
        <v>0</v>
      </c>
      <c r="J294" s="5">
        <f>100*('Parameter &lt;x, y&gt;'!D294-C294)/C294</f>
        <v>0</v>
      </c>
      <c r="K294" s="5">
        <f>100*('Parameter &lt;x, y&gt;'!I294-C294)/C294</f>
        <v>1.0509669878500358</v>
      </c>
      <c r="L294" s="5">
        <f>100*('Parameter &lt;x, y&gt;'!N294-C294)/C294</f>
        <v>2.543929437879993</v>
      </c>
      <c r="M294" s="5">
        <f>100*('Parameter &lt;x, y&gt;'!S294-C294)/C294</f>
        <v>22.973941911974148</v>
      </c>
    </row>
    <row r="295" spans="1:13" ht="12.75" customHeight="1">
      <c r="A295" s="13"/>
      <c r="B295" s="5">
        <f>MIN('Parameter &lt;x, y&gt;'!B295,'Parameter &lt;x, y&gt;'!G295,'Parameter &lt;x, y&gt;'!L295,'Parameter &lt;x, y&gt;'!Q295)</f>
        <v>11633</v>
      </c>
      <c r="C295" s="5">
        <f>MIN('Parameter &lt;x, y&gt;'!D295,'Parameter &lt;x, y&gt;'!I295,'Parameter &lt;x, y&gt;'!N295,'Parameter &lt;x, y&gt;'!S295)</f>
        <v>10981.6</v>
      </c>
      <c r="E295" s="5">
        <f>100*('Parameter &lt;x, y&gt;'!B295-B295)/B295</f>
        <v>6.1892890913779768</v>
      </c>
      <c r="F295" s="5">
        <f>100*('Parameter &lt;x, y&gt;'!G295-B295)/B295</f>
        <v>0.72036448035759715</v>
      </c>
      <c r="G295" s="5">
        <f>100*('Parameter &lt;x, y&gt;'!L295-B295)/B295</f>
        <v>0</v>
      </c>
      <c r="H295" s="5">
        <f>100*('Parameter &lt;x, y&gt;'!Q295-B295)/B295</f>
        <v>12.00722083727327</v>
      </c>
      <c r="J295" s="5">
        <f>100*('Parameter &lt;x, y&gt;'!D295-C295)/C295</f>
        <v>6.1848910905514574</v>
      </c>
      <c r="K295" s="5">
        <f>100*('Parameter &lt;x, y&gt;'!I295-C295)/C295</f>
        <v>2.6271217308953156</v>
      </c>
      <c r="L295" s="5">
        <f>100*('Parameter &lt;x, y&gt;'!N295-C295)/C295</f>
        <v>0</v>
      </c>
      <c r="M295" s="5">
        <f>100*('Parameter &lt;x, y&gt;'!S295-C295)/C295</f>
        <v>18.76684636118598</v>
      </c>
    </row>
    <row r="296" spans="1:13" ht="12.75" customHeight="1">
      <c r="A296" s="13"/>
      <c r="B296" s="5">
        <f>MIN('Parameter &lt;x, y&gt;'!B296,'Parameter &lt;x, y&gt;'!G296,'Parameter &lt;x, y&gt;'!L296,'Parameter &lt;x, y&gt;'!Q296)</f>
        <v>10824.5</v>
      </c>
      <c r="C296" s="5">
        <f>MIN('Parameter &lt;x, y&gt;'!D296,'Parameter &lt;x, y&gt;'!I296,'Parameter &lt;x, y&gt;'!N296,'Parameter &lt;x, y&gt;'!S296)</f>
        <v>10029.700000000001</v>
      </c>
      <c r="E296" s="5">
        <f>100*('Parameter &lt;x, y&gt;'!B296-B296)/B296</f>
        <v>0</v>
      </c>
      <c r="F296" s="5">
        <f>100*('Parameter &lt;x, y&gt;'!G296-B296)/B296</f>
        <v>1.8689084946186825</v>
      </c>
      <c r="G296" s="5">
        <f>100*('Parameter &lt;x, y&gt;'!L296-B296)/B296</f>
        <v>0.39078017460390108</v>
      </c>
      <c r="H296" s="5">
        <f>100*('Parameter &lt;x, y&gt;'!Q296-B296)/B296</f>
        <v>3.0800498868307971</v>
      </c>
      <c r="J296" s="5">
        <f>100*('Parameter &lt;x, y&gt;'!D296-C296)/C296</f>
        <v>8.034138608333242</v>
      </c>
      <c r="K296" s="5">
        <f>100*('Parameter &lt;x, y&gt;'!I296-C296)/C296</f>
        <v>0</v>
      </c>
      <c r="L296" s="5">
        <f>100*('Parameter &lt;x, y&gt;'!N296-C296)/C296</f>
        <v>4.4737130721756273</v>
      </c>
      <c r="M296" s="5">
        <f>100*('Parameter &lt;x, y&gt;'!S296-C296)/C296</f>
        <v>7.3661226158309745</v>
      </c>
    </row>
    <row r="297" spans="1:13" ht="12.75" customHeight="1">
      <c r="A297" s="13"/>
      <c r="B297" s="5">
        <f>MIN('Parameter &lt;x, y&gt;'!B297,'Parameter &lt;x, y&gt;'!G297,'Parameter &lt;x, y&gt;'!L297,'Parameter &lt;x, y&gt;'!Q297)</f>
        <v>8696.4</v>
      </c>
      <c r="C297" s="5">
        <f>MIN('Parameter &lt;x, y&gt;'!D297,'Parameter &lt;x, y&gt;'!I297,'Parameter &lt;x, y&gt;'!N297,'Parameter &lt;x, y&gt;'!S297)</f>
        <v>8011.5</v>
      </c>
      <c r="E297" s="5">
        <f>100*('Parameter &lt;x, y&gt;'!B297-B297)/B297</f>
        <v>11.12529322478267</v>
      </c>
      <c r="F297" s="5">
        <f>100*('Parameter &lt;x, y&gt;'!G297-B297)/B297</f>
        <v>4.2178372659951373</v>
      </c>
      <c r="G297" s="5">
        <f>100*('Parameter &lt;x, y&gt;'!L297-B297)/B297</f>
        <v>0</v>
      </c>
      <c r="H297" s="5">
        <f>100*('Parameter &lt;x, y&gt;'!Q297-B297)/B297</f>
        <v>14.299020284255555</v>
      </c>
      <c r="J297" s="5">
        <f>100*('Parameter &lt;x, y&gt;'!D297-C297)/C297</f>
        <v>8.449104412407161</v>
      </c>
      <c r="K297" s="5">
        <f>100*('Parameter &lt;x, y&gt;'!I297-C297)/C297</f>
        <v>8.5801660113586689</v>
      </c>
      <c r="L297" s="5">
        <f>100*('Parameter &lt;x, y&gt;'!N297-C297)/C297</f>
        <v>0</v>
      </c>
      <c r="M297" s="5">
        <f>100*('Parameter &lt;x, y&gt;'!S297-C297)/C297</f>
        <v>21.024776883230352</v>
      </c>
    </row>
    <row r="298" spans="1:13" ht="12.75" customHeight="1">
      <c r="A298" s="13"/>
      <c r="B298" s="5">
        <f>MIN('Parameter &lt;x, y&gt;'!B298,'Parameter &lt;x, y&gt;'!G298,'Parameter &lt;x, y&gt;'!L298,'Parameter &lt;x, y&gt;'!Q298)</f>
        <v>11031.8</v>
      </c>
      <c r="C298" s="5">
        <f>MIN('Parameter &lt;x, y&gt;'!D298,'Parameter &lt;x, y&gt;'!I298,'Parameter &lt;x, y&gt;'!N298,'Parameter &lt;x, y&gt;'!S298)</f>
        <v>11719.8</v>
      </c>
      <c r="E298" s="5">
        <f>100*('Parameter &lt;x, y&gt;'!B298-B298)/B298</f>
        <v>13.043202378578306</v>
      </c>
      <c r="F298" s="5">
        <f>100*('Parameter &lt;x, y&gt;'!G298-B298)/B298</f>
        <v>14.229772113345069</v>
      </c>
      <c r="G298" s="5">
        <f>100*('Parameter &lt;x, y&gt;'!L298-B298)/B298</f>
        <v>0</v>
      </c>
      <c r="H298" s="5">
        <f>100*('Parameter &lt;x, y&gt;'!Q298-B298)/B298</f>
        <v>16.548523359741839</v>
      </c>
      <c r="J298" s="5">
        <f>100*('Parameter &lt;x, y&gt;'!D298-C298)/C298</f>
        <v>0</v>
      </c>
      <c r="K298" s="5">
        <f>100*('Parameter &lt;x, y&gt;'!I298-C298)/C298</f>
        <v>70.978173688970813</v>
      </c>
      <c r="L298" s="5">
        <f>100*('Parameter &lt;x, y&gt;'!N298-C298)/C298</f>
        <v>2.4061844058772337</v>
      </c>
      <c r="M298" s="5">
        <f>100*('Parameter &lt;x, y&gt;'!S298-C298)/C298</f>
        <v>50.340449495725174</v>
      </c>
    </row>
    <row r="299" spans="1:13" ht="12.75" customHeight="1">
      <c r="A299" s="13"/>
      <c r="B299" s="5">
        <f>MIN('Parameter &lt;x, y&gt;'!B299,'Parameter &lt;x, y&gt;'!G299,'Parameter &lt;x, y&gt;'!L299,'Parameter &lt;x, y&gt;'!Q299)</f>
        <v>12145.2</v>
      </c>
      <c r="C299" s="5">
        <f>MIN('Parameter &lt;x, y&gt;'!D299,'Parameter &lt;x, y&gt;'!I299,'Parameter &lt;x, y&gt;'!N299,'Parameter &lt;x, y&gt;'!S299)</f>
        <v>11977.2</v>
      </c>
      <c r="E299" s="5">
        <f>100*('Parameter &lt;x, y&gt;'!B299-B299)/B299</f>
        <v>0</v>
      </c>
      <c r="F299" s="5">
        <f>100*('Parameter &lt;x, y&gt;'!G299-B299)/B299</f>
        <v>7.2324869084082568</v>
      </c>
      <c r="G299" s="5">
        <f>100*('Parameter &lt;x, y&gt;'!L299-B299)/B299</f>
        <v>6.5976682146032939</v>
      </c>
      <c r="H299" s="5">
        <f>100*('Parameter &lt;x, y&gt;'!Q299-B299)/B299</f>
        <v>11.057866482231663</v>
      </c>
      <c r="J299" s="5">
        <f>100*('Parameter &lt;x, y&gt;'!D299-C299)/C299</f>
        <v>0</v>
      </c>
      <c r="K299" s="5">
        <f>100*('Parameter &lt;x, y&gt;'!I299-C299)/C299</f>
        <v>1.7917376348395162</v>
      </c>
      <c r="L299" s="5">
        <f>100*('Parameter &lt;x, y&gt;'!N299-C299)/C299</f>
        <v>9.2742878135123341</v>
      </c>
      <c r="M299" s="5">
        <f>100*('Parameter &lt;x, y&gt;'!S299-C299)/C299</f>
        <v>14.349764552650024</v>
      </c>
    </row>
    <row r="300" spans="1:13" ht="12.75" customHeight="1">
      <c r="A300" s="13"/>
      <c r="B300" s="5">
        <f>MIN('Parameter &lt;x, y&gt;'!B300,'Parameter &lt;x, y&gt;'!G300,'Parameter &lt;x, y&gt;'!L300,'Parameter &lt;x, y&gt;'!Q300)</f>
        <v>9487.6</v>
      </c>
      <c r="C300" s="5">
        <f>MIN('Parameter &lt;x, y&gt;'!D300,'Parameter &lt;x, y&gt;'!I300,'Parameter &lt;x, y&gt;'!N300,'Parameter &lt;x, y&gt;'!S300)</f>
        <v>9217.7999999999993</v>
      </c>
      <c r="E300" s="5">
        <f>100*('Parameter &lt;x, y&gt;'!B300-B300)/B300</f>
        <v>7.2389223828997773</v>
      </c>
      <c r="F300" s="5">
        <f>100*('Parameter &lt;x, y&gt;'!G300-B300)/B300</f>
        <v>0</v>
      </c>
      <c r="G300" s="5">
        <f>100*('Parameter &lt;x, y&gt;'!L300-B300)/B300</f>
        <v>12.711328470846157</v>
      </c>
      <c r="H300" s="5">
        <f>100*('Parameter &lt;x, y&gt;'!Q300-B300)/B300</f>
        <v>8.9253341203254699</v>
      </c>
      <c r="J300" s="5">
        <f>100*('Parameter &lt;x, y&gt;'!D300-C300)/C300</f>
        <v>0</v>
      </c>
      <c r="K300" s="5">
        <f>100*('Parameter &lt;x, y&gt;'!I300-C300)/C300</f>
        <v>14.515394128750897</v>
      </c>
      <c r="L300" s="5">
        <f>100*('Parameter &lt;x, y&gt;'!N300-C300)/C300</f>
        <v>12.672221137364668</v>
      </c>
      <c r="M300" s="5">
        <f>100*('Parameter &lt;x, y&gt;'!S300-C300)/C300</f>
        <v>16.806613291674811</v>
      </c>
    </row>
    <row r="301" spans="1:13" ht="12.75" customHeight="1">
      <c r="A301" s="13"/>
      <c r="B301" s="5">
        <f>MIN('Parameter &lt;x, y&gt;'!B301,'Parameter &lt;x, y&gt;'!G301,'Parameter &lt;x, y&gt;'!L301,'Parameter &lt;x, y&gt;'!Q301)</f>
        <v>10782</v>
      </c>
      <c r="C301" s="5">
        <f>MIN('Parameter &lt;x, y&gt;'!D301,'Parameter &lt;x, y&gt;'!I301,'Parameter &lt;x, y&gt;'!N301,'Parameter &lt;x, y&gt;'!S301)</f>
        <v>10322.299999999999</v>
      </c>
      <c r="E301" s="5">
        <f>100*('Parameter &lt;x, y&gt;'!B301-B301)/B301</f>
        <v>7.4540901502504244</v>
      </c>
      <c r="F301" s="5">
        <f>100*('Parameter &lt;x, y&gt;'!G301-B301)/B301</f>
        <v>15.918196994991648</v>
      </c>
      <c r="G301" s="5">
        <f>100*('Parameter &lt;x, y&gt;'!L301-B301)/B301</f>
        <v>0</v>
      </c>
      <c r="H301" s="5">
        <f>100*('Parameter &lt;x, y&gt;'!Q301-B301)/B301</f>
        <v>24.11890187349286</v>
      </c>
      <c r="J301" s="5">
        <f>100*('Parameter &lt;x, y&gt;'!D301-C301)/C301</f>
        <v>5.9250360869186167</v>
      </c>
      <c r="K301" s="5">
        <f>100*('Parameter &lt;x, y&gt;'!I301-C301)/C301</f>
        <v>0</v>
      </c>
      <c r="L301" s="5">
        <f>100*('Parameter &lt;x, y&gt;'!N301-C301)/C301</f>
        <v>2.7736066574310096</v>
      </c>
      <c r="M301" s="5">
        <f>100*('Parameter &lt;x, y&gt;'!S301-C301)/C301</f>
        <v>14.316576731929912</v>
      </c>
    </row>
    <row r="302" spans="1:13" ht="12.75" customHeight="1">
      <c r="A302" s="13"/>
      <c r="B302" s="5">
        <f>MIN('Parameter &lt;x, y&gt;'!B302,'Parameter &lt;x, y&gt;'!G302,'Parameter &lt;x, y&gt;'!L302,'Parameter &lt;x, y&gt;'!Q302)</f>
        <v>9936.5</v>
      </c>
      <c r="C302" s="5">
        <f>MIN('Parameter &lt;x, y&gt;'!D302,'Parameter &lt;x, y&gt;'!I302,'Parameter &lt;x, y&gt;'!N302,'Parameter &lt;x, y&gt;'!S302)</f>
        <v>11048.3</v>
      </c>
      <c r="E302" s="5">
        <f>100*('Parameter &lt;x, y&gt;'!B302-B302)/B302</f>
        <v>12.856639661852766</v>
      </c>
      <c r="F302" s="5">
        <f>100*('Parameter &lt;x, y&gt;'!G302-B302)/B302</f>
        <v>0</v>
      </c>
      <c r="G302" s="5">
        <f>100*('Parameter &lt;x, y&gt;'!L302-B302)/B302</f>
        <v>15.632264882000699</v>
      </c>
      <c r="H302" s="5">
        <f>100*('Parameter &lt;x, y&gt;'!Q302-B302)/B302</f>
        <v>12.582901424042664</v>
      </c>
      <c r="J302" s="5">
        <f>100*('Parameter &lt;x, y&gt;'!D302-C302)/C302</f>
        <v>1.3667261026583277</v>
      </c>
      <c r="K302" s="5">
        <f>100*('Parameter &lt;x, y&gt;'!I302-C302)/C302</f>
        <v>0</v>
      </c>
      <c r="L302" s="5">
        <f>100*('Parameter &lt;x, y&gt;'!N302-C302)/C302</f>
        <v>2.8203434012472544</v>
      </c>
      <c r="M302" s="5">
        <f>100*('Parameter &lt;x, y&gt;'!S302-C302)/C302</f>
        <v>6.7657467664708602</v>
      </c>
    </row>
    <row r="303" spans="1:13" ht="12.75" customHeight="1">
      <c r="A303" s="37" t="s">
        <v>23</v>
      </c>
      <c r="B303" s="5">
        <f>MIN('Parameter &lt;x, y&gt;'!B303,'Parameter &lt;x, y&gt;'!G303,'Parameter &lt;x, y&gt;'!L303,'Parameter &lt;x, y&gt;'!Q303)</f>
        <v>76540.399999999994</v>
      </c>
      <c r="C303" s="5">
        <f>MIN('Parameter &lt;x, y&gt;'!D303,'Parameter &lt;x, y&gt;'!I303,'Parameter &lt;x, y&gt;'!N303,'Parameter &lt;x, y&gt;'!S303)</f>
        <v>73812.399999999994</v>
      </c>
      <c r="E303" s="5">
        <f>100*('Parameter &lt;x, y&gt;'!B303-B303)/B303</f>
        <v>23.938338446101668</v>
      </c>
      <c r="F303" s="5">
        <f>100*('Parameter &lt;x, y&gt;'!G303-B303)/B303</f>
        <v>47.33526346870412</v>
      </c>
      <c r="G303" s="5">
        <f>100*('Parameter &lt;x, y&gt;'!L303-B303)/B303</f>
        <v>15.712355827772004</v>
      </c>
      <c r="H303" s="5">
        <f>100*('Parameter &lt;x, y&gt;'!Q303-B303)/B303</f>
        <v>0</v>
      </c>
      <c r="J303" s="5">
        <f>100*('Parameter &lt;x, y&gt;'!D303-C303)/C303</f>
        <v>38.022879624561739</v>
      </c>
      <c r="K303" s="5">
        <f>100*('Parameter &lt;x, y&gt;'!I303-C303)/C303</f>
        <v>55.805799567552349</v>
      </c>
      <c r="L303" s="5">
        <f>100*('Parameter &lt;x, y&gt;'!N303-C303)/C303</f>
        <v>0</v>
      </c>
      <c r="M303" s="5">
        <f>100*('Parameter &lt;x, y&gt;'!S303-C303)/C303</f>
        <v>45.298079997398823</v>
      </c>
    </row>
    <row r="304" spans="1:13" ht="12.75" customHeight="1">
      <c r="A304" s="38"/>
      <c r="B304" s="5">
        <f>MIN('Parameter &lt;x, y&gt;'!B304,'Parameter &lt;x, y&gt;'!G304,'Parameter &lt;x, y&gt;'!L304,'Parameter &lt;x, y&gt;'!Q304)</f>
        <v>86453.1</v>
      </c>
      <c r="C304" s="5">
        <f>MIN('Parameter &lt;x, y&gt;'!D304,'Parameter &lt;x, y&gt;'!I304,'Parameter &lt;x, y&gt;'!N304,'Parameter &lt;x, y&gt;'!S304)</f>
        <v>63658.8</v>
      </c>
      <c r="E304" s="5">
        <f>100*('Parameter &lt;x, y&gt;'!B304-B304)/B304</f>
        <v>34.595520577052753</v>
      </c>
      <c r="F304" s="5">
        <f>100*('Parameter &lt;x, y&gt;'!G304-B304)/B304</f>
        <v>0</v>
      </c>
      <c r="G304" s="5">
        <f>100*('Parameter &lt;x, y&gt;'!L304-B304)/B304</f>
        <v>9.3641523554389483</v>
      </c>
      <c r="H304" s="5">
        <f>100*('Parameter &lt;x, y&gt;'!Q304-B304)/B304</f>
        <v>16.103413295763826</v>
      </c>
      <c r="J304" s="5">
        <f>100*('Parameter &lt;x, y&gt;'!D304-C304)/C304</f>
        <v>58.097545036978381</v>
      </c>
      <c r="K304" s="5">
        <f>100*('Parameter &lt;x, y&gt;'!I304-C304)/C304</f>
        <v>5.3155258974407351</v>
      </c>
      <c r="L304" s="5">
        <f>100*('Parameter &lt;x, y&gt;'!N304-C304)/C304</f>
        <v>73.840851539771407</v>
      </c>
      <c r="M304" s="5">
        <f>100*('Parameter &lt;x, y&gt;'!S304-C304)/C304</f>
        <v>0</v>
      </c>
    </row>
    <row r="305" spans="1:13" ht="12.75" customHeight="1">
      <c r="A305" s="38"/>
      <c r="B305" s="5">
        <f>MIN('Parameter &lt;x, y&gt;'!B305,'Parameter &lt;x, y&gt;'!G305,'Parameter &lt;x, y&gt;'!L305,'Parameter &lt;x, y&gt;'!Q305)</f>
        <v>69772.899999999994</v>
      </c>
      <c r="C305" s="5">
        <f>MIN('Parameter &lt;x, y&gt;'!D305,'Parameter &lt;x, y&gt;'!I305,'Parameter &lt;x, y&gt;'!N305,'Parameter &lt;x, y&gt;'!S305)</f>
        <v>66979.3</v>
      </c>
      <c r="E305" s="5">
        <f>100*('Parameter &lt;x, y&gt;'!B305-B305)/B305</f>
        <v>26.616064403228194</v>
      </c>
      <c r="F305" s="5">
        <f>100*('Parameter &lt;x, y&gt;'!G305-B305)/B305</f>
        <v>0</v>
      </c>
      <c r="G305" s="5">
        <f>100*('Parameter &lt;x, y&gt;'!L305-B305)/B305</f>
        <v>22.717989362632199</v>
      </c>
      <c r="H305" s="5">
        <f>100*('Parameter &lt;x, y&gt;'!Q305-B305)/B305</f>
        <v>22.718849295356801</v>
      </c>
      <c r="J305" s="5">
        <f>100*('Parameter &lt;x, y&gt;'!D305-C305)/C305</f>
        <v>38.416794442462077</v>
      </c>
      <c r="K305" s="5">
        <f>100*('Parameter &lt;x, y&gt;'!I305-C305)/C305</f>
        <v>40.067005776411506</v>
      </c>
      <c r="L305" s="5">
        <f>100*('Parameter &lt;x, y&gt;'!N305-C305)/C305</f>
        <v>0</v>
      </c>
      <c r="M305" s="5">
        <f>100*('Parameter &lt;x, y&gt;'!S305-C305)/C305</f>
        <v>17.120811952349449</v>
      </c>
    </row>
    <row r="306" spans="1:13" ht="12.75" customHeight="1">
      <c r="A306" s="38"/>
      <c r="B306" s="5">
        <f>MIN('Parameter &lt;x, y&gt;'!B306,'Parameter &lt;x, y&gt;'!G306,'Parameter &lt;x, y&gt;'!L306,'Parameter &lt;x, y&gt;'!Q306)</f>
        <v>76449.399999999994</v>
      </c>
      <c r="C306" s="5">
        <f>MIN('Parameter &lt;x, y&gt;'!D306,'Parameter &lt;x, y&gt;'!I306,'Parameter &lt;x, y&gt;'!N306,'Parameter &lt;x, y&gt;'!S306)</f>
        <v>76549</v>
      </c>
      <c r="E306" s="5">
        <f>100*('Parameter &lt;x, y&gt;'!B306-B306)/B306</f>
        <v>37.290809345789512</v>
      </c>
      <c r="F306" s="5">
        <f>100*('Parameter &lt;x, y&gt;'!G306-B306)/B306</f>
        <v>10.611986490410654</v>
      </c>
      <c r="G306" s="5">
        <f>100*('Parameter &lt;x, y&gt;'!L306-B306)/B306</f>
        <v>0</v>
      </c>
      <c r="H306" s="5">
        <f>100*('Parameter &lt;x, y&gt;'!Q306-B306)/B306</f>
        <v>12.55183166905169</v>
      </c>
      <c r="J306" s="5">
        <f>100*('Parameter &lt;x, y&gt;'!D306-C306)/C306</f>
        <v>22.410874080654224</v>
      </c>
      <c r="K306" s="5">
        <f>100*('Parameter &lt;x, y&gt;'!I306-C306)/C306</f>
        <v>28.826895191315362</v>
      </c>
      <c r="L306" s="5">
        <f>100*('Parameter &lt;x, y&gt;'!N306-C306)/C306</f>
        <v>0</v>
      </c>
      <c r="M306" s="5">
        <f>100*('Parameter &lt;x, y&gt;'!S306-C306)/C306</f>
        <v>11.866124965708231</v>
      </c>
    </row>
    <row r="307" spans="1:13" ht="12.75" customHeight="1">
      <c r="A307" s="38"/>
      <c r="B307" s="5">
        <f>MIN('Parameter &lt;x, y&gt;'!B307,'Parameter &lt;x, y&gt;'!G307,'Parameter &lt;x, y&gt;'!L307,'Parameter &lt;x, y&gt;'!Q307)</f>
        <v>117145</v>
      </c>
      <c r="C307" s="5">
        <f>MIN('Parameter &lt;x, y&gt;'!D307,'Parameter &lt;x, y&gt;'!I307,'Parameter &lt;x, y&gt;'!N307,'Parameter &lt;x, y&gt;'!S307)</f>
        <v>57976.7</v>
      </c>
      <c r="E307" s="5">
        <f>100*('Parameter &lt;x, y&gt;'!B307-B307)/B307</f>
        <v>17.683213111955268</v>
      </c>
      <c r="F307" s="5">
        <f>100*('Parameter &lt;x, y&gt;'!G307-B307)/B307</f>
        <v>22.373980963762857</v>
      </c>
      <c r="G307" s="5">
        <f>100*('Parameter &lt;x, y&gt;'!L307-B307)/B307</f>
        <v>24.190533100004266</v>
      </c>
      <c r="H307" s="5">
        <f>100*('Parameter &lt;x, y&gt;'!Q307-B307)/B307</f>
        <v>0</v>
      </c>
      <c r="J307" s="5">
        <f>100*('Parameter &lt;x, y&gt;'!D307-C307)/C307</f>
        <v>114.74143923334719</v>
      </c>
      <c r="K307" s="5">
        <f>100*('Parameter &lt;x, y&gt;'!I307-C307)/C307</f>
        <v>96.121890345604356</v>
      </c>
      <c r="L307" s="5">
        <f>100*('Parameter &lt;x, y&gt;'!N307-C307)/C307</f>
        <v>0</v>
      </c>
      <c r="M307" s="5">
        <f>100*('Parameter &lt;x, y&gt;'!S307-C307)/C307</f>
        <v>126.26848371845932</v>
      </c>
    </row>
    <row r="308" spans="1:13" ht="12.75" customHeight="1">
      <c r="A308" s="38"/>
      <c r="B308" s="5">
        <f>MIN('Parameter &lt;x, y&gt;'!B308,'Parameter &lt;x, y&gt;'!G308,'Parameter &lt;x, y&gt;'!L308,'Parameter &lt;x, y&gt;'!Q308)</f>
        <v>109897</v>
      </c>
      <c r="C308" s="5">
        <f>MIN('Parameter &lt;x, y&gt;'!D308,'Parameter &lt;x, y&gt;'!I308,'Parameter &lt;x, y&gt;'!N308,'Parameter &lt;x, y&gt;'!S308)</f>
        <v>68639.5</v>
      </c>
      <c r="E308" s="5">
        <f>100*('Parameter &lt;x, y&gt;'!B308-B308)/B308</f>
        <v>0</v>
      </c>
      <c r="F308" s="5">
        <f>100*('Parameter &lt;x, y&gt;'!G308-B308)/B308</f>
        <v>18.608333257504754</v>
      </c>
      <c r="G308" s="5">
        <f>100*('Parameter &lt;x, y&gt;'!L308-B308)/B308</f>
        <v>0.98364832525000678</v>
      </c>
      <c r="H308" s="5">
        <f>100*('Parameter &lt;x, y&gt;'!Q308-B308)/B308</f>
        <v>6.616195164563182</v>
      </c>
      <c r="J308" s="5">
        <f>100*('Parameter &lt;x, y&gt;'!D308-C308)/C308</f>
        <v>0</v>
      </c>
      <c r="K308" s="5">
        <f>100*('Parameter &lt;x, y&gt;'!I308-C308)/C308</f>
        <v>34.721261081447274</v>
      </c>
      <c r="L308" s="5">
        <f>100*('Parameter &lt;x, y&gt;'!N308-C308)/C308</f>
        <v>20.843683301888856</v>
      </c>
      <c r="M308" s="5">
        <f>100*('Parameter &lt;x, y&gt;'!S308-C308)/C308</f>
        <v>56.758134893173754</v>
      </c>
    </row>
    <row r="309" spans="1:13" ht="12.75" customHeight="1">
      <c r="A309" s="38"/>
      <c r="B309" s="5">
        <f>MIN('Parameter &lt;x, y&gt;'!B309,'Parameter &lt;x, y&gt;'!G309,'Parameter &lt;x, y&gt;'!L309,'Parameter &lt;x, y&gt;'!Q309)</f>
        <v>59112.2</v>
      </c>
      <c r="C309" s="5">
        <f>MIN('Parameter &lt;x, y&gt;'!D309,'Parameter &lt;x, y&gt;'!I309,'Parameter &lt;x, y&gt;'!N309,'Parameter &lt;x, y&gt;'!S309)</f>
        <v>66932.899999999994</v>
      </c>
      <c r="E309" s="5">
        <f>100*('Parameter &lt;x, y&gt;'!B309-B309)/B309</f>
        <v>14.265583077604958</v>
      </c>
      <c r="F309" s="5">
        <f>100*('Parameter &lt;x, y&gt;'!G309-B309)/B309</f>
        <v>0</v>
      </c>
      <c r="G309" s="5">
        <f>100*('Parameter &lt;x, y&gt;'!L309-B309)/B309</f>
        <v>19.231732197414413</v>
      </c>
      <c r="H309" s="5">
        <f>100*('Parameter &lt;x, y&gt;'!Q309-B309)/B309</f>
        <v>3.5711748167045045</v>
      </c>
      <c r="J309" s="5">
        <f>100*('Parameter &lt;x, y&gt;'!D309-C309)/C309</f>
        <v>40.27959344358306</v>
      </c>
      <c r="K309" s="5">
        <f>100*('Parameter &lt;x, y&gt;'!I309-C309)/C309</f>
        <v>1.2254063397820978</v>
      </c>
      <c r="L309" s="5">
        <f>100*('Parameter &lt;x, y&gt;'!N309-C309)/C309</f>
        <v>0</v>
      </c>
      <c r="M309" s="5">
        <f>100*('Parameter &lt;x, y&gt;'!S309-C309)/C309</f>
        <v>4.6994826161723164</v>
      </c>
    </row>
    <row r="310" spans="1:13" ht="12.75" customHeight="1">
      <c r="A310" s="38"/>
      <c r="B310" s="5">
        <f>MIN('Parameter &lt;x, y&gt;'!B310,'Parameter &lt;x, y&gt;'!G310,'Parameter &lt;x, y&gt;'!L310,'Parameter &lt;x, y&gt;'!Q310)</f>
        <v>88693.5</v>
      </c>
      <c r="C310" s="5">
        <f>MIN('Parameter &lt;x, y&gt;'!D310,'Parameter &lt;x, y&gt;'!I310,'Parameter &lt;x, y&gt;'!N310,'Parameter &lt;x, y&gt;'!S310)</f>
        <v>66482.3</v>
      </c>
      <c r="E310" s="5">
        <f>100*('Parameter &lt;x, y&gt;'!B310-B310)/B310</f>
        <v>56.866061210798989</v>
      </c>
      <c r="F310" s="5">
        <f>100*('Parameter &lt;x, y&gt;'!G310-B310)/B310</f>
        <v>17.011956907777908</v>
      </c>
      <c r="G310" s="5">
        <f>100*('Parameter &lt;x, y&gt;'!L310-B310)/B310</f>
        <v>18.618613539887367</v>
      </c>
      <c r="H310" s="5">
        <f>100*('Parameter &lt;x, y&gt;'!Q310-B310)/B310</f>
        <v>0</v>
      </c>
      <c r="J310" s="5">
        <f>100*('Parameter &lt;x, y&gt;'!D310-C310)/C310</f>
        <v>0</v>
      </c>
      <c r="K310" s="5">
        <f>100*('Parameter &lt;x, y&gt;'!I310-C310)/C310</f>
        <v>79.816281927670971</v>
      </c>
      <c r="L310" s="5">
        <f>100*('Parameter &lt;x, y&gt;'!N310-C310)/C310</f>
        <v>57.650983795686962</v>
      </c>
      <c r="M310" s="5">
        <f>100*('Parameter &lt;x, y&gt;'!S310-C310)/C310</f>
        <v>63.123116980008213</v>
      </c>
    </row>
    <row r="311" spans="1:13" ht="12.75" customHeight="1">
      <c r="A311" s="38"/>
      <c r="B311" s="5">
        <f>MIN('Parameter &lt;x, y&gt;'!B311,'Parameter &lt;x, y&gt;'!G311,'Parameter &lt;x, y&gt;'!L311,'Parameter &lt;x, y&gt;'!Q311)</f>
        <v>86295.3</v>
      </c>
      <c r="C311" s="5">
        <f>MIN('Parameter &lt;x, y&gt;'!D311,'Parameter &lt;x, y&gt;'!I311,'Parameter &lt;x, y&gt;'!N311,'Parameter &lt;x, y&gt;'!S311)</f>
        <v>60837.5</v>
      </c>
      <c r="E311" s="5">
        <f>100*('Parameter &lt;x, y&gt;'!B311-B311)/B311</f>
        <v>0</v>
      </c>
      <c r="F311" s="5">
        <f>100*('Parameter &lt;x, y&gt;'!G311-B311)/B311</f>
        <v>4.0538708365345535</v>
      </c>
      <c r="G311" s="5">
        <f>100*('Parameter &lt;x, y&gt;'!L311-B311)/B311</f>
        <v>25.490032481490875</v>
      </c>
      <c r="H311" s="5">
        <f>100*('Parameter &lt;x, y&gt;'!Q311-B311)/B311</f>
        <v>28.878397780643898</v>
      </c>
      <c r="J311" s="5">
        <f>100*('Parameter &lt;x, y&gt;'!D311-C311)/C311</f>
        <v>37.306759810971855</v>
      </c>
      <c r="K311" s="5">
        <f>100*('Parameter &lt;x, y&gt;'!I311-C311)/C311</f>
        <v>5.8182864187384382</v>
      </c>
      <c r="L311" s="5">
        <f>100*('Parameter &lt;x, y&gt;'!N311-C311)/C311</f>
        <v>0</v>
      </c>
      <c r="M311" s="5">
        <f>100*('Parameter &lt;x, y&gt;'!S311-C311)/C311</f>
        <v>13.893240189028152</v>
      </c>
    </row>
    <row r="312" spans="1:13" ht="12.75" customHeight="1">
      <c r="A312" s="38"/>
      <c r="B312" s="5">
        <f>MIN('Parameter &lt;x, y&gt;'!B312,'Parameter &lt;x, y&gt;'!G312,'Parameter &lt;x, y&gt;'!L312,'Parameter &lt;x, y&gt;'!Q312)</f>
        <v>73533.399999999994</v>
      </c>
      <c r="C312" s="5">
        <f>MIN('Parameter &lt;x, y&gt;'!D312,'Parameter &lt;x, y&gt;'!I312,'Parameter &lt;x, y&gt;'!N312,'Parameter &lt;x, y&gt;'!S312)</f>
        <v>81535.899999999994</v>
      </c>
      <c r="E312" s="5">
        <f>100*('Parameter &lt;x, y&gt;'!B312-B312)/B312</f>
        <v>31.784060032583849</v>
      </c>
      <c r="F312" s="5">
        <f>100*('Parameter &lt;x, y&gt;'!G312-B312)/B312</f>
        <v>42.297241797604904</v>
      </c>
      <c r="G312" s="5">
        <f>100*('Parameter &lt;x, y&gt;'!L312-B312)/B312</f>
        <v>38.369774823413586</v>
      </c>
      <c r="H312" s="5">
        <f>100*('Parameter &lt;x, y&gt;'!Q312-B312)/B312</f>
        <v>0</v>
      </c>
      <c r="J312" s="5">
        <f>100*('Parameter &lt;x, y&gt;'!D312-C312)/C312</f>
        <v>44.611146746402511</v>
      </c>
      <c r="K312" s="5">
        <f>100*('Parameter &lt;x, y&gt;'!I312-C312)/C312</f>
        <v>41.136603631038604</v>
      </c>
      <c r="L312" s="5">
        <f>100*('Parameter &lt;x, y&gt;'!N312-C312)/C312</f>
        <v>14.658328417298396</v>
      </c>
      <c r="M312" s="5">
        <f>100*('Parameter &lt;x, y&gt;'!S312-C312)/C312</f>
        <v>0</v>
      </c>
    </row>
    <row r="313" spans="1:13" ht="12.75" customHeight="1">
      <c r="A313" s="38"/>
      <c r="B313" s="5">
        <f>MIN('Parameter &lt;x, y&gt;'!B313,'Parameter &lt;x, y&gt;'!G313,'Parameter &lt;x, y&gt;'!L313,'Parameter &lt;x, y&gt;'!Q313)</f>
        <v>105247</v>
      </c>
      <c r="C313" s="5">
        <f>MIN('Parameter &lt;x, y&gt;'!D313,'Parameter &lt;x, y&gt;'!I313,'Parameter &lt;x, y&gt;'!N313,'Parameter &lt;x, y&gt;'!S313)</f>
        <v>62145.4</v>
      </c>
      <c r="E313" s="5">
        <f>100*('Parameter &lt;x, y&gt;'!B313-B313)/B313</f>
        <v>49.955818218096475</v>
      </c>
      <c r="F313" s="5">
        <f>100*('Parameter &lt;x, y&gt;'!G313-B313)/B313</f>
        <v>30.454074700466521</v>
      </c>
      <c r="G313" s="5">
        <f>100*('Parameter &lt;x, y&gt;'!L313-B313)/B313</f>
        <v>0</v>
      </c>
      <c r="H313" s="5">
        <f>100*('Parameter &lt;x, y&gt;'!Q313-B313)/B313</f>
        <v>2.3012532423727041</v>
      </c>
      <c r="J313" s="5">
        <f>100*('Parameter &lt;x, y&gt;'!D313-C313)/C313</f>
        <v>83.695012020197794</v>
      </c>
      <c r="K313" s="5">
        <f>100*('Parameter &lt;x, y&gt;'!I313-C313)/C313</f>
        <v>91.042297579547323</v>
      </c>
      <c r="L313" s="5">
        <f>100*('Parameter &lt;x, y&gt;'!N313-C313)/C313</f>
        <v>0</v>
      </c>
      <c r="M313" s="5">
        <f>100*('Parameter &lt;x, y&gt;'!S313-C313)/C313</f>
        <v>73.525313217068359</v>
      </c>
    </row>
    <row r="314" spans="1:13" ht="12.75" customHeight="1">
      <c r="A314" s="38"/>
      <c r="B314" s="5">
        <f>MIN('Parameter &lt;x, y&gt;'!B314,'Parameter &lt;x, y&gt;'!G314,'Parameter &lt;x, y&gt;'!L314,'Parameter &lt;x, y&gt;'!Q314)</f>
        <v>69838</v>
      </c>
      <c r="C314" s="5">
        <f>MIN('Parameter &lt;x, y&gt;'!D314,'Parameter &lt;x, y&gt;'!I314,'Parameter &lt;x, y&gt;'!N314,'Parameter &lt;x, y&gt;'!S314)</f>
        <v>55120.800000000003</v>
      </c>
      <c r="E314" s="5">
        <f>100*('Parameter &lt;x, y&gt;'!B314-B314)/B314</f>
        <v>26.957243907328383</v>
      </c>
      <c r="F314" s="5">
        <f>100*('Parameter &lt;x, y&gt;'!G314-B314)/B314</f>
        <v>20.02104871273519</v>
      </c>
      <c r="G314" s="5">
        <f>100*('Parameter &lt;x, y&gt;'!L314-B314)/B314</f>
        <v>0</v>
      </c>
      <c r="H314" s="5">
        <f>100*('Parameter &lt;x, y&gt;'!Q314-B314)/B314</f>
        <v>55.773361207365618</v>
      </c>
      <c r="J314" s="5">
        <f>100*('Parameter &lt;x, y&gt;'!D314-C314)/C314</f>
        <v>12.941575593968157</v>
      </c>
      <c r="K314" s="5">
        <f>100*('Parameter &lt;x, y&gt;'!I314-C314)/C314</f>
        <v>0</v>
      </c>
      <c r="L314" s="5">
        <f>100*('Parameter &lt;x, y&gt;'!N314-C314)/C314</f>
        <v>49.886612676158535</v>
      </c>
      <c r="M314" s="5">
        <f>100*('Parameter &lt;x, y&gt;'!S314-C314)/C314</f>
        <v>22.878840655433155</v>
      </c>
    </row>
    <row r="315" spans="1:13" ht="12.75" customHeight="1">
      <c r="A315" s="38"/>
      <c r="B315" s="5">
        <f>MIN('Parameter &lt;x, y&gt;'!B315,'Parameter &lt;x, y&gt;'!G315,'Parameter &lt;x, y&gt;'!L315,'Parameter &lt;x, y&gt;'!Q315)</f>
        <v>92196.800000000003</v>
      </c>
      <c r="C315" s="5">
        <f>MIN('Parameter &lt;x, y&gt;'!D315,'Parameter &lt;x, y&gt;'!I315,'Parameter &lt;x, y&gt;'!N315,'Parameter &lt;x, y&gt;'!S315)</f>
        <v>56845</v>
      </c>
      <c r="E315" s="5">
        <f>100*('Parameter &lt;x, y&gt;'!B315-B315)/B315</f>
        <v>8.7738403068219259</v>
      </c>
      <c r="F315" s="5">
        <f>100*('Parameter &lt;x, y&gt;'!G315-B315)/B315</f>
        <v>42.744650573555688</v>
      </c>
      <c r="G315" s="5">
        <f>100*('Parameter &lt;x, y&gt;'!L315-B315)/B315</f>
        <v>5.0021258872325314</v>
      </c>
      <c r="H315" s="5">
        <f>100*('Parameter &lt;x, y&gt;'!Q315-B315)/B315</f>
        <v>0</v>
      </c>
      <c r="J315" s="5">
        <f>100*('Parameter &lt;x, y&gt;'!D315-C315)/C315</f>
        <v>0</v>
      </c>
      <c r="K315" s="5">
        <f>100*('Parameter &lt;x, y&gt;'!I315-C315)/C315</f>
        <v>54.631190078283062</v>
      </c>
      <c r="L315" s="5">
        <f>100*('Parameter &lt;x, y&gt;'!N315-C315)/C315</f>
        <v>43.138710528630476</v>
      </c>
      <c r="M315" s="5">
        <f>100*('Parameter &lt;x, y&gt;'!S315-C315)/C315</f>
        <v>38.103087342774202</v>
      </c>
    </row>
    <row r="316" spans="1:13" ht="12.75" customHeight="1">
      <c r="A316" s="38"/>
      <c r="B316" s="5">
        <f>MIN('Parameter &lt;x, y&gt;'!B316,'Parameter &lt;x, y&gt;'!G316,'Parameter &lt;x, y&gt;'!L316,'Parameter &lt;x, y&gt;'!Q316)</f>
        <v>79637.2</v>
      </c>
      <c r="C316" s="5">
        <f>MIN('Parameter &lt;x, y&gt;'!D316,'Parameter &lt;x, y&gt;'!I316,'Parameter &lt;x, y&gt;'!N316,'Parameter &lt;x, y&gt;'!S316)</f>
        <v>70103.5</v>
      </c>
      <c r="E316" s="5">
        <f>100*('Parameter &lt;x, y&gt;'!B316-B316)/B316</f>
        <v>8.5738825573978001</v>
      </c>
      <c r="F316" s="5">
        <f>100*('Parameter &lt;x, y&gt;'!G316-B316)/B316</f>
        <v>0</v>
      </c>
      <c r="G316" s="5">
        <f>100*('Parameter &lt;x, y&gt;'!L316-B316)/B316</f>
        <v>86.775778153928073</v>
      </c>
      <c r="H316" s="5">
        <f>100*('Parameter &lt;x, y&gt;'!Q316-B316)/B316</f>
        <v>21.045189936361403</v>
      </c>
      <c r="J316" s="5">
        <f>100*('Parameter &lt;x, y&gt;'!D316-C316)/C316</f>
        <v>17.003145349376283</v>
      </c>
      <c r="K316" s="5">
        <f>100*('Parameter &lt;x, y&gt;'!I316-C316)/C316</f>
        <v>0</v>
      </c>
      <c r="L316" s="5">
        <f>100*('Parameter &lt;x, y&gt;'!N316-C316)/C316</f>
        <v>42.908699280349765</v>
      </c>
      <c r="M316" s="5">
        <f>100*('Parameter &lt;x, y&gt;'!S316-C316)/C316</f>
        <v>14.129394395429612</v>
      </c>
    </row>
    <row r="317" spans="1:13" ht="12.75" customHeight="1">
      <c r="A317" s="38"/>
      <c r="B317" s="5">
        <f>MIN('Parameter &lt;x, y&gt;'!B317,'Parameter &lt;x, y&gt;'!G317,'Parameter &lt;x, y&gt;'!L317,'Parameter &lt;x, y&gt;'!Q317)</f>
        <v>79527.899999999994</v>
      </c>
      <c r="C317" s="5">
        <f>MIN('Parameter &lt;x, y&gt;'!D317,'Parameter &lt;x, y&gt;'!I317,'Parameter &lt;x, y&gt;'!N317,'Parameter &lt;x, y&gt;'!S317)</f>
        <v>47841.5</v>
      </c>
      <c r="E317" s="5">
        <f>100*('Parameter &lt;x, y&gt;'!B317-B317)/B317</f>
        <v>0</v>
      </c>
      <c r="F317" s="5">
        <f>100*('Parameter &lt;x, y&gt;'!G317-B317)/B317</f>
        <v>3.2220139095839433</v>
      </c>
      <c r="G317" s="5">
        <f>100*('Parameter &lt;x, y&gt;'!L317-B317)/B317</f>
        <v>28.215381017227923</v>
      </c>
      <c r="H317" s="5">
        <f>100*('Parameter &lt;x, y&gt;'!Q317-B317)/B317</f>
        <v>8.8214324784132376</v>
      </c>
      <c r="J317" s="5">
        <f>100*('Parameter &lt;x, y&gt;'!D317-C317)/C317</f>
        <v>33.767544913934557</v>
      </c>
      <c r="K317" s="5">
        <f>100*('Parameter &lt;x, y&gt;'!I317-C317)/C317</f>
        <v>3.3414504143891781</v>
      </c>
      <c r="L317" s="5">
        <f>100*('Parameter &lt;x, y&gt;'!N317-C317)/C317</f>
        <v>0</v>
      </c>
      <c r="M317" s="5">
        <f>100*('Parameter &lt;x, y&gt;'!S317-C317)/C317</f>
        <v>13.140474274427012</v>
      </c>
    </row>
    <row r="318" spans="1:13" ht="12.75" customHeight="1">
      <c r="A318" s="38"/>
      <c r="B318" s="5">
        <f>MIN('Parameter &lt;x, y&gt;'!B318,'Parameter &lt;x, y&gt;'!G318,'Parameter &lt;x, y&gt;'!L318,'Parameter &lt;x, y&gt;'!Q318)</f>
        <v>71870.3</v>
      </c>
      <c r="C318" s="5">
        <f>MIN('Parameter &lt;x, y&gt;'!D318,'Parameter &lt;x, y&gt;'!I318,'Parameter &lt;x, y&gt;'!N318,'Parameter &lt;x, y&gt;'!S318)</f>
        <v>73188.2</v>
      </c>
      <c r="E318" s="5">
        <f>100*('Parameter &lt;x, y&gt;'!B318-B318)/B318</f>
        <v>31.215397737312895</v>
      </c>
      <c r="F318" s="5">
        <f>100*('Parameter &lt;x, y&gt;'!G318-B318)/B318</f>
        <v>28.19342621360979</v>
      </c>
      <c r="G318" s="5">
        <f>100*('Parameter &lt;x, y&gt;'!L318-B318)/B318</f>
        <v>69.271590629230715</v>
      </c>
      <c r="H318" s="5">
        <f>100*('Parameter &lt;x, y&gt;'!Q318-B318)/B318</f>
        <v>0</v>
      </c>
      <c r="J318" s="5">
        <f>100*('Parameter &lt;x, y&gt;'!D318-C318)/C318</f>
        <v>49.495410462342299</v>
      </c>
      <c r="K318" s="5">
        <f>100*('Parameter &lt;x, y&gt;'!I318-C318)/C318</f>
        <v>39.803957468553683</v>
      </c>
      <c r="L318" s="5">
        <f>100*('Parameter &lt;x, y&gt;'!N318-C318)/C318</f>
        <v>20.162813131078511</v>
      </c>
      <c r="M318" s="5">
        <f>100*('Parameter &lt;x, y&gt;'!S318-C318)/C318</f>
        <v>0</v>
      </c>
    </row>
    <row r="319" spans="1:13" ht="12.75" customHeight="1">
      <c r="A319" s="38"/>
      <c r="B319" s="5">
        <f>MIN('Parameter &lt;x, y&gt;'!B319,'Parameter &lt;x, y&gt;'!G319,'Parameter &lt;x, y&gt;'!L319,'Parameter &lt;x, y&gt;'!Q319)</f>
        <v>69800.100000000006</v>
      </c>
      <c r="C319" s="5">
        <f>MIN('Parameter &lt;x, y&gt;'!D319,'Parameter &lt;x, y&gt;'!I319,'Parameter &lt;x, y&gt;'!N319,'Parameter &lt;x, y&gt;'!S319)</f>
        <v>54102.3</v>
      </c>
      <c r="E319" s="5">
        <f>100*('Parameter &lt;x, y&gt;'!B319-B319)/B319</f>
        <v>0</v>
      </c>
      <c r="F319" s="5">
        <f>100*('Parameter &lt;x, y&gt;'!G319-B319)/B319</f>
        <v>60.756216681637973</v>
      </c>
      <c r="G319" s="5">
        <f>100*('Parameter &lt;x, y&gt;'!L319-B319)/B319</f>
        <v>37.153098634529165</v>
      </c>
      <c r="H319" s="5">
        <f>100*('Parameter &lt;x, y&gt;'!Q319-B319)/B319</f>
        <v>23.067015663301323</v>
      </c>
      <c r="J319" s="5">
        <f>100*('Parameter &lt;x, y&gt;'!D319-C319)/C319</f>
        <v>169.99776349619145</v>
      </c>
      <c r="K319" s="5">
        <f>100*('Parameter &lt;x, y&gt;'!I319-C319)/C319</f>
        <v>0</v>
      </c>
      <c r="L319" s="5">
        <f>100*('Parameter &lt;x, y&gt;'!N319-C319)/C319</f>
        <v>17.397227104947468</v>
      </c>
      <c r="M319" s="5">
        <f>100*('Parameter &lt;x, y&gt;'!S319-C319)/C319</f>
        <v>49.403260120179738</v>
      </c>
    </row>
    <row r="320" spans="1:13" ht="12.75" customHeight="1">
      <c r="A320" s="38"/>
      <c r="B320" s="5">
        <f>MIN('Parameter &lt;x, y&gt;'!B320,'Parameter &lt;x, y&gt;'!G320,'Parameter &lt;x, y&gt;'!L320,'Parameter &lt;x, y&gt;'!Q320)</f>
        <v>67651.5</v>
      </c>
      <c r="C320" s="5">
        <f>MIN('Parameter &lt;x, y&gt;'!D320,'Parameter &lt;x, y&gt;'!I320,'Parameter &lt;x, y&gt;'!N320,'Parameter &lt;x, y&gt;'!S320)</f>
        <v>48785.599999999999</v>
      </c>
      <c r="E320" s="5">
        <f>100*('Parameter &lt;x, y&gt;'!B320-B320)/B320</f>
        <v>17.214843721129618</v>
      </c>
      <c r="F320" s="5">
        <f>100*('Parameter &lt;x, y&gt;'!G320-B320)/B320</f>
        <v>22.867933453064602</v>
      </c>
      <c r="G320" s="5">
        <f>100*('Parameter &lt;x, y&gt;'!L320-B320)/B320</f>
        <v>19.820255278892557</v>
      </c>
      <c r="H320" s="5">
        <f>100*('Parameter &lt;x, y&gt;'!Q320-B320)/B320</f>
        <v>0</v>
      </c>
      <c r="J320" s="5">
        <f>100*('Parameter &lt;x, y&gt;'!D320-C320)/C320</f>
        <v>33.881719195828282</v>
      </c>
      <c r="K320" s="5">
        <f>100*('Parameter &lt;x, y&gt;'!I320-C320)/C320</f>
        <v>16.279188940998985</v>
      </c>
      <c r="L320" s="5">
        <f>100*('Parameter &lt;x, y&gt;'!N320-C320)/C320</f>
        <v>0</v>
      </c>
      <c r="M320" s="5">
        <f>100*('Parameter &lt;x, y&gt;'!S320-C320)/C320</f>
        <v>107.64733855891903</v>
      </c>
    </row>
    <row r="321" spans="1:13" ht="12.75" customHeight="1">
      <c r="A321" s="38"/>
      <c r="B321" s="5">
        <f>MIN('Parameter &lt;x, y&gt;'!B321,'Parameter &lt;x, y&gt;'!G321,'Parameter &lt;x, y&gt;'!L321,'Parameter &lt;x, y&gt;'!Q321)</f>
        <v>54745.8</v>
      </c>
      <c r="C321" s="5">
        <f>MIN('Parameter &lt;x, y&gt;'!D321,'Parameter &lt;x, y&gt;'!I321,'Parameter &lt;x, y&gt;'!N321,'Parameter &lt;x, y&gt;'!S321)</f>
        <v>49657.7</v>
      </c>
      <c r="E321" s="5">
        <f>100*('Parameter &lt;x, y&gt;'!B321-B321)/B321</f>
        <v>23.78136770309321</v>
      </c>
      <c r="F321" s="5">
        <f>100*('Parameter &lt;x, y&gt;'!G321-B321)/B321</f>
        <v>3.8035794526703337</v>
      </c>
      <c r="G321" s="5">
        <f>100*('Parameter &lt;x, y&gt;'!L321-B321)/B321</f>
        <v>0</v>
      </c>
      <c r="H321" s="5">
        <f>100*('Parameter &lt;x, y&gt;'!Q321-B321)/B321</f>
        <v>41.984225273902268</v>
      </c>
      <c r="J321" s="5">
        <f>100*('Parameter &lt;x, y&gt;'!D321-C321)/C321</f>
        <v>28.683567704505052</v>
      </c>
      <c r="K321" s="5">
        <f>100*('Parameter &lt;x, y&gt;'!I321-C321)/C321</f>
        <v>5.7729214200416141</v>
      </c>
      <c r="L321" s="5">
        <f>100*('Parameter &lt;x, y&gt;'!N321-C321)/C321</f>
        <v>0</v>
      </c>
      <c r="M321" s="5">
        <f>100*('Parameter &lt;x, y&gt;'!S321-C321)/C321</f>
        <v>21.434339488135784</v>
      </c>
    </row>
    <row r="322" spans="1:13" ht="12.75" customHeight="1">
      <c r="A322" s="38"/>
      <c r="B322" s="5">
        <f>MIN('Parameter &lt;x, y&gt;'!B322,'Parameter &lt;x, y&gt;'!G322,'Parameter &lt;x, y&gt;'!L322,'Parameter &lt;x, y&gt;'!Q322)</f>
        <v>77435</v>
      </c>
      <c r="C322" s="5">
        <f>MIN('Parameter &lt;x, y&gt;'!D322,'Parameter &lt;x, y&gt;'!I322,'Parameter &lt;x, y&gt;'!N322,'Parameter &lt;x, y&gt;'!S322)</f>
        <v>75156.5</v>
      </c>
      <c r="E322" s="5">
        <f>100*('Parameter &lt;x, y&gt;'!B322-B322)/B322</f>
        <v>2.4877639310389283</v>
      </c>
      <c r="F322" s="5">
        <f>100*('Parameter &lt;x, y&gt;'!G322-B322)/B322</f>
        <v>40.933686317556663</v>
      </c>
      <c r="G322" s="5">
        <f>100*('Parameter &lt;x, y&gt;'!L322-B322)/B322</f>
        <v>0</v>
      </c>
      <c r="H322" s="5">
        <f>100*('Parameter &lt;x, y&gt;'!Q322-B322)/B322</f>
        <v>34.392716471879638</v>
      </c>
      <c r="J322" s="5">
        <f>100*('Parameter &lt;x, y&gt;'!D322-C322)/C322</f>
        <v>5.2928223107781687</v>
      </c>
      <c r="K322" s="5">
        <f>100*('Parameter &lt;x, y&gt;'!I322-C322)/C322</f>
        <v>14.551502531384505</v>
      </c>
      <c r="L322" s="5">
        <f>100*('Parameter &lt;x, y&gt;'!N322-C322)/C322</f>
        <v>0</v>
      </c>
      <c r="M322" s="5">
        <f>100*('Parameter &lt;x, y&gt;'!S322-C322)/C322</f>
        <v>1.7583309494188792</v>
      </c>
    </row>
    <row r="323" spans="1:13" ht="12.75" customHeight="1">
      <c r="A323" s="38"/>
      <c r="B323" s="5">
        <f>MIN('Parameter &lt;x, y&gt;'!B323,'Parameter &lt;x, y&gt;'!G323,'Parameter &lt;x, y&gt;'!L323,'Parameter &lt;x, y&gt;'!Q323)</f>
        <v>75490.899999999994</v>
      </c>
      <c r="C323" s="5">
        <f>MIN('Parameter &lt;x, y&gt;'!D323,'Parameter &lt;x, y&gt;'!I323,'Parameter &lt;x, y&gt;'!N323,'Parameter &lt;x, y&gt;'!S323)</f>
        <v>63994.5</v>
      </c>
      <c r="E323" s="5">
        <f>100*('Parameter &lt;x, y&gt;'!B323-B323)/B323</f>
        <v>5.6699549217190457</v>
      </c>
      <c r="F323" s="5">
        <f>100*('Parameter &lt;x, y&gt;'!G323-B323)/B323</f>
        <v>0</v>
      </c>
      <c r="G323" s="5">
        <f>100*('Parameter &lt;x, y&gt;'!L323-B323)/B323</f>
        <v>5.0135844187842551</v>
      </c>
      <c r="H323" s="5">
        <f>100*('Parameter &lt;x, y&gt;'!Q323-B323)/B323</f>
        <v>10.488681417230422</v>
      </c>
      <c r="J323" s="5">
        <f>100*('Parameter &lt;x, y&gt;'!D323-C323)/C323</f>
        <v>43.501707177960597</v>
      </c>
      <c r="K323" s="5">
        <f>100*('Parameter &lt;x, y&gt;'!I323-C323)/C323</f>
        <v>81.67498769425498</v>
      </c>
      <c r="L323" s="5">
        <f>100*('Parameter &lt;x, y&gt;'!N323-C323)/C323</f>
        <v>59.126174905655958</v>
      </c>
      <c r="M323" s="5">
        <f>100*('Parameter &lt;x, y&gt;'!S323-C323)/C323</f>
        <v>0</v>
      </c>
    </row>
    <row r="324" spans="1:13" ht="12.75" customHeight="1">
      <c r="A324" s="38"/>
      <c r="B324" s="5">
        <f>MIN('Parameter &lt;x, y&gt;'!B324,'Parameter &lt;x, y&gt;'!G324,'Parameter &lt;x, y&gt;'!L324,'Parameter &lt;x, y&gt;'!Q324)</f>
        <v>68461.2</v>
      </c>
      <c r="C324" s="5">
        <f>MIN('Parameter &lt;x, y&gt;'!D324,'Parameter &lt;x, y&gt;'!I324,'Parameter &lt;x, y&gt;'!N324,'Parameter &lt;x, y&gt;'!S324)</f>
        <v>56822.6</v>
      </c>
      <c r="E324" s="5">
        <f>100*('Parameter &lt;x, y&gt;'!B324-B324)/B324</f>
        <v>36.514405239756236</v>
      </c>
      <c r="F324" s="5">
        <f>100*('Parameter &lt;x, y&gt;'!G324-B324)/B324</f>
        <v>0</v>
      </c>
      <c r="G324" s="5">
        <f>100*('Parameter &lt;x, y&gt;'!L324-B324)/B324</f>
        <v>34.721564915601839</v>
      </c>
      <c r="H324" s="5">
        <f>100*('Parameter &lt;x, y&gt;'!Q324-B324)/B324</f>
        <v>19.295893148235788</v>
      </c>
      <c r="J324" s="5">
        <f>100*('Parameter &lt;x, y&gt;'!D324-C324)/C324</f>
        <v>15.107017278336444</v>
      </c>
      <c r="K324" s="5">
        <f>100*('Parameter &lt;x, y&gt;'!I324-C324)/C324</f>
        <v>0</v>
      </c>
      <c r="L324" s="5">
        <f>100*('Parameter &lt;x, y&gt;'!N324-C324)/C324</f>
        <v>44.2230732138269</v>
      </c>
      <c r="M324" s="5">
        <f>100*('Parameter &lt;x, y&gt;'!S324-C324)/C324</f>
        <v>0.36622752214787524</v>
      </c>
    </row>
    <row r="325" spans="1:13" ht="12.75" customHeight="1">
      <c r="A325" s="38"/>
      <c r="B325" s="5">
        <f>MIN('Parameter &lt;x, y&gt;'!B325,'Parameter &lt;x, y&gt;'!G325,'Parameter &lt;x, y&gt;'!L325,'Parameter &lt;x, y&gt;'!Q325)</f>
        <v>68189.7</v>
      </c>
      <c r="C325" s="5">
        <f>MIN('Parameter &lt;x, y&gt;'!D325,'Parameter &lt;x, y&gt;'!I325,'Parameter &lt;x, y&gt;'!N325,'Parameter &lt;x, y&gt;'!S325)</f>
        <v>65552</v>
      </c>
      <c r="E325" s="5">
        <f>100*('Parameter &lt;x, y&gt;'!B325-B325)/B325</f>
        <v>8.5892737466215578</v>
      </c>
      <c r="F325" s="5">
        <f>100*('Parameter &lt;x, y&gt;'!G325-B325)/B325</f>
        <v>29.05145498513706</v>
      </c>
      <c r="G325" s="5">
        <f>100*('Parameter &lt;x, y&gt;'!L325-B325)/B325</f>
        <v>0</v>
      </c>
      <c r="H325" s="5">
        <f>100*('Parameter &lt;x, y&gt;'!Q325-B325)/B325</f>
        <v>19.561751994802741</v>
      </c>
      <c r="J325" s="5">
        <f>100*('Parameter &lt;x, y&gt;'!D325-C325)/C325</f>
        <v>0</v>
      </c>
      <c r="K325" s="5">
        <f>100*('Parameter &lt;x, y&gt;'!I325-C325)/C325</f>
        <v>19.902215035391755</v>
      </c>
      <c r="L325" s="5">
        <f>100*('Parameter &lt;x, y&gt;'!N325-C325)/C325</f>
        <v>39.930894556992925</v>
      </c>
      <c r="M325" s="5">
        <f>100*('Parameter &lt;x, y&gt;'!S325-C325)/C325</f>
        <v>23.51202099096901</v>
      </c>
    </row>
    <row r="326" spans="1:13" ht="12.75" customHeight="1">
      <c r="A326" s="38"/>
      <c r="B326" s="5">
        <f>MIN('Parameter &lt;x, y&gt;'!B326,'Parameter &lt;x, y&gt;'!G326,'Parameter &lt;x, y&gt;'!L326,'Parameter &lt;x, y&gt;'!Q326)</f>
        <v>55281.7</v>
      </c>
      <c r="C326" s="5">
        <f>MIN('Parameter &lt;x, y&gt;'!D326,'Parameter &lt;x, y&gt;'!I326,'Parameter &lt;x, y&gt;'!N326,'Parameter &lt;x, y&gt;'!S326)</f>
        <v>42775.9</v>
      </c>
      <c r="E326" s="5">
        <f>100*('Parameter &lt;x, y&gt;'!B326-B326)/B326</f>
        <v>49.815400032922298</v>
      </c>
      <c r="F326" s="5">
        <f>100*('Parameter &lt;x, y&gt;'!G326-B326)/B326</f>
        <v>3.0905344806690098</v>
      </c>
      <c r="G326" s="5">
        <f>100*('Parameter &lt;x, y&gt;'!L326-B326)/B326</f>
        <v>0</v>
      </c>
      <c r="H326" s="5">
        <f>100*('Parameter &lt;x, y&gt;'!Q326-B326)/B326</f>
        <v>19.958684338578589</v>
      </c>
      <c r="J326" s="5">
        <f>100*('Parameter &lt;x, y&gt;'!D326-C326)/C326</f>
        <v>0</v>
      </c>
      <c r="K326" s="5">
        <f>100*('Parameter &lt;x, y&gt;'!I326-C326)/C326</f>
        <v>7.7632498673318278</v>
      </c>
      <c r="L326" s="5">
        <f>100*('Parameter &lt;x, y&gt;'!N326-C326)/C326</f>
        <v>0.55989470706636213</v>
      </c>
      <c r="M326" s="5">
        <f>100*('Parameter &lt;x, y&gt;'!S326-C326)/C326</f>
        <v>31.57852903153411</v>
      </c>
    </row>
    <row r="327" spans="1:13" ht="12.75" customHeight="1">
      <c r="A327" s="38"/>
      <c r="B327" s="5">
        <f>MIN('Parameter &lt;x, y&gt;'!B327,'Parameter &lt;x, y&gt;'!G327,'Parameter &lt;x, y&gt;'!L327,'Parameter &lt;x, y&gt;'!Q327)</f>
        <v>63739.3</v>
      </c>
      <c r="C327" s="5">
        <f>MIN('Parameter &lt;x, y&gt;'!D327,'Parameter &lt;x, y&gt;'!I327,'Parameter &lt;x, y&gt;'!N327,'Parameter &lt;x, y&gt;'!S327)</f>
        <v>51605.8</v>
      </c>
      <c r="E327" s="5">
        <f>100*('Parameter &lt;x, y&gt;'!B327-B327)/B327</f>
        <v>0</v>
      </c>
      <c r="F327" s="5">
        <f>100*('Parameter &lt;x, y&gt;'!G327-B327)/B327</f>
        <v>10.439556129420923</v>
      </c>
      <c r="G327" s="5">
        <f>100*('Parameter &lt;x, y&gt;'!L327-B327)/B327</f>
        <v>5.3367388722499163</v>
      </c>
      <c r="H327" s="5">
        <f>100*('Parameter &lt;x, y&gt;'!Q327-B327)/B327</f>
        <v>1.7673554620148009</v>
      </c>
      <c r="J327" s="5">
        <f>100*('Parameter &lt;x, y&gt;'!D327-C327)/C327</f>
        <v>4.0985703157397007</v>
      </c>
      <c r="K327" s="5">
        <f>100*('Parameter &lt;x, y&gt;'!I327-C327)/C327</f>
        <v>20.084564138139502</v>
      </c>
      <c r="L327" s="5">
        <f>100*('Parameter &lt;x, y&gt;'!N327-C327)/C327</f>
        <v>0</v>
      </c>
      <c r="M327" s="5">
        <f>100*('Parameter &lt;x, y&gt;'!S327-C327)/C327</f>
        <v>43.767367233915564</v>
      </c>
    </row>
    <row r="328" spans="1:13" ht="12.75" customHeight="1">
      <c r="A328" s="38"/>
      <c r="B328" s="5">
        <f>MIN('Parameter &lt;x, y&gt;'!B328,'Parameter &lt;x, y&gt;'!G328,'Parameter &lt;x, y&gt;'!L328,'Parameter &lt;x, y&gt;'!Q328)</f>
        <v>82656</v>
      </c>
      <c r="C328" s="5">
        <f>MIN('Parameter &lt;x, y&gt;'!D328,'Parameter &lt;x, y&gt;'!I328,'Parameter &lt;x, y&gt;'!N328,'Parameter &lt;x, y&gt;'!S328)</f>
        <v>85346.7</v>
      </c>
      <c r="E328" s="5">
        <f>100*('Parameter &lt;x, y&gt;'!B328-B328)/B328</f>
        <v>46.26282423538521</v>
      </c>
      <c r="F328" s="5">
        <f>100*('Parameter &lt;x, y&gt;'!G328-B328)/B328</f>
        <v>12.390873015873019</v>
      </c>
      <c r="G328" s="5">
        <f>100*('Parameter &lt;x, y&gt;'!L328-B328)/B328</f>
        <v>38.644502516453734</v>
      </c>
      <c r="H328" s="5">
        <f>100*('Parameter &lt;x, y&gt;'!Q328-B328)/B328</f>
        <v>0</v>
      </c>
      <c r="J328" s="5">
        <f>100*('Parameter &lt;x, y&gt;'!D328-C328)/C328</f>
        <v>12.800963599061239</v>
      </c>
      <c r="K328" s="5">
        <f>100*('Parameter &lt;x, y&gt;'!I328-C328)/C328</f>
        <v>0</v>
      </c>
      <c r="L328" s="5">
        <f>100*('Parameter &lt;x, y&gt;'!N328-C328)/C328</f>
        <v>39.345750919484885</v>
      </c>
      <c r="M328" s="5">
        <f>100*('Parameter &lt;x, y&gt;'!S328-C328)/C328</f>
        <v>23.239680034494601</v>
      </c>
    </row>
    <row r="329" spans="1:13" ht="12.75" customHeight="1">
      <c r="A329" s="38"/>
      <c r="B329" s="5">
        <f>MIN('Parameter &lt;x, y&gt;'!B329,'Parameter &lt;x, y&gt;'!G329,'Parameter &lt;x, y&gt;'!L329,'Parameter &lt;x, y&gt;'!Q329)</f>
        <v>72144.7</v>
      </c>
      <c r="C329" s="5">
        <f>MIN('Parameter &lt;x, y&gt;'!D329,'Parameter &lt;x, y&gt;'!I329,'Parameter &lt;x, y&gt;'!N329,'Parameter &lt;x, y&gt;'!S329)</f>
        <v>57133.2</v>
      </c>
      <c r="E329" s="5">
        <f>100*('Parameter &lt;x, y&gt;'!B329-B329)/B329</f>
        <v>33.734564008166913</v>
      </c>
      <c r="F329" s="5">
        <f>100*('Parameter &lt;x, y&gt;'!G329-B329)/B329</f>
        <v>0</v>
      </c>
      <c r="G329" s="5">
        <f>100*('Parameter &lt;x, y&gt;'!L329-B329)/B329</f>
        <v>36.008189097743845</v>
      </c>
      <c r="H329" s="5">
        <f>100*('Parameter &lt;x, y&gt;'!Q329-B329)/B329</f>
        <v>15.961255643172677</v>
      </c>
      <c r="J329" s="5">
        <f>100*('Parameter &lt;x, y&gt;'!D329-C329)/C329</f>
        <v>11.318462820216627</v>
      </c>
      <c r="K329" s="5">
        <f>100*('Parameter &lt;x, y&gt;'!I329-C329)/C329</f>
        <v>19.836452360448913</v>
      </c>
      <c r="L329" s="5">
        <f>100*('Parameter &lt;x, y&gt;'!N329-C329)/C329</f>
        <v>0</v>
      </c>
      <c r="M329" s="5">
        <f>100*('Parameter &lt;x, y&gt;'!S329-C329)/C329</f>
        <v>16.328859577268556</v>
      </c>
    </row>
    <row r="330" spans="1:13" ht="12.75" customHeight="1">
      <c r="A330" s="38"/>
      <c r="B330" s="5">
        <f>MIN('Parameter &lt;x, y&gt;'!B330,'Parameter &lt;x, y&gt;'!G330,'Parameter &lt;x, y&gt;'!L330,'Parameter &lt;x, y&gt;'!Q330)</f>
        <v>104357</v>
      </c>
      <c r="C330" s="5">
        <f>MIN('Parameter &lt;x, y&gt;'!D330,'Parameter &lt;x, y&gt;'!I330,'Parameter &lt;x, y&gt;'!N330,'Parameter &lt;x, y&gt;'!S330)</f>
        <v>110819</v>
      </c>
      <c r="E330" s="5">
        <f>100*('Parameter &lt;x, y&gt;'!B330-B330)/B330</f>
        <v>0</v>
      </c>
      <c r="F330" s="5">
        <f>100*('Parameter &lt;x, y&gt;'!G330-B330)/B330</f>
        <v>9.9245857968320284</v>
      </c>
      <c r="G330" s="5">
        <f>100*('Parameter &lt;x, y&gt;'!L330-B330)/B330</f>
        <v>97.363856760926438</v>
      </c>
      <c r="H330" s="5">
        <f>100*('Parameter &lt;x, y&gt;'!Q330-B330)/B330</f>
        <v>25.095585346454957</v>
      </c>
      <c r="J330" s="5">
        <f>100*('Parameter &lt;x, y&gt;'!D330-C330)/C330</f>
        <v>3.134841498299028</v>
      </c>
      <c r="K330" s="5">
        <f>100*('Parameter &lt;x, y&gt;'!I330-C330)/C330</f>
        <v>7.1260343442911411</v>
      </c>
      <c r="L330" s="5">
        <f>100*('Parameter &lt;x, y&gt;'!N330-C330)/C330</f>
        <v>0</v>
      </c>
      <c r="M330" s="5">
        <f>100*('Parameter &lt;x, y&gt;'!S330-C330)/C330</f>
        <v>31.38721699347585</v>
      </c>
    </row>
    <row r="331" spans="1:13" ht="12.75" customHeight="1">
      <c r="A331" s="38"/>
      <c r="B331" s="5">
        <f>MIN('Parameter &lt;x, y&gt;'!B331,'Parameter &lt;x, y&gt;'!G331,'Parameter &lt;x, y&gt;'!L331,'Parameter &lt;x, y&gt;'!Q331)</f>
        <v>94621.1</v>
      </c>
      <c r="C331" s="5">
        <f>MIN('Parameter &lt;x, y&gt;'!D331,'Parameter &lt;x, y&gt;'!I331,'Parameter &lt;x, y&gt;'!N331,'Parameter &lt;x, y&gt;'!S331)</f>
        <v>83507.199999999997</v>
      </c>
      <c r="E331" s="5">
        <f>100*('Parameter &lt;x, y&gt;'!B331-B331)/B331</f>
        <v>11.069306951620721</v>
      </c>
      <c r="F331" s="5">
        <f>100*('Parameter &lt;x, y&gt;'!G331-B331)/B331</f>
        <v>0.89631171060153736</v>
      </c>
      <c r="G331" s="5">
        <f>100*('Parameter &lt;x, y&gt;'!L331-B331)/B331</f>
        <v>4.6782377292168356</v>
      </c>
      <c r="H331" s="5">
        <f>100*('Parameter &lt;x, y&gt;'!Q331-B331)/B331</f>
        <v>0</v>
      </c>
      <c r="J331" s="5">
        <f>100*('Parameter &lt;x, y&gt;'!D331-C331)/C331</f>
        <v>14.197099172286947</v>
      </c>
      <c r="K331" s="5">
        <f>100*('Parameter &lt;x, y&gt;'!I331-C331)/C331</f>
        <v>0</v>
      </c>
      <c r="L331" s="5">
        <f>100*('Parameter &lt;x, y&gt;'!N331-C331)/C331</f>
        <v>19.378688304721035</v>
      </c>
      <c r="M331" s="5">
        <f>100*('Parameter &lt;x, y&gt;'!S331-C331)/C331</f>
        <v>1.6662036327406604</v>
      </c>
    </row>
    <row r="332" spans="1:13" ht="12.75" customHeight="1">
      <c r="A332" s="38"/>
      <c r="B332" s="5">
        <f>MIN('Parameter &lt;x, y&gt;'!B332,'Parameter &lt;x, y&gt;'!G332,'Parameter &lt;x, y&gt;'!L332,'Parameter &lt;x, y&gt;'!Q332)</f>
        <v>73907.100000000006</v>
      </c>
      <c r="C332" s="5">
        <f>MIN('Parameter &lt;x, y&gt;'!D332,'Parameter &lt;x, y&gt;'!I332,'Parameter &lt;x, y&gt;'!N332,'Parameter &lt;x, y&gt;'!S332)</f>
        <v>57652.800000000003</v>
      </c>
      <c r="E332" s="5">
        <f>100*('Parameter &lt;x, y&gt;'!B332-B332)/B332</f>
        <v>3.9095026052977238</v>
      </c>
      <c r="F332" s="5">
        <f>100*('Parameter &lt;x, y&gt;'!G332-B332)/B332</f>
        <v>0.27399262046542211</v>
      </c>
      <c r="G332" s="5">
        <f>100*('Parameter &lt;x, y&gt;'!L332-B332)/B332</f>
        <v>2.5620001325988975</v>
      </c>
      <c r="H332" s="5">
        <f>100*('Parameter &lt;x, y&gt;'!Q332-B332)/B332</f>
        <v>0</v>
      </c>
      <c r="J332" s="5">
        <f>100*('Parameter &lt;x, y&gt;'!D332-C332)/C332</f>
        <v>4.9626384147864435</v>
      </c>
      <c r="K332" s="5">
        <f>100*('Parameter &lt;x, y&gt;'!I332-C332)/C332</f>
        <v>0</v>
      </c>
      <c r="L332" s="5">
        <f>100*('Parameter &lt;x, y&gt;'!N332-C332)/C332</f>
        <v>47.430827297199777</v>
      </c>
      <c r="M332" s="5">
        <f>100*('Parameter &lt;x, y&gt;'!S332-C332)/C332</f>
        <v>7.5637263064413123</v>
      </c>
    </row>
    <row r="333" spans="1:13" ht="12.75" customHeight="1">
      <c r="A333" s="38"/>
      <c r="B333" s="5">
        <f>MIN('Parameter &lt;x, y&gt;'!B333,'Parameter &lt;x, y&gt;'!G333,'Parameter &lt;x, y&gt;'!L333,'Parameter &lt;x, y&gt;'!Q333)</f>
        <v>72491.8</v>
      </c>
      <c r="C333" s="5">
        <f>MIN('Parameter &lt;x, y&gt;'!D333,'Parameter &lt;x, y&gt;'!I333,'Parameter &lt;x, y&gt;'!N333,'Parameter &lt;x, y&gt;'!S333)</f>
        <v>56765.8</v>
      </c>
      <c r="E333" s="5">
        <f>100*('Parameter &lt;x, y&gt;'!B333-B333)/B333</f>
        <v>42.336098703577498</v>
      </c>
      <c r="F333" s="5">
        <f>100*('Parameter &lt;x, y&gt;'!G333-B333)/B333</f>
        <v>0</v>
      </c>
      <c r="G333" s="5">
        <f>100*('Parameter &lt;x, y&gt;'!L333-B333)/B333</f>
        <v>17.351755646845561</v>
      </c>
      <c r="H333" s="5">
        <f>100*('Parameter &lt;x, y&gt;'!Q333-B333)/B333</f>
        <v>21.56312851936357</v>
      </c>
      <c r="J333" s="5">
        <f>100*('Parameter &lt;x, y&gt;'!D333-C333)/C333</f>
        <v>25.650127365420726</v>
      </c>
      <c r="K333" s="5">
        <f>100*('Parameter &lt;x, y&gt;'!I333-C333)/C333</f>
        <v>0</v>
      </c>
      <c r="L333" s="5">
        <f>100*('Parameter &lt;x, y&gt;'!N333-C333)/C333</f>
        <v>4.7523332710892774</v>
      </c>
      <c r="M333" s="5">
        <f>100*('Parameter &lt;x, y&gt;'!S333-C333)/C333</f>
        <v>62.125963167963818</v>
      </c>
    </row>
    <row r="334" spans="1:13" ht="12.75" customHeight="1">
      <c r="A334" s="38"/>
      <c r="B334" s="5">
        <f>MIN('Parameter &lt;x, y&gt;'!B334,'Parameter &lt;x, y&gt;'!G334,'Parameter &lt;x, y&gt;'!L334,'Parameter &lt;x, y&gt;'!Q334)</f>
        <v>73683.8</v>
      </c>
      <c r="C334" s="5">
        <f>MIN('Parameter &lt;x, y&gt;'!D334,'Parameter &lt;x, y&gt;'!I334,'Parameter &lt;x, y&gt;'!N334,'Parameter &lt;x, y&gt;'!S334)</f>
        <v>55685.1</v>
      </c>
      <c r="E334" s="5">
        <f>100*('Parameter &lt;x, y&gt;'!B334-B334)/B334</f>
        <v>10.973646853175328</v>
      </c>
      <c r="F334" s="5">
        <f>100*('Parameter &lt;x, y&gt;'!G334-B334)/B334</f>
        <v>0</v>
      </c>
      <c r="G334" s="5">
        <f>100*('Parameter &lt;x, y&gt;'!L334-B334)/B334</f>
        <v>88.250334537578141</v>
      </c>
      <c r="H334" s="5">
        <f>100*('Parameter &lt;x, y&gt;'!Q334-B334)/B334</f>
        <v>31.46743246140942</v>
      </c>
      <c r="J334" s="5">
        <f>100*('Parameter &lt;x, y&gt;'!D334-C334)/C334</f>
        <v>35.389179511215758</v>
      </c>
      <c r="K334" s="5">
        <f>100*('Parameter &lt;x, y&gt;'!I334-C334)/C334</f>
        <v>47.14941698946398</v>
      </c>
      <c r="L334" s="5">
        <f>100*('Parameter &lt;x, y&gt;'!N334-C334)/C334</f>
        <v>0</v>
      </c>
      <c r="M334" s="5">
        <f>100*('Parameter &lt;x, y&gt;'!S334-C334)/C334</f>
        <v>41.364206942252068</v>
      </c>
    </row>
    <row r="335" spans="1:13" ht="12.75" customHeight="1">
      <c r="A335" s="38"/>
      <c r="B335" s="5">
        <f>MIN('Parameter &lt;x, y&gt;'!B335,'Parameter &lt;x, y&gt;'!G335,'Parameter &lt;x, y&gt;'!L335,'Parameter &lt;x, y&gt;'!Q335)</f>
        <v>82030.399999999994</v>
      </c>
      <c r="C335" s="5">
        <f>MIN('Parameter &lt;x, y&gt;'!D335,'Parameter &lt;x, y&gt;'!I335,'Parameter &lt;x, y&gt;'!N335,'Parameter &lt;x, y&gt;'!S335)</f>
        <v>96919.7</v>
      </c>
      <c r="E335" s="5">
        <f>100*('Parameter &lt;x, y&gt;'!B335-B335)/B335</f>
        <v>28.930250248688299</v>
      </c>
      <c r="F335" s="5">
        <f>100*('Parameter &lt;x, y&gt;'!G335-B335)/B335</f>
        <v>0</v>
      </c>
      <c r="G335" s="5">
        <f>100*('Parameter &lt;x, y&gt;'!L335-B335)/B335</f>
        <v>39.951773976477021</v>
      </c>
      <c r="H335" s="5">
        <f>100*('Parameter &lt;x, y&gt;'!Q335-B335)/B335</f>
        <v>13.514136222668684</v>
      </c>
      <c r="J335" s="5">
        <f>100*('Parameter &lt;x, y&gt;'!D335-C335)/C335</f>
        <v>2.3734080893770853</v>
      </c>
      <c r="K335" s="5">
        <f>100*('Parameter &lt;x, y&gt;'!I335-C335)/C335</f>
        <v>10.442974957619558</v>
      </c>
      <c r="L335" s="5">
        <f>100*('Parameter &lt;x, y&gt;'!N335-C335)/C335</f>
        <v>0</v>
      </c>
      <c r="M335" s="5">
        <f>100*('Parameter &lt;x, y&gt;'!S335-C335)/C335</f>
        <v>1.5408632094404016</v>
      </c>
    </row>
    <row r="336" spans="1:13" ht="12.75" customHeight="1">
      <c r="A336" s="38"/>
      <c r="B336" s="5">
        <f>MIN('Parameter &lt;x, y&gt;'!B336,'Parameter &lt;x, y&gt;'!G336,'Parameter &lt;x, y&gt;'!L336,'Parameter &lt;x, y&gt;'!Q336)</f>
        <v>84614.7</v>
      </c>
      <c r="C336" s="5">
        <f>MIN('Parameter &lt;x, y&gt;'!D336,'Parameter &lt;x, y&gt;'!I336,'Parameter &lt;x, y&gt;'!N336,'Parameter &lt;x, y&gt;'!S336)</f>
        <v>62805.4</v>
      </c>
      <c r="E336" s="5">
        <f>100*('Parameter &lt;x, y&gt;'!B336-B336)/B336</f>
        <v>1.1573639095807264</v>
      </c>
      <c r="F336" s="5">
        <f>100*('Parameter &lt;x, y&gt;'!G336-B336)/B336</f>
        <v>1.9630158825830502</v>
      </c>
      <c r="G336" s="5">
        <f>100*('Parameter &lt;x, y&gt;'!L336-B336)/B336</f>
        <v>0</v>
      </c>
      <c r="H336" s="5">
        <f>100*('Parameter &lt;x, y&gt;'!Q336-B336)/B336</f>
        <v>3.1922349189916241</v>
      </c>
      <c r="J336" s="5">
        <f>100*('Parameter &lt;x, y&gt;'!D336-C336)/C336</f>
        <v>17.096459858547185</v>
      </c>
      <c r="K336" s="5">
        <f>100*('Parameter &lt;x, y&gt;'!I336-C336)/C336</f>
        <v>15.262541119075756</v>
      </c>
      <c r="L336" s="5">
        <f>100*('Parameter &lt;x, y&gt;'!N336-C336)/C336</f>
        <v>0</v>
      </c>
      <c r="M336" s="5">
        <f>100*('Parameter &lt;x, y&gt;'!S336-C336)/C336</f>
        <v>23.206444031882612</v>
      </c>
    </row>
    <row r="337" spans="1:13" ht="12.75" customHeight="1">
      <c r="A337" s="38"/>
      <c r="B337" s="5">
        <f>MIN('Parameter &lt;x, y&gt;'!B337,'Parameter &lt;x, y&gt;'!G337,'Parameter &lt;x, y&gt;'!L337,'Parameter &lt;x, y&gt;'!Q337)</f>
        <v>78431.3</v>
      </c>
      <c r="C337" s="5">
        <f>MIN('Parameter &lt;x, y&gt;'!D337,'Parameter &lt;x, y&gt;'!I337,'Parameter &lt;x, y&gt;'!N337,'Parameter &lt;x, y&gt;'!S337)</f>
        <v>78512.399999999994</v>
      </c>
      <c r="E337" s="5">
        <f>100*('Parameter &lt;x, y&gt;'!B337-B337)/B337</f>
        <v>70.940683120131879</v>
      </c>
      <c r="F337" s="5">
        <f>100*('Parameter &lt;x, y&gt;'!G337-B337)/B337</f>
        <v>39.247978804380388</v>
      </c>
      <c r="G337" s="5">
        <f>100*('Parameter &lt;x, y&gt;'!L337-B337)/B337</f>
        <v>0</v>
      </c>
      <c r="H337" s="5">
        <f>100*('Parameter &lt;x, y&gt;'!Q337-B337)/B337</f>
        <v>29.499319786870796</v>
      </c>
      <c r="J337" s="5">
        <f>100*('Parameter &lt;x, y&gt;'!D337-C337)/C337</f>
        <v>33.645131214941856</v>
      </c>
      <c r="K337" s="5">
        <f>100*('Parameter &lt;x, y&gt;'!I337-C337)/C337</f>
        <v>29.541320861418075</v>
      </c>
      <c r="L337" s="5">
        <f>100*('Parameter &lt;x, y&gt;'!N337-C337)/C337</f>
        <v>0</v>
      </c>
      <c r="M337" s="5">
        <f>100*('Parameter &lt;x, y&gt;'!S337-C337)/C337</f>
        <v>8.4745849063332752</v>
      </c>
    </row>
    <row r="338" spans="1:13" ht="12.75" customHeight="1">
      <c r="A338" s="38"/>
      <c r="B338" s="5">
        <f>MIN('Parameter &lt;x, y&gt;'!B338,'Parameter &lt;x, y&gt;'!G338,'Parameter &lt;x, y&gt;'!L338,'Parameter &lt;x, y&gt;'!Q338)</f>
        <v>61469.8</v>
      </c>
      <c r="C338" s="5">
        <f>MIN('Parameter &lt;x, y&gt;'!D338,'Parameter &lt;x, y&gt;'!I338,'Parameter &lt;x, y&gt;'!N338,'Parameter &lt;x, y&gt;'!S338)</f>
        <v>57442.5</v>
      </c>
      <c r="E338" s="5">
        <f>100*('Parameter &lt;x, y&gt;'!B338-B338)/B338</f>
        <v>0</v>
      </c>
      <c r="F338" s="5">
        <f>100*('Parameter &lt;x, y&gt;'!G338-B338)/B338</f>
        <v>102.98422965423671</v>
      </c>
      <c r="G338" s="5">
        <f>100*('Parameter &lt;x, y&gt;'!L338-B338)/B338</f>
        <v>3.9141171762393889</v>
      </c>
      <c r="H338" s="5">
        <f>100*('Parameter &lt;x, y&gt;'!Q338-B338)/B338</f>
        <v>88.624332599097443</v>
      </c>
      <c r="J338" s="5">
        <f>100*('Parameter &lt;x, y&gt;'!D338-C338)/C338</f>
        <v>62.162510336423374</v>
      </c>
      <c r="K338" s="5">
        <f>100*('Parameter &lt;x, y&gt;'!I338-C338)/C338</f>
        <v>0</v>
      </c>
      <c r="L338" s="5">
        <f>100*('Parameter &lt;x, y&gt;'!N338-C338)/C338</f>
        <v>85.61866214040127</v>
      </c>
      <c r="M338" s="5">
        <f>100*('Parameter &lt;x, y&gt;'!S338-C338)/C338</f>
        <v>141.1071941506724</v>
      </c>
    </row>
    <row r="339" spans="1:13" ht="12.75" customHeight="1">
      <c r="A339" s="38"/>
      <c r="B339" s="5">
        <f>MIN('Parameter &lt;x, y&gt;'!B339,'Parameter &lt;x, y&gt;'!G339,'Parameter &lt;x, y&gt;'!L339,'Parameter &lt;x, y&gt;'!Q339)</f>
        <v>67447.899999999994</v>
      </c>
      <c r="C339" s="5">
        <f>MIN('Parameter &lt;x, y&gt;'!D339,'Parameter &lt;x, y&gt;'!I339,'Parameter &lt;x, y&gt;'!N339,'Parameter &lt;x, y&gt;'!S339)</f>
        <v>52981.3</v>
      </c>
      <c r="E339" s="5">
        <f>100*('Parameter &lt;x, y&gt;'!B339-B339)/B339</f>
        <v>2.7914879484757908</v>
      </c>
      <c r="F339" s="5">
        <f>100*('Parameter &lt;x, y&gt;'!G339-B339)/B339</f>
        <v>4.4266759973253604</v>
      </c>
      <c r="G339" s="5">
        <f>100*('Parameter &lt;x, y&gt;'!L339-B339)/B339</f>
        <v>1.6242166175670407</v>
      </c>
      <c r="H339" s="5">
        <f>100*('Parameter &lt;x, y&gt;'!Q339-B339)/B339</f>
        <v>0</v>
      </c>
      <c r="J339" s="5">
        <f>100*('Parameter &lt;x, y&gt;'!D339-C339)/C339</f>
        <v>7.7699112705803719</v>
      </c>
      <c r="K339" s="5">
        <f>100*('Parameter &lt;x, y&gt;'!I339-C339)/C339</f>
        <v>0</v>
      </c>
      <c r="L339" s="5">
        <f>100*('Parameter &lt;x, y&gt;'!N339-C339)/C339</f>
        <v>52.970387665081816</v>
      </c>
      <c r="M339" s="5">
        <f>100*('Parameter &lt;x, y&gt;'!S339-C339)/C339</f>
        <v>20.948145855235708</v>
      </c>
    </row>
    <row r="340" spans="1:13" ht="12.75" customHeight="1">
      <c r="A340" s="38"/>
      <c r="B340" s="5">
        <f>MIN('Parameter &lt;x, y&gt;'!B340,'Parameter &lt;x, y&gt;'!G340,'Parameter &lt;x, y&gt;'!L340,'Parameter &lt;x, y&gt;'!Q340)</f>
        <v>64955.9</v>
      </c>
      <c r="C340" s="5">
        <f>MIN('Parameter &lt;x, y&gt;'!D340,'Parameter &lt;x, y&gt;'!I340,'Parameter &lt;x, y&gt;'!N340,'Parameter &lt;x, y&gt;'!S340)</f>
        <v>50954.2</v>
      </c>
      <c r="E340" s="5">
        <f>100*('Parameter &lt;x, y&gt;'!B340-B340)/B340</f>
        <v>0.73526808188324466</v>
      </c>
      <c r="F340" s="5">
        <f>100*('Parameter &lt;x, y&gt;'!G340-B340)/B340</f>
        <v>20.901719474289482</v>
      </c>
      <c r="G340" s="5">
        <f>100*('Parameter &lt;x, y&gt;'!L340-B340)/B340</f>
        <v>15.232180602531878</v>
      </c>
      <c r="H340" s="5">
        <f>100*('Parameter &lt;x, y&gt;'!Q340-B340)/B340</f>
        <v>0</v>
      </c>
      <c r="J340" s="5">
        <f>100*('Parameter &lt;x, y&gt;'!D340-C340)/C340</f>
        <v>0</v>
      </c>
      <c r="K340" s="5">
        <f>100*('Parameter &lt;x, y&gt;'!I340-C340)/C340</f>
        <v>13.136502977183444</v>
      </c>
      <c r="L340" s="5">
        <f>100*('Parameter &lt;x, y&gt;'!N340-C340)/C340</f>
        <v>56.077614799172615</v>
      </c>
      <c r="M340" s="5">
        <f>100*('Parameter &lt;x, y&gt;'!S340-C340)/C340</f>
        <v>64.533836268649097</v>
      </c>
    </row>
    <row r="341" spans="1:13" ht="12.75" customHeight="1">
      <c r="A341" s="38"/>
      <c r="B341" s="5">
        <f>MIN('Parameter &lt;x, y&gt;'!B341,'Parameter &lt;x, y&gt;'!G341,'Parameter &lt;x, y&gt;'!L341,'Parameter &lt;x, y&gt;'!Q341)</f>
        <v>87362.5</v>
      </c>
      <c r="C341" s="5">
        <f>MIN('Parameter &lt;x, y&gt;'!D341,'Parameter &lt;x, y&gt;'!I341,'Parameter &lt;x, y&gt;'!N341,'Parameter &lt;x, y&gt;'!S341)</f>
        <v>57962.1</v>
      </c>
      <c r="E341" s="5">
        <f>100*('Parameter &lt;x, y&gt;'!B341-B341)/B341</f>
        <v>0</v>
      </c>
      <c r="F341" s="5">
        <f>100*('Parameter &lt;x, y&gt;'!G341-B341)/B341</f>
        <v>32.634711689798252</v>
      </c>
      <c r="G341" s="5">
        <f>100*('Parameter &lt;x, y&gt;'!L341-B341)/B341</f>
        <v>7.3185863499785349</v>
      </c>
      <c r="H341" s="5">
        <f>100*('Parameter &lt;x, y&gt;'!Q341-B341)/B341</f>
        <v>1.012562598368872</v>
      </c>
      <c r="J341" s="5">
        <f>100*('Parameter &lt;x, y&gt;'!D341-C341)/C341</f>
        <v>106.18645632232096</v>
      </c>
      <c r="K341" s="5">
        <f>100*('Parameter &lt;x, y&gt;'!I341-C341)/C341</f>
        <v>117.1867478921571</v>
      </c>
      <c r="L341" s="5">
        <f>100*('Parameter &lt;x, y&gt;'!N341-C341)/C341</f>
        <v>0</v>
      </c>
      <c r="M341" s="5">
        <f>100*('Parameter &lt;x, y&gt;'!S341-C341)/C341</f>
        <v>11.159706083803039</v>
      </c>
    </row>
    <row r="342" spans="1:13" ht="12.75" customHeight="1">
      <c r="A342" s="38"/>
      <c r="B342" s="5">
        <f>MIN('Parameter &lt;x, y&gt;'!B342,'Parameter &lt;x, y&gt;'!G342,'Parameter &lt;x, y&gt;'!L342,'Parameter &lt;x, y&gt;'!Q342)</f>
        <v>65139.6</v>
      </c>
      <c r="C342" s="5">
        <f>MIN('Parameter &lt;x, y&gt;'!D342,'Parameter &lt;x, y&gt;'!I342,'Parameter &lt;x, y&gt;'!N342,'Parameter &lt;x, y&gt;'!S342)</f>
        <v>51307.4</v>
      </c>
      <c r="E342" s="5">
        <f>100*('Parameter &lt;x, y&gt;'!B342-B342)/B342</f>
        <v>0</v>
      </c>
      <c r="F342" s="5">
        <f>100*('Parameter &lt;x, y&gt;'!G342-B342)/B342</f>
        <v>16.035867582852834</v>
      </c>
      <c r="G342" s="5">
        <f>100*('Parameter &lt;x, y&gt;'!L342-B342)/B342</f>
        <v>10.051182383680581</v>
      </c>
      <c r="H342" s="5">
        <f>100*('Parameter &lt;x, y&gt;'!Q342-B342)/B342</f>
        <v>2.193135972588101</v>
      </c>
      <c r="J342" s="5">
        <f>100*('Parameter &lt;x, y&gt;'!D342-C342)/C342</f>
        <v>53.901971255608359</v>
      </c>
      <c r="K342" s="5">
        <f>100*('Parameter &lt;x, y&gt;'!I342-C342)/C342</f>
        <v>18.16151276424063</v>
      </c>
      <c r="L342" s="5">
        <f>100*('Parameter &lt;x, y&gt;'!N342-C342)/C342</f>
        <v>0</v>
      </c>
      <c r="M342" s="5">
        <f>100*('Parameter &lt;x, y&gt;'!S342-C342)/C342</f>
        <v>16.230797116985073</v>
      </c>
    </row>
    <row r="343" spans="1:13" ht="12.75" customHeight="1">
      <c r="A343" s="38"/>
      <c r="B343" s="5">
        <f>MIN('Parameter &lt;x, y&gt;'!B343,'Parameter &lt;x, y&gt;'!G343,'Parameter &lt;x, y&gt;'!L343,'Parameter &lt;x, y&gt;'!Q343)</f>
        <v>80864.7</v>
      </c>
      <c r="C343" s="5">
        <f>MIN('Parameter &lt;x, y&gt;'!D343,'Parameter &lt;x, y&gt;'!I343,'Parameter &lt;x, y&gt;'!N343,'Parameter &lt;x, y&gt;'!S343)</f>
        <v>64305.3</v>
      </c>
      <c r="E343" s="5">
        <f>100*('Parameter &lt;x, y&gt;'!B343-B343)/B343</f>
        <v>4.0948646319098483</v>
      </c>
      <c r="F343" s="5">
        <f>100*('Parameter &lt;x, y&gt;'!G343-B343)/B343</f>
        <v>0</v>
      </c>
      <c r="G343" s="5">
        <f>100*('Parameter &lt;x, y&gt;'!L343-B343)/B343</f>
        <v>105.30466322140563</v>
      </c>
      <c r="H343" s="5">
        <f>100*('Parameter &lt;x, y&gt;'!Q343-B343)/B343</f>
        <v>40.314624304548225</v>
      </c>
      <c r="J343" s="5">
        <f>100*('Parameter &lt;x, y&gt;'!D343-C343)/C343</f>
        <v>109.01854123999109</v>
      </c>
      <c r="K343" s="5">
        <f>100*('Parameter &lt;x, y&gt;'!I343-C343)/C343</f>
        <v>0</v>
      </c>
      <c r="L343" s="5">
        <f>100*('Parameter &lt;x, y&gt;'!N343-C343)/C343</f>
        <v>47.394382733616034</v>
      </c>
      <c r="M343" s="5">
        <f>100*('Parameter &lt;x, y&gt;'!S343-C343)/C343</f>
        <v>56.691594627503477</v>
      </c>
    </row>
    <row r="344" spans="1:13" ht="12.75" customHeight="1">
      <c r="A344" s="38"/>
      <c r="B344" s="5">
        <f>MIN('Parameter &lt;x, y&gt;'!B344,'Parameter &lt;x, y&gt;'!G344,'Parameter &lt;x, y&gt;'!L344,'Parameter &lt;x, y&gt;'!Q344)</f>
        <v>72408.399999999994</v>
      </c>
      <c r="C344" s="5">
        <f>MIN('Parameter &lt;x, y&gt;'!D344,'Parameter &lt;x, y&gt;'!I344,'Parameter &lt;x, y&gt;'!N344,'Parameter &lt;x, y&gt;'!S344)</f>
        <v>62595.8</v>
      </c>
      <c r="E344" s="5">
        <f>100*('Parameter &lt;x, y&gt;'!B344-B344)/B344</f>
        <v>2.347793902364919</v>
      </c>
      <c r="F344" s="5">
        <f>100*('Parameter &lt;x, y&gt;'!G344-B344)/B344</f>
        <v>0.35244529640209099</v>
      </c>
      <c r="G344" s="5">
        <f>100*('Parameter &lt;x, y&gt;'!L344-B344)/B344</f>
        <v>7.1361886190000225</v>
      </c>
      <c r="H344" s="5">
        <f>100*('Parameter &lt;x, y&gt;'!Q344-B344)/B344</f>
        <v>0</v>
      </c>
      <c r="J344" s="5">
        <f>100*('Parameter &lt;x, y&gt;'!D344-C344)/C344</f>
        <v>17.470501215736522</v>
      </c>
      <c r="K344" s="5">
        <f>100*('Parameter &lt;x, y&gt;'!I344-C344)/C344</f>
        <v>4.4199451081382408</v>
      </c>
      <c r="L344" s="5">
        <f>100*('Parameter &lt;x, y&gt;'!N344-C344)/C344</f>
        <v>31.502752580844074</v>
      </c>
      <c r="M344" s="5">
        <f>100*('Parameter &lt;x, y&gt;'!S344-C344)/C344</f>
        <v>0</v>
      </c>
    </row>
    <row r="345" spans="1:13" ht="12.75" customHeight="1">
      <c r="A345" s="38"/>
      <c r="B345" s="5">
        <f>MIN('Parameter &lt;x, y&gt;'!B345,'Parameter &lt;x, y&gt;'!G345,'Parameter &lt;x, y&gt;'!L345,'Parameter &lt;x, y&gt;'!Q345)</f>
        <v>72193.2</v>
      </c>
      <c r="C345" s="5">
        <f>MIN('Parameter &lt;x, y&gt;'!D345,'Parameter &lt;x, y&gt;'!I345,'Parameter &lt;x, y&gt;'!N345,'Parameter &lt;x, y&gt;'!S345)</f>
        <v>52875.3</v>
      </c>
      <c r="E345" s="5">
        <f>100*('Parameter &lt;x, y&gt;'!B345-B345)/B345</f>
        <v>36.439581567239031</v>
      </c>
      <c r="F345" s="5">
        <f>100*('Parameter &lt;x, y&gt;'!G345-B345)/B345</f>
        <v>0</v>
      </c>
      <c r="G345" s="5">
        <f>100*('Parameter &lt;x, y&gt;'!L345-B345)/B345</f>
        <v>1.0852822703523324</v>
      </c>
      <c r="H345" s="5">
        <f>100*('Parameter &lt;x, y&gt;'!Q345-B345)/B345</f>
        <v>40.384412936398448</v>
      </c>
      <c r="J345" s="5">
        <f>100*('Parameter &lt;x, y&gt;'!D345-C345)/C345</f>
        <v>19.115541661229333</v>
      </c>
      <c r="K345" s="5">
        <f>100*('Parameter &lt;x, y&gt;'!I345-C345)/C345</f>
        <v>65.344310103205089</v>
      </c>
      <c r="L345" s="5">
        <f>100*('Parameter &lt;x, y&gt;'!N345-C345)/C345</f>
        <v>0</v>
      </c>
      <c r="M345" s="5">
        <f>100*('Parameter &lt;x, y&gt;'!S345-C345)/C345</f>
        <v>109.5269435823532</v>
      </c>
    </row>
    <row r="346" spans="1:13" ht="12.75" customHeight="1">
      <c r="A346" s="38"/>
      <c r="B346" s="5">
        <f>MIN('Parameter &lt;x, y&gt;'!B346,'Parameter &lt;x, y&gt;'!G346,'Parameter &lt;x, y&gt;'!L346,'Parameter &lt;x, y&gt;'!Q346)</f>
        <v>58646.5</v>
      </c>
      <c r="C346" s="5">
        <f>MIN('Parameter &lt;x, y&gt;'!D346,'Parameter &lt;x, y&gt;'!I346,'Parameter &lt;x, y&gt;'!N346,'Parameter &lt;x, y&gt;'!S346)</f>
        <v>37701</v>
      </c>
      <c r="E346" s="5">
        <f>100*('Parameter &lt;x, y&gt;'!B346-B346)/B346</f>
        <v>1.4309464332909843</v>
      </c>
      <c r="F346" s="5">
        <f>100*('Parameter &lt;x, y&gt;'!G346-B346)/B346</f>
        <v>2.9060557748544293</v>
      </c>
      <c r="G346" s="5">
        <f>100*('Parameter &lt;x, y&gt;'!L346-B346)/B346</f>
        <v>0</v>
      </c>
      <c r="H346" s="5">
        <f>100*('Parameter &lt;x, y&gt;'!Q346-B346)/B346</f>
        <v>5.3160887691507543</v>
      </c>
      <c r="J346" s="5">
        <f>100*('Parameter &lt;x, y&gt;'!D346-C346)/C346</f>
        <v>47.800323598843526</v>
      </c>
      <c r="K346" s="5">
        <f>100*('Parameter &lt;x, y&gt;'!I346-C346)/C346</f>
        <v>20.598657860534207</v>
      </c>
      <c r="L346" s="5">
        <f>100*('Parameter &lt;x, y&gt;'!N346-C346)/C346</f>
        <v>0</v>
      </c>
      <c r="M346" s="5">
        <f>100*('Parameter &lt;x, y&gt;'!S346-C346)/C346</f>
        <v>37.344898013315301</v>
      </c>
    </row>
    <row r="347" spans="1:13" ht="12.75" customHeight="1">
      <c r="A347" s="38"/>
      <c r="B347" s="5">
        <f>MIN('Parameter &lt;x, y&gt;'!B347,'Parameter &lt;x, y&gt;'!G347,'Parameter &lt;x, y&gt;'!L347,'Parameter &lt;x, y&gt;'!Q347)</f>
        <v>86664.9</v>
      </c>
      <c r="C347" s="5">
        <f>MIN('Parameter &lt;x, y&gt;'!D347,'Parameter &lt;x, y&gt;'!I347,'Parameter &lt;x, y&gt;'!N347,'Parameter &lt;x, y&gt;'!S347)</f>
        <v>75424.100000000006</v>
      </c>
      <c r="E347" s="5">
        <f>100*('Parameter &lt;x, y&gt;'!B347-B347)/B347</f>
        <v>0</v>
      </c>
      <c r="F347" s="5">
        <f>100*('Parameter &lt;x, y&gt;'!G347-B347)/B347</f>
        <v>2.8926358883469652</v>
      </c>
      <c r="G347" s="5">
        <f>100*('Parameter &lt;x, y&gt;'!L347-B347)/B347</f>
        <v>5.17660552311259</v>
      </c>
      <c r="H347" s="5">
        <f>100*('Parameter &lt;x, y&gt;'!Q347-B347)/B347</f>
        <v>6.3133979269577418</v>
      </c>
      <c r="J347" s="5">
        <f>100*('Parameter &lt;x, y&gt;'!D347-C347)/C347</f>
        <v>2.4596912657890475</v>
      </c>
      <c r="K347" s="5">
        <f>100*('Parameter &lt;x, y&gt;'!I347-C347)/C347</f>
        <v>8.5106749699366517</v>
      </c>
      <c r="L347" s="5">
        <f>100*('Parameter &lt;x, y&gt;'!N347-C347)/C347</f>
        <v>0</v>
      </c>
      <c r="M347" s="5">
        <f>100*('Parameter &lt;x, y&gt;'!S347-C347)/C347</f>
        <v>3.3340802210434024</v>
      </c>
    </row>
    <row r="348" spans="1:13" ht="12.75" customHeight="1">
      <c r="A348" s="38"/>
      <c r="B348" s="5">
        <f>MIN('Parameter &lt;x, y&gt;'!B348,'Parameter &lt;x, y&gt;'!G348,'Parameter &lt;x, y&gt;'!L348,'Parameter &lt;x, y&gt;'!Q348)</f>
        <v>70477.5</v>
      </c>
      <c r="C348" s="5">
        <f>MIN('Parameter &lt;x, y&gt;'!D348,'Parameter &lt;x, y&gt;'!I348,'Parameter &lt;x, y&gt;'!N348,'Parameter &lt;x, y&gt;'!S348)</f>
        <v>55234.5</v>
      </c>
      <c r="E348" s="5">
        <f>100*('Parameter &lt;x, y&gt;'!B348-B348)/B348</f>
        <v>0</v>
      </c>
      <c r="F348" s="5">
        <f>100*('Parameter &lt;x, y&gt;'!G348-B348)/B348</f>
        <v>18.901777162924336</v>
      </c>
      <c r="G348" s="5">
        <f>100*('Parameter &lt;x, y&gt;'!L348-B348)/B348</f>
        <v>1.3482317051541231</v>
      </c>
      <c r="H348" s="5">
        <f>100*('Parameter &lt;x, y&gt;'!Q348-B348)/B348</f>
        <v>12.529530701287644</v>
      </c>
      <c r="J348" s="5">
        <f>100*('Parameter &lt;x, y&gt;'!D348-C348)/C348</f>
        <v>0</v>
      </c>
      <c r="K348" s="5">
        <f>100*('Parameter &lt;x, y&gt;'!I348-C348)/C348</f>
        <v>11.361558446260942</v>
      </c>
      <c r="L348" s="5">
        <f>100*('Parameter &lt;x, y&gt;'!N348-C348)/C348</f>
        <v>7.3995419529460733</v>
      </c>
      <c r="M348" s="5">
        <f>100*('Parameter &lt;x, y&gt;'!S348-C348)/C348</f>
        <v>5.7469516334899433</v>
      </c>
    </row>
    <row r="349" spans="1:13" ht="12.75" customHeight="1">
      <c r="A349" s="38"/>
      <c r="B349" s="5">
        <f>MIN('Parameter &lt;x, y&gt;'!B349,'Parameter &lt;x, y&gt;'!G349,'Parameter &lt;x, y&gt;'!L349,'Parameter &lt;x, y&gt;'!Q349)</f>
        <v>71015</v>
      </c>
      <c r="C349" s="5">
        <f>MIN('Parameter &lt;x, y&gt;'!D349,'Parameter &lt;x, y&gt;'!I349,'Parameter &lt;x, y&gt;'!N349,'Parameter &lt;x, y&gt;'!S349)</f>
        <v>61405</v>
      </c>
      <c r="E349" s="5">
        <f>100*('Parameter &lt;x, y&gt;'!B349-B349)/B349</f>
        <v>0</v>
      </c>
      <c r="F349" s="5">
        <f>100*('Parameter &lt;x, y&gt;'!G349-B349)/B349</f>
        <v>102.87122438921355</v>
      </c>
      <c r="G349" s="5">
        <f>100*('Parameter &lt;x, y&gt;'!L349-B349)/B349</f>
        <v>23.979581778497508</v>
      </c>
      <c r="H349" s="5">
        <f>100*('Parameter &lt;x, y&gt;'!Q349-B349)/B349</f>
        <v>155.06160670280926</v>
      </c>
      <c r="J349" s="5">
        <f>100*('Parameter &lt;x, y&gt;'!D349-C349)/C349</f>
        <v>88.99438156501914</v>
      </c>
      <c r="K349" s="5">
        <f>100*('Parameter &lt;x, y&gt;'!I349-C349)/C349</f>
        <v>0</v>
      </c>
      <c r="L349" s="5">
        <f>100*('Parameter &lt;x, y&gt;'!N349-C349)/C349</f>
        <v>28.439215047634566</v>
      </c>
      <c r="M349" s="5">
        <f>100*('Parameter &lt;x, y&gt;'!S349-C349)/C349</f>
        <v>36.668512336128984</v>
      </c>
    </row>
    <row r="350" spans="1:13" ht="12.75" customHeight="1">
      <c r="A350" s="38"/>
      <c r="B350" s="5">
        <f>MIN('Parameter &lt;x, y&gt;'!B350,'Parameter &lt;x, y&gt;'!G350,'Parameter &lt;x, y&gt;'!L350,'Parameter &lt;x, y&gt;'!Q350)</f>
        <v>72336.800000000003</v>
      </c>
      <c r="C350" s="5">
        <f>MIN('Parameter &lt;x, y&gt;'!D350,'Parameter &lt;x, y&gt;'!I350,'Parameter &lt;x, y&gt;'!N350,'Parameter &lt;x, y&gt;'!S350)</f>
        <v>77136.3</v>
      </c>
      <c r="E350" s="5">
        <f>100*('Parameter &lt;x, y&gt;'!B350-B350)/B350</f>
        <v>52.793598832129696</v>
      </c>
      <c r="F350" s="5">
        <f>100*('Parameter &lt;x, y&gt;'!G350-B350)/B350</f>
        <v>23.445466208071128</v>
      </c>
      <c r="G350" s="5">
        <f>100*('Parameter &lt;x, y&gt;'!L350-B350)/B350</f>
        <v>71.602835624467758</v>
      </c>
      <c r="H350" s="5">
        <f>100*('Parameter &lt;x, y&gt;'!Q350-B350)/B350</f>
        <v>0</v>
      </c>
      <c r="J350" s="5">
        <f>100*('Parameter &lt;x, y&gt;'!D350-C350)/C350</f>
        <v>52.011439490875233</v>
      </c>
      <c r="K350" s="5">
        <f>100*('Parameter &lt;x, y&gt;'!I350-C350)/C350</f>
        <v>69.497370239433309</v>
      </c>
      <c r="L350" s="5">
        <f>100*('Parameter &lt;x, y&gt;'!N350-C350)/C350</f>
        <v>72.208156211796521</v>
      </c>
      <c r="M350" s="5">
        <f>100*('Parameter &lt;x, y&gt;'!S350-C350)/C350</f>
        <v>0</v>
      </c>
    </row>
    <row r="351" spans="1:13" ht="12.75" customHeight="1">
      <c r="A351" s="38"/>
      <c r="B351" s="5">
        <f>MIN('Parameter &lt;x, y&gt;'!B351,'Parameter &lt;x, y&gt;'!G351,'Parameter &lt;x, y&gt;'!L351,'Parameter &lt;x, y&gt;'!Q351)</f>
        <v>66268.800000000003</v>
      </c>
      <c r="C351" s="5">
        <f>MIN('Parameter &lt;x, y&gt;'!D351,'Parameter &lt;x, y&gt;'!I351,'Parameter &lt;x, y&gt;'!N351,'Parameter &lt;x, y&gt;'!S351)</f>
        <v>100764</v>
      </c>
      <c r="E351" s="5">
        <f>100*('Parameter &lt;x, y&gt;'!B351-B351)/B351</f>
        <v>75.144260949345693</v>
      </c>
      <c r="F351" s="5">
        <f>100*('Parameter &lt;x, y&gt;'!G351-B351)/B351</f>
        <v>0</v>
      </c>
      <c r="G351" s="5">
        <f>100*('Parameter &lt;x, y&gt;'!L351-B351)/B351</f>
        <v>47.041443333816218</v>
      </c>
      <c r="H351" s="5">
        <f>100*('Parameter &lt;x, y&gt;'!Q351-B351)/B351</f>
        <v>60.389202762084111</v>
      </c>
      <c r="J351" s="5">
        <f>100*('Parameter &lt;x, y&gt;'!D351-C351)/C351</f>
        <v>21.638680481124211</v>
      </c>
      <c r="K351" s="5">
        <f>100*('Parameter &lt;x, y&gt;'!I351-C351)/C351</f>
        <v>0</v>
      </c>
      <c r="L351" s="5">
        <f>100*('Parameter &lt;x, y&gt;'!N351-C351)/C351</f>
        <v>10.680401730776865</v>
      </c>
      <c r="M351" s="5">
        <f>100*('Parameter &lt;x, y&gt;'!S351-C351)/C351</f>
        <v>11.953673931165893</v>
      </c>
    </row>
    <row r="352" spans="1:13" ht="12.75" customHeight="1">
      <c r="A352" s="38"/>
      <c r="B352" s="5">
        <f>MIN('Parameter &lt;x, y&gt;'!B352,'Parameter &lt;x, y&gt;'!G352,'Parameter &lt;x, y&gt;'!L352,'Parameter &lt;x, y&gt;'!Q352)</f>
        <v>92793</v>
      </c>
      <c r="C352" s="5">
        <f>MIN('Parameter &lt;x, y&gt;'!D352,'Parameter &lt;x, y&gt;'!I352,'Parameter &lt;x, y&gt;'!N352,'Parameter &lt;x, y&gt;'!S352)</f>
        <v>68364.7</v>
      </c>
      <c r="E352" s="5">
        <f>100*('Parameter &lt;x, y&gt;'!B352-B352)/B352</f>
        <v>0</v>
      </c>
      <c r="F352" s="5">
        <f>100*('Parameter &lt;x, y&gt;'!G352-B352)/B352</f>
        <v>48.408823941461101</v>
      </c>
      <c r="G352" s="5">
        <f>100*('Parameter &lt;x, y&gt;'!L352-B352)/B352</f>
        <v>0.30357893375577588</v>
      </c>
      <c r="H352" s="5">
        <f>100*('Parameter &lt;x, y&gt;'!Q352-B352)/B352</f>
        <v>0.64897136637461561</v>
      </c>
      <c r="J352" s="5">
        <f>100*('Parameter &lt;x, y&gt;'!D352-C352)/C352</f>
        <v>40.266687340103879</v>
      </c>
      <c r="K352" s="5">
        <f>100*('Parameter &lt;x, y&gt;'!I352-C352)/C352</f>
        <v>97.919394073257109</v>
      </c>
      <c r="L352" s="5">
        <f>100*('Parameter &lt;x, y&gt;'!N352-C352)/C352</f>
        <v>47.504486964763991</v>
      </c>
      <c r="M352" s="5">
        <f>100*('Parameter &lt;x, y&gt;'!S352-C352)/C352</f>
        <v>0</v>
      </c>
    </row>
    <row r="353" spans="1:13" ht="12.75" customHeight="1">
      <c r="A353" s="38"/>
      <c r="B353" s="5">
        <f>MIN('Parameter &lt;x, y&gt;'!B353,'Parameter &lt;x, y&gt;'!G353,'Parameter &lt;x, y&gt;'!L353,'Parameter &lt;x, y&gt;'!Q353)</f>
        <v>71372.2</v>
      </c>
      <c r="C353" s="5">
        <f>MIN('Parameter &lt;x, y&gt;'!D353,'Parameter &lt;x, y&gt;'!I353,'Parameter &lt;x, y&gt;'!N353,'Parameter &lt;x, y&gt;'!S353)</f>
        <v>62255.1</v>
      </c>
      <c r="E353" s="5">
        <f>100*('Parameter &lt;x, y&gt;'!B353-B353)/B353</f>
        <v>22.50918424820869</v>
      </c>
      <c r="F353" s="5">
        <f>100*('Parameter &lt;x, y&gt;'!G353-B353)/B353</f>
        <v>0</v>
      </c>
      <c r="G353" s="5">
        <f>100*('Parameter &lt;x, y&gt;'!L353-B353)/B353</f>
        <v>3.6928944322859563</v>
      </c>
      <c r="H353" s="5">
        <f>100*('Parameter &lt;x, y&gt;'!Q353-B353)/B353</f>
        <v>5.899776103300729</v>
      </c>
      <c r="J353" s="5">
        <f>100*('Parameter &lt;x, y&gt;'!D353-C353)/C353</f>
        <v>13.161010101983615</v>
      </c>
      <c r="K353" s="5">
        <f>100*('Parameter &lt;x, y&gt;'!I353-C353)/C353</f>
        <v>0</v>
      </c>
      <c r="L353" s="5">
        <f>100*('Parameter &lt;x, y&gt;'!N353-C353)/C353</f>
        <v>3.5036486970545457</v>
      </c>
      <c r="M353" s="5">
        <f>100*('Parameter &lt;x, y&gt;'!S353-C353)/C353</f>
        <v>31.497339173818698</v>
      </c>
    </row>
    <row r="354" spans="1:13" ht="12.75" customHeight="1">
      <c r="A354" s="38"/>
      <c r="B354" s="5">
        <f>MIN('Parameter &lt;x, y&gt;'!B354,'Parameter &lt;x, y&gt;'!G354,'Parameter &lt;x, y&gt;'!L354,'Parameter &lt;x, y&gt;'!Q354)</f>
        <v>69748</v>
      </c>
      <c r="C354" s="5">
        <f>MIN('Parameter &lt;x, y&gt;'!D354,'Parameter &lt;x, y&gt;'!I354,'Parameter &lt;x, y&gt;'!N354,'Parameter &lt;x, y&gt;'!S354)</f>
        <v>57888.5</v>
      </c>
      <c r="E354" s="5">
        <f>100*('Parameter &lt;x, y&gt;'!B354-B354)/B354</f>
        <v>0</v>
      </c>
      <c r="F354" s="5">
        <f>100*('Parameter &lt;x, y&gt;'!G354-B354)/B354</f>
        <v>8.3186614669954775</v>
      </c>
      <c r="G354" s="5">
        <f>100*('Parameter &lt;x, y&gt;'!L354-B354)/B354</f>
        <v>2.005648907495547</v>
      </c>
      <c r="H354" s="5">
        <f>100*('Parameter &lt;x, y&gt;'!Q354-B354)/B354</f>
        <v>2.2624304639559556</v>
      </c>
      <c r="J354" s="5">
        <f>100*('Parameter &lt;x, y&gt;'!D354-C354)/C354</f>
        <v>54.088808658023609</v>
      </c>
      <c r="K354" s="5">
        <f>100*('Parameter &lt;x, y&gt;'!I354-C354)/C354</f>
        <v>1.0135000906915832</v>
      </c>
      <c r="L354" s="5">
        <f>100*('Parameter &lt;x, y&gt;'!N354-C354)/C354</f>
        <v>0</v>
      </c>
      <c r="M354" s="5">
        <f>100*('Parameter &lt;x, y&gt;'!S354-C354)/C354</f>
        <v>13.426328199901539</v>
      </c>
    </row>
    <row r="355" spans="1:13" ht="12.75" customHeight="1">
      <c r="A355" s="38"/>
      <c r="B355" s="5">
        <f>MIN('Parameter &lt;x, y&gt;'!B355,'Parameter &lt;x, y&gt;'!G355,'Parameter &lt;x, y&gt;'!L355,'Parameter &lt;x, y&gt;'!Q355)</f>
        <v>96098</v>
      </c>
      <c r="C355" s="5">
        <f>MIN('Parameter &lt;x, y&gt;'!D355,'Parameter &lt;x, y&gt;'!I355,'Parameter &lt;x, y&gt;'!N355,'Parameter &lt;x, y&gt;'!S355)</f>
        <v>70502</v>
      </c>
      <c r="E355" s="5">
        <f>100*('Parameter &lt;x, y&gt;'!B355-B355)/B355</f>
        <v>30.007908593310994</v>
      </c>
      <c r="F355" s="5">
        <f>100*('Parameter &lt;x, y&gt;'!G355-B355)/B355</f>
        <v>0</v>
      </c>
      <c r="G355" s="5">
        <f>100*('Parameter &lt;x, y&gt;'!L355-B355)/B355</f>
        <v>36.991404607796206</v>
      </c>
      <c r="H355" s="5">
        <f>100*('Parameter &lt;x, y&gt;'!Q355-B355)/B355</f>
        <v>18.436387854065643</v>
      </c>
      <c r="J355" s="5">
        <f>100*('Parameter &lt;x, y&gt;'!D355-C355)/C355</f>
        <v>89.86269893052679</v>
      </c>
      <c r="K355" s="5">
        <f>100*('Parameter &lt;x, y&gt;'!I355-C355)/C355</f>
        <v>0</v>
      </c>
      <c r="L355" s="5">
        <f>100*('Parameter &lt;x, y&gt;'!N355-C355)/C355</f>
        <v>65.971178122606446</v>
      </c>
      <c r="M355" s="5">
        <f>100*('Parameter &lt;x, y&gt;'!S355-C355)/C355</f>
        <v>62.053558764290372</v>
      </c>
    </row>
    <row r="356" spans="1:13" ht="12.75" customHeight="1">
      <c r="A356" s="38"/>
      <c r="B356" s="5">
        <f>MIN('Parameter &lt;x, y&gt;'!B356,'Parameter &lt;x, y&gt;'!G356,'Parameter &lt;x, y&gt;'!L356,'Parameter &lt;x, y&gt;'!Q356)</f>
        <v>82971.8</v>
      </c>
      <c r="C356" s="5">
        <f>MIN('Parameter &lt;x, y&gt;'!D356,'Parameter &lt;x, y&gt;'!I356,'Parameter &lt;x, y&gt;'!N356,'Parameter &lt;x, y&gt;'!S356)</f>
        <v>61119.199999999997</v>
      </c>
      <c r="E356" s="5">
        <f>100*('Parameter &lt;x, y&gt;'!B356-B356)/B356</f>
        <v>28.035067336131064</v>
      </c>
      <c r="F356" s="5">
        <f>100*('Parameter &lt;x, y&gt;'!G356-B356)/B356</f>
        <v>11.20923012396983</v>
      </c>
      <c r="G356" s="5">
        <f>100*('Parameter &lt;x, y&gt;'!L356-B356)/B356</f>
        <v>0</v>
      </c>
      <c r="H356" s="5">
        <f>100*('Parameter &lt;x, y&gt;'!Q356-B356)/B356</f>
        <v>12.298997972805214</v>
      </c>
      <c r="J356" s="5">
        <f>100*('Parameter &lt;x, y&gt;'!D356-C356)/C356</f>
        <v>18.774951242817323</v>
      </c>
      <c r="K356" s="5">
        <f>100*('Parameter &lt;x, y&gt;'!I356-C356)/C356</f>
        <v>16.165951125014725</v>
      </c>
      <c r="L356" s="5">
        <f>100*('Parameter &lt;x, y&gt;'!N356-C356)/C356</f>
        <v>0</v>
      </c>
      <c r="M356" s="5">
        <f>100*('Parameter &lt;x, y&gt;'!S356-C356)/C356</f>
        <v>8.9299270932865777</v>
      </c>
    </row>
    <row r="357" spans="1:13" ht="12.75" customHeight="1">
      <c r="A357" s="38"/>
      <c r="B357" s="5">
        <f>MIN('Parameter &lt;x, y&gt;'!B357,'Parameter &lt;x, y&gt;'!G357,'Parameter &lt;x, y&gt;'!L357,'Parameter &lt;x, y&gt;'!Q357)</f>
        <v>59680.2</v>
      </c>
      <c r="C357" s="5">
        <f>MIN('Parameter &lt;x, y&gt;'!D357,'Parameter &lt;x, y&gt;'!I357,'Parameter &lt;x, y&gt;'!N357,'Parameter &lt;x, y&gt;'!S357)</f>
        <v>49086.8</v>
      </c>
      <c r="E357" s="5">
        <f>100*('Parameter &lt;x, y&gt;'!B357-B357)/B357</f>
        <v>22.557732715372939</v>
      </c>
      <c r="F357" s="5">
        <f>100*('Parameter &lt;x, y&gt;'!G357-B357)/B357</f>
        <v>0</v>
      </c>
      <c r="G357" s="5">
        <f>100*('Parameter &lt;x, y&gt;'!L357-B357)/B357</f>
        <v>8.3531891649156762</v>
      </c>
      <c r="H357" s="5">
        <f>100*('Parameter &lt;x, y&gt;'!Q357-B357)/B357</f>
        <v>46.827591060351686</v>
      </c>
      <c r="J357" s="5">
        <f>100*('Parameter &lt;x, y&gt;'!D357-C357)/C357</f>
        <v>0</v>
      </c>
      <c r="K357" s="5">
        <f>100*('Parameter &lt;x, y&gt;'!I357-C357)/C357</f>
        <v>37.962751696993891</v>
      </c>
      <c r="L357" s="5">
        <f>100*('Parameter &lt;x, y&gt;'!N357-C357)/C357</f>
        <v>0.53048884832581089</v>
      </c>
      <c r="M357" s="5">
        <f>100*('Parameter &lt;x, y&gt;'!S357-C357)/C357</f>
        <v>3.4241384649233511</v>
      </c>
    </row>
    <row r="358" spans="1:13" ht="12.75" customHeight="1">
      <c r="A358" s="38"/>
      <c r="B358" s="5">
        <f>MIN('Parameter &lt;x, y&gt;'!B358,'Parameter &lt;x, y&gt;'!G358,'Parameter &lt;x, y&gt;'!L358,'Parameter &lt;x, y&gt;'!Q358)</f>
        <v>106254</v>
      </c>
      <c r="C358" s="5">
        <f>MIN('Parameter &lt;x, y&gt;'!D358,'Parameter &lt;x, y&gt;'!I358,'Parameter &lt;x, y&gt;'!N358,'Parameter &lt;x, y&gt;'!S358)</f>
        <v>64047.1</v>
      </c>
      <c r="E358" s="5">
        <f>100*('Parameter &lt;x, y&gt;'!B358-B358)/B358</f>
        <v>42.052063922299396</v>
      </c>
      <c r="F358" s="5">
        <f>100*('Parameter &lt;x, y&gt;'!G358-B358)/B358</f>
        <v>0.59197771378018715</v>
      </c>
      <c r="G358" s="5">
        <f>100*('Parameter &lt;x, y&gt;'!L358-B358)/B358</f>
        <v>0</v>
      </c>
      <c r="H358" s="5">
        <f>100*('Parameter &lt;x, y&gt;'!Q358-B358)/B358</f>
        <v>36.030643552242736</v>
      </c>
      <c r="J358" s="5">
        <f>100*('Parameter &lt;x, y&gt;'!D358-C358)/C358</f>
        <v>4.6358070857228491</v>
      </c>
      <c r="K358" s="5">
        <f>100*('Parameter &lt;x, y&gt;'!I358-C358)/C358</f>
        <v>0</v>
      </c>
      <c r="L358" s="5">
        <f>100*('Parameter &lt;x, y&gt;'!N358-C358)/C358</f>
        <v>100.79909941277592</v>
      </c>
      <c r="M358" s="5">
        <f>100*('Parameter &lt;x, y&gt;'!S358-C358)/C358</f>
        <v>100.6429643184469</v>
      </c>
    </row>
    <row r="359" spans="1:13" ht="12.75" customHeight="1">
      <c r="A359" s="38"/>
      <c r="B359" s="5">
        <f>MIN('Parameter &lt;x, y&gt;'!B359,'Parameter &lt;x, y&gt;'!G359,'Parameter &lt;x, y&gt;'!L359,'Parameter &lt;x, y&gt;'!Q359)</f>
        <v>59278.9</v>
      </c>
      <c r="C359" s="5">
        <f>MIN('Parameter &lt;x, y&gt;'!D359,'Parameter &lt;x, y&gt;'!I359,'Parameter &lt;x, y&gt;'!N359,'Parameter &lt;x, y&gt;'!S359)</f>
        <v>52125.3</v>
      </c>
      <c r="E359" s="5">
        <f>100*('Parameter &lt;x, y&gt;'!B359-B359)/B359</f>
        <v>8.8375459058788124</v>
      </c>
      <c r="F359" s="5">
        <f>100*('Parameter &lt;x, y&gt;'!G359-B359)/B359</f>
        <v>8.9777306933833128</v>
      </c>
      <c r="G359" s="5">
        <f>100*('Parameter &lt;x, y&gt;'!L359-B359)/B359</f>
        <v>9.807368220395448</v>
      </c>
      <c r="H359" s="5">
        <f>100*('Parameter &lt;x, y&gt;'!Q359-B359)/B359</f>
        <v>0</v>
      </c>
      <c r="J359" s="5">
        <f>100*('Parameter &lt;x, y&gt;'!D359-C359)/C359</f>
        <v>15.270319787128319</v>
      </c>
      <c r="K359" s="5">
        <f>100*('Parameter &lt;x, y&gt;'!I359-C359)/C359</f>
        <v>1.998070035088527</v>
      </c>
      <c r="L359" s="5">
        <f>100*('Parameter &lt;x, y&gt;'!N359-C359)/C359</f>
        <v>0</v>
      </c>
      <c r="M359" s="5">
        <f>100*('Parameter &lt;x, y&gt;'!S359-C359)/C359</f>
        <v>8.0471479300838524</v>
      </c>
    </row>
    <row r="360" spans="1:13" ht="12.75" customHeight="1">
      <c r="A360" s="38"/>
      <c r="B360" s="5">
        <f>MIN('Parameter &lt;x, y&gt;'!B360,'Parameter &lt;x, y&gt;'!G360,'Parameter &lt;x, y&gt;'!L360,'Parameter &lt;x, y&gt;'!Q360)</f>
        <v>82151.899999999994</v>
      </c>
      <c r="C360" s="5">
        <f>MIN('Parameter &lt;x, y&gt;'!D360,'Parameter &lt;x, y&gt;'!I360,'Parameter &lt;x, y&gt;'!N360,'Parameter &lt;x, y&gt;'!S360)</f>
        <v>80519.100000000006</v>
      </c>
      <c r="E360" s="5">
        <f>100*('Parameter &lt;x, y&gt;'!B360-B360)/B360</f>
        <v>0</v>
      </c>
      <c r="F360" s="5">
        <f>100*('Parameter &lt;x, y&gt;'!G360-B360)/B360</f>
        <v>20.027534360130442</v>
      </c>
      <c r="G360" s="5">
        <f>100*('Parameter &lt;x, y&gt;'!L360-B360)/B360</f>
        <v>51.749381328977194</v>
      </c>
      <c r="H360" s="5">
        <f>100*('Parameter &lt;x, y&gt;'!Q360-B360)/B360</f>
        <v>1.3612588388095748</v>
      </c>
      <c r="J360" s="5">
        <f>100*('Parameter &lt;x, y&gt;'!D360-C360)/C360</f>
        <v>0</v>
      </c>
      <c r="K360" s="5">
        <f>100*('Parameter &lt;x, y&gt;'!I360-C360)/C360</f>
        <v>2.2546203323186598</v>
      </c>
      <c r="L360" s="5">
        <f>100*('Parameter &lt;x, y&gt;'!N360-C360)/C360</f>
        <v>70.333498511533278</v>
      </c>
      <c r="M360" s="5">
        <f>100*('Parameter &lt;x, y&gt;'!S360-C360)/C360</f>
        <v>10.374060316123739</v>
      </c>
    </row>
    <row r="361" spans="1:13" ht="12.75" customHeight="1">
      <c r="A361" s="38"/>
      <c r="B361" s="5">
        <f>MIN('Parameter &lt;x, y&gt;'!B361,'Parameter &lt;x, y&gt;'!G361,'Parameter &lt;x, y&gt;'!L361,'Parameter &lt;x, y&gt;'!Q361)</f>
        <v>96269.4</v>
      </c>
      <c r="C361" s="5">
        <f>MIN('Parameter &lt;x, y&gt;'!D361,'Parameter &lt;x, y&gt;'!I361,'Parameter &lt;x, y&gt;'!N361,'Parameter &lt;x, y&gt;'!S361)</f>
        <v>76995.3</v>
      </c>
      <c r="E361" s="5">
        <f>100*('Parameter &lt;x, y&gt;'!B361-B361)/B361</f>
        <v>0</v>
      </c>
      <c r="F361" s="5">
        <f>100*('Parameter &lt;x, y&gt;'!G361-B361)/B361</f>
        <v>30.666650046639958</v>
      </c>
      <c r="G361" s="5">
        <f>100*('Parameter &lt;x, y&gt;'!L361-B361)/B361</f>
        <v>22.854198738124477</v>
      </c>
      <c r="H361" s="5">
        <f>100*('Parameter &lt;x, y&gt;'!Q361-B361)/B361</f>
        <v>52.592620292637136</v>
      </c>
      <c r="J361" s="5">
        <f>100*('Parameter &lt;x, y&gt;'!D361-C361)/C361</f>
        <v>79.405755935751912</v>
      </c>
      <c r="K361" s="5">
        <f>100*('Parameter &lt;x, y&gt;'!I361-C361)/C361</f>
        <v>0</v>
      </c>
      <c r="L361" s="5">
        <f>100*('Parameter &lt;x, y&gt;'!N361-C361)/C361</f>
        <v>24.304340654559429</v>
      </c>
      <c r="M361" s="5">
        <f>100*('Parameter &lt;x, y&gt;'!S361-C361)/C361</f>
        <v>0.31417502107270728</v>
      </c>
    </row>
    <row r="362" spans="1:13" ht="12.75" customHeight="1">
      <c r="A362" s="38"/>
      <c r="B362" s="5">
        <f>MIN('Parameter &lt;x, y&gt;'!B362,'Parameter &lt;x, y&gt;'!G362,'Parameter &lt;x, y&gt;'!L362,'Parameter &lt;x, y&gt;'!Q362)</f>
        <v>77465.600000000006</v>
      </c>
      <c r="C362" s="5">
        <f>MIN('Parameter &lt;x, y&gt;'!D362,'Parameter &lt;x, y&gt;'!I362,'Parameter &lt;x, y&gt;'!N362,'Parameter &lt;x, y&gt;'!S362)</f>
        <v>59035.9</v>
      </c>
      <c r="E362" s="5">
        <f>100*('Parameter &lt;x, y&gt;'!B362-B362)/B362</f>
        <v>17.634795315598144</v>
      </c>
      <c r="F362" s="5">
        <f>100*('Parameter &lt;x, y&gt;'!G362-B362)/B362</f>
        <v>0</v>
      </c>
      <c r="G362" s="5">
        <f>100*('Parameter &lt;x, y&gt;'!L362-B362)/B362</f>
        <v>73.127168704560461</v>
      </c>
      <c r="H362" s="5">
        <f>100*('Parameter &lt;x, y&gt;'!Q362-B362)/B362</f>
        <v>0.95229366325181375</v>
      </c>
      <c r="J362" s="5">
        <f>100*('Parameter &lt;x, y&gt;'!D362-C362)/C362</f>
        <v>10.186344241385324</v>
      </c>
      <c r="K362" s="5">
        <f>100*('Parameter &lt;x, y&gt;'!I362-C362)/C362</f>
        <v>89.430499069210427</v>
      </c>
      <c r="L362" s="5">
        <f>100*('Parameter &lt;x, y&gt;'!N362-C362)/C362</f>
        <v>0</v>
      </c>
      <c r="M362" s="5">
        <f>100*('Parameter &lt;x, y&gt;'!S362-C362)/C362</f>
        <v>69.908479416761665</v>
      </c>
    </row>
    <row r="363" spans="1:13" ht="12.75" customHeight="1">
      <c r="A363" s="38"/>
      <c r="B363" s="5">
        <f>MIN('Parameter &lt;x, y&gt;'!B363,'Parameter &lt;x, y&gt;'!G363,'Parameter &lt;x, y&gt;'!L363,'Parameter &lt;x, y&gt;'!Q363)</f>
        <v>107009</v>
      </c>
      <c r="C363" s="5">
        <f>MIN('Parameter &lt;x, y&gt;'!D363,'Parameter &lt;x, y&gt;'!I363,'Parameter &lt;x, y&gt;'!N363,'Parameter &lt;x, y&gt;'!S363)</f>
        <v>67183.8</v>
      </c>
      <c r="E363" s="5">
        <f>100*('Parameter &lt;x, y&gt;'!B363-B363)/B363</f>
        <v>13.515685596538608</v>
      </c>
      <c r="F363" s="5">
        <f>100*('Parameter &lt;x, y&gt;'!G363-B363)/B363</f>
        <v>18.853554373931164</v>
      </c>
      <c r="G363" s="5">
        <f>100*('Parameter &lt;x, y&gt;'!L363-B363)/B363</f>
        <v>53.230102140941419</v>
      </c>
      <c r="H363" s="5">
        <f>100*('Parameter &lt;x, y&gt;'!Q363-B363)/B363</f>
        <v>0</v>
      </c>
      <c r="J363" s="5">
        <f>100*('Parameter &lt;x, y&gt;'!D363-C363)/C363</f>
        <v>17.084029185607239</v>
      </c>
      <c r="K363" s="5">
        <f>100*('Parameter &lt;x, y&gt;'!I363-C363)/C363</f>
        <v>40.533878702901582</v>
      </c>
      <c r="L363" s="5">
        <f>100*('Parameter &lt;x, y&gt;'!N363-C363)/C363</f>
        <v>0</v>
      </c>
      <c r="M363" s="5">
        <f>100*('Parameter &lt;x, y&gt;'!S363-C363)/C363</f>
        <v>63.140518994162278</v>
      </c>
    </row>
    <row r="364" spans="1:13" ht="12.75" customHeight="1">
      <c r="A364" s="38"/>
      <c r="B364" s="5">
        <f>MIN('Parameter &lt;x, y&gt;'!B364,'Parameter &lt;x, y&gt;'!G364,'Parameter &lt;x, y&gt;'!L364,'Parameter &lt;x, y&gt;'!Q364)</f>
        <v>65118.7</v>
      </c>
      <c r="C364" s="5">
        <f>MIN('Parameter &lt;x, y&gt;'!D364,'Parameter &lt;x, y&gt;'!I364,'Parameter &lt;x, y&gt;'!N364,'Parameter &lt;x, y&gt;'!S364)</f>
        <v>54183.1</v>
      </c>
      <c r="E364" s="5">
        <f>100*('Parameter &lt;x, y&gt;'!B364-B364)/B364</f>
        <v>2.4940608458092774</v>
      </c>
      <c r="F364" s="5">
        <f>100*('Parameter &lt;x, y&gt;'!G364-B364)/B364</f>
        <v>0</v>
      </c>
      <c r="G364" s="5">
        <f>100*('Parameter &lt;x, y&gt;'!L364-B364)/B364</f>
        <v>10.675888799991402</v>
      </c>
      <c r="H364" s="5">
        <f>100*('Parameter &lt;x, y&gt;'!Q364-B364)/B364</f>
        <v>7.8513545264263529</v>
      </c>
      <c r="J364" s="5">
        <f>100*('Parameter &lt;x, y&gt;'!D364-C364)/C364</f>
        <v>10.341047300726608</v>
      </c>
      <c r="K364" s="5">
        <f>100*('Parameter &lt;x, y&gt;'!I364-C364)/C364</f>
        <v>18.212874494076573</v>
      </c>
      <c r="L364" s="5">
        <f>100*('Parameter &lt;x, y&gt;'!N364-C364)/C364</f>
        <v>0</v>
      </c>
      <c r="M364" s="5">
        <f>100*('Parameter &lt;x, y&gt;'!S364-C364)/C364</f>
        <v>12.492087016062202</v>
      </c>
    </row>
    <row r="365" spans="1:13" ht="12.75" customHeight="1">
      <c r="A365" s="38"/>
      <c r="B365" s="5">
        <f>MIN('Parameter &lt;x, y&gt;'!B365,'Parameter &lt;x, y&gt;'!G365,'Parameter &lt;x, y&gt;'!L365,'Parameter &lt;x, y&gt;'!Q365)</f>
        <v>66424.2</v>
      </c>
      <c r="C365" s="5">
        <f>MIN('Parameter &lt;x, y&gt;'!D365,'Parameter &lt;x, y&gt;'!I365,'Parameter &lt;x, y&gt;'!N365,'Parameter &lt;x, y&gt;'!S365)</f>
        <v>50877.2</v>
      </c>
      <c r="E365" s="5">
        <f>100*('Parameter &lt;x, y&gt;'!B365-B365)/B365</f>
        <v>21.197093830260659</v>
      </c>
      <c r="F365" s="5">
        <f>100*('Parameter &lt;x, y&gt;'!G365-B365)/B365</f>
        <v>0</v>
      </c>
      <c r="G365" s="5">
        <f>100*('Parameter &lt;x, y&gt;'!L365-B365)/B365</f>
        <v>35.869607763435624</v>
      </c>
      <c r="H365" s="5">
        <f>100*('Parameter &lt;x, y&gt;'!Q365-B365)/B365</f>
        <v>11.405933379701979</v>
      </c>
      <c r="J365" s="5">
        <f>100*('Parameter &lt;x, y&gt;'!D365-C365)/C365</f>
        <v>78.862437398284499</v>
      </c>
      <c r="K365" s="5">
        <f>100*('Parameter &lt;x, y&gt;'!I365-C365)/C365</f>
        <v>0</v>
      </c>
      <c r="L365" s="5">
        <f>100*('Parameter &lt;x, y&gt;'!N365-C365)/C365</f>
        <v>15.030308271681619</v>
      </c>
      <c r="M365" s="5">
        <f>100*('Parameter &lt;x, y&gt;'!S365-C365)/C365</f>
        <v>46.265321204783284</v>
      </c>
    </row>
    <row r="366" spans="1:13" ht="12.75" customHeight="1">
      <c r="A366" s="38"/>
      <c r="B366" s="5">
        <f>MIN('Parameter &lt;x, y&gt;'!B366,'Parameter &lt;x, y&gt;'!G366,'Parameter &lt;x, y&gt;'!L366,'Parameter &lt;x, y&gt;'!Q366)</f>
        <v>86022.399999999994</v>
      </c>
      <c r="C366" s="5">
        <f>MIN('Parameter &lt;x, y&gt;'!D366,'Parameter &lt;x, y&gt;'!I366,'Parameter &lt;x, y&gt;'!N366,'Parameter &lt;x, y&gt;'!S366)</f>
        <v>69289.600000000006</v>
      </c>
      <c r="E366" s="5">
        <f>100*('Parameter &lt;x, y&gt;'!B366-B366)/B366</f>
        <v>3.2288101703742282</v>
      </c>
      <c r="F366" s="5">
        <f>100*('Parameter &lt;x, y&gt;'!G366-B366)/B366</f>
        <v>0</v>
      </c>
      <c r="G366" s="5">
        <f>100*('Parameter &lt;x, y&gt;'!L366-B366)/B366</f>
        <v>3.3300628673461867</v>
      </c>
      <c r="H366" s="5">
        <f>100*('Parameter &lt;x, y&gt;'!Q366-B366)/B366</f>
        <v>3.794941782605461</v>
      </c>
      <c r="J366" s="5">
        <f>100*('Parameter &lt;x, y&gt;'!D366-C366)/C366</f>
        <v>21.178214335196028</v>
      </c>
      <c r="K366" s="5">
        <f>100*('Parameter &lt;x, y&gt;'!I366-C366)/C366</f>
        <v>10.896296125248233</v>
      </c>
      <c r="L366" s="5">
        <f>100*('Parameter &lt;x, y&gt;'!N366-C366)/C366</f>
        <v>0</v>
      </c>
      <c r="M366" s="5">
        <f>100*('Parameter &lt;x, y&gt;'!S366-C366)/C366</f>
        <v>4.712972798226561</v>
      </c>
    </row>
    <row r="367" spans="1:13" ht="12.75" customHeight="1">
      <c r="A367" s="38"/>
      <c r="B367" s="5">
        <f>MIN('Parameter &lt;x, y&gt;'!B367,'Parameter &lt;x, y&gt;'!G367,'Parameter &lt;x, y&gt;'!L367,'Parameter &lt;x, y&gt;'!Q367)</f>
        <v>77700.7</v>
      </c>
      <c r="C367" s="5">
        <f>MIN('Parameter &lt;x, y&gt;'!D367,'Parameter &lt;x, y&gt;'!I367,'Parameter &lt;x, y&gt;'!N367,'Parameter &lt;x, y&gt;'!S367)</f>
        <v>61929.8</v>
      </c>
      <c r="E367" s="5">
        <f>100*('Parameter &lt;x, y&gt;'!B367-B367)/B367</f>
        <v>0</v>
      </c>
      <c r="F367" s="5">
        <f>100*('Parameter &lt;x, y&gt;'!G367-B367)/B367</f>
        <v>0.73847468555624718</v>
      </c>
      <c r="G367" s="5">
        <f>100*('Parameter &lt;x, y&gt;'!L367-B367)/B367</f>
        <v>61.518493398386376</v>
      </c>
      <c r="H367" s="5">
        <f>100*('Parameter &lt;x, y&gt;'!Q367-B367)/B367</f>
        <v>1.4540409545859985</v>
      </c>
      <c r="J367" s="5">
        <f>100*('Parameter &lt;x, y&gt;'!D367-C367)/C367</f>
        <v>11.013437795697694</v>
      </c>
      <c r="K367" s="5">
        <f>100*('Parameter &lt;x, y&gt;'!I367-C367)/C367</f>
        <v>10.24999273370817</v>
      </c>
      <c r="L367" s="5">
        <f>100*('Parameter &lt;x, y&gt;'!N367-C367)/C367</f>
        <v>0</v>
      </c>
      <c r="M367" s="5">
        <f>100*('Parameter &lt;x, y&gt;'!S367-C367)/C367</f>
        <v>9.9218792891305814</v>
      </c>
    </row>
    <row r="368" spans="1:13" ht="12.75" customHeight="1">
      <c r="A368" s="38"/>
      <c r="B368" s="5">
        <f>MIN('Parameter &lt;x, y&gt;'!B368,'Parameter &lt;x, y&gt;'!G368,'Parameter &lt;x, y&gt;'!L368,'Parameter &lt;x, y&gt;'!Q368)</f>
        <v>67343.100000000006</v>
      </c>
      <c r="C368" s="5">
        <f>MIN('Parameter &lt;x, y&gt;'!D368,'Parameter &lt;x, y&gt;'!I368,'Parameter &lt;x, y&gt;'!N368,'Parameter &lt;x, y&gt;'!S368)</f>
        <v>72807.899999999994</v>
      </c>
      <c r="E368" s="5">
        <f>100*('Parameter &lt;x, y&gt;'!B368-B368)/B368</f>
        <v>126.330537204257</v>
      </c>
      <c r="F368" s="5">
        <f>100*('Parameter &lt;x, y&gt;'!G368-B368)/B368</f>
        <v>95.595391361550014</v>
      </c>
      <c r="G368" s="5">
        <f>100*('Parameter &lt;x, y&gt;'!L368-B368)/B368</f>
        <v>34.412434236024168</v>
      </c>
      <c r="H368" s="5">
        <f>100*('Parameter &lt;x, y&gt;'!Q368-B368)/B368</f>
        <v>0</v>
      </c>
      <c r="J368" s="5">
        <f>100*('Parameter &lt;x, y&gt;'!D368-C368)/C368</f>
        <v>13.720901165944918</v>
      </c>
      <c r="K368" s="5">
        <f>100*('Parameter &lt;x, y&gt;'!I368-C368)/C368</f>
        <v>11.283528298440146</v>
      </c>
      <c r="L368" s="5">
        <f>100*('Parameter &lt;x, y&gt;'!N368-C368)/C368</f>
        <v>0</v>
      </c>
      <c r="M368" s="5">
        <f>100*('Parameter &lt;x, y&gt;'!S368-C368)/C368</f>
        <v>15.861328234985494</v>
      </c>
    </row>
    <row r="369" spans="1:13" ht="12.75" customHeight="1">
      <c r="A369" s="38"/>
      <c r="B369" s="5">
        <f>MIN('Parameter &lt;x, y&gt;'!B369,'Parameter &lt;x, y&gt;'!G369,'Parameter &lt;x, y&gt;'!L369,'Parameter &lt;x, y&gt;'!Q369)</f>
        <v>88999</v>
      </c>
      <c r="C369" s="5">
        <f>MIN('Parameter &lt;x, y&gt;'!D369,'Parameter &lt;x, y&gt;'!I369,'Parameter &lt;x, y&gt;'!N369,'Parameter &lt;x, y&gt;'!S369)</f>
        <v>80389.399999999994</v>
      </c>
      <c r="E369" s="5">
        <f>100*('Parameter &lt;x, y&gt;'!B369-B369)/B369</f>
        <v>64.58836616141754</v>
      </c>
      <c r="F369" s="5">
        <f>100*('Parameter &lt;x, y&gt;'!G369-B369)/B369</f>
        <v>0</v>
      </c>
      <c r="G369" s="5">
        <f>100*('Parameter &lt;x, y&gt;'!L369-B369)/B369</f>
        <v>2.0449667973797458</v>
      </c>
      <c r="H369" s="5">
        <f>100*('Parameter &lt;x, y&gt;'!Q369-B369)/B369</f>
        <v>2.9019427184575073</v>
      </c>
      <c r="J369" s="5">
        <f>100*('Parameter &lt;x, y&gt;'!D369-C369)/C369</f>
        <v>0</v>
      </c>
      <c r="K369" s="5">
        <f>100*('Parameter &lt;x, y&gt;'!I369-C369)/C369</f>
        <v>5.2416114562367824</v>
      </c>
      <c r="L369" s="5">
        <f>100*('Parameter &lt;x, y&gt;'!N369-C369)/C369</f>
        <v>43.576143123347116</v>
      </c>
      <c r="M369" s="5">
        <f>100*('Parameter &lt;x, y&gt;'!S369-C369)/C369</f>
        <v>53.099786787810352</v>
      </c>
    </row>
    <row r="370" spans="1:13" ht="12.75" customHeight="1">
      <c r="A370" s="38"/>
      <c r="B370" s="5">
        <f>MIN('Parameter &lt;x, y&gt;'!B370,'Parameter &lt;x, y&gt;'!G370,'Parameter &lt;x, y&gt;'!L370,'Parameter &lt;x, y&gt;'!Q370)</f>
        <v>87980.7</v>
      </c>
      <c r="C370" s="5">
        <f>MIN('Parameter &lt;x, y&gt;'!D370,'Parameter &lt;x, y&gt;'!I370,'Parameter &lt;x, y&gt;'!N370,'Parameter &lt;x, y&gt;'!S370)</f>
        <v>53219.3</v>
      </c>
      <c r="E370" s="5">
        <f>100*('Parameter &lt;x, y&gt;'!B370-B370)/B370</f>
        <v>53.789410632104541</v>
      </c>
      <c r="F370" s="5">
        <f>100*('Parameter &lt;x, y&gt;'!G370-B370)/B370</f>
        <v>0</v>
      </c>
      <c r="G370" s="5">
        <f>100*('Parameter &lt;x, y&gt;'!L370-B370)/B370</f>
        <v>75.155460231618989</v>
      </c>
      <c r="H370" s="5">
        <f>100*('Parameter &lt;x, y&gt;'!Q370-B370)/B370</f>
        <v>20.821952996509467</v>
      </c>
      <c r="J370" s="5">
        <f>100*('Parameter &lt;x, y&gt;'!D370-C370)/C370</f>
        <v>140.61007942607287</v>
      </c>
      <c r="K370" s="5">
        <f>100*('Parameter &lt;x, y&gt;'!I370-C370)/C370</f>
        <v>47.274203155622111</v>
      </c>
      <c r="L370" s="5">
        <f>100*('Parameter &lt;x, y&gt;'!N370-C370)/C370</f>
        <v>89.344842942316035</v>
      </c>
      <c r="M370" s="5">
        <f>100*('Parameter &lt;x, y&gt;'!S370-C370)/C370</f>
        <v>0</v>
      </c>
    </row>
    <row r="371" spans="1:13" ht="12.75" customHeight="1">
      <c r="A371" s="38"/>
      <c r="B371" s="5">
        <f>MIN('Parameter &lt;x, y&gt;'!B371,'Parameter &lt;x, y&gt;'!G371,'Parameter &lt;x, y&gt;'!L371,'Parameter &lt;x, y&gt;'!Q371)</f>
        <v>77944.100000000006</v>
      </c>
      <c r="C371" s="5">
        <f>MIN('Parameter &lt;x, y&gt;'!D371,'Parameter &lt;x, y&gt;'!I371,'Parameter &lt;x, y&gt;'!N371,'Parameter &lt;x, y&gt;'!S371)</f>
        <v>67769</v>
      </c>
      <c r="E371" s="5">
        <f>100*('Parameter &lt;x, y&gt;'!B371-B371)/B371</f>
        <v>0</v>
      </c>
      <c r="F371" s="5">
        <f>100*('Parameter &lt;x, y&gt;'!G371-B371)/B371</f>
        <v>81.478777739431195</v>
      </c>
      <c r="G371" s="5">
        <f>100*('Parameter &lt;x, y&gt;'!L371-B371)/B371</f>
        <v>3.4230942431819611</v>
      </c>
      <c r="H371" s="5">
        <f>100*('Parameter &lt;x, y&gt;'!Q371-B371)/B371</f>
        <v>40.110669056413499</v>
      </c>
      <c r="J371" s="5">
        <f>100*('Parameter &lt;x, y&gt;'!D371-C371)/C371</f>
        <v>47.306585606988442</v>
      </c>
      <c r="K371" s="5">
        <f>100*('Parameter &lt;x, y&gt;'!I371-C371)/C371</f>
        <v>0</v>
      </c>
      <c r="L371" s="5">
        <f>100*('Parameter &lt;x, y&gt;'!N371-C371)/C371</f>
        <v>17.858903038262337</v>
      </c>
      <c r="M371" s="5">
        <f>100*('Parameter &lt;x, y&gt;'!S371-C371)/C371</f>
        <v>9.4003157786008344</v>
      </c>
    </row>
    <row r="372" spans="1:13" ht="12.75" customHeight="1">
      <c r="A372" s="38"/>
      <c r="B372" s="5">
        <f>MIN('Parameter &lt;x, y&gt;'!B372,'Parameter &lt;x, y&gt;'!G372,'Parameter &lt;x, y&gt;'!L372,'Parameter &lt;x, y&gt;'!Q372)</f>
        <v>52755.199999999997</v>
      </c>
      <c r="C372" s="5">
        <f>MIN('Parameter &lt;x, y&gt;'!D372,'Parameter &lt;x, y&gt;'!I372,'Parameter &lt;x, y&gt;'!N372,'Parameter &lt;x, y&gt;'!S372)</f>
        <v>40077.4</v>
      </c>
      <c r="E372" s="5">
        <f>100*('Parameter &lt;x, y&gt;'!B372-B372)/B372</f>
        <v>4.9600797646488015</v>
      </c>
      <c r="F372" s="5">
        <f>100*('Parameter &lt;x, y&gt;'!G372-B372)/B372</f>
        <v>11.957683792308631</v>
      </c>
      <c r="G372" s="5">
        <f>100*('Parameter &lt;x, y&gt;'!L372-B372)/B372</f>
        <v>9.0639406162804903</v>
      </c>
      <c r="H372" s="5">
        <f>100*('Parameter &lt;x, y&gt;'!Q372-B372)/B372</f>
        <v>0</v>
      </c>
      <c r="J372" s="5">
        <f>100*('Parameter &lt;x, y&gt;'!D372-C372)/C372</f>
        <v>8.9466881584134672</v>
      </c>
      <c r="K372" s="5">
        <f>100*('Parameter &lt;x, y&gt;'!I372-C372)/C372</f>
        <v>9.7526286635360542</v>
      </c>
      <c r="L372" s="5">
        <f>100*('Parameter &lt;x, y&gt;'!N372-C372)/C372</f>
        <v>0</v>
      </c>
      <c r="M372" s="5">
        <f>100*('Parameter &lt;x, y&gt;'!S372-C372)/C372</f>
        <v>13.645595772180817</v>
      </c>
    </row>
    <row r="373" spans="1:13" ht="12.75" customHeight="1">
      <c r="A373" s="38"/>
      <c r="B373" s="5">
        <f>MIN('Parameter &lt;x, y&gt;'!B373,'Parameter &lt;x, y&gt;'!G373,'Parameter &lt;x, y&gt;'!L373,'Parameter &lt;x, y&gt;'!Q373)</f>
        <v>63098.400000000001</v>
      </c>
      <c r="C373" s="5">
        <f>MIN('Parameter &lt;x, y&gt;'!D373,'Parameter &lt;x, y&gt;'!I373,'Parameter &lt;x, y&gt;'!N373,'Parameter &lt;x, y&gt;'!S373)</f>
        <v>49601.9</v>
      </c>
      <c r="E373" s="5">
        <f>100*('Parameter &lt;x, y&gt;'!B373-B373)/B373</f>
        <v>23.636732468652141</v>
      </c>
      <c r="F373" s="5">
        <f>100*('Parameter &lt;x, y&gt;'!G373-B373)/B373</f>
        <v>7.750117277141741</v>
      </c>
      <c r="G373" s="5">
        <f>100*('Parameter &lt;x, y&gt;'!L373-B373)/B373</f>
        <v>0</v>
      </c>
      <c r="H373" s="5">
        <f>100*('Parameter &lt;x, y&gt;'!Q373-B373)/B373</f>
        <v>14.258840160764771</v>
      </c>
      <c r="J373" s="5">
        <f>100*('Parameter &lt;x, y&gt;'!D373-C373)/C373</f>
        <v>0</v>
      </c>
      <c r="K373" s="5">
        <f>100*('Parameter &lt;x, y&gt;'!I373-C373)/C373</f>
        <v>23.599499212731761</v>
      </c>
      <c r="L373" s="5">
        <f>100*('Parameter &lt;x, y&gt;'!N373-C373)/C373</f>
        <v>7.7968787485963258</v>
      </c>
      <c r="M373" s="5">
        <f>100*('Parameter &lt;x, y&gt;'!S373-C373)/C373</f>
        <v>81.145278709081708</v>
      </c>
    </row>
    <row r="374" spans="1:13" ht="12.75" customHeight="1">
      <c r="A374" s="38"/>
      <c r="B374" s="5">
        <f>MIN('Parameter &lt;x, y&gt;'!B374,'Parameter &lt;x, y&gt;'!G374,'Parameter &lt;x, y&gt;'!L374,'Parameter &lt;x, y&gt;'!Q374)</f>
        <v>75405.100000000006</v>
      </c>
      <c r="C374" s="5">
        <f>MIN('Parameter &lt;x, y&gt;'!D374,'Parameter &lt;x, y&gt;'!I374,'Parameter &lt;x, y&gt;'!N374,'Parameter &lt;x, y&gt;'!S374)</f>
        <v>57388.1</v>
      </c>
      <c r="E374" s="5">
        <f>100*('Parameter &lt;x, y&gt;'!B374-B374)/B374</f>
        <v>5.3046809830393333E-4</v>
      </c>
      <c r="F374" s="5">
        <f>100*('Parameter &lt;x, y&gt;'!G374-B374)/B374</f>
        <v>2.214571693426564</v>
      </c>
      <c r="G374" s="5">
        <f>100*('Parameter &lt;x, y&gt;'!L374-B374)/B374</f>
        <v>0.15847734437060623</v>
      </c>
      <c r="H374" s="5">
        <f>100*('Parameter &lt;x, y&gt;'!Q374-B374)/B374</f>
        <v>0</v>
      </c>
      <c r="J374" s="5">
        <f>100*('Parameter &lt;x, y&gt;'!D374-C374)/C374</f>
        <v>6.8043723350311325</v>
      </c>
      <c r="K374" s="5">
        <f>100*('Parameter &lt;x, y&gt;'!I374-C374)/C374</f>
        <v>11.848449417213672</v>
      </c>
      <c r="L374" s="5">
        <f>100*('Parameter &lt;x, y&gt;'!N374-C374)/C374</f>
        <v>0</v>
      </c>
      <c r="M374" s="5">
        <f>100*('Parameter &lt;x, y&gt;'!S374-C374)/C374</f>
        <v>13.058282117721273</v>
      </c>
    </row>
    <row r="375" spans="1:13" ht="12.75" customHeight="1">
      <c r="A375" s="38"/>
      <c r="B375" s="5">
        <f>MIN('Parameter &lt;x, y&gt;'!B375,'Parameter &lt;x, y&gt;'!G375,'Parameter &lt;x, y&gt;'!L375,'Parameter &lt;x, y&gt;'!Q375)</f>
        <v>73646.8</v>
      </c>
      <c r="C375" s="5">
        <f>MIN('Parameter &lt;x, y&gt;'!D375,'Parameter &lt;x, y&gt;'!I375,'Parameter &lt;x, y&gt;'!N375,'Parameter &lt;x, y&gt;'!S375)</f>
        <v>62851.9</v>
      </c>
      <c r="E375" s="5">
        <f>100*('Parameter &lt;x, y&gt;'!B375-B375)/B375</f>
        <v>0</v>
      </c>
      <c r="F375" s="5">
        <f>100*('Parameter &lt;x, y&gt;'!G375-B375)/B375</f>
        <v>9.8103379916031646</v>
      </c>
      <c r="G375" s="5">
        <f>100*('Parameter &lt;x, y&gt;'!L375-B375)/B375</f>
        <v>7.017684407197601</v>
      </c>
      <c r="H375" s="5">
        <f>100*('Parameter &lt;x, y&gt;'!Q375-B375)/B375</f>
        <v>8.5819071568622149</v>
      </c>
      <c r="J375" s="5">
        <f>100*('Parameter &lt;x, y&gt;'!D375-C375)/C375</f>
        <v>2.7886189598086886</v>
      </c>
      <c r="K375" s="5">
        <f>100*('Parameter &lt;x, y&gt;'!I375-C375)/C375</f>
        <v>0</v>
      </c>
      <c r="L375" s="5">
        <f>100*('Parameter &lt;x, y&gt;'!N375-C375)/C375</f>
        <v>6.2262238691272582</v>
      </c>
      <c r="M375" s="5">
        <f>100*('Parameter &lt;x, y&gt;'!S375-C375)/C375</f>
        <v>14.766936242182011</v>
      </c>
    </row>
    <row r="376" spans="1:13" ht="12.75" customHeight="1">
      <c r="A376" s="38"/>
      <c r="B376" s="5">
        <f>MIN('Parameter &lt;x, y&gt;'!B376,'Parameter &lt;x, y&gt;'!G376,'Parameter &lt;x, y&gt;'!L376,'Parameter &lt;x, y&gt;'!Q376)</f>
        <v>108364</v>
      </c>
      <c r="C376" s="5">
        <f>MIN('Parameter &lt;x, y&gt;'!D376,'Parameter &lt;x, y&gt;'!I376,'Parameter &lt;x, y&gt;'!N376,'Parameter &lt;x, y&gt;'!S376)</f>
        <v>88403.199999999997</v>
      </c>
      <c r="E376" s="5">
        <f>100*('Parameter &lt;x, y&gt;'!B376-B376)/B376</f>
        <v>0</v>
      </c>
      <c r="F376" s="5">
        <f>100*('Parameter &lt;x, y&gt;'!G376-B376)/B376</f>
        <v>6.1358015577128935</v>
      </c>
      <c r="G376" s="5">
        <f>100*('Parameter &lt;x, y&gt;'!L376-B376)/B376</f>
        <v>0.83237975711490897</v>
      </c>
      <c r="H376" s="5">
        <f>100*('Parameter &lt;x, y&gt;'!Q376-B376)/B376</f>
        <v>14.420840869661511</v>
      </c>
      <c r="J376" s="5">
        <f>100*('Parameter &lt;x, y&gt;'!D376-C376)/C376</f>
        <v>15.861190545138641</v>
      </c>
      <c r="K376" s="5">
        <f>100*('Parameter &lt;x, y&gt;'!I376-C376)/C376</f>
        <v>27.739719829146463</v>
      </c>
      <c r="L376" s="5">
        <f>100*('Parameter &lt;x, y&gt;'!N376-C376)/C376</f>
        <v>0</v>
      </c>
      <c r="M376" s="5">
        <f>100*('Parameter &lt;x, y&gt;'!S376-C376)/C376</f>
        <v>9.7856186201404505</v>
      </c>
    </row>
    <row r="377" spans="1:13" ht="12.75" customHeight="1">
      <c r="A377" s="38"/>
      <c r="B377" s="5">
        <f>MIN('Parameter &lt;x, y&gt;'!B377,'Parameter &lt;x, y&gt;'!G377,'Parameter &lt;x, y&gt;'!L377,'Parameter &lt;x, y&gt;'!Q377)</f>
        <v>76465.899999999994</v>
      </c>
      <c r="C377" s="5">
        <f>MIN('Parameter &lt;x, y&gt;'!D377,'Parameter &lt;x, y&gt;'!I377,'Parameter &lt;x, y&gt;'!N377,'Parameter &lt;x, y&gt;'!S377)</f>
        <v>62066.6</v>
      </c>
      <c r="E377" s="5">
        <f>100*('Parameter &lt;x, y&gt;'!B377-B377)/B377</f>
        <v>5.8798758662358077</v>
      </c>
      <c r="F377" s="5">
        <f>100*('Parameter &lt;x, y&gt;'!G377-B377)/B377</f>
        <v>0</v>
      </c>
      <c r="G377" s="5">
        <f>100*('Parameter &lt;x, y&gt;'!L377-B377)/B377</f>
        <v>66.757992778480357</v>
      </c>
      <c r="H377" s="5">
        <f>100*('Parameter &lt;x, y&gt;'!Q377-B377)/B377</f>
        <v>0.70776646845196578</v>
      </c>
      <c r="J377" s="5">
        <f>100*('Parameter &lt;x, y&gt;'!D377-C377)/C377</f>
        <v>153.12809143726255</v>
      </c>
      <c r="K377" s="5">
        <f>100*('Parameter &lt;x, y&gt;'!I377-C377)/C377</f>
        <v>0</v>
      </c>
      <c r="L377" s="5">
        <f>100*('Parameter &lt;x, y&gt;'!N377-C377)/C377</f>
        <v>36.428610557046802</v>
      </c>
      <c r="M377" s="5">
        <f>100*('Parameter &lt;x, y&gt;'!S377-C377)/C377</f>
        <v>4.9292211914298534</v>
      </c>
    </row>
    <row r="378" spans="1:13" ht="12.75" customHeight="1">
      <c r="A378" s="38"/>
      <c r="B378" s="5">
        <f>MIN('Parameter &lt;x, y&gt;'!B378,'Parameter &lt;x, y&gt;'!G378,'Parameter &lt;x, y&gt;'!L378,'Parameter &lt;x, y&gt;'!Q378)</f>
        <v>64878.3</v>
      </c>
      <c r="C378" s="5">
        <f>MIN('Parameter &lt;x, y&gt;'!D378,'Parameter &lt;x, y&gt;'!I378,'Parameter &lt;x, y&gt;'!N378,'Parameter &lt;x, y&gt;'!S378)</f>
        <v>53036.800000000003</v>
      </c>
      <c r="E378" s="5">
        <f>100*('Parameter &lt;x, y&gt;'!B378-B378)/B378</f>
        <v>0</v>
      </c>
      <c r="F378" s="5">
        <f>100*('Parameter &lt;x, y&gt;'!G378-B378)/B378</f>
        <v>16.123418770220535</v>
      </c>
      <c r="G378" s="5">
        <f>100*('Parameter &lt;x, y&gt;'!L378-B378)/B378</f>
        <v>2.7788952546537042</v>
      </c>
      <c r="H378" s="5">
        <f>100*('Parameter &lt;x, y&gt;'!Q378-B378)/B378</f>
        <v>19.100685437195484</v>
      </c>
      <c r="J378" s="5">
        <f>100*('Parameter &lt;x, y&gt;'!D378-C378)/C378</f>
        <v>0</v>
      </c>
      <c r="K378" s="5">
        <f>100*('Parameter &lt;x, y&gt;'!I378-C378)/C378</f>
        <v>6.3493649692289127</v>
      </c>
      <c r="L378" s="5">
        <f>100*('Parameter &lt;x, y&gt;'!N378-C378)/C378</f>
        <v>9.8533471099312067</v>
      </c>
      <c r="M378" s="5">
        <f>100*('Parameter &lt;x, y&gt;'!S378-C378)/C378</f>
        <v>3.8693888017376556</v>
      </c>
    </row>
    <row r="379" spans="1:13" ht="12.75" customHeight="1">
      <c r="A379" s="38"/>
      <c r="B379" s="5">
        <f>MIN('Parameter &lt;x, y&gt;'!B379,'Parameter &lt;x, y&gt;'!G379,'Parameter &lt;x, y&gt;'!L379,'Parameter &lt;x, y&gt;'!Q379)</f>
        <v>63320.6</v>
      </c>
      <c r="C379" s="5">
        <f>MIN('Parameter &lt;x, y&gt;'!D379,'Parameter &lt;x, y&gt;'!I379,'Parameter &lt;x, y&gt;'!N379,'Parameter &lt;x, y&gt;'!S379)</f>
        <v>47336.800000000003</v>
      </c>
      <c r="E379" s="5">
        <f>100*('Parameter &lt;x, y&gt;'!B379-B379)/B379</f>
        <v>0</v>
      </c>
      <c r="F379" s="5">
        <f>100*('Parameter &lt;x, y&gt;'!G379-B379)/B379</f>
        <v>0.42055823855112384</v>
      </c>
      <c r="G379" s="5">
        <f>100*('Parameter &lt;x, y&gt;'!L379-B379)/B379</f>
        <v>21.080501448185892</v>
      </c>
      <c r="H379" s="5">
        <f>100*('Parameter &lt;x, y&gt;'!Q379-B379)/B379</f>
        <v>20.731799761846869</v>
      </c>
      <c r="J379" s="5">
        <f>100*('Parameter &lt;x, y&gt;'!D379-C379)/C379</f>
        <v>10.802800358283612</v>
      </c>
      <c r="K379" s="5">
        <f>100*('Parameter &lt;x, y&gt;'!I379-C379)/C379</f>
        <v>0</v>
      </c>
      <c r="L379" s="5">
        <f>100*('Parameter &lt;x, y&gt;'!N379-C379)/C379</f>
        <v>3.0513258183907532</v>
      </c>
      <c r="M379" s="5">
        <f>100*('Parameter &lt;x, y&gt;'!S379-C379)/C379</f>
        <v>29.160188267901503</v>
      </c>
    </row>
    <row r="380" spans="1:13" ht="12.75" customHeight="1">
      <c r="A380" s="38"/>
      <c r="B380" s="5">
        <f>MIN('Parameter &lt;x, y&gt;'!B380,'Parameter &lt;x, y&gt;'!G380,'Parameter &lt;x, y&gt;'!L380,'Parameter &lt;x, y&gt;'!Q380)</f>
        <v>62176.800000000003</v>
      </c>
      <c r="C380" s="5">
        <f>MIN('Parameter &lt;x, y&gt;'!D380,'Parameter &lt;x, y&gt;'!I380,'Parameter &lt;x, y&gt;'!N380,'Parameter &lt;x, y&gt;'!S380)</f>
        <v>53884.800000000003</v>
      </c>
      <c r="E380" s="5">
        <f>100*('Parameter &lt;x, y&gt;'!B380-B380)/B380</f>
        <v>11.979870305322882</v>
      </c>
      <c r="F380" s="5">
        <f>100*('Parameter &lt;x, y&gt;'!G380-B380)/B380</f>
        <v>4.105228959997941</v>
      </c>
      <c r="G380" s="5">
        <f>100*('Parameter &lt;x, y&gt;'!L380-B380)/B380</f>
        <v>12.381145378983797</v>
      </c>
      <c r="H380" s="5">
        <f>100*('Parameter &lt;x, y&gt;'!Q380-B380)/B380</f>
        <v>0</v>
      </c>
      <c r="J380" s="5">
        <f>100*('Parameter &lt;x, y&gt;'!D380-C380)/C380</f>
        <v>0</v>
      </c>
      <c r="K380" s="5">
        <f>100*('Parameter &lt;x, y&gt;'!I380-C380)/C380</f>
        <v>21.881680919294485</v>
      </c>
      <c r="L380" s="5">
        <f>100*('Parameter &lt;x, y&gt;'!N380-C380)/C380</f>
        <v>68.703604727121572</v>
      </c>
      <c r="M380" s="5">
        <f>100*('Parameter &lt;x, y&gt;'!S380-C380)/C380</f>
        <v>59.386691608765354</v>
      </c>
    </row>
    <row r="381" spans="1:13" ht="12.75" customHeight="1">
      <c r="A381" s="38"/>
      <c r="B381" s="5">
        <f>MIN('Parameter &lt;x, y&gt;'!B381,'Parameter &lt;x, y&gt;'!G381,'Parameter &lt;x, y&gt;'!L381,'Parameter &lt;x, y&gt;'!Q381)</f>
        <v>84874.5</v>
      </c>
      <c r="C381" s="5">
        <f>MIN('Parameter &lt;x, y&gt;'!D381,'Parameter &lt;x, y&gt;'!I381,'Parameter &lt;x, y&gt;'!N381,'Parameter &lt;x, y&gt;'!S381)</f>
        <v>71576.2</v>
      </c>
      <c r="E381" s="5">
        <f>100*('Parameter &lt;x, y&gt;'!B381-B381)/B381</f>
        <v>3.6352496921925832</v>
      </c>
      <c r="F381" s="5">
        <f>100*('Parameter &lt;x, y&gt;'!G381-B381)/B381</f>
        <v>37.03055688104201</v>
      </c>
      <c r="G381" s="5">
        <f>100*('Parameter &lt;x, y&gt;'!L381-B381)/B381</f>
        <v>59.897260072224284</v>
      </c>
      <c r="H381" s="5">
        <f>100*('Parameter &lt;x, y&gt;'!Q381-B381)/B381</f>
        <v>0</v>
      </c>
      <c r="J381" s="5">
        <f>100*('Parameter &lt;x, y&gt;'!D381-C381)/C381</f>
        <v>0</v>
      </c>
      <c r="K381" s="5">
        <f>100*('Parameter &lt;x, y&gt;'!I381-C381)/C381</f>
        <v>19.082600082150218</v>
      </c>
      <c r="L381" s="5">
        <f>100*('Parameter &lt;x, y&gt;'!N381-C381)/C381</f>
        <v>43.382856312573182</v>
      </c>
      <c r="M381" s="5">
        <f>100*('Parameter &lt;x, y&gt;'!S381-C381)/C381</f>
        <v>95.524489984100867</v>
      </c>
    </row>
    <row r="382" spans="1:13" ht="12.75" customHeight="1">
      <c r="A382" s="38"/>
      <c r="B382" s="5">
        <f>MIN('Parameter &lt;x, y&gt;'!B382,'Parameter &lt;x, y&gt;'!G382,'Parameter &lt;x, y&gt;'!L382,'Parameter &lt;x, y&gt;'!Q382)</f>
        <v>76595.899999999994</v>
      </c>
      <c r="C382" s="5">
        <f>MIN('Parameter &lt;x, y&gt;'!D382,'Parameter &lt;x, y&gt;'!I382,'Parameter &lt;x, y&gt;'!N382,'Parameter &lt;x, y&gt;'!S382)</f>
        <v>65054</v>
      </c>
      <c r="E382" s="5">
        <f>100*('Parameter &lt;x, y&gt;'!B382-B382)/B382</f>
        <v>50.680388898100297</v>
      </c>
      <c r="F382" s="5">
        <f>100*('Parameter &lt;x, y&gt;'!G382-B382)/B382</f>
        <v>0</v>
      </c>
      <c r="G382" s="5">
        <f>100*('Parameter &lt;x, y&gt;'!L382-B382)/B382</f>
        <v>10.983355505973561</v>
      </c>
      <c r="H382" s="5">
        <f>100*('Parameter &lt;x, y&gt;'!Q382-B382)/B382</f>
        <v>17.7641362005016</v>
      </c>
      <c r="J382" s="5">
        <f>100*('Parameter &lt;x, y&gt;'!D382-C382)/C382</f>
        <v>1.8812063823900189</v>
      </c>
      <c r="K382" s="5">
        <f>100*('Parameter &lt;x, y&gt;'!I382-C382)/C382</f>
        <v>0</v>
      </c>
      <c r="L382" s="5">
        <f>100*('Parameter &lt;x, y&gt;'!N382-C382)/C382</f>
        <v>39.939127494081838</v>
      </c>
      <c r="M382" s="5">
        <f>100*('Parameter &lt;x, y&gt;'!S382-C382)/C382</f>
        <v>13.724598026255102</v>
      </c>
    </row>
    <row r="383" spans="1:13" ht="12.75" customHeight="1">
      <c r="A383" s="38"/>
      <c r="B383" s="5">
        <f>MIN('Parameter &lt;x, y&gt;'!B383,'Parameter &lt;x, y&gt;'!G383,'Parameter &lt;x, y&gt;'!L383,'Parameter &lt;x, y&gt;'!Q383)</f>
        <v>76422</v>
      </c>
      <c r="C383" s="5">
        <f>MIN('Parameter &lt;x, y&gt;'!D383,'Parameter &lt;x, y&gt;'!I383,'Parameter &lt;x, y&gt;'!N383,'Parameter &lt;x, y&gt;'!S383)</f>
        <v>87731.199999999997</v>
      </c>
      <c r="E383" s="5">
        <f>100*('Parameter &lt;x, y&gt;'!B383-B383)/B383</f>
        <v>60.202559472403237</v>
      </c>
      <c r="F383" s="5">
        <f>100*('Parameter &lt;x, y&gt;'!G383-B383)/B383</f>
        <v>7.67043521499044</v>
      </c>
      <c r="G383" s="5">
        <f>100*('Parameter &lt;x, y&gt;'!L383-B383)/B383</f>
        <v>0</v>
      </c>
      <c r="H383" s="5">
        <f>100*('Parameter &lt;x, y&gt;'!Q383-B383)/B383</f>
        <v>25.154405799377141</v>
      </c>
      <c r="J383" s="5">
        <f>100*('Parameter &lt;x, y&gt;'!D383-C383)/C383</f>
        <v>5.1634994163995147E-2</v>
      </c>
      <c r="K383" s="5">
        <f>100*('Parameter &lt;x, y&gt;'!I383-C383)/C383</f>
        <v>49.275286329150859</v>
      </c>
      <c r="L383" s="5">
        <f>100*('Parameter &lt;x, y&gt;'!N383-C383)/C383</f>
        <v>14.268356069448501</v>
      </c>
      <c r="M383" s="5">
        <f>100*('Parameter &lt;x, y&gt;'!S383-C383)/C383</f>
        <v>0</v>
      </c>
    </row>
    <row r="384" spans="1:13" ht="12.75" customHeight="1">
      <c r="A384" s="38"/>
      <c r="B384" s="5">
        <f>MIN('Parameter &lt;x, y&gt;'!B384,'Parameter &lt;x, y&gt;'!G384,'Parameter &lt;x, y&gt;'!L384,'Parameter &lt;x, y&gt;'!Q384)</f>
        <v>74625.399999999994</v>
      </c>
      <c r="C384" s="5">
        <f>MIN('Parameter &lt;x, y&gt;'!D384,'Parameter &lt;x, y&gt;'!I384,'Parameter &lt;x, y&gt;'!N384,'Parameter &lt;x, y&gt;'!S384)</f>
        <v>54718.9</v>
      </c>
      <c r="E384" s="5">
        <f>100*('Parameter &lt;x, y&gt;'!B384-B384)/B384</f>
        <v>1.9841769692356916</v>
      </c>
      <c r="F384" s="5">
        <f>100*('Parameter &lt;x, y&gt;'!G384-B384)/B384</f>
        <v>3.6009187220437169</v>
      </c>
      <c r="G384" s="5">
        <f>100*('Parameter &lt;x, y&gt;'!L384-B384)/B384</f>
        <v>18.522379779538884</v>
      </c>
      <c r="H384" s="5">
        <f>100*('Parameter &lt;x, y&gt;'!Q384-B384)/B384</f>
        <v>0</v>
      </c>
      <c r="J384" s="5">
        <f>100*('Parameter &lt;x, y&gt;'!D384-C384)/C384</f>
        <v>0</v>
      </c>
      <c r="K384" s="5">
        <f>100*('Parameter &lt;x, y&gt;'!I384-C384)/C384</f>
        <v>22.412000241232914</v>
      </c>
      <c r="L384" s="5">
        <f>100*('Parameter &lt;x, y&gt;'!N384-C384)/C384</f>
        <v>19.259707340608085</v>
      </c>
      <c r="M384" s="5">
        <f>100*('Parameter &lt;x, y&gt;'!S384-C384)/C384</f>
        <v>39.71132460630605</v>
      </c>
    </row>
    <row r="385" spans="1:13" ht="12.75" customHeight="1">
      <c r="A385" s="38"/>
      <c r="B385" s="5">
        <f>MIN('Parameter &lt;x, y&gt;'!B385,'Parameter &lt;x, y&gt;'!G385,'Parameter &lt;x, y&gt;'!L385,'Parameter &lt;x, y&gt;'!Q385)</f>
        <v>87336.5</v>
      </c>
      <c r="C385" s="5">
        <f>MIN('Parameter &lt;x, y&gt;'!D385,'Parameter &lt;x, y&gt;'!I385,'Parameter &lt;x, y&gt;'!N385,'Parameter &lt;x, y&gt;'!S385)</f>
        <v>84179.4</v>
      </c>
      <c r="E385" s="5">
        <f>100*('Parameter &lt;x, y&gt;'!B385-B385)/B385</f>
        <v>16.817138309870444</v>
      </c>
      <c r="F385" s="5">
        <f>100*('Parameter &lt;x, y&gt;'!G385-B385)/B385</f>
        <v>0</v>
      </c>
      <c r="G385" s="5">
        <f>100*('Parameter &lt;x, y&gt;'!L385-B385)/B385</f>
        <v>32.142918481963441</v>
      </c>
      <c r="H385" s="5">
        <f>100*('Parameter &lt;x, y&gt;'!Q385-B385)/B385</f>
        <v>54.166929061732496</v>
      </c>
      <c r="J385" s="5">
        <f>100*('Parameter &lt;x, y&gt;'!D385-C385)/C385</f>
        <v>6.1659978569578788</v>
      </c>
      <c r="K385" s="5">
        <f>100*('Parameter &lt;x, y&gt;'!I385-C385)/C385</f>
        <v>0</v>
      </c>
      <c r="L385" s="5">
        <f>100*('Parameter &lt;x, y&gt;'!N385-C385)/C385</f>
        <v>27.600101687586282</v>
      </c>
      <c r="M385" s="5">
        <f>100*('Parameter &lt;x, y&gt;'!S385-C385)/C385</f>
        <v>93.67802574026426</v>
      </c>
    </row>
    <row r="386" spans="1:13" ht="12.75" customHeight="1">
      <c r="A386" s="38"/>
      <c r="B386" s="5">
        <f>MIN('Parameter &lt;x, y&gt;'!B386,'Parameter &lt;x, y&gt;'!G386,'Parameter &lt;x, y&gt;'!L386,'Parameter &lt;x, y&gt;'!Q386)</f>
        <v>96186.6</v>
      </c>
      <c r="C386" s="5">
        <f>MIN('Parameter &lt;x, y&gt;'!D386,'Parameter &lt;x, y&gt;'!I386,'Parameter &lt;x, y&gt;'!N386,'Parameter &lt;x, y&gt;'!S386)</f>
        <v>91601.7</v>
      </c>
      <c r="E386" s="5">
        <f>100*('Parameter &lt;x, y&gt;'!B386-B386)/B386</f>
        <v>10.365685033050335</v>
      </c>
      <c r="F386" s="5">
        <f>100*('Parameter &lt;x, y&gt;'!G386-B386)/B386</f>
        <v>21.354741720780229</v>
      </c>
      <c r="G386" s="5">
        <f>100*('Parameter &lt;x, y&gt;'!L386-B386)/B386</f>
        <v>28.899451690776047</v>
      </c>
      <c r="H386" s="5">
        <f>100*('Parameter &lt;x, y&gt;'!Q386-B386)/B386</f>
        <v>0</v>
      </c>
      <c r="J386" s="5">
        <f>100*('Parameter &lt;x, y&gt;'!D386-C386)/C386</f>
        <v>14.580842931954322</v>
      </c>
      <c r="K386" s="5">
        <f>100*('Parameter &lt;x, y&gt;'!I386-C386)/C386</f>
        <v>35.457093045216418</v>
      </c>
      <c r="L386" s="5">
        <f>100*('Parameter &lt;x, y&gt;'!N386-C386)/C386</f>
        <v>21.606913408812286</v>
      </c>
      <c r="M386" s="5">
        <f>100*('Parameter &lt;x, y&gt;'!S386-C386)/C386</f>
        <v>0</v>
      </c>
    </row>
    <row r="387" spans="1:13" ht="12.75" customHeight="1">
      <c r="A387" s="38"/>
      <c r="B387" s="5">
        <f>MIN('Parameter &lt;x, y&gt;'!B387,'Parameter &lt;x, y&gt;'!G387,'Parameter &lt;x, y&gt;'!L387,'Parameter &lt;x, y&gt;'!Q387)</f>
        <v>68264.899999999994</v>
      </c>
      <c r="C387" s="5">
        <f>MIN('Parameter &lt;x, y&gt;'!D387,'Parameter &lt;x, y&gt;'!I387,'Parameter &lt;x, y&gt;'!N387,'Parameter &lt;x, y&gt;'!S387)</f>
        <v>58409.5</v>
      </c>
      <c r="E387" s="5">
        <f>100*('Parameter &lt;x, y&gt;'!B387-B387)/B387</f>
        <v>0</v>
      </c>
      <c r="F387" s="5">
        <f>100*('Parameter &lt;x, y&gt;'!G387-B387)/B387</f>
        <v>49.899875338570787</v>
      </c>
      <c r="G387" s="5">
        <f>100*('Parameter &lt;x, y&gt;'!L387-B387)/B387</f>
        <v>44.122528561530174</v>
      </c>
      <c r="H387" s="5">
        <f>100*('Parameter &lt;x, y&gt;'!Q387-B387)/B387</f>
        <v>5.504732300201133</v>
      </c>
      <c r="J387" s="5">
        <f>100*('Parameter &lt;x, y&gt;'!D387-C387)/C387</f>
        <v>97.401107696521976</v>
      </c>
      <c r="K387" s="5">
        <f>100*('Parameter &lt;x, y&gt;'!I387-C387)/C387</f>
        <v>22.95003381299275</v>
      </c>
      <c r="L387" s="5">
        <f>100*('Parameter &lt;x, y&gt;'!N387-C387)/C387</f>
        <v>45.461953962968359</v>
      </c>
      <c r="M387" s="5">
        <f>100*('Parameter &lt;x, y&gt;'!S387-C387)/C387</f>
        <v>0</v>
      </c>
    </row>
    <row r="388" spans="1:13" ht="12.75" customHeight="1">
      <c r="A388" s="38"/>
      <c r="B388" s="5">
        <f>MIN('Parameter &lt;x, y&gt;'!B388,'Parameter &lt;x, y&gt;'!G388,'Parameter &lt;x, y&gt;'!L388,'Parameter &lt;x, y&gt;'!Q388)</f>
        <v>95616.8</v>
      </c>
      <c r="C388" s="5">
        <f>MIN('Parameter &lt;x, y&gt;'!D388,'Parameter &lt;x, y&gt;'!I388,'Parameter &lt;x, y&gt;'!N388,'Parameter &lt;x, y&gt;'!S388)</f>
        <v>76930.2</v>
      </c>
      <c r="E388" s="5">
        <f>100*('Parameter &lt;x, y&gt;'!B388-B388)/B388</f>
        <v>9.6229951221960963</v>
      </c>
      <c r="F388" s="5">
        <f>100*('Parameter &lt;x, y&gt;'!G388-B388)/B388</f>
        <v>2.8184377640749263</v>
      </c>
      <c r="G388" s="5">
        <f>100*('Parameter &lt;x, y&gt;'!L388-B388)/B388</f>
        <v>0</v>
      </c>
      <c r="H388" s="5">
        <f>100*('Parameter &lt;x, y&gt;'!Q388-B388)/B388</f>
        <v>0.14861405108724748</v>
      </c>
      <c r="J388" s="5">
        <f>100*('Parameter &lt;x, y&gt;'!D388-C388)/C388</f>
        <v>6.6613631577715982</v>
      </c>
      <c r="K388" s="5">
        <f>100*('Parameter &lt;x, y&gt;'!I388-C388)/C388</f>
        <v>35.756828917642231</v>
      </c>
      <c r="L388" s="5">
        <f>100*('Parameter &lt;x, y&gt;'!N388-C388)/C388</f>
        <v>0</v>
      </c>
      <c r="M388" s="5">
        <f>100*('Parameter &lt;x, y&gt;'!S388-C388)/C388</f>
        <v>28.079349852203688</v>
      </c>
    </row>
    <row r="389" spans="1:13" ht="12.75" customHeight="1">
      <c r="A389" s="38"/>
      <c r="B389" s="5">
        <f>MIN('Parameter &lt;x, y&gt;'!B389,'Parameter &lt;x, y&gt;'!G389,'Parameter &lt;x, y&gt;'!L389,'Parameter &lt;x, y&gt;'!Q389)</f>
        <v>82996.800000000003</v>
      </c>
      <c r="C389" s="5">
        <f>MIN('Parameter &lt;x, y&gt;'!D389,'Parameter &lt;x, y&gt;'!I389,'Parameter &lt;x, y&gt;'!N389,'Parameter &lt;x, y&gt;'!S389)</f>
        <v>60885.599999999999</v>
      </c>
      <c r="E389" s="5">
        <f>100*('Parameter &lt;x, y&gt;'!B389-B389)/B389</f>
        <v>0</v>
      </c>
      <c r="F389" s="5">
        <f>100*('Parameter &lt;x, y&gt;'!G389-B389)/B389</f>
        <v>10.417148612958565</v>
      </c>
      <c r="G389" s="5">
        <f>100*('Parameter &lt;x, y&gt;'!L389-B389)/B389</f>
        <v>50.580504308599849</v>
      </c>
      <c r="H389" s="5">
        <f>100*('Parameter &lt;x, y&gt;'!Q389-B389)/B389</f>
        <v>2.4138280030073376</v>
      </c>
      <c r="J389" s="5">
        <f>100*('Parameter &lt;x, y&gt;'!D389-C389)/C389</f>
        <v>51.798619049496104</v>
      </c>
      <c r="K389" s="5">
        <f>100*('Parameter &lt;x, y&gt;'!I389-C389)/C389</f>
        <v>0</v>
      </c>
      <c r="L389" s="5">
        <f>100*('Parameter &lt;x, y&gt;'!N389-C389)/C389</f>
        <v>50.983812264312078</v>
      </c>
      <c r="M389" s="5">
        <f>100*('Parameter &lt;x, y&gt;'!S389-C389)/C389</f>
        <v>71.464188576609246</v>
      </c>
    </row>
    <row r="390" spans="1:13" ht="12.75" customHeight="1">
      <c r="A390" s="38"/>
      <c r="B390" s="5">
        <f>MIN('Parameter &lt;x, y&gt;'!B390,'Parameter &lt;x, y&gt;'!G390,'Parameter &lt;x, y&gt;'!L390,'Parameter &lt;x, y&gt;'!Q390)</f>
        <v>72792.800000000003</v>
      </c>
      <c r="C390" s="5">
        <f>MIN('Parameter &lt;x, y&gt;'!D390,'Parameter &lt;x, y&gt;'!I390,'Parameter &lt;x, y&gt;'!N390,'Parameter &lt;x, y&gt;'!S390)</f>
        <v>56376.800000000003</v>
      </c>
      <c r="E390" s="5">
        <f>100*('Parameter &lt;x, y&gt;'!B390-B390)/B390</f>
        <v>54.325702542009644</v>
      </c>
      <c r="F390" s="5">
        <f>100*('Parameter &lt;x, y&gt;'!G390-B390)/B390</f>
        <v>94.010946137530084</v>
      </c>
      <c r="G390" s="5">
        <f>100*('Parameter &lt;x, y&gt;'!L390-B390)/B390</f>
        <v>46.095492960842272</v>
      </c>
      <c r="H390" s="5">
        <f>100*('Parameter &lt;x, y&gt;'!Q390-B390)/B390</f>
        <v>0</v>
      </c>
      <c r="J390" s="5">
        <f>100*('Parameter &lt;x, y&gt;'!D390-C390)/C390</f>
        <v>72.2304210242511</v>
      </c>
      <c r="K390" s="5">
        <f>100*('Parameter &lt;x, y&gt;'!I390-C390)/C390</f>
        <v>112.67436250372494</v>
      </c>
      <c r="L390" s="5">
        <f>100*('Parameter &lt;x, y&gt;'!N390-C390)/C390</f>
        <v>0</v>
      </c>
      <c r="M390" s="5">
        <f>100*('Parameter &lt;x, y&gt;'!S390-C390)/C390</f>
        <v>60.751053624895341</v>
      </c>
    </row>
    <row r="391" spans="1:13" ht="12.75" customHeight="1">
      <c r="A391" s="38"/>
      <c r="B391" s="5">
        <f>MIN('Parameter &lt;x, y&gt;'!B391,'Parameter &lt;x, y&gt;'!G391,'Parameter &lt;x, y&gt;'!L391,'Parameter &lt;x, y&gt;'!Q391)</f>
        <v>53165.2</v>
      </c>
      <c r="C391" s="5">
        <f>MIN('Parameter &lt;x, y&gt;'!D391,'Parameter &lt;x, y&gt;'!I391,'Parameter &lt;x, y&gt;'!N391,'Parameter &lt;x, y&gt;'!S391)</f>
        <v>46917.599999999999</v>
      </c>
      <c r="E391" s="5">
        <f>100*('Parameter &lt;x, y&gt;'!B391-B391)/B391</f>
        <v>12.05920414105468</v>
      </c>
      <c r="F391" s="5">
        <f>100*('Parameter &lt;x, y&gt;'!G391-B391)/B391</f>
        <v>19.54267076960117</v>
      </c>
      <c r="G391" s="5">
        <f>100*('Parameter &lt;x, y&gt;'!L391-B391)/B391</f>
        <v>0</v>
      </c>
      <c r="H391" s="5">
        <f>100*('Parameter &lt;x, y&gt;'!Q391-B391)/B391</f>
        <v>18.332480645234103</v>
      </c>
      <c r="J391" s="5">
        <f>100*('Parameter &lt;x, y&gt;'!D391-C391)/C391</f>
        <v>12.347818302726488</v>
      </c>
      <c r="K391" s="5">
        <f>100*('Parameter &lt;x, y&gt;'!I391-C391)/C391</f>
        <v>32.56027588793971</v>
      </c>
      <c r="L391" s="5">
        <f>100*('Parameter &lt;x, y&gt;'!N391-C391)/C391</f>
        <v>0</v>
      </c>
      <c r="M391" s="5">
        <f>100*('Parameter &lt;x, y&gt;'!S391-C391)/C391</f>
        <v>29.159846198441517</v>
      </c>
    </row>
    <row r="392" spans="1:13" ht="12.75" customHeight="1">
      <c r="A392" s="38"/>
      <c r="B392" s="5">
        <f>MIN('Parameter &lt;x, y&gt;'!B392,'Parameter &lt;x, y&gt;'!G392,'Parameter &lt;x, y&gt;'!L392,'Parameter &lt;x, y&gt;'!Q392)</f>
        <v>77669</v>
      </c>
      <c r="C392" s="5">
        <f>MIN('Parameter &lt;x, y&gt;'!D392,'Parameter &lt;x, y&gt;'!I392,'Parameter &lt;x, y&gt;'!N392,'Parameter &lt;x, y&gt;'!S392)</f>
        <v>77335.899999999994</v>
      </c>
      <c r="E392" s="5">
        <f>100*('Parameter &lt;x, y&gt;'!B392-B392)/B392</f>
        <v>85.290141497894908</v>
      </c>
      <c r="F392" s="5">
        <f>100*('Parameter &lt;x, y&gt;'!G392-B392)/B392</f>
        <v>57.564794190732471</v>
      </c>
      <c r="G392" s="5">
        <f>100*('Parameter &lt;x, y&gt;'!L392-B392)/B392</f>
        <v>75.002896908676561</v>
      </c>
      <c r="H392" s="5">
        <f>100*('Parameter &lt;x, y&gt;'!Q392-B392)/B392</f>
        <v>0</v>
      </c>
      <c r="J392" s="5">
        <f>100*('Parameter &lt;x, y&gt;'!D392-C392)/C392</f>
        <v>14.462752744844257</v>
      </c>
      <c r="K392" s="5">
        <f>100*('Parameter &lt;x, y&gt;'!I392-C392)/C392</f>
        <v>50.829045760119179</v>
      </c>
      <c r="L392" s="5">
        <f>100*('Parameter &lt;x, y&gt;'!N392-C392)/C392</f>
        <v>0</v>
      </c>
      <c r="M392" s="5">
        <f>100*('Parameter &lt;x, y&gt;'!S392-C392)/C392</f>
        <v>29.543976342164513</v>
      </c>
    </row>
    <row r="393" spans="1:13" ht="12.75" customHeight="1">
      <c r="A393" s="38"/>
      <c r="B393" s="5">
        <f>MIN('Parameter &lt;x, y&gt;'!B393,'Parameter &lt;x, y&gt;'!G393,'Parameter &lt;x, y&gt;'!L393,'Parameter &lt;x, y&gt;'!Q393)</f>
        <v>69345.3</v>
      </c>
      <c r="C393" s="5">
        <f>MIN('Parameter &lt;x, y&gt;'!D393,'Parameter &lt;x, y&gt;'!I393,'Parameter &lt;x, y&gt;'!N393,'Parameter &lt;x, y&gt;'!S393)</f>
        <v>74333.899999999994</v>
      </c>
      <c r="E393" s="5">
        <f>100*('Parameter &lt;x, y&gt;'!B393-B393)/B393</f>
        <v>0</v>
      </c>
      <c r="F393" s="5">
        <f>100*('Parameter &lt;x, y&gt;'!G393-B393)/B393</f>
        <v>19.323155282333477</v>
      </c>
      <c r="G393" s="5">
        <f>100*('Parameter &lt;x, y&gt;'!L393-B393)/B393</f>
        <v>50.269737098260435</v>
      </c>
      <c r="H393" s="5">
        <f>100*('Parameter &lt;x, y&gt;'!Q393-B393)/B393</f>
        <v>79.073419539608309</v>
      </c>
      <c r="J393" s="5">
        <f>100*('Parameter &lt;x, y&gt;'!D393-C393)/C393</f>
        <v>3.0473310293150391</v>
      </c>
      <c r="K393" s="5">
        <f>100*('Parameter &lt;x, y&gt;'!I393-C393)/C393</f>
        <v>14.904639740414552</v>
      </c>
      <c r="L393" s="5">
        <f>100*('Parameter &lt;x, y&gt;'!N393-C393)/C393</f>
        <v>36.017348746668759</v>
      </c>
      <c r="M393" s="5">
        <f>100*('Parameter &lt;x, y&gt;'!S393-C393)/C393</f>
        <v>0</v>
      </c>
    </row>
    <row r="394" spans="1:13" ht="12.75" customHeight="1">
      <c r="A394" s="38"/>
      <c r="B394" s="5">
        <f>MIN('Parameter &lt;x, y&gt;'!B394,'Parameter &lt;x, y&gt;'!G394,'Parameter &lt;x, y&gt;'!L394,'Parameter &lt;x, y&gt;'!Q394)</f>
        <v>91923.8</v>
      </c>
      <c r="C394" s="5">
        <f>MIN('Parameter &lt;x, y&gt;'!D394,'Parameter &lt;x, y&gt;'!I394,'Parameter &lt;x, y&gt;'!N394,'Parameter &lt;x, y&gt;'!S394)</f>
        <v>67421.8</v>
      </c>
      <c r="E394" s="5">
        <f>100*('Parameter &lt;x, y&gt;'!B394-B394)/B394</f>
        <v>34.841031375987498</v>
      </c>
      <c r="F394" s="5">
        <f>100*('Parameter &lt;x, y&gt;'!G394-B394)/B394</f>
        <v>0</v>
      </c>
      <c r="G394" s="5">
        <f>100*('Parameter &lt;x, y&gt;'!L394-B394)/B394</f>
        <v>28.529281861715894</v>
      </c>
      <c r="H394" s="5">
        <f>100*('Parameter &lt;x, y&gt;'!Q394-B394)/B394</f>
        <v>47.538504718038197</v>
      </c>
      <c r="J394" s="5">
        <f>100*('Parameter &lt;x, y&gt;'!D394-C394)/C394</f>
        <v>54.236463577062601</v>
      </c>
      <c r="K394" s="5">
        <f>100*('Parameter &lt;x, y&gt;'!I394-C394)/C394</f>
        <v>21.898851706717991</v>
      </c>
      <c r="L394" s="5">
        <f>100*('Parameter &lt;x, y&gt;'!N394-C394)/C394</f>
        <v>62.976959974370303</v>
      </c>
      <c r="M394" s="5">
        <f>100*('Parameter &lt;x, y&gt;'!S394-C394)/C394</f>
        <v>0</v>
      </c>
    </row>
    <row r="395" spans="1:13" ht="12.75" customHeight="1">
      <c r="A395" s="38"/>
      <c r="B395" s="5">
        <f>MIN('Parameter &lt;x, y&gt;'!B395,'Parameter &lt;x, y&gt;'!G395,'Parameter &lt;x, y&gt;'!L395,'Parameter &lt;x, y&gt;'!Q395)</f>
        <v>79570.2</v>
      </c>
      <c r="C395" s="5">
        <f>MIN('Parameter &lt;x, y&gt;'!D395,'Parameter &lt;x, y&gt;'!I395,'Parameter &lt;x, y&gt;'!N395,'Parameter &lt;x, y&gt;'!S395)</f>
        <v>71356.100000000006</v>
      </c>
      <c r="E395" s="5">
        <f>100*('Parameter &lt;x, y&gt;'!B395-B395)/B395</f>
        <v>0</v>
      </c>
      <c r="F395" s="5">
        <f>100*('Parameter &lt;x, y&gt;'!G395-B395)/B395</f>
        <v>5.0874573646918142</v>
      </c>
      <c r="G395" s="5">
        <f>100*('Parameter &lt;x, y&gt;'!L395-B395)/B395</f>
        <v>21.429253665316917</v>
      </c>
      <c r="H395" s="5">
        <f>100*('Parameter &lt;x, y&gt;'!Q395-B395)/B395</f>
        <v>36.59762071730372</v>
      </c>
      <c r="J395" s="5">
        <f>100*('Parameter &lt;x, y&gt;'!D395-C395)/C395</f>
        <v>34.93352355299686</v>
      </c>
      <c r="K395" s="5">
        <f>100*('Parameter &lt;x, y&gt;'!I395-C395)/C395</f>
        <v>0</v>
      </c>
      <c r="L395" s="5">
        <f>100*('Parameter &lt;x, y&gt;'!N395-C395)/C395</f>
        <v>17.063152274297487</v>
      </c>
      <c r="M395" s="5">
        <f>100*('Parameter &lt;x, y&gt;'!S395-C395)/C395</f>
        <v>46.047780077666793</v>
      </c>
    </row>
    <row r="396" spans="1:13" ht="12.75" customHeight="1">
      <c r="A396" s="38"/>
      <c r="B396" s="5">
        <f>MIN('Parameter &lt;x, y&gt;'!B396,'Parameter &lt;x, y&gt;'!G396,'Parameter &lt;x, y&gt;'!L396,'Parameter &lt;x, y&gt;'!Q396)</f>
        <v>91923.8</v>
      </c>
      <c r="C396" s="5">
        <f>MIN('Parameter &lt;x, y&gt;'!D396,'Parameter &lt;x, y&gt;'!I396,'Parameter &lt;x, y&gt;'!N396,'Parameter &lt;x, y&gt;'!S396)</f>
        <v>61238.2</v>
      </c>
      <c r="E396" s="5">
        <f>100*('Parameter &lt;x, y&gt;'!B396-B396)/B396</f>
        <v>0</v>
      </c>
      <c r="F396" s="5">
        <f>100*('Parameter &lt;x, y&gt;'!G396-B396)/B396</f>
        <v>13.285133991414625</v>
      </c>
      <c r="G396" s="5">
        <f>100*('Parameter &lt;x, y&gt;'!L396-B396)/B396</f>
        <v>0.20593143451424212</v>
      </c>
      <c r="H396" s="5">
        <f>100*('Parameter &lt;x, y&gt;'!Q396-B396)/B396</f>
        <v>15.628379157519595</v>
      </c>
      <c r="J396" s="5">
        <f>100*('Parameter &lt;x, y&gt;'!D396-C396)/C396</f>
        <v>0</v>
      </c>
      <c r="K396" s="5">
        <f>100*('Parameter &lt;x, y&gt;'!I396-C396)/C396</f>
        <v>33.200518630528023</v>
      </c>
      <c r="L396" s="5">
        <f>100*('Parameter &lt;x, y&gt;'!N396-C396)/C396</f>
        <v>64.557416775803347</v>
      </c>
      <c r="M396" s="5">
        <f>100*('Parameter &lt;x, y&gt;'!S396-C396)/C396</f>
        <v>78.212292327338162</v>
      </c>
    </row>
    <row r="397" spans="1:13" ht="12.75" customHeight="1">
      <c r="A397" s="38"/>
      <c r="B397" s="5">
        <f>MIN('Parameter &lt;x, y&gt;'!B397,'Parameter &lt;x, y&gt;'!G397,'Parameter &lt;x, y&gt;'!L397,'Parameter &lt;x, y&gt;'!Q397)</f>
        <v>129441</v>
      </c>
      <c r="C397" s="5">
        <f>MIN('Parameter &lt;x, y&gt;'!D397,'Parameter &lt;x, y&gt;'!I397,'Parameter &lt;x, y&gt;'!N397,'Parameter &lt;x, y&gt;'!S397)</f>
        <v>133727</v>
      </c>
      <c r="E397" s="5">
        <f>100*('Parameter &lt;x, y&gt;'!B397-B397)/B397</f>
        <v>0</v>
      </c>
      <c r="F397" s="5">
        <f>100*('Parameter &lt;x, y&gt;'!G397-B397)/B397</f>
        <v>16.189615345987747</v>
      </c>
      <c r="G397" s="5">
        <f>100*('Parameter &lt;x, y&gt;'!L397-B397)/B397</f>
        <v>7.3647453279872686</v>
      </c>
      <c r="H397" s="5">
        <f>100*('Parameter &lt;x, y&gt;'!Q397-B397)/B397</f>
        <v>13.532806452360536</v>
      </c>
      <c r="J397" s="5">
        <f>100*('Parameter &lt;x, y&gt;'!D397-C397)/C397</f>
        <v>21.902831888848176</v>
      </c>
      <c r="K397" s="5">
        <f>100*('Parameter &lt;x, y&gt;'!I397-C397)/C397</f>
        <v>0</v>
      </c>
      <c r="L397" s="5">
        <f>100*('Parameter &lt;x, y&gt;'!N397-C397)/C397</f>
        <v>14.02708503144466</v>
      </c>
      <c r="M397" s="5">
        <f>100*('Parameter &lt;x, y&gt;'!S397-C397)/C397</f>
        <v>3.7195181227426026</v>
      </c>
    </row>
    <row r="398" spans="1:13" ht="12.75" customHeight="1">
      <c r="A398" s="38"/>
      <c r="B398" s="5">
        <f>MIN('Parameter &lt;x, y&gt;'!B398,'Parameter &lt;x, y&gt;'!G398,'Parameter &lt;x, y&gt;'!L398,'Parameter &lt;x, y&gt;'!Q398)</f>
        <v>82849.100000000006</v>
      </c>
      <c r="C398" s="5">
        <f>MIN('Parameter &lt;x, y&gt;'!D398,'Parameter &lt;x, y&gt;'!I398,'Parameter &lt;x, y&gt;'!N398,'Parameter &lt;x, y&gt;'!S398)</f>
        <v>68939.100000000006</v>
      </c>
      <c r="E398" s="5">
        <f>100*('Parameter &lt;x, y&gt;'!B398-B398)/B398</f>
        <v>1.3179382757326201</v>
      </c>
      <c r="F398" s="5">
        <f>100*('Parameter &lt;x, y&gt;'!G398-B398)/B398</f>
        <v>0</v>
      </c>
      <c r="G398" s="5">
        <f>100*('Parameter &lt;x, y&gt;'!L398-B398)/B398</f>
        <v>55.775983082495749</v>
      </c>
      <c r="H398" s="5">
        <f>100*('Parameter &lt;x, y&gt;'!Q398-B398)/B398</f>
        <v>39.371459677896311</v>
      </c>
      <c r="J398" s="5">
        <f>100*('Parameter &lt;x, y&gt;'!D398-C398)/C398</f>
        <v>35.772877800841613</v>
      </c>
      <c r="K398" s="5">
        <f>100*('Parameter &lt;x, y&gt;'!I398-C398)/C398</f>
        <v>85.320086859271427</v>
      </c>
      <c r="L398" s="5">
        <f>100*('Parameter &lt;x, y&gt;'!N398-C398)/C398</f>
        <v>38.587100788957194</v>
      </c>
      <c r="M398" s="5">
        <f>100*('Parameter &lt;x, y&gt;'!S398-C398)/C398</f>
        <v>0</v>
      </c>
    </row>
    <row r="399" spans="1:13" ht="12.75" customHeight="1">
      <c r="A399" s="38"/>
      <c r="B399" s="5">
        <f>MIN('Parameter &lt;x, y&gt;'!B399,'Parameter &lt;x, y&gt;'!G399,'Parameter &lt;x, y&gt;'!L399,'Parameter &lt;x, y&gt;'!Q399)</f>
        <v>75152</v>
      </c>
      <c r="C399" s="5">
        <f>MIN('Parameter &lt;x, y&gt;'!D399,'Parameter &lt;x, y&gt;'!I399,'Parameter &lt;x, y&gt;'!N399,'Parameter &lt;x, y&gt;'!S399)</f>
        <v>66504.800000000003</v>
      </c>
      <c r="E399" s="5">
        <f>100*('Parameter &lt;x, y&gt;'!B399-B399)/B399</f>
        <v>11.618187140728127</v>
      </c>
      <c r="F399" s="5">
        <f>100*('Parameter &lt;x, y&gt;'!G399-B399)/B399</f>
        <v>2.65528528848201</v>
      </c>
      <c r="G399" s="5">
        <f>100*('Parameter &lt;x, y&gt;'!L399-B399)/B399</f>
        <v>13.479348520332127</v>
      </c>
      <c r="H399" s="5">
        <f>100*('Parameter &lt;x, y&gt;'!Q399-B399)/B399</f>
        <v>0</v>
      </c>
      <c r="J399" s="5">
        <f>100*('Parameter &lt;x, y&gt;'!D399-C399)/C399</f>
        <v>2.4088486846062236</v>
      </c>
      <c r="K399" s="5">
        <f>100*('Parameter &lt;x, y&gt;'!I399-C399)/C399</f>
        <v>0.59604720260792332</v>
      </c>
      <c r="L399" s="5">
        <f>100*('Parameter &lt;x, y&gt;'!N399-C399)/C399</f>
        <v>5.7053024744078664</v>
      </c>
      <c r="M399" s="5">
        <f>100*('Parameter &lt;x, y&gt;'!S399-C399)/C399</f>
        <v>0</v>
      </c>
    </row>
    <row r="400" spans="1:13" ht="12.75" customHeight="1">
      <c r="A400" s="38"/>
      <c r="B400" s="5">
        <f>MIN('Parameter &lt;x, y&gt;'!B400,'Parameter &lt;x, y&gt;'!G400,'Parameter &lt;x, y&gt;'!L400,'Parameter &lt;x, y&gt;'!Q400)</f>
        <v>73080.5</v>
      </c>
      <c r="C400" s="5">
        <f>MIN('Parameter &lt;x, y&gt;'!D400,'Parameter &lt;x, y&gt;'!I400,'Parameter &lt;x, y&gt;'!N400,'Parameter &lt;x, y&gt;'!S400)</f>
        <v>49322.9</v>
      </c>
      <c r="E400" s="5">
        <f>100*('Parameter &lt;x, y&gt;'!B400-B400)/B400</f>
        <v>0</v>
      </c>
      <c r="F400" s="5">
        <f>100*('Parameter &lt;x, y&gt;'!G400-B400)/B400</f>
        <v>29.43671704490254</v>
      </c>
      <c r="G400" s="5">
        <f>100*('Parameter &lt;x, y&gt;'!L400-B400)/B400</f>
        <v>25.82234659040374</v>
      </c>
      <c r="H400" s="5">
        <f>100*('Parameter &lt;x, y&gt;'!Q400-B400)/B400</f>
        <v>5.450701623552102</v>
      </c>
      <c r="J400" s="5">
        <f>100*('Parameter &lt;x, y&gt;'!D400-C400)/C400</f>
        <v>0</v>
      </c>
      <c r="K400" s="5">
        <f>100*('Parameter &lt;x, y&gt;'!I400-C400)/C400</f>
        <v>121.452915380077</v>
      </c>
      <c r="L400" s="5">
        <f>100*('Parameter &lt;x, y&gt;'!N400-C400)/C400</f>
        <v>31.641489044642547</v>
      </c>
      <c r="M400" s="5">
        <f>100*('Parameter &lt;x, y&gt;'!S400-C400)/C400</f>
        <v>19.831153480432</v>
      </c>
    </row>
    <row r="401" spans="1:13" ht="12.75" customHeight="1">
      <c r="A401" s="38"/>
      <c r="B401" s="5">
        <f>MIN('Parameter &lt;x, y&gt;'!B401,'Parameter &lt;x, y&gt;'!G401,'Parameter &lt;x, y&gt;'!L401,'Parameter &lt;x, y&gt;'!Q401)</f>
        <v>93566.8</v>
      </c>
      <c r="C401" s="5">
        <f>MIN('Parameter &lt;x, y&gt;'!D401,'Parameter &lt;x, y&gt;'!I401,'Parameter &lt;x, y&gt;'!N401,'Parameter &lt;x, y&gt;'!S401)</f>
        <v>60008.2</v>
      </c>
      <c r="E401" s="5">
        <f>100*('Parameter &lt;x, y&gt;'!B401-B401)/B401</f>
        <v>0</v>
      </c>
      <c r="F401" s="5">
        <f>100*('Parameter &lt;x, y&gt;'!G401-B401)/B401</f>
        <v>45.592239982557913</v>
      </c>
      <c r="G401" s="5">
        <f>100*('Parameter &lt;x, y&gt;'!L401-B401)/B401</f>
        <v>39.926768896659922</v>
      </c>
      <c r="H401" s="5">
        <f>100*('Parameter &lt;x, y&gt;'!Q401-B401)/B401</f>
        <v>30.748299610545615</v>
      </c>
      <c r="J401" s="5">
        <f>100*('Parameter &lt;x, y&gt;'!D401-C401)/C401</f>
        <v>36.781639842554853</v>
      </c>
      <c r="K401" s="5">
        <f>100*('Parameter &lt;x, y&gt;'!I401-C401)/C401</f>
        <v>72.974693458560665</v>
      </c>
      <c r="L401" s="5">
        <f>100*('Parameter &lt;x, y&gt;'!N401-C401)/C401</f>
        <v>0</v>
      </c>
      <c r="M401" s="5">
        <f>100*('Parameter &lt;x, y&gt;'!S401-C401)/C401</f>
        <v>87.144423595441964</v>
      </c>
    </row>
    <row r="402" spans="1:13" ht="12.75" customHeight="1">
      <c r="A402" s="38"/>
      <c r="B402" s="5">
        <f>MIN('Parameter &lt;x, y&gt;'!B402,'Parameter &lt;x, y&gt;'!G402,'Parameter &lt;x, y&gt;'!L402,'Parameter &lt;x, y&gt;'!Q402)</f>
        <v>88881</v>
      </c>
      <c r="C402" s="5">
        <f>MIN('Parameter &lt;x, y&gt;'!D402,'Parameter &lt;x, y&gt;'!I402,'Parameter &lt;x, y&gt;'!N402,'Parameter &lt;x, y&gt;'!S402)</f>
        <v>69568.600000000006</v>
      </c>
      <c r="E402" s="5">
        <f>100*('Parameter &lt;x, y&gt;'!B402-B402)/B402</f>
        <v>40.86925214612797</v>
      </c>
      <c r="F402" s="5">
        <f>100*('Parameter &lt;x, y&gt;'!G402-B402)/B402</f>
        <v>29.431487044475197</v>
      </c>
      <c r="G402" s="5">
        <f>100*('Parameter &lt;x, y&gt;'!L402-B402)/B402</f>
        <v>15.772774833766496</v>
      </c>
      <c r="H402" s="5">
        <f>100*('Parameter &lt;x, y&gt;'!Q402-B402)/B402</f>
        <v>0</v>
      </c>
      <c r="J402" s="5">
        <f>100*('Parameter &lt;x, y&gt;'!D402-C402)/C402</f>
        <v>4.2849791428891768</v>
      </c>
      <c r="K402" s="5">
        <f>100*('Parameter &lt;x, y&gt;'!I402-C402)/C402</f>
        <v>0</v>
      </c>
      <c r="L402" s="5">
        <f>100*('Parameter &lt;x, y&gt;'!N402-C402)/C402</f>
        <v>26.820002127396535</v>
      </c>
      <c r="M402" s="5">
        <f>100*('Parameter &lt;x, y&gt;'!S402-C402)/C402</f>
        <v>47.662882392343661</v>
      </c>
    </row>
    <row r="403" spans="1:13" ht="12.75" customHeight="1">
      <c r="A403" s="38"/>
      <c r="B403" s="5">
        <f>MIN('Parameter &lt;x, y&gt;'!B403,'Parameter &lt;x, y&gt;'!G403,'Parameter &lt;x, y&gt;'!L403,'Parameter &lt;x, y&gt;'!Q403)</f>
        <v>68893.5</v>
      </c>
      <c r="C403" s="5">
        <f>MIN('Parameter &lt;x, y&gt;'!D403,'Parameter &lt;x, y&gt;'!I403,'Parameter &lt;x, y&gt;'!N403,'Parameter &lt;x, y&gt;'!S403)</f>
        <v>49440.9</v>
      </c>
      <c r="E403" s="5">
        <f>100*('Parameter &lt;x, y&gt;'!B403-B403)/B403</f>
        <v>20.733450906108704</v>
      </c>
      <c r="F403" s="5">
        <f>100*('Parameter &lt;x, y&gt;'!G403-B403)/B403</f>
        <v>0</v>
      </c>
      <c r="G403" s="5">
        <f>100*('Parameter &lt;x, y&gt;'!L403-B403)/B403</f>
        <v>20.755659097012057</v>
      </c>
      <c r="H403" s="5">
        <f>100*('Parameter &lt;x, y&gt;'!Q403-B403)/B403</f>
        <v>9.3796947462387603</v>
      </c>
      <c r="J403" s="5">
        <f>100*('Parameter &lt;x, y&gt;'!D403-C403)/C403</f>
        <v>0</v>
      </c>
      <c r="K403" s="5">
        <f>100*('Parameter &lt;x, y&gt;'!I403-C403)/C403</f>
        <v>15.267925947949974</v>
      </c>
      <c r="L403" s="5">
        <f>100*('Parameter &lt;x, y&gt;'!N403-C403)/C403</f>
        <v>8.8341838437407016</v>
      </c>
      <c r="M403" s="5">
        <f>100*('Parameter &lt;x, y&gt;'!S403-C403)/C403</f>
        <v>22.523861822903708</v>
      </c>
    </row>
    <row r="404" spans="1:13" ht="12.75" customHeight="1">
      <c r="A404" s="38"/>
      <c r="B404" s="5">
        <f>MIN('Parameter &lt;x, y&gt;'!B404,'Parameter &lt;x, y&gt;'!G404,'Parameter &lt;x, y&gt;'!L404,'Parameter &lt;x, y&gt;'!Q404)</f>
        <v>71693.8</v>
      </c>
      <c r="C404" s="5">
        <f>MIN('Parameter &lt;x, y&gt;'!D404,'Parameter &lt;x, y&gt;'!I404,'Parameter &lt;x, y&gt;'!N404,'Parameter &lt;x, y&gt;'!S404)</f>
        <v>86095.1</v>
      </c>
      <c r="E404" s="5">
        <f>100*('Parameter &lt;x, y&gt;'!B404-B404)/B404</f>
        <v>0</v>
      </c>
      <c r="F404" s="5">
        <f>100*('Parameter &lt;x, y&gt;'!G404-B404)/B404</f>
        <v>20.912826492667424</v>
      </c>
      <c r="G404" s="5">
        <f>100*('Parameter &lt;x, y&gt;'!L404-B404)/B404</f>
        <v>41.79887242690441</v>
      </c>
      <c r="H404" s="5">
        <f>100*('Parameter &lt;x, y&gt;'!Q404-B404)/B404</f>
        <v>14.163567839896887</v>
      </c>
      <c r="J404" s="5">
        <f>100*('Parameter &lt;x, y&gt;'!D404-C404)/C404</f>
        <v>15.688813881393932</v>
      </c>
      <c r="K404" s="5">
        <f>100*('Parameter &lt;x, y&gt;'!I404-C404)/C404</f>
        <v>8.7210538114248006</v>
      </c>
      <c r="L404" s="5">
        <f>100*('Parameter &lt;x, y&gt;'!N404-C404)/C404</f>
        <v>2.3224318224846709</v>
      </c>
      <c r="M404" s="5">
        <f>100*('Parameter &lt;x, y&gt;'!S404-C404)/C404</f>
        <v>0</v>
      </c>
    </row>
    <row r="405" spans="1:13" ht="12.75" customHeight="1">
      <c r="A405" s="38"/>
      <c r="B405" s="5">
        <f>MIN('Parameter &lt;x, y&gt;'!B405,'Parameter &lt;x, y&gt;'!G405,'Parameter &lt;x, y&gt;'!L405,'Parameter &lt;x, y&gt;'!Q405)</f>
        <v>82437.899999999994</v>
      </c>
      <c r="C405" s="5">
        <f>MIN('Parameter &lt;x, y&gt;'!D405,'Parameter &lt;x, y&gt;'!I405,'Parameter &lt;x, y&gt;'!N405,'Parameter &lt;x, y&gt;'!S405)</f>
        <v>64103.199999999997</v>
      </c>
      <c r="E405" s="5">
        <f>100*('Parameter &lt;x, y&gt;'!B405-B405)/B405</f>
        <v>9.0174543504868545</v>
      </c>
      <c r="F405" s="5">
        <f>100*('Parameter &lt;x, y&gt;'!G405-B405)/B405</f>
        <v>48.685252778151806</v>
      </c>
      <c r="G405" s="5">
        <f>100*('Parameter &lt;x, y&gt;'!L405-B405)/B405</f>
        <v>32.32142012351116</v>
      </c>
      <c r="H405" s="5">
        <f>100*('Parameter &lt;x, y&gt;'!Q405-B405)/B405</f>
        <v>0</v>
      </c>
      <c r="J405" s="5">
        <f>100*('Parameter &lt;x, y&gt;'!D405-C405)/C405</f>
        <v>0</v>
      </c>
      <c r="K405" s="5">
        <f>100*('Parameter &lt;x, y&gt;'!I405-C405)/C405</f>
        <v>3.7843664590847395</v>
      </c>
      <c r="L405" s="5">
        <f>100*('Parameter &lt;x, y&gt;'!N405-C405)/C405</f>
        <v>46.713580601280455</v>
      </c>
      <c r="M405" s="5">
        <f>100*('Parameter &lt;x, y&gt;'!S405-C405)/C405</f>
        <v>42.356699821537774</v>
      </c>
    </row>
    <row r="406" spans="1:13" ht="12.75" customHeight="1">
      <c r="A406" s="38"/>
      <c r="B406" s="5">
        <f>MIN('Parameter &lt;x, y&gt;'!B406,'Parameter &lt;x, y&gt;'!G406,'Parameter &lt;x, y&gt;'!L406,'Parameter &lt;x, y&gt;'!Q406)</f>
        <v>78777.8</v>
      </c>
      <c r="C406" s="5">
        <f>MIN('Parameter &lt;x, y&gt;'!D406,'Parameter &lt;x, y&gt;'!I406,'Parameter &lt;x, y&gt;'!N406,'Parameter &lt;x, y&gt;'!S406)</f>
        <v>89018.3</v>
      </c>
      <c r="E406" s="5">
        <f>100*('Parameter &lt;x, y&gt;'!B406-B406)/B406</f>
        <v>0</v>
      </c>
      <c r="F406" s="5">
        <f>100*('Parameter &lt;x, y&gt;'!G406-B406)/B406</f>
        <v>49.232397959831317</v>
      </c>
      <c r="G406" s="5">
        <f>100*('Parameter &lt;x, y&gt;'!L406-B406)/B406</f>
        <v>18.202590069791224</v>
      </c>
      <c r="H406" s="5">
        <f>100*('Parameter &lt;x, y&gt;'!Q406-B406)/B406</f>
        <v>55.58444130199117</v>
      </c>
      <c r="J406" s="5">
        <f>100*('Parameter &lt;x, y&gt;'!D406-C406)/C406</f>
        <v>5.4106852186572869</v>
      </c>
      <c r="K406" s="5">
        <f>100*('Parameter &lt;x, y&gt;'!I406-C406)/C406</f>
        <v>0</v>
      </c>
      <c r="L406" s="5">
        <f>100*('Parameter &lt;x, y&gt;'!N406-C406)/C406</f>
        <v>16.63444482763656</v>
      </c>
      <c r="M406" s="5">
        <f>100*('Parameter &lt;x, y&gt;'!S406-C406)/C406</f>
        <v>9.6616089051352247</v>
      </c>
    </row>
    <row r="407" spans="1:13" ht="12.75" customHeight="1">
      <c r="A407" s="38"/>
      <c r="B407" s="5">
        <f>MIN('Parameter &lt;x, y&gt;'!B407,'Parameter &lt;x, y&gt;'!G407,'Parameter &lt;x, y&gt;'!L407,'Parameter &lt;x, y&gt;'!Q407)</f>
        <v>78044.899999999994</v>
      </c>
      <c r="C407" s="5">
        <f>MIN('Parameter &lt;x, y&gt;'!D407,'Parameter &lt;x, y&gt;'!I407,'Parameter &lt;x, y&gt;'!N407,'Parameter &lt;x, y&gt;'!S407)</f>
        <v>61930.2</v>
      </c>
      <c r="E407" s="5">
        <f>100*('Parameter &lt;x, y&gt;'!B407-B407)/B407</f>
        <v>16.810323288260996</v>
      </c>
      <c r="F407" s="5">
        <f>100*('Parameter &lt;x, y&gt;'!G407-B407)/B407</f>
        <v>38.679144953738181</v>
      </c>
      <c r="G407" s="5">
        <f>100*('Parameter &lt;x, y&gt;'!L407-B407)/B407</f>
        <v>44.729508270239322</v>
      </c>
      <c r="H407" s="5">
        <f>100*('Parameter &lt;x, y&gt;'!Q407-B407)/B407</f>
        <v>0</v>
      </c>
      <c r="J407" s="5">
        <f>100*('Parameter &lt;x, y&gt;'!D407-C407)/C407</f>
        <v>22.430252122550879</v>
      </c>
      <c r="K407" s="5">
        <f>100*('Parameter &lt;x, y&gt;'!I407-C407)/C407</f>
        <v>0</v>
      </c>
      <c r="L407" s="5">
        <f>100*('Parameter &lt;x, y&gt;'!N407-C407)/C407</f>
        <v>52.384458632460422</v>
      </c>
      <c r="M407" s="5">
        <f>100*('Parameter &lt;x, y&gt;'!S407-C407)/C407</f>
        <v>36.529189313129955</v>
      </c>
    </row>
    <row r="408" spans="1:13" ht="12.75" customHeight="1">
      <c r="A408" s="38"/>
      <c r="B408" s="5">
        <f>MIN('Parameter &lt;x, y&gt;'!B408,'Parameter &lt;x, y&gt;'!G408,'Parameter &lt;x, y&gt;'!L408,'Parameter &lt;x, y&gt;'!Q408)</f>
        <v>74177.3</v>
      </c>
      <c r="C408" s="5">
        <f>MIN('Parameter &lt;x, y&gt;'!D408,'Parameter &lt;x, y&gt;'!I408,'Parameter &lt;x, y&gt;'!N408,'Parameter &lt;x, y&gt;'!S408)</f>
        <v>52382.3</v>
      </c>
      <c r="E408" s="5">
        <f>100*('Parameter &lt;x, y&gt;'!B408-B408)/B408</f>
        <v>69.291683574354948</v>
      </c>
      <c r="F408" s="5">
        <f>100*('Parameter &lt;x, y&gt;'!G408-B408)/B408</f>
        <v>8.8672680186526058</v>
      </c>
      <c r="G408" s="5">
        <f>100*('Parameter &lt;x, y&gt;'!L408-B408)/B408</f>
        <v>47.938789899335774</v>
      </c>
      <c r="H408" s="5">
        <f>100*('Parameter &lt;x, y&gt;'!Q408-B408)/B408</f>
        <v>0</v>
      </c>
      <c r="J408" s="5">
        <f>100*('Parameter &lt;x, y&gt;'!D408-C408)/C408</f>
        <v>31.343220897135105</v>
      </c>
      <c r="K408" s="5">
        <f>100*('Parameter &lt;x, y&gt;'!I408-C408)/C408</f>
        <v>16.769786740941107</v>
      </c>
      <c r="L408" s="5">
        <f>100*('Parameter &lt;x, y&gt;'!N408-C408)/C408</f>
        <v>0</v>
      </c>
      <c r="M408" s="5">
        <f>100*('Parameter &lt;x, y&gt;'!S408-C408)/C408</f>
        <v>65.572531179425098</v>
      </c>
    </row>
    <row r="409" spans="1:13" ht="12.75" customHeight="1">
      <c r="A409" s="38"/>
      <c r="B409" s="5">
        <f>MIN('Parameter &lt;x, y&gt;'!B409,'Parameter &lt;x, y&gt;'!G409,'Parameter &lt;x, y&gt;'!L409,'Parameter &lt;x, y&gt;'!Q409)</f>
        <v>65011.8</v>
      </c>
      <c r="C409" s="5">
        <f>MIN('Parameter &lt;x, y&gt;'!D409,'Parameter &lt;x, y&gt;'!I409,'Parameter &lt;x, y&gt;'!N409,'Parameter &lt;x, y&gt;'!S409)</f>
        <v>50884.800000000003</v>
      </c>
      <c r="E409" s="5">
        <f>100*('Parameter &lt;x, y&gt;'!B409-B409)/B409</f>
        <v>28.152735349582677</v>
      </c>
      <c r="F409" s="5">
        <f>100*('Parameter &lt;x, y&gt;'!G409-B409)/B409</f>
        <v>14.214496445260691</v>
      </c>
      <c r="G409" s="5">
        <f>100*('Parameter &lt;x, y&gt;'!L409-B409)/B409</f>
        <v>0</v>
      </c>
      <c r="H409" s="5">
        <f>100*('Parameter &lt;x, y&gt;'!Q409-B409)/B409</f>
        <v>28.450681260940325</v>
      </c>
      <c r="J409" s="5">
        <f>100*('Parameter &lt;x, y&gt;'!D409-C409)/C409</f>
        <v>89.110107537024803</v>
      </c>
      <c r="K409" s="5">
        <f>100*('Parameter &lt;x, y&gt;'!I409-C409)/C409</f>
        <v>99.782646291230378</v>
      </c>
      <c r="L409" s="5">
        <f>100*('Parameter &lt;x, y&gt;'!N409-C409)/C409</f>
        <v>0</v>
      </c>
      <c r="M409" s="5">
        <f>100*('Parameter &lt;x, y&gt;'!S409-C409)/C409</f>
        <v>67.071306166084938</v>
      </c>
    </row>
    <row r="410" spans="1:13" ht="12.75" customHeight="1">
      <c r="A410" s="38"/>
      <c r="B410" s="5">
        <f>MIN('Parameter &lt;x, y&gt;'!B410,'Parameter &lt;x, y&gt;'!G410,'Parameter &lt;x, y&gt;'!L410,'Parameter &lt;x, y&gt;'!Q410)</f>
        <v>93820.800000000003</v>
      </c>
      <c r="C410" s="5">
        <f>MIN('Parameter &lt;x, y&gt;'!D410,'Parameter &lt;x, y&gt;'!I410,'Parameter &lt;x, y&gt;'!N410,'Parameter &lt;x, y&gt;'!S410)</f>
        <v>55449.2</v>
      </c>
      <c r="E410" s="5">
        <f>100*('Parameter &lt;x, y&gt;'!B410-B410)/B410</f>
        <v>0</v>
      </c>
      <c r="F410" s="5">
        <f>100*('Parameter &lt;x, y&gt;'!G410-B410)/B410</f>
        <v>0.90214536648589028</v>
      </c>
      <c r="G410" s="5">
        <f>100*('Parameter &lt;x, y&gt;'!L410-B410)/B410</f>
        <v>19.312561819980214</v>
      </c>
      <c r="H410" s="5">
        <f>100*('Parameter &lt;x, y&gt;'!Q410-B410)/B410</f>
        <v>14.862589106040449</v>
      </c>
      <c r="J410" s="5">
        <f>100*('Parameter &lt;x, y&gt;'!D410-C410)/C410</f>
        <v>72.584816372463436</v>
      </c>
      <c r="K410" s="5">
        <f>100*('Parameter &lt;x, y&gt;'!I410-C410)/C410</f>
        <v>0</v>
      </c>
      <c r="L410" s="5">
        <f>100*('Parameter &lt;x, y&gt;'!N410-C410)/C410</f>
        <v>40.694545638169721</v>
      </c>
      <c r="M410" s="5">
        <f>100*('Parameter &lt;x, y&gt;'!S410-C410)/C410</f>
        <v>99.494311910721891</v>
      </c>
    </row>
    <row r="411" spans="1:13" ht="12.75" customHeight="1">
      <c r="A411" s="38"/>
      <c r="B411" s="5">
        <f>MIN('Parameter &lt;x, y&gt;'!B411,'Parameter &lt;x, y&gt;'!G411,'Parameter &lt;x, y&gt;'!L411,'Parameter &lt;x, y&gt;'!Q411)</f>
        <v>99331.199999999997</v>
      </c>
      <c r="C411" s="5">
        <f>MIN('Parameter &lt;x, y&gt;'!D411,'Parameter &lt;x, y&gt;'!I411,'Parameter &lt;x, y&gt;'!N411,'Parameter &lt;x, y&gt;'!S411)</f>
        <v>86828</v>
      </c>
      <c r="E411" s="5">
        <f>100*('Parameter &lt;x, y&gt;'!B411-B411)/B411</f>
        <v>8.6818643084952178</v>
      </c>
      <c r="F411" s="5">
        <f>100*('Parameter &lt;x, y&gt;'!G411-B411)/B411</f>
        <v>28.01415869334107</v>
      </c>
      <c r="G411" s="5">
        <f>100*('Parameter &lt;x, y&gt;'!L411-B411)/B411</f>
        <v>11.958780322798882</v>
      </c>
      <c r="H411" s="5">
        <f>100*('Parameter &lt;x, y&gt;'!Q411-B411)/B411</f>
        <v>0</v>
      </c>
      <c r="J411" s="5">
        <f>100*('Parameter &lt;x, y&gt;'!D411-C411)/C411</f>
        <v>1.1550421523010943</v>
      </c>
      <c r="K411" s="5">
        <f>100*('Parameter &lt;x, y&gt;'!I411-C411)/C411</f>
        <v>0</v>
      </c>
      <c r="L411" s="5">
        <f>100*('Parameter &lt;x, y&gt;'!N411-C411)/C411</f>
        <v>7.9311973096236237</v>
      </c>
      <c r="M411" s="5">
        <f>100*('Parameter &lt;x, y&gt;'!S411-C411)/C411</f>
        <v>23.224075183120654</v>
      </c>
    </row>
    <row r="412" spans="1:13" ht="12.75" customHeight="1">
      <c r="A412" s="38"/>
      <c r="B412" s="5">
        <f>MIN('Parameter &lt;x, y&gt;'!B412,'Parameter &lt;x, y&gt;'!G412,'Parameter &lt;x, y&gt;'!L412,'Parameter &lt;x, y&gt;'!Q412)</f>
        <v>69002.8</v>
      </c>
      <c r="C412" s="5">
        <f>MIN('Parameter &lt;x, y&gt;'!D412,'Parameter &lt;x, y&gt;'!I412,'Parameter &lt;x, y&gt;'!N412,'Parameter &lt;x, y&gt;'!S412)</f>
        <v>60108.1</v>
      </c>
      <c r="E412" s="5">
        <f>100*('Parameter &lt;x, y&gt;'!B412-B412)/B412</f>
        <v>43.733442700875912</v>
      </c>
      <c r="F412" s="5">
        <f>100*('Parameter &lt;x, y&gt;'!G412-B412)/B412</f>
        <v>23.721790999785512</v>
      </c>
      <c r="G412" s="5">
        <f>100*('Parameter &lt;x, y&gt;'!L412-B412)/B412</f>
        <v>0</v>
      </c>
      <c r="H412" s="5">
        <f>100*('Parameter &lt;x, y&gt;'!Q412-B412)/B412</f>
        <v>65.145472357643456</v>
      </c>
      <c r="J412" s="5">
        <f>100*('Parameter &lt;x, y&gt;'!D412-C412)/C412</f>
        <v>12.951831783070832</v>
      </c>
      <c r="K412" s="5">
        <f>100*('Parameter &lt;x, y&gt;'!I412-C412)/C412</f>
        <v>0</v>
      </c>
      <c r="L412" s="5">
        <f>100*('Parameter &lt;x, y&gt;'!N412-C412)/C412</f>
        <v>72.856902813431134</v>
      </c>
      <c r="M412" s="5">
        <f>100*('Parameter &lt;x, y&gt;'!S412-C412)/C412</f>
        <v>118.14697187234331</v>
      </c>
    </row>
    <row r="413" spans="1:13" ht="12.75" customHeight="1">
      <c r="A413" s="38"/>
      <c r="B413" s="5">
        <f>MIN('Parameter &lt;x, y&gt;'!B413,'Parameter &lt;x, y&gt;'!G413,'Parameter &lt;x, y&gt;'!L413,'Parameter &lt;x, y&gt;'!Q413)</f>
        <v>79983.600000000006</v>
      </c>
      <c r="C413" s="5">
        <f>MIN('Parameter &lt;x, y&gt;'!D413,'Parameter &lt;x, y&gt;'!I413,'Parameter &lt;x, y&gt;'!N413,'Parameter &lt;x, y&gt;'!S413)</f>
        <v>60108.9</v>
      </c>
      <c r="E413" s="5">
        <f>100*('Parameter &lt;x, y&gt;'!B413-B413)/B413</f>
        <v>0</v>
      </c>
      <c r="F413" s="5">
        <f>100*('Parameter &lt;x, y&gt;'!G413-B413)/B413</f>
        <v>69.544756675118379</v>
      </c>
      <c r="G413" s="5">
        <f>100*('Parameter &lt;x, y&gt;'!L413-B413)/B413</f>
        <v>21.151961152036154</v>
      </c>
      <c r="H413" s="5">
        <f>100*('Parameter &lt;x, y&gt;'!Q413-B413)/B413</f>
        <v>23.49756700123525</v>
      </c>
      <c r="J413" s="5">
        <f>100*('Parameter &lt;x, y&gt;'!D413-C413)/C413</f>
        <v>12.362229220631212</v>
      </c>
      <c r="K413" s="5">
        <f>100*('Parameter &lt;x, y&gt;'!I413-C413)/C413</f>
        <v>80.422533102419109</v>
      </c>
      <c r="L413" s="5">
        <f>100*('Parameter &lt;x, y&gt;'!N413-C413)/C413</f>
        <v>0</v>
      </c>
      <c r="M413" s="5">
        <f>100*('Parameter &lt;x, y&gt;'!S413-C413)/C413</f>
        <v>23.603492993550031</v>
      </c>
    </row>
    <row r="414" spans="1:13" ht="12.75" customHeight="1">
      <c r="A414" s="38"/>
      <c r="B414" s="5">
        <f>MIN('Parameter &lt;x, y&gt;'!B414,'Parameter &lt;x, y&gt;'!G414,'Parameter &lt;x, y&gt;'!L414,'Parameter &lt;x, y&gt;'!Q414)</f>
        <v>68242.7</v>
      </c>
      <c r="C414" s="5">
        <f>MIN('Parameter &lt;x, y&gt;'!D414,'Parameter &lt;x, y&gt;'!I414,'Parameter &lt;x, y&gt;'!N414,'Parameter &lt;x, y&gt;'!S414)</f>
        <v>73443.199999999997</v>
      </c>
      <c r="E414" s="5">
        <f>100*('Parameter &lt;x, y&gt;'!B414-B414)/B414</f>
        <v>90.297277217929548</v>
      </c>
      <c r="F414" s="5">
        <f>100*('Parameter &lt;x, y&gt;'!G414-B414)/B414</f>
        <v>8.1614590278520716</v>
      </c>
      <c r="G414" s="5">
        <f>100*('Parameter &lt;x, y&gt;'!L414-B414)/B414</f>
        <v>40.130739258558066</v>
      </c>
      <c r="H414" s="5">
        <f>100*('Parameter &lt;x, y&gt;'!Q414-B414)/B414</f>
        <v>0</v>
      </c>
      <c r="J414" s="5">
        <f>100*('Parameter &lt;x, y&gt;'!D414-C414)/C414</f>
        <v>10.282912509258864</v>
      </c>
      <c r="K414" s="5">
        <f>100*('Parameter &lt;x, y&gt;'!I414-C414)/C414</f>
        <v>94.472735392793339</v>
      </c>
      <c r="L414" s="5">
        <f>100*('Parameter &lt;x, y&gt;'!N414-C414)/C414</f>
        <v>0</v>
      </c>
      <c r="M414" s="5">
        <f>100*('Parameter &lt;x, y&gt;'!S414-C414)/C414</f>
        <v>56.31399503289618</v>
      </c>
    </row>
    <row r="415" spans="1:13" ht="12.75" customHeight="1">
      <c r="A415" s="38"/>
      <c r="B415" s="5">
        <f>MIN('Parameter &lt;x, y&gt;'!B415,'Parameter &lt;x, y&gt;'!G415,'Parameter &lt;x, y&gt;'!L415,'Parameter &lt;x, y&gt;'!Q415)</f>
        <v>70425.2</v>
      </c>
      <c r="C415" s="5">
        <f>MIN('Parameter &lt;x, y&gt;'!D415,'Parameter &lt;x, y&gt;'!I415,'Parameter &lt;x, y&gt;'!N415,'Parameter &lt;x, y&gt;'!S415)</f>
        <v>55151.199999999997</v>
      </c>
      <c r="E415" s="5">
        <f>100*('Parameter &lt;x, y&gt;'!B415-B415)/B415</f>
        <v>0</v>
      </c>
      <c r="F415" s="5">
        <f>100*('Parameter &lt;x, y&gt;'!G415-B415)/B415</f>
        <v>31.830935517400022</v>
      </c>
      <c r="G415" s="5">
        <f>100*('Parameter &lt;x, y&gt;'!L415-B415)/B415</f>
        <v>9.4348329859198135</v>
      </c>
      <c r="H415" s="5">
        <f>100*('Parameter &lt;x, y&gt;'!Q415-B415)/B415</f>
        <v>0.92736690843619307</v>
      </c>
      <c r="J415" s="5">
        <f>100*('Parameter &lt;x, y&gt;'!D415-C415)/C415</f>
        <v>151.72435051277216</v>
      </c>
      <c r="K415" s="5">
        <f>100*('Parameter &lt;x, y&gt;'!I415-C415)/C415</f>
        <v>107.42431714994416</v>
      </c>
      <c r="L415" s="5">
        <f>100*('Parameter &lt;x, y&gt;'!N415-C415)/C415</f>
        <v>0</v>
      </c>
      <c r="M415" s="5">
        <f>100*('Parameter &lt;x, y&gt;'!S415-C415)/C415</f>
        <v>25.902065594220982</v>
      </c>
    </row>
    <row r="416" spans="1:13" ht="12.75" customHeight="1">
      <c r="A416" s="38"/>
      <c r="B416" s="5">
        <f>MIN('Parameter &lt;x, y&gt;'!B416,'Parameter &lt;x, y&gt;'!G416,'Parameter &lt;x, y&gt;'!L416,'Parameter &lt;x, y&gt;'!Q416)</f>
        <v>95426.2</v>
      </c>
      <c r="C416" s="5">
        <f>MIN('Parameter &lt;x, y&gt;'!D416,'Parameter &lt;x, y&gt;'!I416,'Parameter &lt;x, y&gt;'!N416,'Parameter &lt;x, y&gt;'!S416)</f>
        <v>89614.3</v>
      </c>
      <c r="E416" s="5">
        <f>100*('Parameter &lt;x, y&gt;'!B416-B416)/B416</f>
        <v>0</v>
      </c>
      <c r="F416" s="5">
        <f>100*('Parameter &lt;x, y&gt;'!G416-B416)/B416</f>
        <v>47.539145433853598</v>
      </c>
      <c r="G416" s="5">
        <f>100*('Parameter &lt;x, y&gt;'!L416-B416)/B416</f>
        <v>39.552869128184931</v>
      </c>
      <c r="H416" s="5">
        <f>100*('Parameter &lt;x, y&gt;'!Q416-B416)/B416</f>
        <v>51.890151761256341</v>
      </c>
      <c r="J416" s="5">
        <f>100*('Parameter &lt;x, y&gt;'!D416-C416)/C416</f>
        <v>0</v>
      </c>
      <c r="K416" s="5">
        <f>100*('Parameter &lt;x, y&gt;'!I416-C416)/C416</f>
        <v>7.6604961484941514</v>
      </c>
      <c r="L416" s="5">
        <f>100*('Parameter &lt;x, y&gt;'!N416-C416)/C416</f>
        <v>12.200842945824492</v>
      </c>
      <c r="M416" s="5">
        <f>100*('Parameter &lt;x, y&gt;'!S416-C416)/C416</f>
        <v>44.909908351680471</v>
      </c>
    </row>
    <row r="417" spans="1:13" ht="12.75" customHeight="1">
      <c r="A417" s="38"/>
      <c r="B417" s="5">
        <f>MIN('Parameter &lt;x, y&gt;'!B417,'Parameter &lt;x, y&gt;'!G417,'Parameter &lt;x, y&gt;'!L417,'Parameter &lt;x, y&gt;'!Q417)</f>
        <v>76533.3</v>
      </c>
      <c r="C417" s="5">
        <f>MIN('Parameter &lt;x, y&gt;'!D417,'Parameter &lt;x, y&gt;'!I417,'Parameter &lt;x, y&gt;'!N417,'Parameter &lt;x, y&gt;'!S417)</f>
        <v>67985.2</v>
      </c>
      <c r="E417" s="5">
        <f>100*('Parameter &lt;x, y&gt;'!B417-B417)/B417</f>
        <v>29.351014525703196</v>
      </c>
      <c r="F417" s="5">
        <f>100*('Parameter &lt;x, y&gt;'!G417-B417)/B417</f>
        <v>0</v>
      </c>
      <c r="G417" s="5">
        <f>100*('Parameter &lt;x, y&gt;'!L417-B417)/B417</f>
        <v>102.79930435509772</v>
      </c>
      <c r="H417" s="5">
        <f>100*('Parameter &lt;x, y&gt;'!Q417-B417)/B417</f>
        <v>99.46742137082812</v>
      </c>
      <c r="J417" s="5">
        <f>100*('Parameter &lt;x, y&gt;'!D417-C417)/C417</f>
        <v>71.724139959873625</v>
      </c>
      <c r="K417" s="5">
        <f>100*('Parameter &lt;x, y&gt;'!I417-C417)/C417</f>
        <v>0</v>
      </c>
      <c r="L417" s="5">
        <f>100*('Parameter &lt;x, y&gt;'!N417-C417)/C417</f>
        <v>37.047769220359726</v>
      </c>
      <c r="M417" s="5">
        <f>100*('Parameter &lt;x, y&gt;'!S417-C417)/C417</f>
        <v>84.92848443484759</v>
      </c>
    </row>
    <row r="418" spans="1:13" ht="12.75" customHeight="1">
      <c r="A418" s="38"/>
      <c r="B418" s="5">
        <f>MIN('Parameter &lt;x, y&gt;'!B418,'Parameter &lt;x, y&gt;'!G418,'Parameter &lt;x, y&gt;'!L418,'Parameter &lt;x, y&gt;'!Q418)</f>
        <v>71488.600000000006</v>
      </c>
      <c r="C418" s="5">
        <f>MIN('Parameter &lt;x, y&gt;'!D418,'Parameter &lt;x, y&gt;'!I418,'Parameter &lt;x, y&gt;'!N418,'Parameter &lt;x, y&gt;'!S418)</f>
        <v>56458.6</v>
      </c>
      <c r="E418" s="5">
        <f>100*('Parameter &lt;x, y&gt;'!B418-B418)/B418</f>
        <v>0</v>
      </c>
      <c r="F418" s="5">
        <f>100*('Parameter &lt;x, y&gt;'!G418-B418)/B418</f>
        <v>24.200781663090321</v>
      </c>
      <c r="G418" s="5">
        <f>100*('Parameter &lt;x, y&gt;'!L418-B418)/B418</f>
        <v>32.25717107342988</v>
      </c>
      <c r="H418" s="5">
        <f>100*('Parameter &lt;x, y&gt;'!Q418-B418)/B418</f>
        <v>13.759956132865922</v>
      </c>
      <c r="J418" s="5">
        <f>100*('Parameter &lt;x, y&gt;'!D418-C418)/C418</f>
        <v>50.615318126910701</v>
      </c>
      <c r="K418" s="5">
        <f>100*('Parameter &lt;x, y&gt;'!I418-C418)/C418</f>
        <v>2.0298059108798308</v>
      </c>
      <c r="L418" s="5">
        <f>100*('Parameter &lt;x, y&gt;'!N418-C418)/C418</f>
        <v>0</v>
      </c>
      <c r="M418" s="5">
        <f>100*('Parameter &lt;x, y&gt;'!S418-C418)/C418</f>
        <v>58.718069523509264</v>
      </c>
    </row>
    <row r="419" spans="1:13" ht="12.75" customHeight="1">
      <c r="A419" s="38"/>
      <c r="B419" s="5">
        <f>MIN('Parameter &lt;x, y&gt;'!B419,'Parameter &lt;x, y&gt;'!G419,'Parameter &lt;x, y&gt;'!L419,'Parameter &lt;x, y&gt;'!Q419)</f>
        <v>62262.5</v>
      </c>
      <c r="C419" s="5">
        <f>MIN('Parameter &lt;x, y&gt;'!D419,'Parameter &lt;x, y&gt;'!I419,'Parameter &lt;x, y&gt;'!N419,'Parameter &lt;x, y&gt;'!S419)</f>
        <v>63063.6</v>
      </c>
      <c r="E419" s="5">
        <f>100*('Parameter &lt;x, y&gt;'!B419-B419)/B419</f>
        <v>0</v>
      </c>
      <c r="F419" s="5">
        <f>100*('Parameter &lt;x, y&gt;'!G419-B419)/B419</f>
        <v>33.189801244729978</v>
      </c>
      <c r="G419" s="5">
        <f>100*('Parameter &lt;x, y&gt;'!L419-B419)/B419</f>
        <v>29.463320618349737</v>
      </c>
      <c r="H419" s="5">
        <f>100*('Parameter &lt;x, y&gt;'!Q419-B419)/B419</f>
        <v>122.76972495482835</v>
      </c>
      <c r="J419" s="5">
        <f>100*('Parameter &lt;x, y&gt;'!D419-C419)/C419</f>
        <v>50.701672597187596</v>
      </c>
      <c r="K419" s="5">
        <f>100*('Parameter &lt;x, y&gt;'!I419-C419)/C419</f>
        <v>44.186662353560543</v>
      </c>
      <c r="L419" s="5">
        <f>100*('Parameter &lt;x, y&gt;'!N419-C419)/C419</f>
        <v>7.933895305691399</v>
      </c>
      <c r="M419" s="5">
        <f>100*('Parameter &lt;x, y&gt;'!S419-C419)/C419</f>
        <v>0</v>
      </c>
    </row>
    <row r="420" spans="1:13" ht="12.75" customHeight="1">
      <c r="A420" s="38"/>
      <c r="B420" s="5">
        <f>MIN('Parameter &lt;x, y&gt;'!B420,'Parameter &lt;x, y&gt;'!G420,'Parameter &lt;x, y&gt;'!L420,'Parameter &lt;x, y&gt;'!Q420)</f>
        <v>59110.5</v>
      </c>
      <c r="C420" s="5">
        <f>MIN('Parameter &lt;x, y&gt;'!D420,'Parameter &lt;x, y&gt;'!I420,'Parameter &lt;x, y&gt;'!N420,'Parameter &lt;x, y&gt;'!S420)</f>
        <v>47022.2</v>
      </c>
      <c r="E420" s="5">
        <f>100*('Parameter &lt;x, y&gt;'!B420-B420)/B420</f>
        <v>9.247933954204413</v>
      </c>
      <c r="F420" s="5">
        <f>100*('Parameter &lt;x, y&gt;'!G420-B420)/B420</f>
        <v>75.791103103509528</v>
      </c>
      <c r="G420" s="5">
        <f>100*('Parameter &lt;x, y&gt;'!L420-B420)/B420</f>
        <v>0</v>
      </c>
      <c r="H420" s="5">
        <f>100*('Parameter &lt;x, y&gt;'!Q420-B420)/B420</f>
        <v>6.5770040855685492</v>
      </c>
      <c r="J420" s="5">
        <f>100*('Parameter &lt;x, y&gt;'!D420-C420)/C420</f>
        <v>22.997435253986421</v>
      </c>
      <c r="K420" s="5">
        <f>100*('Parameter &lt;x, y&gt;'!I420-C420)/C420</f>
        <v>0</v>
      </c>
      <c r="L420" s="5">
        <f>100*('Parameter &lt;x, y&gt;'!N420-C420)/C420</f>
        <v>72.168039776956419</v>
      </c>
      <c r="M420" s="5">
        <f>100*('Parameter &lt;x, y&gt;'!S420-C420)/C420</f>
        <v>22.960431455780462</v>
      </c>
    </row>
    <row r="421" spans="1:13" ht="12.75" customHeight="1">
      <c r="A421" s="38"/>
      <c r="B421" s="5">
        <f>MIN('Parameter &lt;x, y&gt;'!B421,'Parameter &lt;x, y&gt;'!G421,'Parameter &lt;x, y&gt;'!L421,'Parameter &lt;x, y&gt;'!Q421)</f>
        <v>103861</v>
      </c>
      <c r="C421" s="5">
        <f>MIN('Parameter &lt;x, y&gt;'!D421,'Parameter &lt;x, y&gt;'!I421,'Parameter &lt;x, y&gt;'!N421,'Parameter &lt;x, y&gt;'!S421)</f>
        <v>77074.8</v>
      </c>
      <c r="E421" s="5">
        <f>100*('Parameter &lt;x, y&gt;'!B421-B421)/B421</f>
        <v>45.532971952898585</v>
      </c>
      <c r="F421" s="5">
        <f>100*('Parameter &lt;x, y&gt;'!G421-B421)/B421</f>
        <v>72.099248033429291</v>
      </c>
      <c r="G421" s="5">
        <f>100*('Parameter &lt;x, y&gt;'!L421-B421)/B421</f>
        <v>0</v>
      </c>
      <c r="H421" s="5">
        <f>100*('Parameter &lt;x, y&gt;'!Q421-B421)/B421</f>
        <v>4.8343459046225243</v>
      </c>
      <c r="J421" s="5">
        <f>100*('Parameter &lt;x, y&gt;'!D421-C421)/C421</f>
        <v>26.276422384488832</v>
      </c>
      <c r="K421" s="5">
        <f>100*('Parameter &lt;x, y&gt;'!I421-C421)/C421</f>
        <v>43.142765209899984</v>
      </c>
      <c r="L421" s="5">
        <f>100*('Parameter &lt;x, y&gt;'!N421-C421)/C421</f>
        <v>0</v>
      </c>
      <c r="M421" s="5">
        <f>100*('Parameter &lt;x, y&gt;'!S421-C421)/C421</f>
        <v>47.255652950121174</v>
      </c>
    </row>
    <row r="422" spans="1:13" ht="12.75" customHeight="1">
      <c r="A422" s="38"/>
      <c r="B422" s="5">
        <f>MIN('Parameter &lt;x, y&gt;'!B422,'Parameter &lt;x, y&gt;'!G422,'Parameter &lt;x, y&gt;'!L422,'Parameter &lt;x, y&gt;'!Q422)</f>
        <v>75369.600000000006</v>
      </c>
      <c r="C422" s="5">
        <f>MIN('Parameter &lt;x, y&gt;'!D422,'Parameter &lt;x, y&gt;'!I422,'Parameter &lt;x, y&gt;'!N422,'Parameter &lt;x, y&gt;'!S422)</f>
        <v>71081.7</v>
      </c>
      <c r="E422" s="5">
        <f>100*('Parameter &lt;x, y&gt;'!B422-B422)/B422</f>
        <v>59.382562730862297</v>
      </c>
      <c r="F422" s="5">
        <f>100*('Parameter &lt;x, y&gt;'!G422-B422)/B422</f>
        <v>19.931510847874989</v>
      </c>
      <c r="G422" s="5">
        <f>100*('Parameter &lt;x, y&gt;'!L422-B422)/B422</f>
        <v>44.862119475226073</v>
      </c>
      <c r="H422" s="5">
        <f>100*('Parameter &lt;x, y&gt;'!Q422-B422)/B422</f>
        <v>0</v>
      </c>
      <c r="J422" s="5">
        <f>100*('Parameter &lt;x, y&gt;'!D422-C422)/C422</f>
        <v>18.84999936692568</v>
      </c>
      <c r="K422" s="5">
        <f>100*('Parameter &lt;x, y&gt;'!I422-C422)/C422</f>
        <v>12.080746521256524</v>
      </c>
      <c r="L422" s="5">
        <f>100*('Parameter &lt;x, y&gt;'!N422-C422)/C422</f>
        <v>0</v>
      </c>
      <c r="M422" s="5">
        <f>100*('Parameter &lt;x, y&gt;'!S422-C422)/C422</f>
        <v>59.807657948529652</v>
      </c>
    </row>
    <row r="423" spans="1:13" ht="12.75" customHeight="1">
      <c r="A423" s="38"/>
      <c r="B423" s="5">
        <f>MIN('Parameter &lt;x, y&gt;'!B423,'Parameter &lt;x, y&gt;'!G423,'Parameter &lt;x, y&gt;'!L423,'Parameter &lt;x, y&gt;'!Q423)</f>
        <v>114414</v>
      </c>
      <c r="C423" s="5">
        <f>MIN('Parameter &lt;x, y&gt;'!D423,'Parameter &lt;x, y&gt;'!I423,'Parameter &lt;x, y&gt;'!N423,'Parameter &lt;x, y&gt;'!S423)</f>
        <v>80534.8</v>
      </c>
      <c r="E423" s="5">
        <f>100*('Parameter &lt;x, y&gt;'!B423-B423)/B423</f>
        <v>3.086160784519377</v>
      </c>
      <c r="F423" s="5">
        <f>100*('Parameter &lt;x, y&gt;'!G423-B423)/B423</f>
        <v>21.250895869386614</v>
      </c>
      <c r="G423" s="5">
        <f>100*('Parameter &lt;x, y&gt;'!L423-B423)/B423</f>
        <v>42.313003653399058</v>
      </c>
      <c r="H423" s="5">
        <f>100*('Parameter &lt;x, y&gt;'!Q423-B423)/B423</f>
        <v>0</v>
      </c>
      <c r="J423" s="5">
        <f>100*('Parameter &lt;x, y&gt;'!D423-C423)/C423</f>
        <v>17.069515290284443</v>
      </c>
      <c r="K423" s="5">
        <f>100*('Parameter &lt;x, y&gt;'!I423-C423)/C423</f>
        <v>32.645763073851299</v>
      </c>
      <c r="L423" s="5">
        <f>100*('Parameter &lt;x, y&gt;'!N423-C423)/C423</f>
        <v>0</v>
      </c>
      <c r="M423" s="5">
        <f>100*('Parameter &lt;x, y&gt;'!S423-C423)/C423</f>
        <v>48.309798993726929</v>
      </c>
    </row>
    <row r="424" spans="1:13" ht="12.75" customHeight="1">
      <c r="A424" s="38"/>
      <c r="B424" s="5">
        <f>MIN('Parameter &lt;x, y&gt;'!B424,'Parameter &lt;x, y&gt;'!G424,'Parameter &lt;x, y&gt;'!L424,'Parameter &lt;x, y&gt;'!Q424)</f>
        <v>71358.7</v>
      </c>
      <c r="C424" s="5">
        <f>MIN('Parameter &lt;x, y&gt;'!D424,'Parameter &lt;x, y&gt;'!I424,'Parameter &lt;x, y&gt;'!N424,'Parameter &lt;x, y&gt;'!S424)</f>
        <v>58347.1</v>
      </c>
      <c r="E424" s="5">
        <f>100*('Parameter &lt;x, y&gt;'!B424-B424)/B424</f>
        <v>0</v>
      </c>
      <c r="F424" s="5">
        <f>100*('Parameter &lt;x, y&gt;'!G424-B424)/B424</f>
        <v>10.817181366813017</v>
      </c>
      <c r="G424" s="5">
        <f>100*('Parameter &lt;x, y&gt;'!L424-B424)/B424</f>
        <v>4.7968923200674904</v>
      </c>
      <c r="H424" s="5">
        <f>100*('Parameter &lt;x, y&gt;'!Q424-B424)/B424</f>
        <v>3.7722099757983303</v>
      </c>
      <c r="J424" s="5">
        <f>100*('Parameter &lt;x, y&gt;'!D424-C424)/C424</f>
        <v>6.1367231619052172</v>
      </c>
      <c r="K424" s="5">
        <f>100*('Parameter &lt;x, y&gt;'!I424-C424)/C424</f>
        <v>8.5450690779833156</v>
      </c>
      <c r="L424" s="5">
        <f>100*('Parameter &lt;x, y&gt;'!N424-C424)/C424</f>
        <v>0</v>
      </c>
      <c r="M424" s="5">
        <f>100*('Parameter &lt;x, y&gt;'!S424-C424)/C424</f>
        <v>6.9638422475153092</v>
      </c>
    </row>
    <row r="425" spans="1:13" ht="12.75" customHeight="1">
      <c r="A425" s="38"/>
      <c r="B425" s="5">
        <f>MIN('Parameter &lt;x, y&gt;'!B425,'Parameter &lt;x, y&gt;'!G425,'Parameter &lt;x, y&gt;'!L425,'Parameter &lt;x, y&gt;'!Q425)</f>
        <v>69960.100000000006</v>
      </c>
      <c r="C425" s="5">
        <f>MIN('Parameter &lt;x, y&gt;'!D425,'Parameter &lt;x, y&gt;'!I425,'Parameter &lt;x, y&gt;'!N425,'Parameter &lt;x, y&gt;'!S425)</f>
        <v>45011.6</v>
      </c>
      <c r="E425" s="5">
        <f>100*('Parameter &lt;x, y&gt;'!B425-B425)/B425</f>
        <v>5.0946182180985975</v>
      </c>
      <c r="F425" s="5">
        <f>100*('Parameter &lt;x, y&gt;'!G425-B425)/B425</f>
        <v>7.1177714154210623</v>
      </c>
      <c r="G425" s="5">
        <f>100*('Parameter &lt;x, y&gt;'!L425-B425)/B425</f>
        <v>0</v>
      </c>
      <c r="H425" s="5">
        <f>100*('Parameter &lt;x, y&gt;'!Q425-B425)/B425</f>
        <v>5.3754926022118275</v>
      </c>
      <c r="J425" s="5">
        <f>100*('Parameter &lt;x, y&gt;'!D425-C425)/C425</f>
        <v>0</v>
      </c>
      <c r="K425" s="5">
        <f>100*('Parameter &lt;x, y&gt;'!I425-C425)/C425</f>
        <v>25.98619022651939</v>
      </c>
      <c r="L425" s="5">
        <f>100*('Parameter &lt;x, y&gt;'!N425-C425)/C425</f>
        <v>8.6764300758026849</v>
      </c>
      <c r="M425" s="5">
        <f>100*('Parameter &lt;x, y&gt;'!S425-C425)/C425</f>
        <v>52.1583325187285</v>
      </c>
    </row>
    <row r="426" spans="1:13" ht="12.75" customHeight="1">
      <c r="A426" s="38"/>
      <c r="B426" s="5">
        <f>MIN('Parameter &lt;x, y&gt;'!B426,'Parameter &lt;x, y&gt;'!G426,'Parameter &lt;x, y&gt;'!L426,'Parameter &lt;x, y&gt;'!Q426)</f>
        <v>83578.899999999994</v>
      </c>
      <c r="C426" s="5">
        <f>MIN('Parameter &lt;x, y&gt;'!D426,'Parameter &lt;x, y&gt;'!I426,'Parameter &lt;x, y&gt;'!N426,'Parameter &lt;x, y&gt;'!S426)</f>
        <v>68330.2</v>
      </c>
      <c r="E426" s="5">
        <f>100*('Parameter &lt;x, y&gt;'!B426-B426)/B426</f>
        <v>0</v>
      </c>
      <c r="F426" s="5">
        <f>100*('Parameter &lt;x, y&gt;'!G426-B426)/B426</f>
        <v>7.7805522685749748</v>
      </c>
      <c r="G426" s="5">
        <f>100*('Parameter &lt;x, y&gt;'!L426-B426)/B426</f>
        <v>2.4826840267100909</v>
      </c>
      <c r="H426" s="5">
        <f>100*('Parameter &lt;x, y&gt;'!Q426-B426)/B426</f>
        <v>9.9039350840941989</v>
      </c>
      <c r="J426" s="5">
        <f>100*('Parameter &lt;x, y&gt;'!D426-C426)/C426</f>
        <v>3.2645887177265647</v>
      </c>
      <c r="K426" s="5">
        <f>100*('Parameter &lt;x, y&gt;'!I426-C426)/C426</f>
        <v>3.610994845617324</v>
      </c>
      <c r="L426" s="5">
        <f>100*('Parameter &lt;x, y&gt;'!N426-C426)/C426</f>
        <v>0</v>
      </c>
      <c r="M426" s="5">
        <f>100*('Parameter &lt;x, y&gt;'!S426-C426)/C426</f>
        <v>9.3834058732449162</v>
      </c>
    </row>
    <row r="427" spans="1:13" ht="12.75" customHeight="1">
      <c r="A427" s="38"/>
      <c r="B427" s="5">
        <f>MIN('Parameter &lt;x, y&gt;'!B427,'Parameter &lt;x, y&gt;'!G427,'Parameter &lt;x, y&gt;'!L427,'Parameter &lt;x, y&gt;'!Q427)</f>
        <v>87525.8</v>
      </c>
      <c r="C427" s="5">
        <f>MIN('Parameter &lt;x, y&gt;'!D427,'Parameter &lt;x, y&gt;'!I427,'Parameter &lt;x, y&gt;'!N427,'Parameter &lt;x, y&gt;'!S427)</f>
        <v>67025</v>
      </c>
      <c r="E427" s="5">
        <f>100*('Parameter &lt;x, y&gt;'!B427-B427)/B427</f>
        <v>0</v>
      </c>
      <c r="F427" s="5">
        <f>100*('Parameter &lt;x, y&gt;'!G427-B427)/B427</f>
        <v>18.205146368270839</v>
      </c>
      <c r="G427" s="5">
        <f>100*('Parameter &lt;x, y&gt;'!L427-B427)/B427</f>
        <v>3.6832568225597515</v>
      </c>
      <c r="H427" s="5">
        <f>100*('Parameter &lt;x, y&gt;'!Q427-B427)/B427</f>
        <v>3.9696866523927801</v>
      </c>
      <c r="J427" s="5">
        <f>100*('Parameter &lt;x, y&gt;'!D427-C427)/C427</f>
        <v>1.3423349496456503</v>
      </c>
      <c r="K427" s="5">
        <f>100*('Parameter &lt;x, y&gt;'!I427-C427)/C427</f>
        <v>22.119209250279738</v>
      </c>
      <c r="L427" s="5">
        <f>100*('Parameter &lt;x, y&gt;'!N427-C427)/C427</f>
        <v>0</v>
      </c>
      <c r="M427" s="5">
        <f>100*('Parameter &lt;x, y&gt;'!S427-C427)/C427</f>
        <v>41.282357329354717</v>
      </c>
    </row>
    <row r="428" spans="1:13" ht="12.75" customHeight="1">
      <c r="A428" s="38"/>
      <c r="B428" s="5">
        <f>MIN('Parameter &lt;x, y&gt;'!B428,'Parameter &lt;x, y&gt;'!G428,'Parameter &lt;x, y&gt;'!L428,'Parameter &lt;x, y&gt;'!Q428)</f>
        <v>72468.899999999994</v>
      </c>
      <c r="C428" s="5">
        <f>MIN('Parameter &lt;x, y&gt;'!D428,'Parameter &lt;x, y&gt;'!I428,'Parameter &lt;x, y&gt;'!N428,'Parameter &lt;x, y&gt;'!S428)</f>
        <v>58628.9</v>
      </c>
      <c r="E428" s="5">
        <f>100*('Parameter &lt;x, y&gt;'!B428-B428)/B428</f>
        <v>6.5539838468639733</v>
      </c>
      <c r="F428" s="5">
        <f>100*('Parameter &lt;x, y&gt;'!G428-B428)/B428</f>
        <v>20.363355867137496</v>
      </c>
      <c r="G428" s="5">
        <f>100*('Parameter &lt;x, y&gt;'!L428-B428)/B428</f>
        <v>7.9730753468039399</v>
      </c>
      <c r="H428" s="5">
        <f>100*('Parameter &lt;x, y&gt;'!Q428-B428)/B428</f>
        <v>0</v>
      </c>
      <c r="J428" s="5">
        <f>100*('Parameter &lt;x, y&gt;'!D428-C428)/C428</f>
        <v>0</v>
      </c>
      <c r="K428" s="5">
        <f>100*('Parameter &lt;x, y&gt;'!I428-C428)/C428</f>
        <v>33.343624048890554</v>
      </c>
      <c r="L428" s="5">
        <f>100*('Parameter &lt;x, y&gt;'!N428-C428)/C428</f>
        <v>0.4487547949901815</v>
      </c>
      <c r="M428" s="5">
        <f>100*('Parameter &lt;x, y&gt;'!S428-C428)/C428</f>
        <v>21.068790306487077</v>
      </c>
    </row>
    <row r="429" spans="1:13" ht="12.75" customHeight="1">
      <c r="A429" s="38"/>
      <c r="B429" s="5">
        <f>MIN('Parameter &lt;x, y&gt;'!B429,'Parameter &lt;x, y&gt;'!G429,'Parameter &lt;x, y&gt;'!L429,'Parameter &lt;x, y&gt;'!Q429)</f>
        <v>73128.7</v>
      </c>
      <c r="C429" s="5">
        <f>MIN('Parameter &lt;x, y&gt;'!D429,'Parameter &lt;x, y&gt;'!I429,'Parameter &lt;x, y&gt;'!N429,'Parameter &lt;x, y&gt;'!S429)</f>
        <v>58559.8</v>
      </c>
      <c r="E429" s="5">
        <f>100*('Parameter &lt;x, y&gt;'!B429-B429)/B429</f>
        <v>0</v>
      </c>
      <c r="F429" s="5">
        <f>100*('Parameter &lt;x, y&gt;'!G429-B429)/B429</f>
        <v>28.33128443415513</v>
      </c>
      <c r="G429" s="5">
        <f>100*('Parameter &lt;x, y&gt;'!L429-B429)/B429</f>
        <v>23.622736353852865</v>
      </c>
      <c r="H429" s="5">
        <f>100*('Parameter &lt;x, y&gt;'!Q429-B429)/B429</f>
        <v>2.3274036048774285</v>
      </c>
      <c r="J429" s="5">
        <f>100*('Parameter &lt;x, y&gt;'!D429-C429)/C429</f>
        <v>34.169857137490226</v>
      </c>
      <c r="K429" s="5">
        <f>100*('Parameter &lt;x, y&gt;'!I429-C429)/C429</f>
        <v>1.8290704544755934</v>
      </c>
      <c r="L429" s="5">
        <f>100*('Parameter &lt;x, y&gt;'!N429-C429)/C429</f>
        <v>0</v>
      </c>
      <c r="M429" s="5">
        <f>100*('Parameter &lt;x, y&gt;'!S429-C429)/C429</f>
        <v>55.041000823090229</v>
      </c>
    </row>
    <row r="430" spans="1:13" ht="12.75" customHeight="1">
      <c r="A430" s="38"/>
      <c r="B430" s="5">
        <f>MIN('Parameter &lt;x, y&gt;'!B430,'Parameter &lt;x, y&gt;'!G430,'Parameter &lt;x, y&gt;'!L430,'Parameter &lt;x, y&gt;'!Q430)</f>
        <v>86933.3</v>
      </c>
      <c r="C430" s="5">
        <f>MIN('Parameter &lt;x, y&gt;'!D430,'Parameter &lt;x, y&gt;'!I430,'Parameter &lt;x, y&gt;'!N430,'Parameter &lt;x, y&gt;'!S430)</f>
        <v>69647.8</v>
      </c>
      <c r="E430" s="5">
        <f>100*('Parameter &lt;x, y&gt;'!B430-B430)/B430</f>
        <v>5.0658378319930266</v>
      </c>
      <c r="F430" s="5">
        <f>100*('Parameter &lt;x, y&gt;'!G430-B430)/B430</f>
        <v>0</v>
      </c>
      <c r="G430" s="5">
        <f>100*('Parameter &lt;x, y&gt;'!L430-B430)/B430</f>
        <v>4.4740047829772873</v>
      </c>
      <c r="H430" s="5">
        <f>100*('Parameter &lt;x, y&gt;'!Q430-B430)/B430</f>
        <v>3.7980842784065518</v>
      </c>
      <c r="J430" s="5">
        <f>100*('Parameter &lt;x, y&gt;'!D430-C430)/C430</f>
        <v>0</v>
      </c>
      <c r="K430" s="5">
        <f>100*('Parameter &lt;x, y&gt;'!I430-C430)/C430</f>
        <v>62.075471156303571</v>
      </c>
      <c r="L430" s="5">
        <f>100*('Parameter &lt;x, y&gt;'!N430-C430)/C430</f>
        <v>2.0662533489930639</v>
      </c>
      <c r="M430" s="5">
        <f>100*('Parameter &lt;x, y&gt;'!S430-C430)/C430</f>
        <v>12.277631167100742</v>
      </c>
    </row>
    <row r="431" spans="1:13" ht="12.75" customHeight="1">
      <c r="A431" s="38"/>
      <c r="B431" s="5">
        <f>MIN('Parameter &lt;x, y&gt;'!B431,'Parameter &lt;x, y&gt;'!G431,'Parameter &lt;x, y&gt;'!L431,'Parameter &lt;x, y&gt;'!Q431)</f>
        <v>62224.6</v>
      </c>
      <c r="C431" s="5">
        <f>MIN('Parameter &lt;x, y&gt;'!D431,'Parameter &lt;x, y&gt;'!I431,'Parameter &lt;x, y&gt;'!N431,'Parameter &lt;x, y&gt;'!S431)</f>
        <v>50955</v>
      </c>
      <c r="E431" s="5">
        <f>100*('Parameter &lt;x, y&gt;'!B431-B431)/B431</f>
        <v>0</v>
      </c>
      <c r="F431" s="5">
        <f>100*('Parameter &lt;x, y&gt;'!G431-B431)/B431</f>
        <v>11.436634385757404</v>
      </c>
      <c r="G431" s="5">
        <f>100*('Parameter &lt;x, y&gt;'!L431-B431)/B431</f>
        <v>3.8174612613018026</v>
      </c>
      <c r="H431" s="5">
        <f>100*('Parameter &lt;x, y&gt;'!Q431-B431)/B431</f>
        <v>10.330801644365726</v>
      </c>
      <c r="J431" s="5">
        <f>100*('Parameter &lt;x, y&gt;'!D431-C431)/C431</f>
        <v>12.366597978608578</v>
      </c>
      <c r="K431" s="5">
        <f>100*('Parameter &lt;x, y&gt;'!I431-C431)/C431</f>
        <v>21.061524874889614</v>
      </c>
      <c r="L431" s="5">
        <f>100*('Parameter &lt;x, y&gt;'!N431-C431)/C431</f>
        <v>0</v>
      </c>
      <c r="M431" s="5">
        <f>100*('Parameter &lt;x, y&gt;'!S431-C431)/C431</f>
        <v>26.214699244431355</v>
      </c>
    </row>
    <row r="432" spans="1:13" ht="12.75" customHeight="1">
      <c r="A432" s="38"/>
      <c r="B432" s="5">
        <f>MIN('Parameter &lt;x, y&gt;'!B432,'Parameter &lt;x, y&gt;'!G432,'Parameter &lt;x, y&gt;'!L432,'Parameter &lt;x, y&gt;'!Q432)</f>
        <v>130676</v>
      </c>
      <c r="C432" s="5">
        <f>MIN('Parameter &lt;x, y&gt;'!D432,'Parameter &lt;x, y&gt;'!I432,'Parameter &lt;x, y&gt;'!N432,'Parameter &lt;x, y&gt;'!S432)</f>
        <v>83137.2</v>
      </c>
      <c r="E432" s="5">
        <f>100*('Parameter &lt;x, y&gt;'!B432-B432)/B432</f>
        <v>7.7634760782393091</v>
      </c>
      <c r="F432" s="5">
        <f>100*('Parameter &lt;x, y&gt;'!G432-B432)/B432</f>
        <v>1.9942453090085401</v>
      </c>
      <c r="G432" s="5">
        <f>100*('Parameter &lt;x, y&gt;'!L432-B432)/B432</f>
        <v>0</v>
      </c>
      <c r="H432" s="5">
        <f>100*('Parameter &lt;x, y&gt;'!Q432-B432)/B432</f>
        <v>7.062505739385962</v>
      </c>
      <c r="J432" s="5">
        <f>100*('Parameter &lt;x, y&gt;'!D432-C432)/C432</f>
        <v>27.738244732803132</v>
      </c>
      <c r="K432" s="5">
        <f>100*('Parameter &lt;x, y&gt;'!I432-C432)/C432</f>
        <v>0</v>
      </c>
      <c r="L432" s="5">
        <f>100*('Parameter &lt;x, y&gt;'!N432-C432)/C432</f>
        <v>103.52381364780148</v>
      </c>
      <c r="M432" s="5">
        <f>100*('Parameter &lt;x, y&gt;'!S432-C432)/C432</f>
        <v>68.284474338803804</v>
      </c>
    </row>
    <row r="433" spans="1:13" ht="12.75" customHeight="1">
      <c r="A433" s="38"/>
      <c r="B433" s="5">
        <f>MIN('Parameter &lt;x, y&gt;'!B433,'Parameter &lt;x, y&gt;'!G433,'Parameter &lt;x, y&gt;'!L433,'Parameter &lt;x, y&gt;'!Q433)</f>
        <v>87386.5</v>
      </c>
      <c r="C433" s="5">
        <f>MIN('Parameter &lt;x, y&gt;'!D433,'Parameter &lt;x, y&gt;'!I433,'Parameter &lt;x, y&gt;'!N433,'Parameter &lt;x, y&gt;'!S433)</f>
        <v>69691.899999999994</v>
      </c>
      <c r="E433" s="5">
        <f>100*('Parameter &lt;x, y&gt;'!B433-B433)/B433</f>
        <v>19.160282194618162</v>
      </c>
      <c r="F433" s="5">
        <f>100*('Parameter &lt;x, y&gt;'!G433-B433)/B433</f>
        <v>33.343250959816444</v>
      </c>
      <c r="G433" s="5">
        <f>100*('Parameter &lt;x, y&gt;'!L433-B433)/B433</f>
        <v>12.652755288288239</v>
      </c>
      <c r="H433" s="5">
        <f>100*('Parameter &lt;x, y&gt;'!Q433-B433)/B433</f>
        <v>0</v>
      </c>
      <c r="J433" s="5">
        <f>100*('Parameter &lt;x, y&gt;'!D433-C433)/C433</f>
        <v>33.388672141238814</v>
      </c>
      <c r="K433" s="5">
        <f>100*('Parameter &lt;x, y&gt;'!I433-C433)/C433</f>
        <v>0</v>
      </c>
      <c r="L433" s="5">
        <f>100*('Parameter &lt;x, y&gt;'!N433-C433)/C433</f>
        <v>29.321628481932628</v>
      </c>
      <c r="M433" s="5">
        <f>100*('Parameter &lt;x, y&gt;'!S433-C433)/C433</f>
        <v>46.054276034948117</v>
      </c>
    </row>
    <row r="434" spans="1:13" ht="12.75" customHeight="1">
      <c r="A434" s="38"/>
      <c r="B434" s="5">
        <f>MIN('Parameter &lt;x, y&gt;'!B434,'Parameter &lt;x, y&gt;'!G434,'Parameter &lt;x, y&gt;'!L434,'Parameter &lt;x, y&gt;'!Q434)</f>
        <v>72733.5</v>
      </c>
      <c r="C434" s="5">
        <f>MIN('Parameter &lt;x, y&gt;'!D434,'Parameter &lt;x, y&gt;'!I434,'Parameter &lt;x, y&gt;'!N434,'Parameter &lt;x, y&gt;'!S434)</f>
        <v>58846.5</v>
      </c>
      <c r="E434" s="5">
        <f>100*('Parameter &lt;x, y&gt;'!B434-B434)/B434</f>
        <v>0</v>
      </c>
      <c r="F434" s="5">
        <f>100*('Parameter &lt;x, y&gt;'!G434-B434)/B434</f>
        <v>3.1978386850625835</v>
      </c>
      <c r="G434" s="5">
        <f>100*('Parameter &lt;x, y&gt;'!L434-B434)/B434</f>
        <v>23.043301917273329</v>
      </c>
      <c r="H434" s="5">
        <f>100*('Parameter &lt;x, y&gt;'!Q434-B434)/B434</f>
        <v>32.146947417627374</v>
      </c>
      <c r="J434" s="5">
        <f>100*('Parameter &lt;x, y&gt;'!D434-C434)/C434</f>
        <v>39.679505153237663</v>
      </c>
      <c r="K434" s="5">
        <f>100*('Parameter &lt;x, y&gt;'!I434-C434)/C434</f>
        <v>14.185040741590399</v>
      </c>
      <c r="L434" s="5">
        <f>100*('Parameter &lt;x, y&gt;'!N434-C434)/C434</f>
        <v>0</v>
      </c>
      <c r="M434" s="5">
        <f>100*('Parameter &lt;x, y&gt;'!S434-C434)/C434</f>
        <v>16.771770623571506</v>
      </c>
    </row>
    <row r="435" spans="1:13" ht="12.75" customHeight="1">
      <c r="A435" s="38"/>
      <c r="B435" s="5">
        <f>MIN('Parameter &lt;x, y&gt;'!B435,'Parameter &lt;x, y&gt;'!G435,'Parameter &lt;x, y&gt;'!L435,'Parameter &lt;x, y&gt;'!Q435)</f>
        <v>74932</v>
      </c>
      <c r="C435" s="5">
        <f>MIN('Parameter &lt;x, y&gt;'!D435,'Parameter &lt;x, y&gt;'!I435,'Parameter &lt;x, y&gt;'!N435,'Parameter &lt;x, y&gt;'!S435)</f>
        <v>60703.3</v>
      </c>
      <c r="E435" s="5">
        <f>100*('Parameter &lt;x, y&gt;'!B435-B435)/B435</f>
        <v>0</v>
      </c>
      <c r="F435" s="5">
        <f>100*('Parameter &lt;x, y&gt;'!G435-B435)/B435</f>
        <v>4.3702290076335837</v>
      </c>
      <c r="G435" s="5">
        <f>100*('Parameter &lt;x, y&gt;'!L435-B435)/B435</f>
        <v>36.184807558853358</v>
      </c>
      <c r="H435" s="5">
        <f>100*('Parameter &lt;x, y&gt;'!Q435-B435)/B435</f>
        <v>4.7916777878609942</v>
      </c>
      <c r="J435" s="5">
        <f>100*('Parameter &lt;x, y&gt;'!D435-C435)/C435</f>
        <v>5.5128798599087689</v>
      </c>
      <c r="K435" s="5">
        <f>100*('Parameter &lt;x, y&gt;'!I435-C435)/C435</f>
        <v>12.549070643605862</v>
      </c>
      <c r="L435" s="5">
        <f>100*('Parameter &lt;x, y&gt;'!N435-C435)/C435</f>
        <v>0</v>
      </c>
      <c r="M435" s="5">
        <f>100*('Parameter &lt;x, y&gt;'!S435-C435)/C435</f>
        <v>12.914454403632092</v>
      </c>
    </row>
    <row r="436" spans="1:13" ht="12.75" customHeight="1">
      <c r="A436" s="38"/>
      <c r="B436" s="5">
        <f>MIN('Parameter &lt;x, y&gt;'!B436,'Parameter &lt;x, y&gt;'!G436,'Parameter &lt;x, y&gt;'!L436,'Parameter &lt;x, y&gt;'!Q436)</f>
        <v>70436.399999999994</v>
      </c>
      <c r="C436" s="5">
        <f>MIN('Parameter &lt;x, y&gt;'!D436,'Parameter &lt;x, y&gt;'!I436,'Parameter &lt;x, y&gt;'!N436,'Parameter &lt;x, y&gt;'!S436)</f>
        <v>58245.2</v>
      </c>
      <c r="E436" s="5">
        <f>100*('Parameter &lt;x, y&gt;'!B436-B436)/B436</f>
        <v>19.523428227450587</v>
      </c>
      <c r="F436" s="5">
        <f>100*('Parameter &lt;x, y&gt;'!G436-B436)/B436</f>
        <v>27.673759590211894</v>
      </c>
      <c r="G436" s="5">
        <f>100*('Parameter &lt;x, y&gt;'!L436-B436)/B436</f>
        <v>0</v>
      </c>
      <c r="H436" s="5">
        <f>100*('Parameter &lt;x, y&gt;'!Q436-B436)/B436</f>
        <v>9.2809967573584284</v>
      </c>
      <c r="J436" s="5">
        <f>100*('Parameter &lt;x, y&gt;'!D436-C436)/C436</f>
        <v>1.3700699800155207</v>
      </c>
      <c r="K436" s="5">
        <f>100*('Parameter &lt;x, y&gt;'!I436-C436)/C436</f>
        <v>0</v>
      </c>
      <c r="L436" s="5">
        <f>100*('Parameter &lt;x, y&gt;'!N436-C436)/C436</f>
        <v>37.32702437282385</v>
      </c>
      <c r="M436" s="5">
        <f>100*('Parameter &lt;x, y&gt;'!S436-C436)/C436</f>
        <v>17.807475980853358</v>
      </c>
    </row>
    <row r="437" spans="1:13" ht="12.75" customHeight="1">
      <c r="A437" s="38"/>
      <c r="B437" s="5">
        <f>MIN('Parameter &lt;x, y&gt;'!B437,'Parameter &lt;x, y&gt;'!G437,'Parameter &lt;x, y&gt;'!L437,'Parameter &lt;x, y&gt;'!Q437)</f>
        <v>67541.7</v>
      </c>
      <c r="C437" s="5">
        <f>MIN('Parameter &lt;x, y&gt;'!D437,'Parameter &lt;x, y&gt;'!I437,'Parameter &lt;x, y&gt;'!N437,'Parameter &lt;x, y&gt;'!S437)</f>
        <v>58645.2</v>
      </c>
      <c r="E437" s="5">
        <f>100*('Parameter &lt;x, y&gt;'!B437-B437)/B437</f>
        <v>17.281323982073303</v>
      </c>
      <c r="F437" s="5">
        <f>100*('Parameter &lt;x, y&gt;'!G437-B437)/B437</f>
        <v>10.509211346471892</v>
      </c>
      <c r="G437" s="5">
        <f>100*('Parameter &lt;x, y&gt;'!L437-B437)/B437</f>
        <v>0</v>
      </c>
      <c r="H437" s="5">
        <f>100*('Parameter &lt;x, y&gt;'!Q437-B437)/B437</f>
        <v>6.6475969660224852</v>
      </c>
      <c r="J437" s="5">
        <f>100*('Parameter &lt;x, y&gt;'!D437-C437)/C437</f>
        <v>0</v>
      </c>
      <c r="K437" s="5">
        <f>100*('Parameter &lt;x, y&gt;'!I437-C437)/C437</f>
        <v>14.369462462401016</v>
      </c>
      <c r="L437" s="5">
        <f>100*('Parameter &lt;x, y&gt;'!N437-C437)/C437</f>
        <v>23.30847196360487</v>
      </c>
      <c r="M437" s="5">
        <f>100*('Parameter &lt;x, y&gt;'!S437-C437)/C437</f>
        <v>43.636137313880766</v>
      </c>
    </row>
    <row r="438" spans="1:13" ht="12.75" customHeight="1">
      <c r="A438" s="38"/>
      <c r="B438" s="5">
        <f>MIN('Parameter &lt;x, y&gt;'!B438,'Parameter &lt;x, y&gt;'!G438,'Parameter &lt;x, y&gt;'!L438,'Parameter &lt;x, y&gt;'!Q438)</f>
        <v>72857.3</v>
      </c>
      <c r="C438" s="5">
        <f>MIN('Parameter &lt;x, y&gt;'!D438,'Parameter &lt;x, y&gt;'!I438,'Parameter &lt;x, y&gt;'!N438,'Parameter &lt;x, y&gt;'!S438)</f>
        <v>51688.5</v>
      </c>
      <c r="E438" s="5">
        <f>100*('Parameter &lt;x, y&gt;'!B438-B438)/B438</f>
        <v>12.898638846073064</v>
      </c>
      <c r="F438" s="5">
        <f>100*('Parameter &lt;x, y&gt;'!G438-B438)/B438</f>
        <v>0</v>
      </c>
      <c r="G438" s="5">
        <f>100*('Parameter &lt;x, y&gt;'!L438-B438)/B438</f>
        <v>27.693450072950817</v>
      </c>
      <c r="H438" s="5">
        <f>100*('Parameter &lt;x, y&gt;'!Q438-B438)/B438</f>
        <v>8.2227861861474327</v>
      </c>
      <c r="J438" s="5">
        <f>100*('Parameter &lt;x, y&gt;'!D438-C438)/C438</f>
        <v>17.735473074281508</v>
      </c>
      <c r="K438" s="5">
        <f>100*('Parameter &lt;x, y&gt;'!I438-C438)/C438</f>
        <v>49.057140369714723</v>
      </c>
      <c r="L438" s="5">
        <f>100*('Parameter &lt;x, y&gt;'!N438-C438)/C438</f>
        <v>0</v>
      </c>
      <c r="M438" s="5">
        <f>100*('Parameter &lt;x, y&gt;'!S438-C438)/C438</f>
        <v>67.385008270698521</v>
      </c>
    </row>
    <row r="439" spans="1:13" ht="12.75" customHeight="1">
      <c r="A439" s="38"/>
      <c r="B439" s="5">
        <f>MIN('Parameter &lt;x, y&gt;'!B439,'Parameter &lt;x, y&gt;'!G439,'Parameter &lt;x, y&gt;'!L439,'Parameter &lt;x, y&gt;'!Q439)</f>
        <v>90086.2</v>
      </c>
      <c r="C439" s="5">
        <f>MIN('Parameter &lt;x, y&gt;'!D439,'Parameter &lt;x, y&gt;'!I439,'Parameter &lt;x, y&gt;'!N439,'Parameter &lt;x, y&gt;'!S439)</f>
        <v>72239.199999999997</v>
      </c>
      <c r="E439" s="5">
        <f>100*('Parameter &lt;x, y&gt;'!B439-B439)/B439</f>
        <v>23.134286938510009</v>
      </c>
      <c r="F439" s="5">
        <f>100*('Parameter &lt;x, y&gt;'!G439-B439)/B439</f>
        <v>14.44705182369775</v>
      </c>
      <c r="G439" s="5">
        <f>100*('Parameter &lt;x, y&gt;'!L439-B439)/B439</f>
        <v>0</v>
      </c>
      <c r="H439" s="5">
        <f>100*('Parameter &lt;x, y&gt;'!Q439-B439)/B439</f>
        <v>10.451767307312336</v>
      </c>
      <c r="J439" s="5">
        <f>100*('Parameter &lt;x, y&gt;'!D439-C439)/C439</f>
        <v>3.4789975525753292</v>
      </c>
      <c r="K439" s="5">
        <f>100*('Parameter &lt;x, y&gt;'!I439-C439)/C439</f>
        <v>0</v>
      </c>
      <c r="L439" s="5">
        <f>100*('Parameter &lt;x, y&gt;'!N439-C439)/C439</f>
        <v>2.1186557990675423</v>
      </c>
      <c r="M439" s="5">
        <f>100*('Parameter &lt;x, y&gt;'!S439-C439)/C439</f>
        <v>34.404450769111506</v>
      </c>
    </row>
    <row r="440" spans="1:13" ht="12.75" customHeight="1">
      <c r="A440" s="38"/>
      <c r="B440" s="5">
        <f>MIN('Parameter &lt;x, y&gt;'!B440,'Parameter &lt;x, y&gt;'!G440,'Parameter &lt;x, y&gt;'!L440,'Parameter &lt;x, y&gt;'!Q440)</f>
        <v>76432.600000000006</v>
      </c>
      <c r="C440" s="5">
        <f>MIN('Parameter &lt;x, y&gt;'!D440,'Parameter &lt;x, y&gt;'!I440,'Parameter &lt;x, y&gt;'!N440,'Parameter &lt;x, y&gt;'!S440)</f>
        <v>65197.4</v>
      </c>
      <c r="E440" s="5">
        <f>100*('Parameter &lt;x, y&gt;'!B440-B440)/B440</f>
        <v>8.7672014297564118</v>
      </c>
      <c r="F440" s="5">
        <f>100*('Parameter &lt;x, y&gt;'!G440-B440)/B440</f>
        <v>35.092879216459984</v>
      </c>
      <c r="G440" s="5">
        <f>100*('Parameter &lt;x, y&gt;'!L440-B440)/B440</f>
        <v>0</v>
      </c>
      <c r="H440" s="5">
        <f>100*('Parameter &lt;x, y&gt;'!Q440-B440)/B440</f>
        <v>5.4467596287447906</v>
      </c>
      <c r="J440" s="5">
        <f>100*('Parameter &lt;x, y&gt;'!D440-C440)/C440</f>
        <v>0</v>
      </c>
      <c r="K440" s="5">
        <f>100*('Parameter &lt;x, y&gt;'!I440-C440)/C440</f>
        <v>65.485126707506737</v>
      </c>
      <c r="L440" s="5">
        <f>100*('Parameter &lt;x, y&gt;'!N440-C440)/C440</f>
        <v>19.058428710347343</v>
      </c>
      <c r="M440" s="5">
        <f>100*('Parameter &lt;x, y&gt;'!S440-C440)/C440</f>
        <v>56.578329810697973</v>
      </c>
    </row>
    <row r="441" spans="1:13" ht="12.75" customHeight="1">
      <c r="A441" s="38"/>
      <c r="B441" s="5">
        <f>MIN('Parameter &lt;x, y&gt;'!B441,'Parameter &lt;x, y&gt;'!G441,'Parameter &lt;x, y&gt;'!L441,'Parameter &lt;x, y&gt;'!Q441)</f>
        <v>88384.9</v>
      </c>
      <c r="C441" s="5">
        <f>MIN('Parameter &lt;x, y&gt;'!D441,'Parameter &lt;x, y&gt;'!I441,'Parameter &lt;x, y&gt;'!N441,'Parameter &lt;x, y&gt;'!S441)</f>
        <v>75040.800000000003</v>
      </c>
      <c r="E441" s="5">
        <f>100*('Parameter &lt;x, y&gt;'!B441-B441)/B441</f>
        <v>3.9538427944139847</v>
      </c>
      <c r="F441" s="5">
        <f>100*('Parameter &lt;x, y&gt;'!G441-B441)/B441</f>
        <v>9.8702380157696652</v>
      </c>
      <c r="G441" s="5">
        <f>100*('Parameter &lt;x, y&gt;'!L441-B441)/B441</f>
        <v>0</v>
      </c>
      <c r="H441" s="5">
        <f>100*('Parameter &lt;x, y&gt;'!Q441-B441)/B441</f>
        <v>6.2790137229323246</v>
      </c>
      <c r="J441" s="5">
        <f>100*('Parameter &lt;x, y&gt;'!D441-C441)/C441</f>
        <v>0</v>
      </c>
      <c r="K441" s="5">
        <f>100*('Parameter &lt;x, y&gt;'!I441-C441)/C441</f>
        <v>16.592307118260997</v>
      </c>
      <c r="L441" s="5">
        <f>100*('Parameter &lt;x, y&gt;'!N441-C441)/C441</f>
        <v>7.0349729747017493</v>
      </c>
      <c r="M441" s="5">
        <f>100*('Parameter &lt;x, y&gt;'!S441-C441)/C441</f>
        <v>16.231836547584781</v>
      </c>
    </row>
    <row r="442" spans="1:13" ht="12.75" customHeight="1">
      <c r="A442" s="38"/>
      <c r="B442" s="5">
        <f>MIN('Parameter &lt;x, y&gt;'!B442,'Parameter &lt;x, y&gt;'!G442,'Parameter &lt;x, y&gt;'!L442,'Parameter &lt;x, y&gt;'!Q442)</f>
        <v>94590.8</v>
      </c>
      <c r="C442" s="5">
        <f>MIN('Parameter &lt;x, y&gt;'!D442,'Parameter &lt;x, y&gt;'!I442,'Parameter &lt;x, y&gt;'!N442,'Parameter &lt;x, y&gt;'!S442)</f>
        <v>77416.399999999994</v>
      </c>
      <c r="E442" s="5">
        <f>100*('Parameter &lt;x, y&gt;'!B442-B442)/B442</f>
        <v>30.702985914063518</v>
      </c>
      <c r="F442" s="5">
        <f>100*('Parameter &lt;x, y&gt;'!G442-B442)/B442</f>
        <v>73.63633672619325</v>
      </c>
      <c r="G442" s="5">
        <f>100*('Parameter &lt;x, y&gt;'!L442-B442)/B442</f>
        <v>20.652325596146767</v>
      </c>
      <c r="H442" s="5">
        <f>100*('Parameter &lt;x, y&gt;'!Q442-B442)/B442</f>
        <v>0</v>
      </c>
      <c r="J442" s="5">
        <f>100*('Parameter &lt;x, y&gt;'!D442-C442)/C442</f>
        <v>13.993159072237924</v>
      </c>
      <c r="K442" s="5">
        <f>100*('Parameter &lt;x, y&gt;'!I442-C442)/C442</f>
        <v>21.90259428234846</v>
      </c>
      <c r="L442" s="5">
        <f>100*('Parameter &lt;x, y&gt;'!N442-C442)/C442</f>
        <v>0</v>
      </c>
      <c r="M442" s="5">
        <f>100*('Parameter &lt;x, y&gt;'!S442-C442)/C442</f>
        <v>27.468598384838369</v>
      </c>
    </row>
    <row r="443" spans="1:13" ht="12.75" customHeight="1">
      <c r="A443" s="38"/>
      <c r="B443" s="5">
        <f>MIN('Parameter &lt;x, y&gt;'!B443,'Parameter &lt;x, y&gt;'!G443,'Parameter &lt;x, y&gt;'!L443,'Parameter &lt;x, y&gt;'!Q443)</f>
        <v>152029</v>
      </c>
      <c r="C443" s="5">
        <f>MIN('Parameter &lt;x, y&gt;'!D443,'Parameter &lt;x, y&gt;'!I443,'Parameter &lt;x, y&gt;'!N443,'Parameter &lt;x, y&gt;'!S443)</f>
        <v>77938.100000000006</v>
      </c>
      <c r="E443" s="5">
        <f>100*('Parameter &lt;x, y&gt;'!B443-B443)/B443</f>
        <v>5.8580928638614997</v>
      </c>
      <c r="F443" s="5">
        <f>100*('Parameter &lt;x, y&gt;'!G443-B443)/B443</f>
        <v>0</v>
      </c>
      <c r="G443" s="5">
        <f>100*('Parameter &lt;x, y&gt;'!L443-B443)/B443</f>
        <v>16.638930730321189</v>
      </c>
      <c r="H443" s="5">
        <f>100*('Parameter &lt;x, y&gt;'!Q443-B443)/B443</f>
        <v>15.850923179130298</v>
      </c>
      <c r="J443" s="5">
        <f>100*('Parameter &lt;x, y&gt;'!D443-C443)/C443</f>
        <v>15.51872575800539</v>
      </c>
      <c r="K443" s="5">
        <f>100*('Parameter &lt;x, y&gt;'!I443-C443)/C443</f>
        <v>71.291063035922079</v>
      </c>
      <c r="L443" s="5">
        <f>100*('Parameter &lt;x, y&gt;'!N443-C443)/C443</f>
        <v>0</v>
      </c>
      <c r="M443" s="5">
        <f>100*('Parameter &lt;x, y&gt;'!S443-C443)/C443</f>
        <v>33.029930162526405</v>
      </c>
    </row>
    <row r="444" spans="1:13" ht="12.75" customHeight="1">
      <c r="A444" s="38"/>
      <c r="B444" s="5">
        <f>MIN('Parameter &lt;x, y&gt;'!B444,'Parameter &lt;x, y&gt;'!G444,'Parameter &lt;x, y&gt;'!L444,'Parameter &lt;x, y&gt;'!Q444)</f>
        <v>77506.7</v>
      </c>
      <c r="C444" s="5">
        <f>MIN('Parameter &lt;x, y&gt;'!D444,'Parameter &lt;x, y&gt;'!I444,'Parameter &lt;x, y&gt;'!N444,'Parameter &lt;x, y&gt;'!S444)</f>
        <v>75028.5</v>
      </c>
      <c r="E444" s="5">
        <f>100*('Parameter &lt;x, y&gt;'!B444-B444)/B444</f>
        <v>68.317061621769469</v>
      </c>
      <c r="F444" s="5">
        <f>100*('Parameter &lt;x, y&gt;'!G444-B444)/B444</f>
        <v>0</v>
      </c>
      <c r="G444" s="5">
        <f>100*('Parameter &lt;x, y&gt;'!L444-B444)/B444</f>
        <v>39.136358534165439</v>
      </c>
      <c r="H444" s="5">
        <f>100*('Parameter &lt;x, y&gt;'!Q444-B444)/B444</f>
        <v>1.100937080278225</v>
      </c>
      <c r="J444" s="5">
        <f>100*('Parameter &lt;x, y&gt;'!D444-C444)/C444</f>
        <v>0</v>
      </c>
      <c r="K444" s="5">
        <f>100*('Parameter &lt;x, y&gt;'!I444-C444)/C444</f>
        <v>37.127891401267519</v>
      </c>
      <c r="L444" s="5">
        <f>100*('Parameter &lt;x, y&gt;'!N444-C444)/C444</f>
        <v>17.062849450542128</v>
      </c>
      <c r="M444" s="5">
        <f>100*('Parameter &lt;x, y&gt;'!S444-C444)/C444</f>
        <v>35.683107085973994</v>
      </c>
    </row>
    <row r="445" spans="1:13" ht="12.75" customHeight="1">
      <c r="A445" s="38"/>
      <c r="B445" s="5">
        <f>MIN('Parameter &lt;x, y&gt;'!B445,'Parameter &lt;x, y&gt;'!G445,'Parameter &lt;x, y&gt;'!L445,'Parameter &lt;x, y&gt;'!Q445)</f>
        <v>79465.399999999994</v>
      </c>
      <c r="C445" s="5">
        <f>MIN('Parameter &lt;x, y&gt;'!D445,'Parameter &lt;x, y&gt;'!I445,'Parameter &lt;x, y&gt;'!N445,'Parameter &lt;x, y&gt;'!S445)</f>
        <v>62211.1</v>
      </c>
      <c r="E445" s="5">
        <f>100*('Parameter &lt;x, y&gt;'!B445-B445)/B445</f>
        <v>1.8571604748733448</v>
      </c>
      <c r="F445" s="5">
        <f>100*('Parameter &lt;x, y&gt;'!G445-B445)/B445</f>
        <v>0</v>
      </c>
      <c r="G445" s="5">
        <f>100*('Parameter &lt;x, y&gt;'!L445-B445)/B445</f>
        <v>11.112509343689212</v>
      </c>
      <c r="H445" s="5">
        <f>100*('Parameter &lt;x, y&gt;'!Q445-B445)/B445</f>
        <v>9.2997707178218523</v>
      </c>
      <c r="J445" s="5">
        <f>100*('Parameter &lt;x, y&gt;'!D445-C445)/C445</f>
        <v>5.411735204810725</v>
      </c>
      <c r="K445" s="5">
        <f>100*('Parameter &lt;x, y&gt;'!I445-C445)/C445</f>
        <v>6.8963577239431473</v>
      </c>
      <c r="L445" s="5">
        <f>100*('Parameter &lt;x, y&gt;'!N445-C445)/C445</f>
        <v>0</v>
      </c>
      <c r="M445" s="5">
        <f>100*('Parameter &lt;x, y&gt;'!S445-C445)/C445</f>
        <v>62.019318095966796</v>
      </c>
    </row>
    <row r="446" spans="1:13" ht="12.75" customHeight="1">
      <c r="A446" s="38"/>
      <c r="B446" s="5">
        <f>MIN('Parameter &lt;x, y&gt;'!B446,'Parameter &lt;x, y&gt;'!G446,'Parameter &lt;x, y&gt;'!L446,'Parameter &lt;x, y&gt;'!Q446)</f>
        <v>106068</v>
      </c>
      <c r="C446" s="5">
        <f>MIN('Parameter &lt;x, y&gt;'!D446,'Parameter &lt;x, y&gt;'!I446,'Parameter &lt;x, y&gt;'!N446,'Parameter &lt;x, y&gt;'!S446)</f>
        <v>72328.100000000006</v>
      </c>
      <c r="E446" s="5">
        <f>100*('Parameter &lt;x, y&gt;'!B446-B446)/B446</f>
        <v>12.458045781951201</v>
      </c>
      <c r="F446" s="5">
        <f>100*('Parameter &lt;x, y&gt;'!G446-B446)/B446</f>
        <v>32.929818606931406</v>
      </c>
      <c r="G446" s="5">
        <f>100*('Parameter &lt;x, y&gt;'!L446-B446)/B446</f>
        <v>0</v>
      </c>
      <c r="H446" s="5">
        <f>100*('Parameter &lt;x, y&gt;'!Q446-B446)/B446</f>
        <v>12.071501301052155</v>
      </c>
      <c r="J446" s="5">
        <f>100*('Parameter &lt;x, y&gt;'!D446-C446)/C446</f>
        <v>19.990155969809795</v>
      </c>
      <c r="K446" s="5">
        <f>100*('Parameter &lt;x, y&gt;'!I446-C446)/C446</f>
        <v>0</v>
      </c>
      <c r="L446" s="5">
        <f>100*('Parameter &lt;x, y&gt;'!N446-C446)/C446</f>
        <v>23.727430970812158</v>
      </c>
      <c r="M446" s="5">
        <f>100*('Parameter &lt;x, y&gt;'!S446-C446)/C446</f>
        <v>40.459931893689998</v>
      </c>
    </row>
    <row r="447" spans="1:13" ht="12.75" customHeight="1">
      <c r="A447" s="38"/>
      <c r="B447" s="5">
        <f>MIN('Parameter &lt;x, y&gt;'!B447,'Parameter &lt;x, y&gt;'!G447,'Parameter &lt;x, y&gt;'!L447,'Parameter &lt;x, y&gt;'!Q447)</f>
        <v>73408.3</v>
      </c>
      <c r="C447" s="5">
        <f>MIN('Parameter &lt;x, y&gt;'!D447,'Parameter &lt;x, y&gt;'!I447,'Parameter &lt;x, y&gt;'!N447,'Parameter &lt;x, y&gt;'!S447)</f>
        <v>54565.4</v>
      </c>
      <c r="E447" s="5">
        <f>100*('Parameter &lt;x, y&gt;'!B447-B447)/B447</f>
        <v>28.37444812098904</v>
      </c>
      <c r="F447" s="5">
        <f>100*('Parameter &lt;x, y&gt;'!G447-B447)/B447</f>
        <v>44.824222873980183</v>
      </c>
      <c r="G447" s="5">
        <f>100*('Parameter &lt;x, y&gt;'!L447-B447)/B447</f>
        <v>30.398197479031669</v>
      </c>
      <c r="H447" s="5">
        <f>100*('Parameter &lt;x, y&gt;'!Q447-B447)/B447</f>
        <v>0</v>
      </c>
      <c r="J447" s="5">
        <f>100*('Parameter &lt;x, y&gt;'!D447-C447)/C447</f>
        <v>0</v>
      </c>
      <c r="K447" s="5">
        <f>100*('Parameter &lt;x, y&gt;'!I447-C447)/C447</f>
        <v>61.972788616962404</v>
      </c>
      <c r="L447" s="5">
        <f>100*('Parameter &lt;x, y&gt;'!N447-C447)/C447</f>
        <v>1.9266788111147277</v>
      </c>
      <c r="M447" s="5">
        <f>100*('Parameter &lt;x, y&gt;'!S447-C447)/C447</f>
        <v>22.515733413481794</v>
      </c>
    </row>
    <row r="448" spans="1:13" ht="12.75" customHeight="1">
      <c r="A448" s="38"/>
      <c r="B448" s="5">
        <f>MIN('Parameter &lt;x, y&gt;'!B448,'Parameter &lt;x, y&gt;'!G448,'Parameter &lt;x, y&gt;'!L448,'Parameter &lt;x, y&gt;'!Q448)</f>
        <v>65549.3</v>
      </c>
      <c r="C448" s="5">
        <f>MIN('Parameter &lt;x, y&gt;'!D448,'Parameter &lt;x, y&gt;'!I448,'Parameter &lt;x, y&gt;'!N448,'Parameter &lt;x, y&gt;'!S448)</f>
        <v>48329.599999999999</v>
      </c>
      <c r="E448" s="5">
        <f>100*('Parameter &lt;x, y&gt;'!B448-B448)/B448</f>
        <v>2.5469379535708239</v>
      </c>
      <c r="F448" s="5">
        <f>100*('Parameter &lt;x, y&gt;'!G448-B448)/B448</f>
        <v>3.6685365061106632</v>
      </c>
      <c r="G448" s="5">
        <f>100*('Parameter &lt;x, y&gt;'!L448-B448)/B448</f>
        <v>0</v>
      </c>
      <c r="H448" s="5">
        <f>100*('Parameter &lt;x, y&gt;'!Q448-B448)/B448</f>
        <v>5.6525393863855093</v>
      </c>
      <c r="J448" s="5">
        <f>100*('Parameter &lt;x, y&gt;'!D448-C448)/C448</f>
        <v>23.886396742369076</v>
      </c>
      <c r="K448" s="5">
        <f>100*('Parameter &lt;x, y&gt;'!I448-C448)/C448</f>
        <v>30.294064093226513</v>
      </c>
      <c r="L448" s="5">
        <f>100*('Parameter &lt;x, y&gt;'!N448-C448)/C448</f>
        <v>0</v>
      </c>
      <c r="M448" s="5">
        <f>100*('Parameter &lt;x, y&gt;'!S448-C448)/C448</f>
        <v>18.104846719194864</v>
      </c>
    </row>
    <row r="449" spans="1:13" ht="12.75" customHeight="1">
      <c r="A449" s="38"/>
      <c r="B449" s="5">
        <f>MIN('Parameter &lt;x, y&gt;'!B449,'Parameter &lt;x, y&gt;'!G449,'Parameter &lt;x, y&gt;'!L449,'Parameter &lt;x, y&gt;'!Q449)</f>
        <v>67339</v>
      </c>
      <c r="C449" s="5">
        <f>MIN('Parameter &lt;x, y&gt;'!D449,'Parameter &lt;x, y&gt;'!I449,'Parameter &lt;x, y&gt;'!N449,'Parameter &lt;x, y&gt;'!S449)</f>
        <v>53139.1</v>
      </c>
      <c r="E449" s="5">
        <f>100*('Parameter &lt;x, y&gt;'!B449-B449)/B449</f>
        <v>0</v>
      </c>
      <c r="F449" s="5">
        <f>100*('Parameter &lt;x, y&gt;'!G449-B449)/B449</f>
        <v>8.1991119559244972</v>
      </c>
      <c r="G449" s="5">
        <f>100*('Parameter &lt;x, y&gt;'!L449-B449)/B449</f>
        <v>13.549948766687944</v>
      </c>
      <c r="H449" s="5">
        <f>100*('Parameter &lt;x, y&gt;'!Q449-B449)/B449</f>
        <v>3.1445373409168536</v>
      </c>
      <c r="J449" s="5">
        <f>100*('Parameter &lt;x, y&gt;'!D449-C449)/C449</f>
        <v>0</v>
      </c>
      <c r="K449" s="5">
        <f>100*('Parameter &lt;x, y&gt;'!I449-C449)/C449</f>
        <v>49.839948361940664</v>
      </c>
      <c r="L449" s="5">
        <f>100*('Parameter &lt;x, y&gt;'!N449-C449)/C449</f>
        <v>20.144488709820074</v>
      </c>
      <c r="M449" s="5">
        <f>100*('Parameter &lt;x, y&gt;'!S449-C449)/C449</f>
        <v>15.596613416486168</v>
      </c>
    </row>
    <row r="450" spans="1:13" ht="12.75" customHeight="1">
      <c r="A450" s="38"/>
      <c r="B450" s="5">
        <f>MIN('Parameter &lt;x, y&gt;'!B450,'Parameter &lt;x, y&gt;'!G450,'Parameter &lt;x, y&gt;'!L450,'Parameter &lt;x, y&gt;'!Q450)</f>
        <v>64170</v>
      </c>
      <c r="C450" s="5">
        <f>MIN('Parameter &lt;x, y&gt;'!D450,'Parameter &lt;x, y&gt;'!I450,'Parameter &lt;x, y&gt;'!N450,'Parameter &lt;x, y&gt;'!S450)</f>
        <v>46871.4</v>
      </c>
      <c r="E450" s="5">
        <f>100*('Parameter &lt;x, y&gt;'!B450-B450)/B450</f>
        <v>7.3772791023842919</v>
      </c>
      <c r="F450" s="5">
        <f>100*('Parameter &lt;x, y&gt;'!G450-B450)/B450</f>
        <v>0</v>
      </c>
      <c r="G450" s="5">
        <f>100*('Parameter &lt;x, y&gt;'!L450-B450)/B450</f>
        <v>5.2041452392083531</v>
      </c>
      <c r="H450" s="5">
        <f>100*('Parameter &lt;x, y&gt;'!Q450-B450)/B450</f>
        <v>8.3688639551192185</v>
      </c>
      <c r="J450" s="5">
        <f>100*('Parameter &lt;x, y&gt;'!D450-C450)/C450</f>
        <v>0</v>
      </c>
      <c r="K450" s="5">
        <f>100*('Parameter &lt;x, y&gt;'!I450-C450)/C450</f>
        <v>25.076272524396536</v>
      </c>
      <c r="L450" s="5">
        <f>100*('Parameter &lt;x, y&gt;'!N450-C450)/C450</f>
        <v>14.51908839932239</v>
      </c>
      <c r="M450" s="5">
        <f>100*('Parameter &lt;x, y&gt;'!S450-C450)/C450</f>
        <v>18.619669990655272</v>
      </c>
    </row>
    <row r="451" spans="1:13" ht="12.75" customHeight="1">
      <c r="A451" s="38"/>
      <c r="B451" s="5">
        <f>MIN('Parameter &lt;x, y&gt;'!B451,'Parameter &lt;x, y&gt;'!G451,'Parameter &lt;x, y&gt;'!L451,'Parameter &lt;x, y&gt;'!Q451)</f>
        <v>78483.100000000006</v>
      </c>
      <c r="C451" s="5">
        <f>MIN('Parameter &lt;x, y&gt;'!D451,'Parameter &lt;x, y&gt;'!I451,'Parameter &lt;x, y&gt;'!N451,'Parameter &lt;x, y&gt;'!S451)</f>
        <v>68656.399999999994</v>
      </c>
      <c r="E451" s="5">
        <f>100*('Parameter &lt;x, y&gt;'!B451-B451)/B451</f>
        <v>0</v>
      </c>
      <c r="F451" s="5">
        <f>100*('Parameter &lt;x, y&gt;'!G451-B451)/B451</f>
        <v>39.465693888238349</v>
      </c>
      <c r="G451" s="5">
        <f>100*('Parameter &lt;x, y&gt;'!L451-B451)/B451</f>
        <v>8.6441539643566543</v>
      </c>
      <c r="H451" s="5">
        <f>100*('Parameter &lt;x, y&gt;'!Q451-B451)/B451</f>
        <v>7.0779569104686226</v>
      </c>
      <c r="J451" s="5">
        <f>100*('Parameter &lt;x, y&gt;'!D451-C451)/C451</f>
        <v>18.91214802989963</v>
      </c>
      <c r="K451" s="5">
        <f>100*('Parameter &lt;x, y&gt;'!I451-C451)/C451</f>
        <v>0</v>
      </c>
      <c r="L451" s="5">
        <f>100*('Parameter &lt;x, y&gt;'!N451-C451)/C451</f>
        <v>48.456662452444355</v>
      </c>
      <c r="M451" s="5">
        <f>100*('Parameter &lt;x, y&gt;'!S451-C451)/C451</f>
        <v>33.712224934601885</v>
      </c>
    </row>
    <row r="452" spans="1:13" ht="12.75" customHeight="1">
      <c r="A452" s="38"/>
      <c r="B452" s="5">
        <f>MIN('Parameter &lt;x, y&gt;'!B452,'Parameter &lt;x, y&gt;'!G452,'Parameter &lt;x, y&gt;'!L452,'Parameter &lt;x, y&gt;'!Q452)</f>
        <v>68450</v>
      </c>
      <c r="C452" s="5">
        <f>MIN('Parameter &lt;x, y&gt;'!D452,'Parameter &lt;x, y&gt;'!I452,'Parameter &lt;x, y&gt;'!N452,'Parameter &lt;x, y&gt;'!S452)</f>
        <v>58523.3</v>
      </c>
      <c r="E452" s="5">
        <f>100*('Parameter &lt;x, y&gt;'!B452-B452)/B452</f>
        <v>15.179839298758226</v>
      </c>
      <c r="F452" s="5">
        <f>100*('Parameter &lt;x, y&gt;'!G452-B452)/B452</f>
        <v>23.119211102994893</v>
      </c>
      <c r="G452" s="5">
        <f>100*('Parameter &lt;x, y&gt;'!L452-B452)/B452</f>
        <v>0</v>
      </c>
      <c r="H452" s="5">
        <f>100*('Parameter &lt;x, y&gt;'!Q452-B452)/B452</f>
        <v>60.739225712198689</v>
      </c>
      <c r="J452" s="5">
        <f>100*('Parameter &lt;x, y&gt;'!D452-C452)/C452</f>
        <v>33.150386256414109</v>
      </c>
      <c r="K452" s="5">
        <f>100*('Parameter &lt;x, y&gt;'!I452-C452)/C452</f>
        <v>49.707894120803154</v>
      </c>
      <c r="L452" s="5">
        <f>100*('Parameter &lt;x, y&gt;'!N452-C452)/C452</f>
        <v>15.489557150741669</v>
      </c>
      <c r="M452" s="5">
        <f>100*('Parameter &lt;x, y&gt;'!S452-C452)/C452</f>
        <v>0</v>
      </c>
    </row>
    <row r="453" spans="1:13" ht="12.75" customHeight="1">
      <c r="A453" s="38"/>
      <c r="B453" s="5">
        <f>MIN('Parameter &lt;x, y&gt;'!B453,'Parameter &lt;x, y&gt;'!G453,'Parameter &lt;x, y&gt;'!L453,'Parameter &lt;x, y&gt;'!Q453)</f>
        <v>84992.8</v>
      </c>
      <c r="C453" s="5">
        <f>MIN('Parameter &lt;x, y&gt;'!D453,'Parameter &lt;x, y&gt;'!I453,'Parameter &lt;x, y&gt;'!N453,'Parameter &lt;x, y&gt;'!S453)</f>
        <v>75834</v>
      </c>
      <c r="E453" s="5">
        <f>100*('Parameter &lt;x, y&gt;'!B453-B453)/B453</f>
        <v>0</v>
      </c>
      <c r="F453" s="5">
        <f>100*('Parameter &lt;x, y&gt;'!G453-B453)/B453</f>
        <v>40.480134787887906</v>
      </c>
      <c r="G453" s="5">
        <f>100*('Parameter &lt;x, y&gt;'!L453-B453)/B453</f>
        <v>9.1271260624429296</v>
      </c>
      <c r="H453" s="5">
        <f>100*('Parameter &lt;x, y&gt;'!Q453-B453)/B453</f>
        <v>19.143033292231809</v>
      </c>
      <c r="J453" s="5">
        <f>100*('Parameter &lt;x, y&gt;'!D453-C453)/C453</f>
        <v>15.660389798770993</v>
      </c>
      <c r="K453" s="5">
        <f>100*('Parameter &lt;x, y&gt;'!I453-C453)/C453</f>
        <v>0</v>
      </c>
      <c r="L453" s="5">
        <f>100*('Parameter &lt;x, y&gt;'!N453-C453)/C453</f>
        <v>1.3219664002953819</v>
      </c>
      <c r="M453" s="5">
        <f>100*('Parameter &lt;x, y&gt;'!S453-C453)/C453</f>
        <v>46.575414721628817</v>
      </c>
    </row>
    <row r="454" spans="1:13" ht="12.75" customHeight="1">
      <c r="A454" s="38"/>
      <c r="B454" s="5">
        <f>MIN('Parameter &lt;x, y&gt;'!B454,'Parameter &lt;x, y&gt;'!G454,'Parameter &lt;x, y&gt;'!L454,'Parameter &lt;x, y&gt;'!Q454)</f>
        <v>70140.800000000003</v>
      </c>
      <c r="C454" s="5">
        <f>MIN('Parameter &lt;x, y&gt;'!D454,'Parameter &lt;x, y&gt;'!I454,'Parameter &lt;x, y&gt;'!N454,'Parameter &lt;x, y&gt;'!S454)</f>
        <v>51429.4</v>
      </c>
      <c r="E454" s="5">
        <f>100*('Parameter &lt;x, y&gt;'!B454-B454)/B454</f>
        <v>10.788157534559049</v>
      </c>
      <c r="F454" s="5">
        <f>100*('Parameter &lt;x, y&gt;'!G454-B454)/B454</f>
        <v>2.2451982298462561</v>
      </c>
      <c r="G454" s="5">
        <f>100*('Parameter &lt;x, y&gt;'!L454-B454)/B454</f>
        <v>30.189276426844287</v>
      </c>
      <c r="H454" s="5">
        <f>100*('Parameter &lt;x, y&gt;'!Q454-B454)/B454</f>
        <v>0</v>
      </c>
      <c r="J454" s="5">
        <f>100*('Parameter &lt;x, y&gt;'!D454-C454)/C454</f>
        <v>66.485512177859349</v>
      </c>
      <c r="K454" s="5">
        <f>100*('Parameter &lt;x, y&gt;'!I454-C454)/C454</f>
        <v>66.26132134537832</v>
      </c>
      <c r="L454" s="5">
        <f>100*('Parameter &lt;x, y&gt;'!N454-C454)/C454</f>
        <v>0</v>
      </c>
      <c r="M454" s="5">
        <f>100*('Parameter &lt;x, y&gt;'!S454-C454)/C454</f>
        <v>37.575394618642243</v>
      </c>
    </row>
    <row r="455" spans="1:13" ht="12.75" customHeight="1">
      <c r="A455" s="38"/>
      <c r="B455" s="5">
        <f>MIN('Parameter &lt;x, y&gt;'!B455,'Parameter &lt;x, y&gt;'!G455,'Parameter &lt;x, y&gt;'!L455,'Parameter &lt;x, y&gt;'!Q455)</f>
        <v>70524.100000000006</v>
      </c>
      <c r="C455" s="5">
        <f>MIN('Parameter &lt;x, y&gt;'!D455,'Parameter &lt;x, y&gt;'!I455,'Parameter &lt;x, y&gt;'!N455,'Parameter &lt;x, y&gt;'!S455)</f>
        <v>64901.5</v>
      </c>
      <c r="E455" s="5">
        <f>100*('Parameter &lt;x, y&gt;'!B455-B455)/B455</f>
        <v>0</v>
      </c>
      <c r="F455" s="5">
        <f>100*('Parameter &lt;x, y&gt;'!G455-B455)/B455</f>
        <v>47.909721641254542</v>
      </c>
      <c r="G455" s="5">
        <f>100*('Parameter &lt;x, y&gt;'!L455-B455)/B455</f>
        <v>12.425823229222347</v>
      </c>
      <c r="H455" s="5">
        <f>100*('Parameter &lt;x, y&gt;'!Q455-B455)/B455</f>
        <v>5.1804985813360247</v>
      </c>
      <c r="J455" s="5">
        <f>100*('Parameter &lt;x, y&gt;'!D455-C455)/C455</f>
        <v>5.3946364876004358</v>
      </c>
      <c r="K455" s="5">
        <f>100*('Parameter &lt;x, y&gt;'!I455-C455)/C455</f>
        <v>14.94834479942682</v>
      </c>
      <c r="L455" s="5">
        <f>100*('Parameter &lt;x, y&gt;'!N455-C455)/C455</f>
        <v>29.768033096307473</v>
      </c>
      <c r="M455" s="5">
        <f>100*('Parameter &lt;x, y&gt;'!S455-C455)/C455</f>
        <v>0</v>
      </c>
    </row>
    <row r="456" spans="1:13" ht="12.75" customHeight="1">
      <c r="A456" s="38"/>
      <c r="B456" s="5">
        <f>MIN('Parameter &lt;x, y&gt;'!B456,'Parameter &lt;x, y&gt;'!G456,'Parameter &lt;x, y&gt;'!L456,'Parameter &lt;x, y&gt;'!Q456)</f>
        <v>70738.5</v>
      </c>
      <c r="C456" s="5">
        <f>MIN('Parameter &lt;x, y&gt;'!D456,'Parameter &lt;x, y&gt;'!I456,'Parameter &lt;x, y&gt;'!N456,'Parameter &lt;x, y&gt;'!S456)</f>
        <v>59687.3</v>
      </c>
      <c r="E456" s="5">
        <f>100*('Parameter &lt;x, y&gt;'!B456-B456)/B456</f>
        <v>0</v>
      </c>
      <c r="F456" s="5">
        <f>100*('Parameter &lt;x, y&gt;'!G456-B456)/B456</f>
        <v>5.8454731157714681</v>
      </c>
      <c r="G456" s="5">
        <f>100*('Parameter &lt;x, y&gt;'!L456-B456)/B456</f>
        <v>4.1428642111438689</v>
      </c>
      <c r="H456" s="5">
        <f>100*('Parameter &lt;x, y&gt;'!Q456-B456)/B456</f>
        <v>98.830905376845706</v>
      </c>
      <c r="J456" s="5">
        <f>100*('Parameter &lt;x, y&gt;'!D456-C456)/C456</f>
        <v>11.551201009259911</v>
      </c>
      <c r="K456" s="5">
        <f>100*('Parameter &lt;x, y&gt;'!I456-C456)/C456</f>
        <v>0</v>
      </c>
      <c r="L456" s="5">
        <f>100*('Parameter &lt;x, y&gt;'!N456-C456)/C456</f>
        <v>20.408026498099261</v>
      </c>
      <c r="M456" s="5">
        <f>100*('Parameter &lt;x, y&gt;'!S456-C456)/C456</f>
        <v>4.8031993405632258</v>
      </c>
    </row>
    <row r="457" spans="1:13" ht="12.75" customHeight="1">
      <c r="A457" s="38"/>
      <c r="B457" s="5">
        <f>MIN('Parameter &lt;x, y&gt;'!B457,'Parameter &lt;x, y&gt;'!G457,'Parameter &lt;x, y&gt;'!L457,'Parameter &lt;x, y&gt;'!Q457)</f>
        <v>74671.5</v>
      </c>
      <c r="C457" s="5">
        <f>MIN('Parameter &lt;x, y&gt;'!D457,'Parameter &lt;x, y&gt;'!I457,'Parameter &lt;x, y&gt;'!N457,'Parameter &lt;x, y&gt;'!S457)</f>
        <v>65254.400000000001</v>
      </c>
      <c r="E457" s="5">
        <f>100*('Parameter &lt;x, y&gt;'!B457-B457)/B457</f>
        <v>0</v>
      </c>
      <c r="F457" s="5">
        <f>100*('Parameter &lt;x, y&gt;'!G457-B457)/B457</f>
        <v>52.390135459981387</v>
      </c>
      <c r="G457" s="5">
        <f>100*('Parameter &lt;x, y&gt;'!L457-B457)/B457</f>
        <v>28.609040932618207</v>
      </c>
      <c r="H457" s="5">
        <f>100*('Parameter &lt;x, y&gt;'!Q457-B457)/B457</f>
        <v>11.465150693370292</v>
      </c>
      <c r="J457" s="5">
        <f>100*('Parameter &lt;x, y&gt;'!D457-C457)/C457</f>
        <v>7.149402952138086</v>
      </c>
      <c r="K457" s="5">
        <f>100*('Parameter &lt;x, y&gt;'!I457-C457)/C457</f>
        <v>54.09229109454688</v>
      </c>
      <c r="L457" s="5">
        <f>100*('Parameter &lt;x, y&gt;'!N457-C457)/C457</f>
        <v>0</v>
      </c>
      <c r="M457" s="5">
        <f>100*('Parameter &lt;x, y&gt;'!S457-C457)/C457</f>
        <v>52.994127599058437</v>
      </c>
    </row>
    <row r="458" spans="1:13" ht="12.75" customHeight="1">
      <c r="A458" s="38"/>
      <c r="B458" s="5">
        <f>MIN('Parameter &lt;x, y&gt;'!B458,'Parameter &lt;x, y&gt;'!G458,'Parameter &lt;x, y&gt;'!L458,'Parameter &lt;x, y&gt;'!Q458)</f>
        <v>69989.7</v>
      </c>
      <c r="C458" s="5">
        <f>MIN('Parameter &lt;x, y&gt;'!D458,'Parameter &lt;x, y&gt;'!I458,'Parameter &lt;x, y&gt;'!N458,'Parameter &lt;x, y&gt;'!S458)</f>
        <v>58782.6</v>
      </c>
      <c r="E458" s="5">
        <f>100*('Parameter &lt;x, y&gt;'!B458-B458)/B458</f>
        <v>16.125229855250129</v>
      </c>
      <c r="F458" s="5">
        <f>100*('Parameter &lt;x, y&gt;'!G458-B458)/B458</f>
        <v>6.3572211339668678</v>
      </c>
      <c r="G458" s="5">
        <f>100*('Parameter &lt;x, y&gt;'!L458-B458)/B458</f>
        <v>33.327332450346262</v>
      </c>
      <c r="H458" s="5">
        <f>100*('Parameter &lt;x, y&gt;'!Q458-B458)/B458</f>
        <v>0</v>
      </c>
      <c r="J458" s="5">
        <f>100*('Parameter &lt;x, y&gt;'!D458-C458)/C458</f>
        <v>3.9501485133355789</v>
      </c>
      <c r="K458" s="5">
        <f>100*('Parameter &lt;x, y&gt;'!I458-C458)/C458</f>
        <v>44.662876429419605</v>
      </c>
      <c r="L458" s="5">
        <f>100*('Parameter &lt;x, y&gt;'!N458-C458)/C458</f>
        <v>0</v>
      </c>
      <c r="M458" s="5">
        <f>100*('Parameter &lt;x, y&gt;'!S458-C458)/C458</f>
        <v>28.127030788022299</v>
      </c>
    </row>
    <row r="459" spans="1:13" ht="12.75" customHeight="1">
      <c r="A459" s="38"/>
      <c r="B459" s="5">
        <f>MIN('Parameter &lt;x, y&gt;'!B459,'Parameter &lt;x, y&gt;'!G459,'Parameter &lt;x, y&gt;'!L459,'Parameter &lt;x, y&gt;'!Q459)</f>
        <v>70392.899999999994</v>
      </c>
      <c r="C459" s="5">
        <f>MIN('Parameter &lt;x, y&gt;'!D459,'Parameter &lt;x, y&gt;'!I459,'Parameter &lt;x, y&gt;'!N459,'Parameter &lt;x, y&gt;'!S459)</f>
        <v>55396.1</v>
      </c>
      <c r="E459" s="5">
        <f>100*('Parameter &lt;x, y&gt;'!B459-B459)/B459</f>
        <v>35.942687401712398</v>
      </c>
      <c r="F459" s="5">
        <f>100*('Parameter &lt;x, y&gt;'!G459-B459)/B459</f>
        <v>19.823874282775687</v>
      </c>
      <c r="G459" s="5">
        <f>100*('Parameter &lt;x, y&gt;'!L459-B459)/B459</f>
        <v>7.897245318775056</v>
      </c>
      <c r="H459" s="5">
        <f>100*('Parameter &lt;x, y&gt;'!Q459-B459)/B459</f>
        <v>0</v>
      </c>
      <c r="J459" s="5">
        <f>100*('Parameter &lt;x, y&gt;'!D459-C459)/C459</f>
        <v>0.25146174550194494</v>
      </c>
      <c r="K459" s="5">
        <f>100*('Parameter &lt;x, y&gt;'!I459-C459)/C459</f>
        <v>45.195419894180297</v>
      </c>
      <c r="L459" s="5">
        <f>100*('Parameter &lt;x, y&gt;'!N459-C459)/C459</f>
        <v>0</v>
      </c>
      <c r="M459" s="5">
        <f>100*('Parameter &lt;x, y&gt;'!S459-C459)/C459</f>
        <v>37.170125694769119</v>
      </c>
    </row>
    <row r="460" spans="1:13" ht="12.75" customHeight="1">
      <c r="A460" s="38"/>
      <c r="B460" s="5">
        <f>MIN('Parameter &lt;x, y&gt;'!B460,'Parameter &lt;x, y&gt;'!G460,'Parameter &lt;x, y&gt;'!L460,'Parameter &lt;x, y&gt;'!Q460)</f>
        <v>73340.800000000003</v>
      </c>
      <c r="C460" s="5">
        <f>MIN('Parameter &lt;x, y&gt;'!D460,'Parameter &lt;x, y&gt;'!I460,'Parameter &lt;x, y&gt;'!N460,'Parameter &lt;x, y&gt;'!S460)</f>
        <v>66162.8</v>
      </c>
      <c r="E460" s="5">
        <f>100*('Parameter &lt;x, y&gt;'!B460-B460)/B460</f>
        <v>31.320629172302461</v>
      </c>
      <c r="F460" s="5">
        <f>100*('Parameter &lt;x, y&gt;'!G460-B460)/B460</f>
        <v>0</v>
      </c>
      <c r="G460" s="5">
        <f>100*('Parameter &lt;x, y&gt;'!L460-B460)/B460</f>
        <v>16.882826475849733</v>
      </c>
      <c r="H460" s="5">
        <f>100*('Parameter &lt;x, y&gt;'!Q460-B460)/B460</f>
        <v>18.782587591081636</v>
      </c>
      <c r="J460" s="5">
        <f>100*('Parameter &lt;x, y&gt;'!D460-C460)/C460</f>
        <v>0</v>
      </c>
      <c r="K460" s="5">
        <f>100*('Parameter &lt;x, y&gt;'!I460-C460)/C460</f>
        <v>30.243127558083994</v>
      </c>
      <c r="L460" s="5">
        <f>100*('Parameter &lt;x, y&gt;'!N460-C460)/C460</f>
        <v>18.027199574383189</v>
      </c>
      <c r="M460" s="5">
        <f>100*('Parameter &lt;x, y&gt;'!S460-C460)/C460</f>
        <v>33.123598154854385</v>
      </c>
    </row>
    <row r="461" spans="1:13" ht="12.75" customHeight="1">
      <c r="A461" s="38"/>
      <c r="B461" s="5">
        <f>MIN('Parameter &lt;x, y&gt;'!B461,'Parameter &lt;x, y&gt;'!G461,'Parameter &lt;x, y&gt;'!L461,'Parameter &lt;x, y&gt;'!Q461)</f>
        <v>54205.9</v>
      </c>
      <c r="C461" s="5">
        <f>MIN('Parameter &lt;x, y&gt;'!D461,'Parameter &lt;x, y&gt;'!I461,'Parameter &lt;x, y&gt;'!N461,'Parameter &lt;x, y&gt;'!S461)</f>
        <v>47276.800000000003</v>
      </c>
      <c r="E461" s="5">
        <f>100*('Parameter &lt;x, y&gt;'!B461-B461)/B461</f>
        <v>0</v>
      </c>
      <c r="F461" s="5">
        <f>100*('Parameter &lt;x, y&gt;'!G461-B461)/B461</f>
        <v>65.226479036414858</v>
      </c>
      <c r="G461" s="5">
        <f>100*('Parameter &lt;x, y&gt;'!L461-B461)/B461</f>
        <v>22.393687771995307</v>
      </c>
      <c r="H461" s="5">
        <f>100*('Parameter &lt;x, y&gt;'!Q461-B461)/B461</f>
        <v>2.4759297419653552</v>
      </c>
      <c r="J461" s="5">
        <f>100*('Parameter &lt;x, y&gt;'!D461-C461)/C461</f>
        <v>0</v>
      </c>
      <c r="K461" s="5">
        <f>100*('Parameter &lt;x, y&gt;'!I461-C461)/C461</f>
        <v>3.4729507919317597</v>
      </c>
      <c r="L461" s="5">
        <f>100*('Parameter &lt;x, y&gt;'!N461-C461)/C461</f>
        <v>0.37354474076079291</v>
      </c>
      <c r="M461" s="5">
        <f>100*('Parameter &lt;x, y&gt;'!S461-C461)/C461</f>
        <v>7.008088533910918</v>
      </c>
    </row>
    <row r="462" spans="1:13" ht="12.75" customHeight="1">
      <c r="A462" s="38"/>
      <c r="B462" s="5">
        <f>MIN('Parameter &lt;x, y&gt;'!B462,'Parameter &lt;x, y&gt;'!G462,'Parameter &lt;x, y&gt;'!L462,'Parameter &lt;x, y&gt;'!Q462)</f>
        <v>96722.1</v>
      </c>
      <c r="C462" s="5">
        <f>MIN('Parameter &lt;x, y&gt;'!D462,'Parameter &lt;x, y&gt;'!I462,'Parameter &lt;x, y&gt;'!N462,'Parameter &lt;x, y&gt;'!S462)</f>
        <v>61502.6</v>
      </c>
      <c r="E462" s="5">
        <f>100*('Parameter &lt;x, y&gt;'!B462-B462)/B462</f>
        <v>3.965898176321641</v>
      </c>
      <c r="F462" s="5">
        <f>100*('Parameter &lt;x, y&gt;'!G462-B462)/B462</f>
        <v>0</v>
      </c>
      <c r="G462" s="5">
        <f>100*('Parameter &lt;x, y&gt;'!L462-B462)/B462</f>
        <v>20.042885752066997</v>
      </c>
      <c r="H462" s="5">
        <f>100*('Parameter &lt;x, y&gt;'!Q462-B462)/B462</f>
        <v>14.714217329855321</v>
      </c>
      <c r="J462" s="5">
        <f>100*('Parameter &lt;x, y&gt;'!D462-C462)/C462</f>
        <v>15.243420603356604</v>
      </c>
      <c r="K462" s="5">
        <f>100*('Parameter &lt;x, y&gt;'!I462-C462)/C462</f>
        <v>10.639387603125734</v>
      </c>
      <c r="L462" s="5">
        <f>100*('Parameter &lt;x, y&gt;'!N462-C462)/C462</f>
        <v>0</v>
      </c>
      <c r="M462" s="5">
        <f>100*('Parameter &lt;x, y&gt;'!S462-C462)/C462</f>
        <v>88.834293184353186</v>
      </c>
    </row>
    <row r="463" spans="1:13" ht="12.75" customHeight="1">
      <c r="A463" s="38"/>
      <c r="B463" s="5">
        <f>MIN('Parameter &lt;x, y&gt;'!B463,'Parameter &lt;x, y&gt;'!G463,'Parameter &lt;x, y&gt;'!L463,'Parameter &lt;x, y&gt;'!Q463)</f>
        <v>83294.100000000006</v>
      </c>
      <c r="C463" s="5">
        <f>MIN('Parameter &lt;x, y&gt;'!D463,'Parameter &lt;x, y&gt;'!I463,'Parameter &lt;x, y&gt;'!N463,'Parameter &lt;x, y&gt;'!S463)</f>
        <v>60676.6</v>
      </c>
      <c r="E463" s="5">
        <f>100*('Parameter &lt;x, y&gt;'!B463-B463)/B463</f>
        <v>34.661398586454496</v>
      </c>
      <c r="F463" s="5">
        <f>100*('Parameter &lt;x, y&gt;'!G463-B463)/B463</f>
        <v>28.36803567119399</v>
      </c>
      <c r="G463" s="5">
        <f>100*('Parameter &lt;x, y&gt;'!L463-B463)/B463</f>
        <v>6.585340378250077</v>
      </c>
      <c r="H463" s="5">
        <f>100*('Parameter &lt;x, y&gt;'!Q463-B463)/B463</f>
        <v>0</v>
      </c>
      <c r="J463" s="5">
        <f>100*('Parameter &lt;x, y&gt;'!D463-C463)/C463</f>
        <v>0</v>
      </c>
      <c r="K463" s="5">
        <f>100*('Parameter &lt;x, y&gt;'!I463-C463)/C463</f>
        <v>45.30626304044722</v>
      </c>
      <c r="L463" s="5">
        <f>100*('Parameter &lt;x, y&gt;'!N463-C463)/C463</f>
        <v>27.384032724312181</v>
      </c>
      <c r="M463" s="5">
        <f>100*('Parameter &lt;x, y&gt;'!S463-C463)/C463</f>
        <v>65.28282731728541</v>
      </c>
    </row>
    <row r="464" spans="1:13" ht="12.75" customHeight="1">
      <c r="A464" s="38"/>
      <c r="B464" s="5">
        <f>MIN('Parameter &lt;x, y&gt;'!B464,'Parameter &lt;x, y&gt;'!G464,'Parameter &lt;x, y&gt;'!L464,'Parameter &lt;x, y&gt;'!Q464)</f>
        <v>66941.5</v>
      </c>
      <c r="C464" s="5">
        <f>MIN('Parameter &lt;x, y&gt;'!D464,'Parameter &lt;x, y&gt;'!I464,'Parameter &lt;x, y&gt;'!N464,'Parameter &lt;x, y&gt;'!S464)</f>
        <v>53552</v>
      </c>
      <c r="E464" s="5">
        <f>100*('Parameter &lt;x, y&gt;'!B464-B464)/B464</f>
        <v>0.77844087748258672</v>
      </c>
      <c r="F464" s="5">
        <f>100*('Parameter &lt;x, y&gt;'!G464-B464)/B464</f>
        <v>44.521858637765817</v>
      </c>
      <c r="G464" s="5">
        <f>100*('Parameter &lt;x, y&gt;'!L464-B464)/B464</f>
        <v>0</v>
      </c>
      <c r="H464" s="5">
        <f>100*('Parameter &lt;x, y&gt;'!Q464-B464)/B464</f>
        <v>12.996721017604921</v>
      </c>
      <c r="J464" s="5">
        <f>100*('Parameter &lt;x, y&gt;'!D464-C464)/C464</f>
        <v>42.90689423364207</v>
      </c>
      <c r="K464" s="5">
        <f>100*('Parameter &lt;x, y&gt;'!I464-C464)/C464</f>
        <v>0</v>
      </c>
      <c r="L464" s="5">
        <f>100*('Parameter &lt;x, y&gt;'!N464-C464)/C464</f>
        <v>34.992717358828806</v>
      </c>
      <c r="M464" s="5">
        <f>100*('Parameter &lt;x, y&gt;'!S464-C464)/C464</f>
        <v>37.586084553331354</v>
      </c>
    </row>
    <row r="465" spans="1:13" ht="12.75" customHeight="1">
      <c r="A465" s="38"/>
      <c r="B465" s="5">
        <f>MIN('Parameter &lt;x, y&gt;'!B465,'Parameter &lt;x, y&gt;'!G465,'Parameter &lt;x, y&gt;'!L465,'Parameter &lt;x, y&gt;'!Q465)</f>
        <v>83624.3</v>
      </c>
      <c r="C465" s="5">
        <f>MIN('Parameter &lt;x, y&gt;'!D465,'Parameter &lt;x, y&gt;'!I465,'Parameter &lt;x, y&gt;'!N465,'Parameter &lt;x, y&gt;'!S465)</f>
        <v>74016.5</v>
      </c>
      <c r="E465" s="5">
        <f>100*('Parameter &lt;x, y&gt;'!B465-B465)/B465</f>
        <v>10.533660670403217</v>
      </c>
      <c r="F465" s="5">
        <f>100*('Parameter &lt;x, y&gt;'!G465-B465)/B465</f>
        <v>26.397470591682076</v>
      </c>
      <c r="G465" s="5">
        <f>100*('Parameter &lt;x, y&gt;'!L465-B465)/B465</f>
        <v>20.06199155030296</v>
      </c>
      <c r="H465" s="5">
        <f>100*('Parameter &lt;x, y&gt;'!Q465-B465)/B465</f>
        <v>0</v>
      </c>
      <c r="J465" s="5">
        <f>100*('Parameter &lt;x, y&gt;'!D465-C465)/C465</f>
        <v>15.687312964001267</v>
      </c>
      <c r="K465" s="5">
        <f>100*('Parameter &lt;x, y&gt;'!I465-C465)/C465</f>
        <v>42.549296440658502</v>
      </c>
      <c r="L465" s="5">
        <f>100*('Parameter &lt;x, y&gt;'!N465-C465)/C465</f>
        <v>4.8940438956178607</v>
      </c>
      <c r="M465" s="5">
        <f>100*('Parameter &lt;x, y&gt;'!S465-C465)/C465</f>
        <v>0</v>
      </c>
    </row>
    <row r="466" spans="1:13" ht="12.75" customHeight="1">
      <c r="A466" s="38"/>
      <c r="B466" s="5">
        <f>MIN('Parameter &lt;x, y&gt;'!B466,'Parameter &lt;x, y&gt;'!G466,'Parameter &lt;x, y&gt;'!L466,'Parameter &lt;x, y&gt;'!Q466)</f>
        <v>74585.899999999994</v>
      </c>
      <c r="C466" s="5">
        <f>MIN('Parameter &lt;x, y&gt;'!D466,'Parameter &lt;x, y&gt;'!I466,'Parameter &lt;x, y&gt;'!N466,'Parameter &lt;x, y&gt;'!S466)</f>
        <v>58663.9</v>
      </c>
      <c r="E466" s="5">
        <f>100*('Parameter &lt;x, y&gt;'!B466-B466)/B466</f>
        <v>11.753696073922828</v>
      </c>
      <c r="F466" s="5">
        <f>100*('Parameter &lt;x, y&gt;'!G466-B466)/B466</f>
        <v>0</v>
      </c>
      <c r="G466" s="5">
        <f>100*('Parameter &lt;x, y&gt;'!L466-B466)/B466</f>
        <v>15.104463444163043</v>
      </c>
      <c r="H466" s="5">
        <f>100*('Parameter &lt;x, y&gt;'!Q466-B466)/B466</f>
        <v>3.7511111349464219</v>
      </c>
      <c r="J466" s="5">
        <f>100*('Parameter &lt;x, y&gt;'!D466-C466)/C466</f>
        <v>9.9273999853402088</v>
      </c>
      <c r="K466" s="5">
        <f>100*('Parameter &lt;x, y&gt;'!I466-C466)/C466</f>
        <v>0</v>
      </c>
      <c r="L466" s="5">
        <f>100*('Parameter &lt;x, y&gt;'!N466-C466)/C466</f>
        <v>33.90347385700575</v>
      </c>
      <c r="M466" s="5">
        <f>100*('Parameter &lt;x, y&gt;'!S466-C466)/C466</f>
        <v>13.925940825618468</v>
      </c>
    </row>
    <row r="467" spans="1:13" ht="12.75" customHeight="1">
      <c r="A467" s="38"/>
      <c r="B467" s="5">
        <f>MIN('Parameter &lt;x, y&gt;'!B467,'Parameter &lt;x, y&gt;'!G467,'Parameter &lt;x, y&gt;'!L467,'Parameter &lt;x, y&gt;'!Q467)</f>
        <v>98032.6</v>
      </c>
      <c r="C467" s="5">
        <f>MIN('Parameter &lt;x, y&gt;'!D467,'Parameter &lt;x, y&gt;'!I467,'Parameter &lt;x, y&gt;'!N467,'Parameter &lt;x, y&gt;'!S467)</f>
        <v>86465.2</v>
      </c>
      <c r="E467" s="5">
        <f>100*('Parameter &lt;x, y&gt;'!B467-B467)/B467</f>
        <v>29.286584258705769</v>
      </c>
      <c r="F467" s="5">
        <f>100*('Parameter &lt;x, y&gt;'!G467-B467)/B467</f>
        <v>22.110400009792656</v>
      </c>
      <c r="G467" s="5">
        <f>100*('Parameter &lt;x, y&gt;'!L467-B467)/B467</f>
        <v>27.563687997666076</v>
      </c>
      <c r="H467" s="5">
        <f>100*('Parameter &lt;x, y&gt;'!Q467-B467)/B467</f>
        <v>0</v>
      </c>
      <c r="J467" s="5">
        <f>100*('Parameter &lt;x, y&gt;'!D467-C467)/C467</f>
        <v>0</v>
      </c>
      <c r="K467" s="5">
        <f>100*('Parameter &lt;x, y&gt;'!I467-C467)/C467</f>
        <v>3.024453768683824</v>
      </c>
      <c r="L467" s="5">
        <f>100*('Parameter &lt;x, y&gt;'!N467-C467)/C467</f>
        <v>9.5994689192877569</v>
      </c>
      <c r="M467" s="5">
        <f>100*('Parameter &lt;x, y&gt;'!S467-C467)/C467</f>
        <v>3.8077746885452286</v>
      </c>
    </row>
    <row r="468" spans="1:13" ht="12.75" customHeight="1">
      <c r="A468" s="38"/>
      <c r="B468" s="5">
        <f>MIN('Parameter &lt;x, y&gt;'!B468,'Parameter &lt;x, y&gt;'!G468,'Parameter &lt;x, y&gt;'!L468,'Parameter &lt;x, y&gt;'!Q468)</f>
        <v>73703.7</v>
      </c>
      <c r="C468" s="5">
        <f>MIN('Parameter &lt;x, y&gt;'!D468,'Parameter &lt;x, y&gt;'!I468,'Parameter &lt;x, y&gt;'!N468,'Parameter &lt;x, y&gt;'!S468)</f>
        <v>53937.7</v>
      </c>
      <c r="E468" s="5">
        <f>100*('Parameter &lt;x, y&gt;'!B468-B468)/B468</f>
        <v>23.395297658055156</v>
      </c>
      <c r="F468" s="5">
        <f>100*('Parameter &lt;x, y&gt;'!G468-B468)/B468</f>
        <v>34.503016809196829</v>
      </c>
      <c r="G468" s="5">
        <f>100*('Parameter &lt;x, y&gt;'!L468-B468)/B468</f>
        <v>0</v>
      </c>
      <c r="H468" s="5">
        <f>100*('Parameter &lt;x, y&gt;'!Q468-B468)/B468</f>
        <v>23.23044840354012</v>
      </c>
      <c r="J468" s="5">
        <f>100*('Parameter &lt;x, y&gt;'!D468-C468)/C468</f>
        <v>34.679454259265789</v>
      </c>
      <c r="K468" s="5">
        <f>100*('Parameter &lt;x, y&gt;'!I468-C468)/C468</f>
        <v>0</v>
      </c>
      <c r="L468" s="5">
        <f>100*('Parameter &lt;x, y&gt;'!N468-C468)/C468</f>
        <v>36.60667770409195</v>
      </c>
      <c r="M468" s="5">
        <f>100*('Parameter &lt;x, y&gt;'!S468-C468)/C468</f>
        <v>78.773288442035906</v>
      </c>
    </row>
    <row r="469" spans="1:13" ht="12.75" customHeight="1">
      <c r="A469" s="38"/>
      <c r="B469" s="5">
        <f>MIN('Parameter &lt;x, y&gt;'!B469,'Parameter &lt;x, y&gt;'!G469,'Parameter &lt;x, y&gt;'!L469,'Parameter &lt;x, y&gt;'!Q469)</f>
        <v>72285</v>
      </c>
      <c r="C469" s="5">
        <f>MIN('Parameter &lt;x, y&gt;'!D469,'Parameter &lt;x, y&gt;'!I469,'Parameter &lt;x, y&gt;'!N469,'Parameter &lt;x, y&gt;'!S469)</f>
        <v>45652.2</v>
      </c>
      <c r="E469" s="5">
        <f>100*('Parameter &lt;x, y&gt;'!B469-B469)/B469</f>
        <v>4.8593760807913204</v>
      </c>
      <c r="F469" s="5">
        <f>100*('Parameter &lt;x, y&gt;'!G469-B469)/B469</f>
        <v>0.16393442622950818</v>
      </c>
      <c r="G469" s="5">
        <f>100*('Parameter &lt;x, y&gt;'!L469-B469)/B469</f>
        <v>0</v>
      </c>
      <c r="H469" s="5">
        <f>100*('Parameter &lt;x, y&gt;'!Q469-B469)/B469</f>
        <v>6.2819395448571544</v>
      </c>
      <c r="J469" s="5">
        <f>100*('Parameter &lt;x, y&gt;'!D469-C469)/C469</f>
        <v>48.055734444342228</v>
      </c>
      <c r="K469" s="5">
        <f>100*('Parameter &lt;x, y&gt;'!I469-C469)/C469</f>
        <v>45.676440565843492</v>
      </c>
      <c r="L469" s="5">
        <f>100*('Parameter &lt;x, y&gt;'!N469-C469)/C469</f>
        <v>0</v>
      </c>
      <c r="M469" s="5">
        <f>100*('Parameter &lt;x, y&gt;'!S469-C469)/C469</f>
        <v>19.221198540267505</v>
      </c>
    </row>
    <row r="470" spans="1:13" ht="12.75" customHeight="1">
      <c r="A470" s="38"/>
      <c r="B470" s="5">
        <f>MIN('Parameter &lt;x, y&gt;'!B470,'Parameter &lt;x, y&gt;'!G470,'Parameter &lt;x, y&gt;'!L470,'Parameter &lt;x, y&gt;'!Q470)</f>
        <v>71906</v>
      </c>
      <c r="C470" s="5">
        <f>MIN('Parameter &lt;x, y&gt;'!D470,'Parameter &lt;x, y&gt;'!I470,'Parameter &lt;x, y&gt;'!N470,'Parameter &lt;x, y&gt;'!S470)</f>
        <v>51725.2</v>
      </c>
      <c r="E470" s="5">
        <f>100*('Parameter &lt;x, y&gt;'!B470-B470)/B470</f>
        <v>1.8864906961866881</v>
      </c>
      <c r="F470" s="5">
        <f>100*('Parameter &lt;x, y&gt;'!G470-B470)/B470</f>
        <v>0</v>
      </c>
      <c r="G470" s="5">
        <f>100*('Parameter &lt;x, y&gt;'!L470-B470)/B470</f>
        <v>54.373765749728811</v>
      </c>
      <c r="H470" s="5">
        <f>100*('Parameter &lt;x, y&gt;'!Q470-B470)/B470</f>
        <v>42.721052485188999</v>
      </c>
      <c r="J470" s="5">
        <f>100*('Parameter &lt;x, y&gt;'!D470-C470)/C470</f>
        <v>0</v>
      </c>
      <c r="K470" s="5">
        <f>100*('Parameter &lt;x, y&gt;'!I470-C470)/C470</f>
        <v>61.396572657041446</v>
      </c>
      <c r="L470" s="5">
        <f>100*('Parameter &lt;x, y&gt;'!N470-C470)/C470</f>
        <v>30.46619442747442</v>
      </c>
      <c r="M470" s="5">
        <f>100*('Parameter &lt;x, y&gt;'!S470-C470)/C470</f>
        <v>51.848228716370372</v>
      </c>
    </row>
    <row r="471" spans="1:13" ht="12.75" customHeight="1">
      <c r="A471" s="38"/>
      <c r="B471" s="5">
        <f>MIN('Parameter &lt;x, y&gt;'!B471,'Parameter &lt;x, y&gt;'!G471,'Parameter &lt;x, y&gt;'!L471,'Parameter &lt;x, y&gt;'!Q471)</f>
        <v>69603.8</v>
      </c>
      <c r="C471" s="5">
        <f>MIN('Parameter &lt;x, y&gt;'!D471,'Parameter &lt;x, y&gt;'!I471,'Parameter &lt;x, y&gt;'!N471,'Parameter &lt;x, y&gt;'!S471)</f>
        <v>52773.5</v>
      </c>
      <c r="E471" s="5">
        <f>100*('Parameter &lt;x, y&gt;'!B471-B471)/B471</f>
        <v>0</v>
      </c>
      <c r="F471" s="5">
        <f>100*('Parameter &lt;x, y&gt;'!G471-B471)/B471</f>
        <v>31.816510018131194</v>
      </c>
      <c r="G471" s="5">
        <f>100*('Parameter &lt;x, y&gt;'!L471-B471)/B471</f>
        <v>66.822788410977566</v>
      </c>
      <c r="H471" s="5">
        <f>100*('Parameter &lt;x, y&gt;'!Q471-B471)/B471</f>
        <v>3.3524031733899502</v>
      </c>
      <c r="J471" s="5">
        <f>100*('Parameter &lt;x, y&gt;'!D471-C471)/C471</f>
        <v>0</v>
      </c>
      <c r="K471" s="5">
        <f>100*('Parameter &lt;x, y&gt;'!I471-C471)/C471</f>
        <v>15.090149412110243</v>
      </c>
      <c r="L471" s="5">
        <f>100*('Parameter &lt;x, y&gt;'!N471-C471)/C471</f>
        <v>22.368613034951249</v>
      </c>
      <c r="M471" s="5">
        <f>100*('Parameter &lt;x, y&gt;'!S471-C471)/C471</f>
        <v>92.257477711351342</v>
      </c>
    </row>
    <row r="472" spans="1:13" ht="12.75" customHeight="1">
      <c r="A472" s="38"/>
      <c r="B472" s="5">
        <f>MIN('Parameter &lt;x, y&gt;'!B472,'Parameter &lt;x, y&gt;'!G472,'Parameter &lt;x, y&gt;'!L472,'Parameter &lt;x, y&gt;'!Q472)</f>
        <v>70782</v>
      </c>
      <c r="C472" s="5">
        <f>MIN('Parameter &lt;x, y&gt;'!D472,'Parameter &lt;x, y&gt;'!I472,'Parameter &lt;x, y&gt;'!N472,'Parameter &lt;x, y&gt;'!S472)</f>
        <v>59989</v>
      </c>
      <c r="E472" s="5">
        <f>100*('Parameter &lt;x, y&gt;'!B472-B472)/B472</f>
        <v>8.7820349806448057</v>
      </c>
      <c r="F472" s="5">
        <f>100*('Parameter &lt;x, y&gt;'!G472-B472)/B472</f>
        <v>0</v>
      </c>
      <c r="G472" s="5">
        <f>100*('Parameter &lt;x, y&gt;'!L472-B472)/B472</f>
        <v>62.123138651069482</v>
      </c>
      <c r="H472" s="5">
        <f>100*('Parameter &lt;x, y&gt;'!Q472-B472)/B472</f>
        <v>4.1155943601480685</v>
      </c>
      <c r="J472" s="5">
        <f>100*('Parameter &lt;x, y&gt;'!D472-C472)/C472</f>
        <v>18.602910533597822</v>
      </c>
      <c r="K472" s="5">
        <f>100*('Parameter &lt;x, y&gt;'!I472-C472)/C472</f>
        <v>0</v>
      </c>
      <c r="L472" s="5">
        <f>100*('Parameter &lt;x, y&gt;'!N472-C472)/C472</f>
        <v>24.681858340695786</v>
      </c>
      <c r="M472" s="5">
        <f>100*('Parameter &lt;x, y&gt;'!S472-C472)/C472</f>
        <v>4.127923452632988</v>
      </c>
    </row>
    <row r="473" spans="1:13" ht="12.75" customHeight="1">
      <c r="A473" s="38"/>
      <c r="B473" s="5">
        <f>MIN('Parameter &lt;x, y&gt;'!B473,'Parameter &lt;x, y&gt;'!G473,'Parameter &lt;x, y&gt;'!L473,'Parameter &lt;x, y&gt;'!Q473)</f>
        <v>70300</v>
      </c>
      <c r="C473" s="5">
        <f>MIN('Parameter &lt;x, y&gt;'!D473,'Parameter &lt;x, y&gt;'!I473,'Parameter &lt;x, y&gt;'!N473,'Parameter &lt;x, y&gt;'!S473)</f>
        <v>74585.7</v>
      </c>
      <c r="E473" s="5">
        <f>100*('Parameter &lt;x, y&gt;'!B473-B473)/B473</f>
        <v>40.01052631578947</v>
      </c>
      <c r="F473" s="5">
        <f>100*('Parameter &lt;x, y&gt;'!G473-B473)/B473</f>
        <v>30.564011379800853</v>
      </c>
      <c r="G473" s="5">
        <f>100*('Parameter &lt;x, y&gt;'!L473-B473)/B473</f>
        <v>0</v>
      </c>
      <c r="H473" s="5">
        <f>100*('Parameter &lt;x, y&gt;'!Q473-B473)/B473</f>
        <v>62.830725462304407</v>
      </c>
      <c r="J473" s="5">
        <f>100*('Parameter &lt;x, y&gt;'!D473-C473)/C473</f>
        <v>76.016314119194433</v>
      </c>
      <c r="K473" s="5">
        <f>100*('Parameter &lt;x, y&gt;'!I473-C473)/C473</f>
        <v>0</v>
      </c>
      <c r="L473" s="5">
        <f>100*('Parameter &lt;x, y&gt;'!N473-C473)/C473</f>
        <v>21.245091217217244</v>
      </c>
      <c r="M473" s="5">
        <f>100*('Parameter &lt;x, y&gt;'!S473-C473)/C473</f>
        <v>29.714409062326954</v>
      </c>
    </row>
    <row r="474" spans="1:13" ht="12.75" customHeight="1">
      <c r="A474" s="38"/>
      <c r="B474" s="5">
        <f>MIN('Parameter &lt;x, y&gt;'!B474,'Parameter &lt;x, y&gt;'!G474,'Parameter &lt;x, y&gt;'!L474,'Parameter &lt;x, y&gt;'!Q474)</f>
        <v>51906.8</v>
      </c>
      <c r="C474" s="5">
        <f>MIN('Parameter &lt;x, y&gt;'!D474,'Parameter &lt;x, y&gt;'!I474,'Parameter &lt;x, y&gt;'!N474,'Parameter &lt;x, y&gt;'!S474)</f>
        <v>39729</v>
      </c>
      <c r="E474" s="5">
        <f>100*('Parameter &lt;x, y&gt;'!B474-B474)/B474</f>
        <v>15.416862530535486</v>
      </c>
      <c r="F474" s="5">
        <f>100*('Parameter &lt;x, y&gt;'!G474-B474)/B474</f>
        <v>12.08280995938874</v>
      </c>
      <c r="G474" s="5">
        <f>100*('Parameter &lt;x, y&gt;'!L474-B474)/B474</f>
        <v>0</v>
      </c>
      <c r="H474" s="5">
        <f>100*('Parameter &lt;x, y&gt;'!Q474-B474)/B474</f>
        <v>12.326323333359015</v>
      </c>
      <c r="J474" s="5">
        <f>100*('Parameter &lt;x, y&gt;'!D474-C474)/C474</f>
        <v>45.21583729769187</v>
      </c>
      <c r="K474" s="5">
        <f>100*('Parameter &lt;x, y&gt;'!I474-C474)/C474</f>
        <v>0</v>
      </c>
      <c r="L474" s="5">
        <f>100*('Parameter &lt;x, y&gt;'!N474-C474)/C474</f>
        <v>2.7430843967882477</v>
      </c>
      <c r="M474" s="5">
        <f>100*('Parameter &lt;x, y&gt;'!S474-C474)/C474</f>
        <v>74.287044728032413</v>
      </c>
    </row>
    <row r="475" spans="1:13" ht="12.75" customHeight="1">
      <c r="A475" s="38"/>
      <c r="B475" s="5">
        <f>MIN('Parameter &lt;x, y&gt;'!B475,'Parameter &lt;x, y&gt;'!G475,'Parameter &lt;x, y&gt;'!L475,'Parameter &lt;x, y&gt;'!Q475)</f>
        <v>80724.7</v>
      </c>
      <c r="C475" s="5">
        <f>MIN('Parameter &lt;x, y&gt;'!D475,'Parameter &lt;x, y&gt;'!I475,'Parameter &lt;x, y&gt;'!N475,'Parameter &lt;x, y&gt;'!S475)</f>
        <v>63047.5</v>
      </c>
      <c r="E475" s="5">
        <f>100*('Parameter &lt;x, y&gt;'!B475-B475)/B475</f>
        <v>0</v>
      </c>
      <c r="F475" s="5">
        <f>100*('Parameter &lt;x, y&gt;'!G475-B475)/B475</f>
        <v>2.8256531148458901</v>
      </c>
      <c r="G475" s="5">
        <f>100*('Parameter &lt;x, y&gt;'!L475-B475)/B475</f>
        <v>16.9843926332337</v>
      </c>
      <c r="H475" s="5">
        <f>100*('Parameter &lt;x, y&gt;'!Q475-B475)/B475</f>
        <v>24.659490837376914</v>
      </c>
      <c r="J475" s="5">
        <f>100*('Parameter &lt;x, y&gt;'!D475-C475)/C475</f>
        <v>0</v>
      </c>
      <c r="K475" s="5">
        <f>100*('Parameter &lt;x, y&gt;'!I475-C475)/C475</f>
        <v>0.36448709306475741</v>
      </c>
      <c r="L475" s="5">
        <f>100*('Parameter &lt;x, y&gt;'!N475-C475)/C475</f>
        <v>46.83310202625006</v>
      </c>
      <c r="M475" s="5">
        <f>100*('Parameter &lt;x, y&gt;'!S475-C475)/C475</f>
        <v>26.291288314366152</v>
      </c>
    </row>
    <row r="476" spans="1:13" ht="12.75" customHeight="1">
      <c r="A476" s="38"/>
      <c r="B476" s="5">
        <f>MIN('Parameter &lt;x, y&gt;'!B476,'Parameter &lt;x, y&gt;'!G476,'Parameter &lt;x, y&gt;'!L476,'Parameter &lt;x, y&gt;'!Q476)</f>
        <v>77607.8</v>
      </c>
      <c r="C476" s="5">
        <f>MIN('Parameter &lt;x, y&gt;'!D476,'Parameter &lt;x, y&gt;'!I476,'Parameter &lt;x, y&gt;'!N476,'Parameter &lt;x, y&gt;'!S476)</f>
        <v>72970.3</v>
      </c>
      <c r="E476" s="5">
        <f>100*('Parameter &lt;x, y&gt;'!B476-B476)/B476</f>
        <v>0</v>
      </c>
      <c r="F476" s="5">
        <f>100*('Parameter &lt;x, y&gt;'!G476-B476)/B476</f>
        <v>12.242712717020714</v>
      </c>
      <c r="G476" s="5">
        <f>100*('Parameter &lt;x, y&gt;'!L476-B476)/B476</f>
        <v>36.696311453230209</v>
      </c>
      <c r="H476" s="5">
        <f>100*('Parameter &lt;x, y&gt;'!Q476-B476)/B476</f>
        <v>33.052347831016981</v>
      </c>
      <c r="J476" s="5">
        <f>100*('Parameter &lt;x, y&gt;'!D476-C476)/C476</f>
        <v>84.490128175435757</v>
      </c>
      <c r="K476" s="5">
        <f>100*('Parameter &lt;x, y&gt;'!I476-C476)/C476</f>
        <v>19.728437460172145</v>
      </c>
      <c r="L476" s="5">
        <f>100*('Parameter &lt;x, y&gt;'!N476-C476)/C476</f>
        <v>0</v>
      </c>
      <c r="M476" s="5">
        <f>100*('Parameter &lt;x, y&gt;'!S476-C476)/C476</f>
        <v>57.044715452725278</v>
      </c>
    </row>
    <row r="477" spans="1:13" ht="12.75" customHeight="1">
      <c r="A477" s="38"/>
      <c r="B477" s="5">
        <f>MIN('Parameter &lt;x, y&gt;'!B477,'Parameter &lt;x, y&gt;'!G477,'Parameter &lt;x, y&gt;'!L477,'Parameter &lt;x, y&gt;'!Q477)</f>
        <v>73280.600000000006</v>
      </c>
      <c r="C477" s="5">
        <f>MIN('Parameter &lt;x, y&gt;'!D477,'Parameter &lt;x, y&gt;'!I477,'Parameter &lt;x, y&gt;'!N477,'Parameter &lt;x, y&gt;'!S477)</f>
        <v>44484.800000000003</v>
      </c>
      <c r="E477" s="5">
        <f>100*('Parameter &lt;x, y&gt;'!B477-B477)/B477</f>
        <v>10.75182244686861</v>
      </c>
      <c r="F477" s="5">
        <f>100*('Parameter &lt;x, y&gt;'!G477-B477)/B477</f>
        <v>0</v>
      </c>
      <c r="G477" s="5">
        <f>100*('Parameter &lt;x, y&gt;'!L477-B477)/B477</f>
        <v>3.4206870576933008</v>
      </c>
      <c r="H477" s="5">
        <f>100*('Parameter &lt;x, y&gt;'!Q477-B477)/B477</f>
        <v>6.3999203063293608</v>
      </c>
      <c r="J477" s="5">
        <f>100*('Parameter &lt;x, y&gt;'!D477-C477)/C477</f>
        <v>53.214805956191775</v>
      </c>
      <c r="K477" s="5">
        <f>100*('Parameter &lt;x, y&gt;'!I477-C477)/C477</f>
        <v>31.055101967413577</v>
      </c>
      <c r="L477" s="5">
        <f>100*('Parameter &lt;x, y&gt;'!N477-C477)/C477</f>
        <v>0</v>
      </c>
      <c r="M477" s="5">
        <f>100*('Parameter &lt;x, y&gt;'!S477-C477)/C477</f>
        <v>48.0705769161601</v>
      </c>
    </row>
    <row r="478" spans="1:13" ht="12.75" customHeight="1">
      <c r="A478" s="38"/>
      <c r="B478" s="5">
        <f>MIN('Parameter &lt;x, y&gt;'!B478,'Parameter &lt;x, y&gt;'!G478,'Parameter &lt;x, y&gt;'!L478,'Parameter &lt;x, y&gt;'!Q478)</f>
        <v>86210.8</v>
      </c>
      <c r="C478" s="5">
        <f>MIN('Parameter &lt;x, y&gt;'!D478,'Parameter &lt;x, y&gt;'!I478,'Parameter &lt;x, y&gt;'!N478,'Parameter &lt;x, y&gt;'!S478)</f>
        <v>62081.3</v>
      </c>
      <c r="E478" s="5">
        <f>100*('Parameter &lt;x, y&gt;'!B478-B478)/B478</f>
        <v>0</v>
      </c>
      <c r="F478" s="5">
        <f>100*('Parameter &lt;x, y&gt;'!G478-B478)/B478</f>
        <v>67.823520950971343</v>
      </c>
      <c r="G478" s="5">
        <f>100*('Parameter &lt;x, y&gt;'!L478-B478)/B478</f>
        <v>1.4341590612776987</v>
      </c>
      <c r="H478" s="5">
        <f>100*('Parameter &lt;x, y&gt;'!Q478-B478)/B478</f>
        <v>104.26443090656855</v>
      </c>
      <c r="J478" s="5">
        <f>100*('Parameter &lt;x, y&gt;'!D478-C478)/C478</f>
        <v>0</v>
      </c>
      <c r="K478" s="5">
        <f>100*('Parameter &lt;x, y&gt;'!I478-C478)/C478</f>
        <v>10.689209149937259</v>
      </c>
      <c r="L478" s="5">
        <f>100*('Parameter &lt;x, y&gt;'!N478-C478)/C478</f>
        <v>59.518566782589915</v>
      </c>
      <c r="M478" s="5">
        <f>100*('Parameter &lt;x, y&gt;'!S478-C478)/C478</f>
        <v>63.16990784664624</v>
      </c>
    </row>
    <row r="479" spans="1:13" ht="12.75" customHeight="1">
      <c r="A479" s="38"/>
      <c r="B479" s="5">
        <f>MIN('Parameter &lt;x, y&gt;'!B479,'Parameter &lt;x, y&gt;'!G479,'Parameter &lt;x, y&gt;'!L479,'Parameter &lt;x, y&gt;'!Q479)</f>
        <v>93535.9</v>
      </c>
      <c r="C479" s="5">
        <f>MIN('Parameter &lt;x, y&gt;'!D479,'Parameter &lt;x, y&gt;'!I479,'Parameter &lt;x, y&gt;'!N479,'Parameter &lt;x, y&gt;'!S479)</f>
        <v>77119.3</v>
      </c>
      <c r="E479" s="5">
        <f>100*('Parameter &lt;x, y&gt;'!B479-B479)/B479</f>
        <v>20.015951094713373</v>
      </c>
      <c r="F479" s="5">
        <f>100*('Parameter &lt;x, y&gt;'!G479-B479)/B479</f>
        <v>63.480545972188231</v>
      </c>
      <c r="G479" s="5">
        <f>100*('Parameter &lt;x, y&gt;'!L479-B479)/B479</f>
        <v>0</v>
      </c>
      <c r="H479" s="5">
        <f>100*('Parameter &lt;x, y&gt;'!Q479-B479)/B479</f>
        <v>2.4917705394399494</v>
      </c>
      <c r="J479" s="5">
        <f>100*('Parameter &lt;x, y&gt;'!D479-C479)/C479</f>
        <v>28.019834204926646</v>
      </c>
      <c r="K479" s="5">
        <f>100*('Parameter &lt;x, y&gt;'!I479-C479)/C479</f>
        <v>0</v>
      </c>
      <c r="L479" s="5">
        <f>100*('Parameter &lt;x, y&gt;'!N479-C479)/C479</f>
        <v>32.792958442309505</v>
      </c>
      <c r="M479" s="5">
        <f>100*('Parameter &lt;x, y&gt;'!S479-C479)/C479</f>
        <v>15.059783997002047</v>
      </c>
    </row>
    <row r="480" spans="1:13" ht="12.75" customHeight="1">
      <c r="A480" s="38"/>
      <c r="B480" s="5">
        <f>MIN('Parameter &lt;x, y&gt;'!B480,'Parameter &lt;x, y&gt;'!G480,'Parameter &lt;x, y&gt;'!L480,'Parameter &lt;x, y&gt;'!Q480)</f>
        <v>62237.3</v>
      </c>
      <c r="C480" s="5">
        <f>MIN('Parameter &lt;x, y&gt;'!D480,'Parameter &lt;x, y&gt;'!I480,'Parameter &lt;x, y&gt;'!N480,'Parameter &lt;x, y&gt;'!S480)</f>
        <v>50985.7</v>
      </c>
      <c r="E480" s="5">
        <f>100*('Parameter &lt;x, y&gt;'!B480-B480)/B480</f>
        <v>4.2558080122370301</v>
      </c>
      <c r="F480" s="5">
        <f>100*('Parameter &lt;x, y&gt;'!G480-B480)/B480</f>
        <v>5.6168889074558228</v>
      </c>
      <c r="G480" s="5">
        <f>100*('Parameter &lt;x, y&gt;'!L480-B480)/B480</f>
        <v>0</v>
      </c>
      <c r="H480" s="5">
        <f>100*('Parameter &lt;x, y&gt;'!Q480-B480)/B480</f>
        <v>9.1882199259929322</v>
      </c>
      <c r="J480" s="5">
        <f>100*('Parameter &lt;x, y&gt;'!D480-C480)/C480</f>
        <v>0</v>
      </c>
      <c r="K480" s="5">
        <f>100*('Parameter &lt;x, y&gt;'!I480-C480)/C480</f>
        <v>43.132682301115807</v>
      </c>
      <c r="L480" s="5">
        <f>100*('Parameter &lt;x, y&gt;'!N480-C480)/C480</f>
        <v>6.9782311510874644</v>
      </c>
      <c r="M480" s="5">
        <f>100*('Parameter &lt;x, y&gt;'!S480-C480)/C480</f>
        <v>13.35884375422914</v>
      </c>
    </row>
    <row r="481" spans="1:13" ht="12.75" customHeight="1">
      <c r="A481" s="38"/>
      <c r="B481" s="5">
        <f>MIN('Parameter &lt;x, y&gt;'!B481,'Parameter &lt;x, y&gt;'!G481,'Parameter &lt;x, y&gt;'!L481,'Parameter &lt;x, y&gt;'!Q481)</f>
        <v>84966.1</v>
      </c>
      <c r="C481" s="5">
        <f>MIN('Parameter &lt;x, y&gt;'!D481,'Parameter &lt;x, y&gt;'!I481,'Parameter &lt;x, y&gt;'!N481,'Parameter &lt;x, y&gt;'!S481)</f>
        <v>68767.399999999994</v>
      </c>
      <c r="E481" s="5">
        <f>100*('Parameter &lt;x, y&gt;'!B481-B481)/B481</f>
        <v>34.641933665308862</v>
      </c>
      <c r="F481" s="5">
        <f>100*('Parameter &lt;x, y&gt;'!G481-B481)/B481</f>
        <v>17.005723459120745</v>
      </c>
      <c r="G481" s="5">
        <f>100*('Parameter &lt;x, y&gt;'!L481-B481)/B481</f>
        <v>31.685460436574107</v>
      </c>
      <c r="H481" s="5">
        <f>100*('Parameter &lt;x, y&gt;'!Q481-B481)/B481</f>
        <v>0</v>
      </c>
      <c r="J481" s="5">
        <f>100*('Parameter &lt;x, y&gt;'!D481-C481)/C481</f>
        <v>27.406590913717842</v>
      </c>
      <c r="K481" s="5">
        <f>100*('Parameter &lt;x, y&gt;'!I481-C481)/C481</f>
        <v>19.982724372304329</v>
      </c>
      <c r="L481" s="5">
        <f>100*('Parameter &lt;x, y&gt;'!N481-C481)/C481</f>
        <v>0</v>
      </c>
      <c r="M481" s="5">
        <f>100*('Parameter &lt;x, y&gt;'!S481-C481)/C481</f>
        <v>20.043072735045975</v>
      </c>
    </row>
    <row r="482" spans="1:13" ht="12.75" customHeight="1">
      <c r="A482" s="38"/>
      <c r="B482" s="5">
        <f>MIN('Parameter &lt;x, y&gt;'!B482,'Parameter &lt;x, y&gt;'!G482,'Parameter &lt;x, y&gt;'!L482,'Parameter &lt;x, y&gt;'!Q482)</f>
        <v>71213.899999999994</v>
      </c>
      <c r="C482" s="5">
        <f>MIN('Parameter &lt;x, y&gt;'!D482,'Parameter &lt;x, y&gt;'!I482,'Parameter &lt;x, y&gt;'!N482,'Parameter &lt;x, y&gt;'!S482)</f>
        <v>55447.9</v>
      </c>
      <c r="E482" s="5">
        <f>100*('Parameter &lt;x, y&gt;'!B482-B482)/B482</f>
        <v>0</v>
      </c>
      <c r="F482" s="5">
        <f>100*('Parameter &lt;x, y&gt;'!G482-B482)/B482</f>
        <v>20.204903817934436</v>
      </c>
      <c r="G482" s="5">
        <f>100*('Parameter &lt;x, y&gt;'!L482-B482)/B482</f>
        <v>17.160975596056389</v>
      </c>
      <c r="H482" s="5">
        <f>100*('Parameter &lt;x, y&gt;'!Q482-B482)/B482</f>
        <v>23.3189026299641</v>
      </c>
      <c r="J482" s="5">
        <f>100*('Parameter &lt;x, y&gt;'!D482-C482)/C482</f>
        <v>0</v>
      </c>
      <c r="K482" s="5">
        <f>100*('Parameter &lt;x, y&gt;'!I482-C482)/C482</f>
        <v>55.024987420623688</v>
      </c>
      <c r="L482" s="5">
        <f>100*('Parameter &lt;x, y&gt;'!N482-C482)/C482</f>
        <v>16.916600989397256</v>
      </c>
      <c r="M482" s="5">
        <f>100*('Parameter &lt;x, y&gt;'!S482-C482)/C482</f>
        <v>48.677046380476085</v>
      </c>
    </row>
    <row r="483" spans="1:13" ht="12.75" customHeight="1">
      <c r="A483" s="38"/>
      <c r="B483" s="5">
        <f>MIN('Parameter &lt;x, y&gt;'!B483,'Parameter &lt;x, y&gt;'!G483,'Parameter &lt;x, y&gt;'!L483,'Parameter &lt;x, y&gt;'!Q483)</f>
        <v>70536.2</v>
      </c>
      <c r="C483" s="5">
        <f>MIN('Parameter &lt;x, y&gt;'!D483,'Parameter &lt;x, y&gt;'!I483,'Parameter &lt;x, y&gt;'!N483,'Parameter &lt;x, y&gt;'!S483)</f>
        <v>50066.2</v>
      </c>
      <c r="E483" s="5">
        <f>100*('Parameter &lt;x, y&gt;'!B483-B483)/B483</f>
        <v>13.77491273984139</v>
      </c>
      <c r="F483" s="5">
        <f>100*('Parameter &lt;x, y&gt;'!G483-B483)/B483</f>
        <v>10.659632926072016</v>
      </c>
      <c r="G483" s="5">
        <f>100*('Parameter &lt;x, y&gt;'!L483-B483)/B483</f>
        <v>0</v>
      </c>
      <c r="H483" s="5">
        <f>100*('Parameter &lt;x, y&gt;'!Q483-B483)/B483</f>
        <v>5.3742617266027981</v>
      </c>
      <c r="J483" s="5">
        <f>100*('Parameter &lt;x, y&gt;'!D483-C483)/C483</f>
        <v>43.641818232659972</v>
      </c>
      <c r="K483" s="5">
        <f>100*('Parameter &lt;x, y&gt;'!I483-C483)/C483</f>
        <v>52.521861055961899</v>
      </c>
      <c r="L483" s="5">
        <f>100*('Parameter &lt;x, y&gt;'!N483-C483)/C483</f>
        <v>0</v>
      </c>
      <c r="M483" s="5">
        <f>100*('Parameter &lt;x, y&gt;'!S483-C483)/C483</f>
        <v>33.83620087004806</v>
      </c>
    </row>
    <row r="484" spans="1:13" ht="12.75" customHeight="1">
      <c r="A484" s="38"/>
      <c r="B484" s="5">
        <f>MIN('Parameter &lt;x, y&gt;'!B484,'Parameter &lt;x, y&gt;'!G484,'Parameter &lt;x, y&gt;'!L484,'Parameter &lt;x, y&gt;'!Q484)</f>
        <v>75126.600000000006</v>
      </c>
      <c r="C484" s="5">
        <f>MIN('Parameter &lt;x, y&gt;'!D484,'Parameter &lt;x, y&gt;'!I484,'Parameter &lt;x, y&gt;'!N484,'Parameter &lt;x, y&gt;'!S484)</f>
        <v>50645.9</v>
      </c>
      <c r="E484" s="5">
        <f>100*('Parameter &lt;x, y&gt;'!B484-B484)/B484</f>
        <v>4.391520446819098</v>
      </c>
      <c r="F484" s="5">
        <f>100*('Parameter &lt;x, y&gt;'!G484-B484)/B484</f>
        <v>6.7592570407818267</v>
      </c>
      <c r="G484" s="5">
        <f>100*('Parameter &lt;x, y&gt;'!L484-B484)/B484</f>
        <v>3.7703023962218438</v>
      </c>
      <c r="H484" s="5">
        <f>100*('Parameter &lt;x, y&gt;'!Q484-B484)/B484</f>
        <v>0</v>
      </c>
      <c r="J484" s="5">
        <f>100*('Parameter &lt;x, y&gt;'!D484-C484)/C484</f>
        <v>67.00108004794069</v>
      </c>
      <c r="K484" s="5">
        <f>100*('Parameter &lt;x, y&gt;'!I484-C484)/C484</f>
        <v>25.204211989519393</v>
      </c>
      <c r="L484" s="5">
        <f>100*('Parameter &lt;x, y&gt;'!N484-C484)/C484</f>
        <v>0</v>
      </c>
      <c r="M484" s="5">
        <f>100*('Parameter &lt;x, y&gt;'!S484-C484)/C484</f>
        <v>45.879923152713239</v>
      </c>
    </row>
    <row r="485" spans="1:13" ht="12.75" customHeight="1">
      <c r="A485" s="38"/>
      <c r="B485" s="5">
        <f>MIN('Parameter &lt;x, y&gt;'!B485,'Parameter &lt;x, y&gt;'!G485,'Parameter &lt;x, y&gt;'!L485,'Parameter &lt;x, y&gt;'!Q485)</f>
        <v>60291.6</v>
      </c>
      <c r="C485" s="5">
        <f>MIN('Parameter &lt;x, y&gt;'!D485,'Parameter &lt;x, y&gt;'!I485,'Parameter &lt;x, y&gt;'!N485,'Parameter &lt;x, y&gt;'!S485)</f>
        <v>50688</v>
      </c>
      <c r="E485" s="5">
        <f>100*('Parameter &lt;x, y&gt;'!B485-B485)/B485</f>
        <v>31.537892509072581</v>
      </c>
      <c r="F485" s="5">
        <f>100*('Parameter &lt;x, y&gt;'!G485-B485)/B485</f>
        <v>0</v>
      </c>
      <c r="G485" s="5">
        <f>100*('Parameter &lt;x, y&gt;'!L485-B485)/B485</f>
        <v>5.1330533606671622</v>
      </c>
      <c r="H485" s="5">
        <f>100*('Parameter &lt;x, y&gt;'!Q485-B485)/B485</f>
        <v>44.263214112745409</v>
      </c>
      <c r="J485" s="5">
        <f>100*('Parameter &lt;x, y&gt;'!D485-C485)/C485</f>
        <v>0</v>
      </c>
      <c r="K485" s="5">
        <f>100*('Parameter &lt;x, y&gt;'!I485-C485)/C485</f>
        <v>76.177201704545439</v>
      </c>
      <c r="L485" s="5">
        <f>100*('Parameter &lt;x, y&gt;'!N485-C485)/C485</f>
        <v>11.496409406565661</v>
      </c>
      <c r="M485" s="5">
        <f>100*('Parameter &lt;x, y&gt;'!S485-C485)/C485</f>
        <v>57.340790719696962</v>
      </c>
    </row>
    <row r="486" spans="1:13" ht="12.75" customHeight="1">
      <c r="A486" s="38"/>
      <c r="B486" s="5">
        <f>MIN('Parameter &lt;x, y&gt;'!B486,'Parameter &lt;x, y&gt;'!G486,'Parameter &lt;x, y&gt;'!L486,'Parameter &lt;x, y&gt;'!Q486)</f>
        <v>66857.600000000006</v>
      </c>
      <c r="C486" s="5">
        <f>MIN('Parameter &lt;x, y&gt;'!D486,'Parameter &lt;x, y&gt;'!I486,'Parameter &lt;x, y&gt;'!N486,'Parameter &lt;x, y&gt;'!S486)</f>
        <v>67300.399999999994</v>
      </c>
      <c r="E486" s="5">
        <f>100*('Parameter &lt;x, y&gt;'!B486-B486)/B486</f>
        <v>0</v>
      </c>
      <c r="F486" s="5">
        <f>100*('Parameter &lt;x, y&gt;'!G486-B486)/B486</f>
        <v>11.97141387067437</v>
      </c>
      <c r="G486" s="5">
        <f>100*('Parameter &lt;x, y&gt;'!L486-B486)/B486</f>
        <v>30.468488249652992</v>
      </c>
      <c r="H486" s="5">
        <f>100*('Parameter &lt;x, y&gt;'!Q486-B486)/B486</f>
        <v>13.502429043220207</v>
      </c>
      <c r="J486" s="5">
        <f>100*('Parameter &lt;x, y&gt;'!D486-C486)/C486</f>
        <v>36.285074085740952</v>
      </c>
      <c r="K486" s="5">
        <f>100*('Parameter &lt;x, y&gt;'!I486-C486)/C486</f>
        <v>23.584109455515886</v>
      </c>
      <c r="L486" s="5">
        <f>100*('Parameter &lt;x, y&gt;'!N486-C486)/C486</f>
        <v>0</v>
      </c>
      <c r="M486" s="5">
        <f>100*('Parameter &lt;x, y&gt;'!S486-C486)/C486</f>
        <v>11.433810200236552</v>
      </c>
    </row>
    <row r="487" spans="1:13" ht="12.75" customHeight="1">
      <c r="A487" s="38"/>
      <c r="B487" s="5">
        <f>MIN('Parameter &lt;x, y&gt;'!B487,'Parameter &lt;x, y&gt;'!G487,'Parameter &lt;x, y&gt;'!L487,'Parameter &lt;x, y&gt;'!Q487)</f>
        <v>60458.2</v>
      </c>
      <c r="C487" s="5">
        <f>MIN('Parameter &lt;x, y&gt;'!D487,'Parameter &lt;x, y&gt;'!I487,'Parameter &lt;x, y&gt;'!N487,'Parameter &lt;x, y&gt;'!S487)</f>
        <v>47476</v>
      </c>
      <c r="E487" s="5">
        <f>100*('Parameter &lt;x, y&gt;'!B487-B487)/B487</f>
        <v>0</v>
      </c>
      <c r="F487" s="5">
        <f>100*('Parameter &lt;x, y&gt;'!G487-B487)/B487</f>
        <v>9.9859076188176346</v>
      </c>
      <c r="G487" s="5">
        <f>100*('Parameter &lt;x, y&gt;'!L487-B487)/B487</f>
        <v>11.45799908035635</v>
      </c>
      <c r="H487" s="5">
        <f>100*('Parameter &lt;x, y&gt;'!Q487-B487)/B487</f>
        <v>11.364876890148897</v>
      </c>
      <c r="J487" s="5">
        <f>100*('Parameter &lt;x, y&gt;'!D487-C487)/C487</f>
        <v>77.85407363720617</v>
      </c>
      <c r="K487" s="5">
        <f>100*('Parameter &lt;x, y&gt;'!I487-C487)/C487</f>
        <v>21.758783385289405</v>
      </c>
      <c r="L487" s="5">
        <f>100*('Parameter &lt;x, y&gt;'!N487-C487)/C487</f>
        <v>0</v>
      </c>
      <c r="M487" s="5">
        <f>100*('Parameter &lt;x, y&gt;'!S487-C487)/C487</f>
        <v>24.373367596259161</v>
      </c>
    </row>
    <row r="488" spans="1:13" ht="12.75" customHeight="1">
      <c r="A488" s="38"/>
      <c r="B488" s="5">
        <f>MIN('Parameter &lt;x, y&gt;'!B488,'Parameter &lt;x, y&gt;'!G488,'Parameter &lt;x, y&gt;'!L488,'Parameter &lt;x, y&gt;'!Q488)</f>
        <v>76557.7</v>
      </c>
      <c r="C488" s="5">
        <f>MIN('Parameter &lt;x, y&gt;'!D488,'Parameter &lt;x, y&gt;'!I488,'Parameter &lt;x, y&gt;'!N488,'Parameter &lt;x, y&gt;'!S488)</f>
        <v>56172.800000000003</v>
      </c>
      <c r="E488" s="5">
        <f>100*('Parameter &lt;x, y&gt;'!B488-B488)/B488</f>
        <v>0</v>
      </c>
      <c r="F488" s="5">
        <f>100*('Parameter &lt;x, y&gt;'!G488-B488)/B488</f>
        <v>12.416647835554111</v>
      </c>
      <c r="G488" s="5">
        <f>100*('Parameter &lt;x, y&gt;'!L488-B488)/B488</f>
        <v>6.8242645743014752</v>
      </c>
      <c r="H488" s="5">
        <f>100*('Parameter &lt;x, y&gt;'!Q488-B488)/B488</f>
        <v>3.4114138747637366</v>
      </c>
      <c r="J488" s="5">
        <f>100*('Parameter &lt;x, y&gt;'!D488-C488)/C488</f>
        <v>0</v>
      </c>
      <c r="K488" s="5">
        <f>100*('Parameter &lt;x, y&gt;'!I488-C488)/C488</f>
        <v>13.444763301811545</v>
      </c>
      <c r="L488" s="5">
        <f>100*('Parameter &lt;x, y&gt;'!N488-C488)/C488</f>
        <v>5.0269881508488012</v>
      </c>
      <c r="M488" s="5">
        <f>100*('Parameter &lt;x, y&gt;'!S488-C488)/C488</f>
        <v>35.196215962173859</v>
      </c>
    </row>
    <row r="489" spans="1:13" ht="12.75" customHeight="1">
      <c r="A489" s="38"/>
      <c r="B489" s="5">
        <f>MIN('Parameter &lt;x, y&gt;'!B489,'Parameter &lt;x, y&gt;'!G489,'Parameter &lt;x, y&gt;'!L489,'Parameter &lt;x, y&gt;'!Q489)</f>
        <v>58217.1</v>
      </c>
      <c r="C489" s="5">
        <f>MIN('Parameter &lt;x, y&gt;'!D489,'Parameter &lt;x, y&gt;'!I489,'Parameter &lt;x, y&gt;'!N489,'Parameter &lt;x, y&gt;'!S489)</f>
        <v>48796.4</v>
      </c>
      <c r="E489" s="5">
        <f>100*('Parameter &lt;x, y&gt;'!B489-B489)/B489</f>
        <v>24.222436363199126</v>
      </c>
      <c r="F489" s="5">
        <f>100*('Parameter &lt;x, y&gt;'!G489-B489)/B489</f>
        <v>0</v>
      </c>
      <c r="G489" s="5">
        <f>100*('Parameter &lt;x, y&gt;'!L489-B489)/B489</f>
        <v>5.9497982551518422</v>
      </c>
      <c r="H489" s="5">
        <f>100*('Parameter &lt;x, y&gt;'!Q489-B489)/B489</f>
        <v>6.9809385902080301</v>
      </c>
      <c r="J489" s="5">
        <f>100*('Parameter &lt;x, y&gt;'!D489-C489)/C489</f>
        <v>0</v>
      </c>
      <c r="K489" s="5">
        <f>100*('Parameter &lt;x, y&gt;'!I489-C489)/C489</f>
        <v>7.6632702412473073</v>
      </c>
      <c r="L489" s="5">
        <f>100*('Parameter &lt;x, y&gt;'!N489-C489)/C489</f>
        <v>19.288513087031006</v>
      </c>
      <c r="M489" s="5">
        <f>100*('Parameter &lt;x, y&gt;'!S489-C489)/C489</f>
        <v>21.008926888049114</v>
      </c>
    </row>
    <row r="490" spans="1:13" ht="12.75" customHeight="1">
      <c r="A490" s="38"/>
      <c r="B490" s="5">
        <f>MIN('Parameter &lt;x, y&gt;'!B490,'Parameter &lt;x, y&gt;'!G490,'Parameter &lt;x, y&gt;'!L490,'Parameter &lt;x, y&gt;'!Q490)</f>
        <v>74758.7</v>
      </c>
      <c r="C490" s="5">
        <f>MIN('Parameter &lt;x, y&gt;'!D490,'Parameter &lt;x, y&gt;'!I490,'Parameter &lt;x, y&gt;'!N490,'Parameter &lt;x, y&gt;'!S490)</f>
        <v>57390</v>
      </c>
      <c r="E490" s="5">
        <f>100*('Parameter &lt;x, y&gt;'!B490-B490)/B490</f>
        <v>1.0816132436759947</v>
      </c>
      <c r="F490" s="5">
        <f>100*('Parameter &lt;x, y&gt;'!G490-B490)/B490</f>
        <v>0</v>
      </c>
      <c r="G490" s="5">
        <f>100*('Parameter &lt;x, y&gt;'!L490-B490)/B490</f>
        <v>1.1414056156674781</v>
      </c>
      <c r="H490" s="5">
        <f>100*('Parameter &lt;x, y&gt;'!Q490-B490)/B490</f>
        <v>12.052644040091668</v>
      </c>
      <c r="J490" s="5">
        <f>100*('Parameter &lt;x, y&gt;'!D490-C490)/C490</f>
        <v>4.7178951036765966</v>
      </c>
      <c r="K490" s="5">
        <f>100*('Parameter &lt;x, y&gt;'!I490-C490)/C490</f>
        <v>49.651332984840558</v>
      </c>
      <c r="L490" s="5">
        <f>100*('Parameter &lt;x, y&gt;'!N490-C490)/C490</f>
        <v>0</v>
      </c>
      <c r="M490" s="5">
        <f>100*('Parameter &lt;x, y&gt;'!S490-C490)/C490</f>
        <v>20.972294824882383</v>
      </c>
    </row>
    <row r="491" spans="1:13" ht="12.75" customHeight="1">
      <c r="A491" s="38"/>
      <c r="B491" s="5">
        <f>MIN('Parameter &lt;x, y&gt;'!B491,'Parameter &lt;x, y&gt;'!G491,'Parameter &lt;x, y&gt;'!L491,'Parameter &lt;x, y&gt;'!Q491)</f>
        <v>56212.6</v>
      </c>
      <c r="C491" s="5">
        <f>MIN('Parameter &lt;x, y&gt;'!D491,'Parameter &lt;x, y&gt;'!I491,'Parameter &lt;x, y&gt;'!N491,'Parameter &lt;x, y&gt;'!S491)</f>
        <v>49322.6</v>
      </c>
      <c r="E491" s="5">
        <f>100*('Parameter &lt;x, y&gt;'!B491-B491)/B491</f>
        <v>66.284783126914604</v>
      </c>
      <c r="F491" s="5">
        <f>100*('Parameter &lt;x, y&gt;'!G491-B491)/B491</f>
        <v>51.920210059666346</v>
      </c>
      <c r="G491" s="5">
        <f>100*('Parameter &lt;x, y&gt;'!L491-B491)/B491</f>
        <v>0</v>
      </c>
      <c r="H491" s="5">
        <f>100*('Parameter &lt;x, y&gt;'!Q491-B491)/B491</f>
        <v>15.283050419301011</v>
      </c>
      <c r="J491" s="5">
        <f>100*('Parameter &lt;x, y&gt;'!D491-C491)/C491</f>
        <v>10.245201996650632</v>
      </c>
      <c r="K491" s="5">
        <f>100*('Parameter &lt;x, y&gt;'!I491-C491)/C491</f>
        <v>1.5873048055049845</v>
      </c>
      <c r="L491" s="5">
        <f>100*('Parameter &lt;x, y&gt;'!N491-C491)/C491</f>
        <v>0</v>
      </c>
      <c r="M491" s="5">
        <f>100*('Parameter &lt;x, y&gt;'!S491-C491)/C491</f>
        <v>38.481548012472977</v>
      </c>
    </row>
    <row r="492" spans="1:13" ht="12.75" customHeight="1">
      <c r="A492" s="38"/>
      <c r="B492" s="5">
        <f>MIN('Parameter &lt;x, y&gt;'!B492,'Parameter &lt;x, y&gt;'!G492,'Parameter &lt;x, y&gt;'!L492,'Parameter &lt;x, y&gt;'!Q492)</f>
        <v>83619.899999999994</v>
      </c>
      <c r="C492" s="5">
        <f>MIN('Parameter &lt;x, y&gt;'!D492,'Parameter &lt;x, y&gt;'!I492,'Parameter &lt;x, y&gt;'!N492,'Parameter &lt;x, y&gt;'!S492)</f>
        <v>58208.7</v>
      </c>
      <c r="E492" s="5">
        <f>100*('Parameter &lt;x, y&gt;'!B492-B492)/B492</f>
        <v>0</v>
      </c>
      <c r="F492" s="5">
        <f>100*('Parameter &lt;x, y&gt;'!G492-B492)/B492</f>
        <v>38.624896705210134</v>
      </c>
      <c r="G492" s="5">
        <f>100*('Parameter &lt;x, y&gt;'!L492-B492)/B492</f>
        <v>9.3916639460224207</v>
      </c>
      <c r="H492" s="5">
        <f>100*('Parameter &lt;x, y&gt;'!Q492-B492)/B492</f>
        <v>0.16228194484807043</v>
      </c>
      <c r="J492" s="5">
        <f>100*('Parameter &lt;x, y&gt;'!D492-C492)/C492</f>
        <v>0</v>
      </c>
      <c r="K492" s="5">
        <f>100*('Parameter &lt;x, y&gt;'!I492-C492)/C492</f>
        <v>20.929002022034506</v>
      </c>
      <c r="L492" s="5">
        <f>100*('Parameter &lt;x, y&gt;'!N492-C492)/C492</f>
        <v>44.278432605435292</v>
      </c>
      <c r="M492" s="5">
        <f>100*('Parameter &lt;x, y&gt;'!S492-C492)/C492</f>
        <v>33.068424479502205</v>
      </c>
    </row>
    <row r="493" spans="1:13" ht="12.75" customHeight="1">
      <c r="A493" s="38"/>
      <c r="B493" s="5">
        <f>MIN('Parameter &lt;x, y&gt;'!B493,'Parameter &lt;x, y&gt;'!G493,'Parameter &lt;x, y&gt;'!L493,'Parameter &lt;x, y&gt;'!Q493)</f>
        <v>73626.399999999994</v>
      </c>
      <c r="C493" s="5">
        <f>MIN('Parameter &lt;x, y&gt;'!D493,'Parameter &lt;x, y&gt;'!I493,'Parameter &lt;x, y&gt;'!N493,'Parameter &lt;x, y&gt;'!S493)</f>
        <v>59210.6</v>
      </c>
      <c r="E493" s="5">
        <f>100*('Parameter &lt;x, y&gt;'!B493-B493)/B493</f>
        <v>0</v>
      </c>
      <c r="F493" s="5">
        <f>100*('Parameter &lt;x, y&gt;'!G493-B493)/B493</f>
        <v>7.7474927471667936</v>
      </c>
      <c r="G493" s="5">
        <f>100*('Parameter &lt;x, y&gt;'!L493-B493)/B493</f>
        <v>22.672709788880084</v>
      </c>
      <c r="H493" s="5">
        <f>100*('Parameter &lt;x, y&gt;'!Q493-B493)/B493</f>
        <v>36.67108537155152</v>
      </c>
      <c r="J493" s="5">
        <f>100*('Parameter &lt;x, y&gt;'!D493-C493)/C493</f>
        <v>0</v>
      </c>
      <c r="K493" s="5">
        <f>100*('Parameter &lt;x, y&gt;'!I493-C493)/C493</f>
        <v>27.274846057969349</v>
      </c>
      <c r="L493" s="5">
        <f>100*('Parameter &lt;x, y&gt;'!N493-C493)/C493</f>
        <v>53.683968748838893</v>
      </c>
      <c r="M493" s="5">
        <f>100*('Parameter &lt;x, y&gt;'!S493-C493)/C493</f>
        <v>29.837731757489365</v>
      </c>
    </row>
    <row r="494" spans="1:13" ht="12.75" customHeight="1">
      <c r="A494" s="38"/>
      <c r="B494" s="5">
        <f>MIN('Parameter &lt;x, y&gt;'!B494,'Parameter &lt;x, y&gt;'!G494,'Parameter &lt;x, y&gt;'!L494,'Parameter &lt;x, y&gt;'!Q494)</f>
        <v>63987.3</v>
      </c>
      <c r="C494" s="5">
        <f>MIN('Parameter &lt;x, y&gt;'!D494,'Parameter &lt;x, y&gt;'!I494,'Parameter &lt;x, y&gt;'!N494,'Parameter &lt;x, y&gt;'!S494)</f>
        <v>53259.4</v>
      </c>
      <c r="E494" s="5">
        <f>100*('Parameter &lt;x, y&gt;'!B494-B494)/B494</f>
        <v>11.612616878661845</v>
      </c>
      <c r="F494" s="5">
        <f>100*('Parameter &lt;x, y&gt;'!G494-B494)/B494</f>
        <v>0</v>
      </c>
      <c r="G494" s="5">
        <f>100*('Parameter &lt;x, y&gt;'!L494-B494)/B494</f>
        <v>1.4270019206936353</v>
      </c>
      <c r="H494" s="5">
        <f>100*('Parameter &lt;x, y&gt;'!Q494-B494)/B494</f>
        <v>17.397358538334935</v>
      </c>
      <c r="J494" s="5">
        <f>100*('Parameter &lt;x, y&gt;'!D494-C494)/C494</f>
        <v>5.1284843614460565</v>
      </c>
      <c r="K494" s="5">
        <f>100*('Parameter &lt;x, y&gt;'!I494-C494)/C494</f>
        <v>20.373680514613387</v>
      </c>
      <c r="L494" s="5">
        <f>100*('Parameter &lt;x, y&gt;'!N494-C494)/C494</f>
        <v>0</v>
      </c>
      <c r="M494" s="5">
        <f>100*('Parameter &lt;x, y&gt;'!S494-C494)/C494</f>
        <v>7.4129637209581762</v>
      </c>
    </row>
    <row r="495" spans="1:13" ht="12.75" customHeight="1">
      <c r="A495" s="38"/>
      <c r="B495" s="5">
        <f>MIN('Parameter &lt;x, y&gt;'!B495,'Parameter &lt;x, y&gt;'!G495,'Parameter &lt;x, y&gt;'!L495,'Parameter &lt;x, y&gt;'!Q495)</f>
        <v>94049.8</v>
      </c>
      <c r="C495" s="5">
        <f>MIN('Parameter &lt;x, y&gt;'!D495,'Parameter &lt;x, y&gt;'!I495,'Parameter &lt;x, y&gt;'!N495,'Parameter &lt;x, y&gt;'!S495)</f>
        <v>94322.7</v>
      </c>
      <c r="E495" s="5">
        <f>100*('Parameter &lt;x, y&gt;'!B495-B495)/B495</f>
        <v>19.537734264187694</v>
      </c>
      <c r="F495" s="5">
        <f>100*('Parameter &lt;x, y&gt;'!G495-B495)/B495</f>
        <v>23.111372910947175</v>
      </c>
      <c r="G495" s="5">
        <f>100*('Parameter &lt;x, y&gt;'!L495-B495)/B495</f>
        <v>17.81205276353591</v>
      </c>
      <c r="H495" s="5">
        <f>100*('Parameter &lt;x, y&gt;'!Q495-B495)/B495</f>
        <v>0</v>
      </c>
      <c r="J495" s="5">
        <f>100*('Parameter &lt;x, y&gt;'!D495-C495)/C495</f>
        <v>19.382714871393635</v>
      </c>
      <c r="K495" s="5">
        <f>100*('Parameter &lt;x, y&gt;'!I495-C495)/C495</f>
        <v>4.0121837055131042</v>
      </c>
      <c r="L495" s="5">
        <f>100*('Parameter &lt;x, y&gt;'!N495-C495)/C495</f>
        <v>0</v>
      </c>
      <c r="M495" s="5">
        <f>100*('Parameter &lt;x, y&gt;'!S495-C495)/C495</f>
        <v>43.540208242554556</v>
      </c>
    </row>
    <row r="496" spans="1:13" ht="12.75" customHeight="1">
      <c r="A496" s="38"/>
      <c r="B496" s="5">
        <f>MIN('Parameter &lt;x, y&gt;'!B496,'Parameter &lt;x, y&gt;'!G496,'Parameter &lt;x, y&gt;'!L496,'Parameter &lt;x, y&gt;'!Q496)</f>
        <v>73528.899999999994</v>
      </c>
      <c r="C496" s="5">
        <f>MIN('Parameter &lt;x, y&gt;'!D496,'Parameter &lt;x, y&gt;'!I496,'Parameter &lt;x, y&gt;'!N496,'Parameter &lt;x, y&gt;'!S496)</f>
        <v>55831</v>
      </c>
      <c r="E496" s="5">
        <f>100*('Parameter &lt;x, y&gt;'!B496-B496)/B496</f>
        <v>24.387961740213729</v>
      </c>
      <c r="F496" s="5">
        <f>100*('Parameter &lt;x, y&gt;'!G496-B496)/B496</f>
        <v>0</v>
      </c>
      <c r="G496" s="5">
        <f>100*('Parameter &lt;x, y&gt;'!L496-B496)/B496</f>
        <v>30.345211202669972</v>
      </c>
      <c r="H496" s="5">
        <f>100*('Parameter &lt;x, y&gt;'!Q496-B496)/B496</f>
        <v>27.059292332674652</v>
      </c>
      <c r="J496" s="5">
        <f>100*('Parameter &lt;x, y&gt;'!D496-C496)/C496</f>
        <v>49.432752413533706</v>
      </c>
      <c r="K496" s="5">
        <f>100*('Parameter &lt;x, y&gt;'!I496-C496)/C496</f>
        <v>0</v>
      </c>
      <c r="L496" s="5">
        <f>100*('Parameter &lt;x, y&gt;'!N496-C496)/C496</f>
        <v>28.391932797191526</v>
      </c>
      <c r="M496" s="5">
        <f>100*('Parameter &lt;x, y&gt;'!S496-C496)/C496</f>
        <v>38.376529168383158</v>
      </c>
    </row>
    <row r="497" spans="1:13" ht="12.75" customHeight="1">
      <c r="A497" s="38"/>
      <c r="B497" s="5">
        <f>MIN('Parameter &lt;x, y&gt;'!B497,'Parameter &lt;x, y&gt;'!G497,'Parameter &lt;x, y&gt;'!L497,'Parameter &lt;x, y&gt;'!Q497)</f>
        <v>65102.5</v>
      </c>
      <c r="C497" s="5">
        <f>MIN('Parameter &lt;x, y&gt;'!D497,'Parameter &lt;x, y&gt;'!I497,'Parameter &lt;x, y&gt;'!N497,'Parameter &lt;x, y&gt;'!S497)</f>
        <v>52551.5</v>
      </c>
      <c r="E497" s="5">
        <f>100*('Parameter &lt;x, y&gt;'!B497-B497)/B497</f>
        <v>58.579163626588837</v>
      </c>
      <c r="F497" s="5">
        <f>100*('Parameter &lt;x, y&gt;'!G497-B497)/B497</f>
        <v>0</v>
      </c>
      <c r="G497" s="5">
        <f>100*('Parameter &lt;x, y&gt;'!L497-B497)/B497</f>
        <v>0.56403363926116057</v>
      </c>
      <c r="H497" s="5">
        <f>100*('Parameter &lt;x, y&gt;'!Q497-B497)/B497</f>
        <v>8.0571406628009594</v>
      </c>
      <c r="J497" s="5">
        <f>100*('Parameter &lt;x, y&gt;'!D497-C497)/C497</f>
        <v>12.094611952085099</v>
      </c>
      <c r="K497" s="5">
        <f>100*('Parameter &lt;x, y&gt;'!I497-C497)/C497</f>
        <v>0</v>
      </c>
      <c r="L497" s="5">
        <f>100*('Parameter &lt;x, y&gt;'!N497-C497)/C497</f>
        <v>17.872753394289415</v>
      </c>
      <c r="M497" s="5">
        <f>100*('Parameter &lt;x, y&gt;'!S497-C497)/C497</f>
        <v>26.276319419997535</v>
      </c>
    </row>
    <row r="498" spans="1:13" ht="12.75" customHeight="1">
      <c r="A498" s="38"/>
      <c r="B498" s="5">
        <f>MIN('Parameter &lt;x, y&gt;'!B498,'Parameter &lt;x, y&gt;'!G498,'Parameter &lt;x, y&gt;'!L498,'Parameter &lt;x, y&gt;'!Q498)</f>
        <v>61319.5</v>
      </c>
      <c r="C498" s="5">
        <f>MIN('Parameter &lt;x, y&gt;'!D498,'Parameter &lt;x, y&gt;'!I498,'Parameter &lt;x, y&gt;'!N498,'Parameter &lt;x, y&gt;'!S498)</f>
        <v>45308</v>
      </c>
      <c r="E498" s="5">
        <f>100*('Parameter &lt;x, y&gt;'!B498-B498)/B498</f>
        <v>0</v>
      </c>
      <c r="F498" s="5">
        <f>100*('Parameter &lt;x, y&gt;'!G498-B498)/B498</f>
        <v>4.6029403370868973</v>
      </c>
      <c r="G498" s="5">
        <f>100*('Parameter &lt;x, y&gt;'!L498-B498)/B498</f>
        <v>6.2781007672926181</v>
      </c>
      <c r="H498" s="5">
        <f>100*('Parameter &lt;x, y&gt;'!Q498-B498)/B498</f>
        <v>23.518293528159887</v>
      </c>
      <c r="J498" s="5">
        <f>100*('Parameter &lt;x, y&gt;'!D498-C498)/C498</f>
        <v>3.2925752626467797</v>
      </c>
      <c r="K498" s="5">
        <f>100*('Parameter &lt;x, y&gt;'!I498-C498)/C498</f>
        <v>25.226450075041932</v>
      </c>
      <c r="L498" s="5">
        <f>100*('Parameter &lt;x, y&gt;'!N498-C498)/C498</f>
        <v>0</v>
      </c>
      <c r="M498" s="5">
        <f>100*('Parameter &lt;x, y&gt;'!S498-C498)/C498</f>
        <v>22.819148936170215</v>
      </c>
    </row>
    <row r="499" spans="1:13" ht="12.75" customHeight="1">
      <c r="A499" s="38"/>
      <c r="B499" s="5">
        <f>MIN('Parameter &lt;x, y&gt;'!B499,'Parameter &lt;x, y&gt;'!G499,'Parameter &lt;x, y&gt;'!L499,'Parameter &lt;x, y&gt;'!Q499)</f>
        <v>69228.100000000006</v>
      </c>
      <c r="C499" s="5">
        <f>MIN('Parameter &lt;x, y&gt;'!D499,'Parameter &lt;x, y&gt;'!I499,'Parameter &lt;x, y&gt;'!N499,'Parameter &lt;x, y&gt;'!S499)</f>
        <v>54180.9</v>
      </c>
      <c r="E499" s="5">
        <f>100*('Parameter &lt;x, y&gt;'!B499-B499)/B499</f>
        <v>35.41090973174186</v>
      </c>
      <c r="F499" s="5">
        <f>100*('Parameter &lt;x, y&gt;'!G499-B499)/B499</f>
        <v>0</v>
      </c>
      <c r="G499" s="5">
        <f>100*('Parameter &lt;x, y&gt;'!L499-B499)/B499</f>
        <v>11.218710321386835</v>
      </c>
      <c r="H499" s="5">
        <f>100*('Parameter &lt;x, y&gt;'!Q499-B499)/B499</f>
        <v>12.534505497045265</v>
      </c>
      <c r="J499" s="5">
        <f>100*('Parameter &lt;x, y&gt;'!D499-C499)/C499</f>
        <v>51.594934746377412</v>
      </c>
      <c r="K499" s="5">
        <f>100*('Parameter &lt;x, y&gt;'!I499-C499)/C499</f>
        <v>5.8356358052376303</v>
      </c>
      <c r="L499" s="5">
        <f>100*('Parameter &lt;x, y&gt;'!N499-C499)/C499</f>
        <v>0</v>
      </c>
      <c r="M499" s="5">
        <f>100*('Parameter &lt;x, y&gt;'!S499-C499)/C499</f>
        <v>73.932142138650335</v>
      </c>
    </row>
    <row r="500" spans="1:13" ht="12.75" customHeight="1">
      <c r="A500" s="38"/>
      <c r="B500" s="5">
        <f>MIN('Parameter &lt;x, y&gt;'!B500,'Parameter &lt;x, y&gt;'!G500,'Parameter &lt;x, y&gt;'!L500,'Parameter &lt;x, y&gt;'!Q500)</f>
        <v>66111.100000000006</v>
      </c>
      <c r="C500" s="5">
        <f>MIN('Parameter &lt;x, y&gt;'!D500,'Parameter &lt;x, y&gt;'!I500,'Parameter &lt;x, y&gt;'!N500,'Parameter &lt;x, y&gt;'!S500)</f>
        <v>54013</v>
      </c>
      <c r="E500" s="5">
        <f>100*('Parameter &lt;x, y&gt;'!B500-B500)/B500</f>
        <v>68.66607876740818</v>
      </c>
      <c r="F500" s="5">
        <f>100*('Parameter &lt;x, y&gt;'!G500-B500)/B500</f>
        <v>62.119523045297981</v>
      </c>
      <c r="G500" s="5">
        <f>100*('Parameter &lt;x, y&gt;'!L500-B500)/B500</f>
        <v>0</v>
      </c>
      <c r="H500" s="5">
        <f>100*('Parameter &lt;x, y&gt;'!Q500-B500)/B500</f>
        <v>2.2153617168675019</v>
      </c>
      <c r="J500" s="5">
        <f>100*('Parameter &lt;x, y&gt;'!D500-C500)/C500</f>
        <v>15.927091626090011</v>
      </c>
      <c r="K500" s="5">
        <f>100*('Parameter &lt;x, y&gt;'!I500-C500)/C500</f>
        <v>0</v>
      </c>
      <c r="L500" s="5">
        <f>100*('Parameter &lt;x, y&gt;'!N500-C500)/C500</f>
        <v>25.043785755281128</v>
      </c>
      <c r="M500" s="5">
        <f>100*('Parameter &lt;x, y&gt;'!S500-C500)/C500</f>
        <v>60.400644289337741</v>
      </c>
    </row>
    <row r="501" spans="1:13" ht="12.75" customHeight="1">
      <c r="A501" s="38"/>
      <c r="B501" s="5">
        <f>MIN('Parameter &lt;x, y&gt;'!B501,'Parameter &lt;x, y&gt;'!G501,'Parameter &lt;x, y&gt;'!L501,'Parameter &lt;x, y&gt;'!Q501)</f>
        <v>87009.4</v>
      </c>
      <c r="C501" s="5">
        <f>MIN('Parameter &lt;x, y&gt;'!D501,'Parameter &lt;x, y&gt;'!I501,'Parameter &lt;x, y&gt;'!N501,'Parameter &lt;x, y&gt;'!S501)</f>
        <v>68718</v>
      </c>
      <c r="E501" s="5">
        <f>100*('Parameter &lt;x, y&gt;'!B501-B501)/B501</f>
        <v>0</v>
      </c>
      <c r="F501" s="5">
        <f>100*('Parameter &lt;x, y&gt;'!G501-B501)/B501</f>
        <v>11.224534360655298</v>
      </c>
      <c r="G501" s="5">
        <f>100*('Parameter &lt;x, y&gt;'!L501-B501)/B501</f>
        <v>75.926968810266487</v>
      </c>
      <c r="H501" s="5">
        <f>100*('Parameter &lt;x, y&gt;'!Q501-B501)/B501</f>
        <v>7.7035354800745699</v>
      </c>
      <c r="J501" s="5">
        <f>100*('Parameter &lt;x, y&gt;'!D501-C501)/C501</f>
        <v>47.708024098489481</v>
      </c>
      <c r="K501" s="5">
        <f>100*('Parameter &lt;x, y&gt;'!I501-C501)/C501</f>
        <v>9.9797724031549144</v>
      </c>
      <c r="L501" s="5">
        <f>100*('Parameter &lt;x, y&gt;'!N501-C501)/C501</f>
        <v>0</v>
      </c>
      <c r="M501" s="5">
        <f>100*('Parameter &lt;x, y&gt;'!S501-C501)/C501</f>
        <v>29.22873191885677</v>
      </c>
    </row>
    <row r="502" spans="1:13" ht="12.75" customHeight="1">
      <c r="A502" s="38"/>
      <c r="B502" s="5">
        <f>MIN('Parameter &lt;x, y&gt;'!B502,'Parameter &lt;x, y&gt;'!G502,'Parameter &lt;x, y&gt;'!L502,'Parameter &lt;x, y&gt;'!Q502)</f>
        <v>62687.8</v>
      </c>
      <c r="C502" s="5">
        <f>MIN('Parameter &lt;x, y&gt;'!D502,'Parameter &lt;x, y&gt;'!I502,'Parameter &lt;x, y&gt;'!N502,'Parameter &lt;x, y&gt;'!S502)</f>
        <v>59285</v>
      </c>
      <c r="E502" s="5">
        <f>100*('Parameter &lt;x, y&gt;'!B502-B502)/B502</f>
        <v>0</v>
      </c>
      <c r="F502" s="5">
        <f>100*('Parameter &lt;x, y&gt;'!G502-B502)/B502</f>
        <v>18.108308155653887</v>
      </c>
      <c r="G502" s="5">
        <f>100*('Parameter &lt;x, y&gt;'!L502-B502)/B502</f>
        <v>11.206486748617738</v>
      </c>
      <c r="H502" s="5">
        <f>100*('Parameter &lt;x, y&gt;'!Q502-B502)/B502</f>
        <v>58.427317596087285</v>
      </c>
      <c r="J502" s="5">
        <f>100*('Parameter &lt;x, y&gt;'!D502-C502)/C502</f>
        <v>0</v>
      </c>
      <c r="K502" s="5">
        <f>100*('Parameter &lt;x, y&gt;'!I502-C502)/C502</f>
        <v>12.516825503921744</v>
      </c>
      <c r="L502" s="5">
        <f>100*('Parameter &lt;x, y&gt;'!N502-C502)/C502</f>
        <v>2.665429703972332</v>
      </c>
      <c r="M502" s="5">
        <f>100*('Parameter &lt;x, y&gt;'!S502-C502)/C502</f>
        <v>16.153158471788807</v>
      </c>
    </row>
    <row r="503" spans="1:13" ht="12.75" customHeight="1">
      <c r="A503" s="38"/>
      <c r="B503" s="5">
        <f>MIN('Parameter &lt;x, y&gt;'!B503,'Parameter &lt;x, y&gt;'!G503,'Parameter &lt;x, y&gt;'!L503,'Parameter &lt;x, y&gt;'!Q503)</f>
        <v>64611</v>
      </c>
      <c r="C503" s="5">
        <f>MIN('Parameter &lt;x, y&gt;'!D503,'Parameter &lt;x, y&gt;'!I503,'Parameter &lt;x, y&gt;'!N503,'Parameter &lt;x, y&gt;'!S503)</f>
        <v>53913.1</v>
      </c>
      <c r="E503" s="5">
        <f>100*('Parameter &lt;x, y&gt;'!B503-B503)/B503</f>
        <v>0</v>
      </c>
      <c r="F503" s="5">
        <f>100*('Parameter &lt;x, y&gt;'!G503-B503)/B503</f>
        <v>5.7549024159972806</v>
      </c>
      <c r="G503" s="5">
        <f>100*('Parameter &lt;x, y&gt;'!L503-B503)/B503</f>
        <v>5.1652195446595828</v>
      </c>
      <c r="H503" s="5">
        <f>100*('Parameter &lt;x, y&gt;'!Q503-B503)/B503</f>
        <v>9.043042206435441</v>
      </c>
      <c r="J503" s="5">
        <f>100*('Parameter &lt;x, y&gt;'!D503-C503)/C503</f>
        <v>0</v>
      </c>
      <c r="K503" s="5">
        <f>100*('Parameter &lt;x, y&gt;'!I503-C503)/C503</f>
        <v>8.2690477824499027</v>
      </c>
      <c r="L503" s="5">
        <f>100*('Parameter &lt;x, y&gt;'!N503-C503)/C503</f>
        <v>44.338945451105594</v>
      </c>
      <c r="M503" s="5">
        <f>100*('Parameter &lt;x, y&gt;'!S503-C503)/C503</f>
        <v>15.459137018646674</v>
      </c>
    </row>
    <row r="504" spans="1:13" ht="12.75" customHeight="1">
      <c r="A504" s="38"/>
      <c r="B504" s="5">
        <f>MIN('Parameter &lt;x, y&gt;'!B504,'Parameter &lt;x, y&gt;'!G504,'Parameter &lt;x, y&gt;'!L504,'Parameter &lt;x, y&gt;'!Q504)</f>
        <v>76161.2</v>
      </c>
      <c r="C504" s="5">
        <f>MIN('Parameter &lt;x, y&gt;'!D504,'Parameter &lt;x, y&gt;'!I504,'Parameter &lt;x, y&gt;'!N504,'Parameter &lt;x, y&gt;'!S504)</f>
        <v>65314.1</v>
      </c>
      <c r="E504" s="5">
        <f>100*('Parameter &lt;x, y&gt;'!B504-B504)/B504</f>
        <v>1.6815648913094818</v>
      </c>
      <c r="F504" s="5">
        <f>100*('Parameter &lt;x, y&gt;'!G504-B504)/B504</f>
        <v>1.0391117787009774</v>
      </c>
      <c r="G504" s="5">
        <f>100*('Parameter &lt;x, y&gt;'!L504-B504)/B504</f>
        <v>43.898730587228151</v>
      </c>
      <c r="H504" s="5">
        <f>100*('Parameter &lt;x, y&gt;'!Q504-B504)/B504</f>
        <v>0</v>
      </c>
      <c r="J504" s="5">
        <f>100*('Parameter &lt;x, y&gt;'!D504-C504)/C504</f>
        <v>0</v>
      </c>
      <c r="K504" s="5">
        <f>100*('Parameter &lt;x, y&gt;'!I504-C504)/C504</f>
        <v>27.581640105275898</v>
      </c>
      <c r="L504" s="5">
        <f>100*('Parameter &lt;x, y&gt;'!N504-C504)/C504</f>
        <v>15.063056828464291</v>
      </c>
      <c r="M504" s="5">
        <f>100*('Parameter &lt;x, y&gt;'!S504-C504)/C504</f>
        <v>32.599239674128555</v>
      </c>
    </row>
    <row r="505" spans="1:13" ht="12.75" customHeight="1">
      <c r="A505" s="38"/>
      <c r="B505" s="5">
        <f>MIN('Parameter &lt;x, y&gt;'!B505,'Parameter &lt;x, y&gt;'!G505,'Parameter &lt;x, y&gt;'!L505,'Parameter &lt;x, y&gt;'!Q505)</f>
        <v>78377.8</v>
      </c>
      <c r="C505" s="5">
        <f>MIN('Parameter &lt;x, y&gt;'!D505,'Parameter &lt;x, y&gt;'!I505,'Parameter &lt;x, y&gt;'!N505,'Parameter &lt;x, y&gt;'!S505)</f>
        <v>66078.5</v>
      </c>
      <c r="E505" s="5">
        <f>100*('Parameter &lt;x, y&gt;'!B505-B505)/B505</f>
        <v>13.25247710448622</v>
      </c>
      <c r="F505" s="5">
        <f>100*('Parameter &lt;x, y&gt;'!G505-B505)/B505</f>
        <v>9.0437598401588239</v>
      </c>
      <c r="G505" s="5">
        <f>100*('Parameter &lt;x, y&gt;'!L505-B505)/B505</f>
        <v>40.867694678850384</v>
      </c>
      <c r="H505" s="5">
        <f>100*('Parameter &lt;x, y&gt;'!Q505-B505)/B505</f>
        <v>0</v>
      </c>
      <c r="J505" s="5">
        <f>100*('Parameter &lt;x, y&gt;'!D505-C505)/C505</f>
        <v>27.066595034693581</v>
      </c>
      <c r="K505" s="5">
        <f>100*('Parameter &lt;x, y&gt;'!I505-C505)/C505</f>
        <v>5.0347692517233202</v>
      </c>
      <c r="L505" s="5">
        <f>100*('Parameter &lt;x, y&gt;'!N505-C505)/C505</f>
        <v>0</v>
      </c>
      <c r="M505" s="5">
        <f>100*('Parameter &lt;x, y&gt;'!S505-C505)/C505</f>
        <v>15.338725909335118</v>
      </c>
    </row>
    <row r="506" spans="1:13" ht="12.75" customHeight="1">
      <c r="A506" s="38"/>
      <c r="B506" s="5">
        <f>MIN('Parameter &lt;x, y&gt;'!B506,'Parameter &lt;x, y&gt;'!G506,'Parameter &lt;x, y&gt;'!L506,'Parameter &lt;x, y&gt;'!Q506)</f>
        <v>78190.8</v>
      </c>
      <c r="C506" s="5">
        <f>MIN('Parameter &lt;x, y&gt;'!D506,'Parameter &lt;x, y&gt;'!I506,'Parameter &lt;x, y&gt;'!N506,'Parameter &lt;x, y&gt;'!S506)</f>
        <v>57636.7</v>
      </c>
      <c r="E506" s="5">
        <f>100*('Parameter &lt;x, y&gt;'!B506-B506)/B506</f>
        <v>3.3631833924195647</v>
      </c>
      <c r="F506" s="5">
        <f>100*('Parameter &lt;x, y&gt;'!G506-B506)/B506</f>
        <v>2.2954107132808499</v>
      </c>
      <c r="G506" s="5">
        <f>100*('Parameter &lt;x, y&gt;'!L506-B506)/B506</f>
        <v>0</v>
      </c>
      <c r="H506" s="5">
        <f>100*('Parameter &lt;x, y&gt;'!Q506-B506)/B506</f>
        <v>8.0196135606746459</v>
      </c>
      <c r="J506" s="5">
        <f>100*('Parameter &lt;x, y&gt;'!D506-C506)/C506</f>
        <v>16.135379020658728</v>
      </c>
      <c r="K506" s="5">
        <f>100*('Parameter &lt;x, y&gt;'!I506-C506)/C506</f>
        <v>14.421193440984668</v>
      </c>
      <c r="L506" s="5">
        <f>100*('Parameter &lt;x, y&gt;'!N506-C506)/C506</f>
        <v>0</v>
      </c>
      <c r="M506" s="5">
        <f>100*('Parameter &lt;x, y&gt;'!S506-C506)/C506</f>
        <v>21.537839605667912</v>
      </c>
    </row>
    <row r="507" spans="1:13" ht="12.75" customHeight="1">
      <c r="A507" s="38"/>
      <c r="B507" s="5">
        <f>MIN('Parameter &lt;x, y&gt;'!B507,'Parameter &lt;x, y&gt;'!G507,'Parameter &lt;x, y&gt;'!L507,'Parameter &lt;x, y&gt;'!Q507)</f>
        <v>87991.6</v>
      </c>
      <c r="C507" s="5">
        <f>MIN('Parameter &lt;x, y&gt;'!D507,'Parameter &lt;x, y&gt;'!I507,'Parameter &lt;x, y&gt;'!N507,'Parameter &lt;x, y&gt;'!S507)</f>
        <v>62782.2</v>
      </c>
      <c r="E507" s="5">
        <f>100*('Parameter &lt;x, y&gt;'!B507-B507)/B507</f>
        <v>3.6448933761859053</v>
      </c>
      <c r="F507" s="5">
        <f>100*('Parameter &lt;x, y&gt;'!G507-B507)/B507</f>
        <v>22.026420703794447</v>
      </c>
      <c r="G507" s="5">
        <f>100*('Parameter &lt;x, y&gt;'!L507-B507)/B507</f>
        <v>4.314730042413129</v>
      </c>
      <c r="H507" s="5">
        <f>100*('Parameter &lt;x, y&gt;'!Q507-B507)/B507</f>
        <v>0</v>
      </c>
      <c r="J507" s="5">
        <f>100*('Parameter &lt;x, y&gt;'!D507-C507)/C507</f>
        <v>13.962556265947992</v>
      </c>
      <c r="K507" s="5">
        <f>100*('Parameter &lt;x, y&gt;'!I507-C507)/C507</f>
        <v>25.104727136035379</v>
      </c>
      <c r="L507" s="5">
        <f>100*('Parameter &lt;x, y&gt;'!N507-C507)/C507</f>
        <v>0</v>
      </c>
      <c r="M507" s="5">
        <f>100*('Parameter &lt;x, y&gt;'!S507-C507)/C507</f>
        <v>22.348372627910464</v>
      </c>
    </row>
    <row r="508" spans="1:13" ht="12.75" customHeight="1">
      <c r="A508" s="38"/>
      <c r="B508" s="5">
        <f>MIN('Parameter &lt;x, y&gt;'!B508,'Parameter &lt;x, y&gt;'!G508,'Parameter &lt;x, y&gt;'!L508,'Parameter &lt;x, y&gt;'!Q508)</f>
        <v>79158</v>
      </c>
      <c r="C508" s="5">
        <f>MIN('Parameter &lt;x, y&gt;'!D508,'Parameter &lt;x, y&gt;'!I508,'Parameter &lt;x, y&gt;'!N508,'Parameter &lt;x, y&gt;'!S508)</f>
        <v>61650.9</v>
      </c>
      <c r="E508" s="5">
        <f>100*('Parameter &lt;x, y&gt;'!B508-B508)/B508</f>
        <v>44.972081154147403</v>
      </c>
      <c r="F508" s="5">
        <f>100*('Parameter &lt;x, y&gt;'!G508-B508)/B508</f>
        <v>22.129791050809771</v>
      </c>
      <c r="G508" s="5">
        <f>100*('Parameter &lt;x, y&gt;'!L508-B508)/B508</f>
        <v>0</v>
      </c>
      <c r="H508" s="5">
        <f>100*('Parameter &lt;x, y&gt;'!Q508-B508)/B508</f>
        <v>14.446676267717725</v>
      </c>
      <c r="J508" s="5">
        <f>100*('Parameter &lt;x, y&gt;'!D508-C508)/C508</f>
        <v>0</v>
      </c>
      <c r="K508" s="5">
        <f>100*('Parameter &lt;x, y&gt;'!I508-C508)/C508</f>
        <v>16.474049851664777</v>
      </c>
      <c r="L508" s="5">
        <f>100*('Parameter &lt;x, y&gt;'!N508-C508)/C508</f>
        <v>5.1556424967032113</v>
      </c>
      <c r="M508" s="5">
        <f>100*('Parameter &lt;x, y&gt;'!S508-C508)/C508</f>
        <v>17.671761482800729</v>
      </c>
    </row>
    <row r="509" spans="1:13" ht="12.75" customHeight="1">
      <c r="A509" s="38"/>
      <c r="B509" s="5">
        <f>MIN('Parameter &lt;x, y&gt;'!B509,'Parameter &lt;x, y&gt;'!G509,'Parameter &lt;x, y&gt;'!L509,'Parameter &lt;x, y&gt;'!Q509)</f>
        <v>72099.600000000006</v>
      </c>
      <c r="C509" s="5">
        <f>MIN('Parameter &lt;x, y&gt;'!D509,'Parameter &lt;x, y&gt;'!I509,'Parameter &lt;x, y&gt;'!N509,'Parameter &lt;x, y&gt;'!S509)</f>
        <v>53703.5</v>
      </c>
      <c r="E509" s="5">
        <f>100*('Parameter &lt;x, y&gt;'!B509-B509)/B509</f>
        <v>6.428607093520629</v>
      </c>
      <c r="F509" s="5">
        <f>100*('Parameter &lt;x, y&gt;'!G509-B509)/B509</f>
        <v>5.1176428163262875</v>
      </c>
      <c r="G509" s="5">
        <f>100*('Parameter &lt;x, y&gt;'!L509-B509)/B509</f>
        <v>0</v>
      </c>
      <c r="H509" s="5">
        <f>100*('Parameter &lt;x, y&gt;'!Q509-B509)/B509</f>
        <v>47.412745701779194</v>
      </c>
      <c r="J509" s="5">
        <f>100*('Parameter &lt;x, y&gt;'!D509-C509)/C509</f>
        <v>0</v>
      </c>
      <c r="K509" s="5">
        <f>100*('Parameter &lt;x, y&gt;'!I509-C509)/C509</f>
        <v>28.747288351783407</v>
      </c>
      <c r="L509" s="5">
        <f>100*('Parameter &lt;x, y&gt;'!N509-C509)/C509</f>
        <v>55.080953755341824</v>
      </c>
      <c r="M509" s="5">
        <f>100*('Parameter &lt;x, y&gt;'!S509-C509)/C509</f>
        <v>77.729198283165914</v>
      </c>
    </row>
    <row r="510" spans="1:13" ht="12.75" customHeight="1">
      <c r="A510" s="38"/>
      <c r="B510" s="5">
        <f>MIN('Parameter &lt;x, y&gt;'!B510,'Parameter &lt;x, y&gt;'!G510,'Parameter &lt;x, y&gt;'!L510,'Parameter &lt;x, y&gt;'!Q510)</f>
        <v>93654.8</v>
      </c>
      <c r="C510" s="5">
        <f>MIN('Parameter &lt;x, y&gt;'!D510,'Parameter &lt;x, y&gt;'!I510,'Parameter &lt;x, y&gt;'!N510,'Parameter &lt;x, y&gt;'!S510)</f>
        <v>52771.7</v>
      </c>
      <c r="E510" s="5">
        <f>100*('Parameter &lt;x, y&gt;'!B510-B510)/B510</f>
        <v>0</v>
      </c>
      <c r="F510" s="5">
        <f>100*('Parameter &lt;x, y&gt;'!G510-B510)/B510</f>
        <v>4.5710417405194397</v>
      </c>
      <c r="G510" s="5">
        <f>100*('Parameter &lt;x, y&gt;'!L510-B510)/B510</f>
        <v>7.2203453533614912</v>
      </c>
      <c r="H510" s="5">
        <f>100*('Parameter &lt;x, y&gt;'!Q510-B510)/B510</f>
        <v>3.4882355202296029</v>
      </c>
      <c r="J510" s="5">
        <f>100*('Parameter &lt;x, y&gt;'!D510-C510)/C510</f>
        <v>0</v>
      </c>
      <c r="K510" s="5">
        <f>100*('Parameter &lt;x, y&gt;'!I510-C510)/C510</f>
        <v>54.029337694256576</v>
      </c>
      <c r="L510" s="5">
        <f>100*('Parameter &lt;x, y&gt;'!N510-C510)/C510</f>
        <v>9.4429400606764702</v>
      </c>
      <c r="M510" s="5">
        <f>100*('Parameter &lt;x, y&gt;'!S510-C510)/C510</f>
        <v>48.371759863714843</v>
      </c>
    </row>
    <row r="511" spans="1:13" ht="12.75" customHeight="1">
      <c r="A511" s="38"/>
      <c r="B511" s="5">
        <f>MIN('Parameter &lt;x, y&gt;'!B511,'Parameter &lt;x, y&gt;'!G511,'Parameter &lt;x, y&gt;'!L511,'Parameter &lt;x, y&gt;'!Q511)</f>
        <v>75053.100000000006</v>
      </c>
      <c r="C511" s="5">
        <f>MIN('Parameter &lt;x, y&gt;'!D511,'Parameter &lt;x, y&gt;'!I511,'Parameter &lt;x, y&gt;'!N511,'Parameter &lt;x, y&gt;'!S511)</f>
        <v>61296.800000000003</v>
      </c>
      <c r="E511" s="5">
        <f>100*('Parameter &lt;x, y&gt;'!B511-B511)/B511</f>
        <v>0</v>
      </c>
      <c r="F511" s="5">
        <f>100*('Parameter &lt;x, y&gt;'!G511-B511)/B511</f>
        <v>31.308766726490969</v>
      </c>
      <c r="G511" s="5">
        <f>100*('Parameter &lt;x, y&gt;'!L511-B511)/B511</f>
        <v>13.326431553127044</v>
      </c>
      <c r="H511" s="5">
        <f>100*('Parameter &lt;x, y&gt;'!Q511-B511)/B511</f>
        <v>4.0192876776575401</v>
      </c>
      <c r="J511" s="5">
        <f>100*('Parameter &lt;x, y&gt;'!D511-C511)/C511</f>
        <v>43.970974014956738</v>
      </c>
      <c r="K511" s="5">
        <f>100*('Parameter &lt;x, y&gt;'!I511-C511)/C511</f>
        <v>9.139791963038844</v>
      </c>
      <c r="L511" s="5">
        <f>100*('Parameter &lt;x, y&gt;'!N511-C511)/C511</f>
        <v>40.38024823481814</v>
      </c>
      <c r="M511" s="5">
        <f>100*('Parameter &lt;x, y&gt;'!S511-C511)/C511</f>
        <v>0</v>
      </c>
    </row>
    <row r="512" spans="1:13" ht="12.75" customHeight="1">
      <c r="A512" s="38"/>
      <c r="B512" s="5">
        <f>MIN('Parameter &lt;x, y&gt;'!B512,'Parameter &lt;x, y&gt;'!G512,'Parameter &lt;x, y&gt;'!L512,'Parameter &lt;x, y&gt;'!Q512)</f>
        <v>79051</v>
      </c>
      <c r="C512" s="5">
        <f>MIN('Parameter &lt;x, y&gt;'!D512,'Parameter &lt;x, y&gt;'!I512,'Parameter &lt;x, y&gt;'!N512,'Parameter &lt;x, y&gt;'!S512)</f>
        <v>56999.5</v>
      </c>
      <c r="E512" s="5">
        <f>100*('Parameter &lt;x, y&gt;'!B512-B512)/B512</f>
        <v>15.69910564066236</v>
      </c>
      <c r="F512" s="5">
        <f>100*('Parameter &lt;x, y&gt;'!G512-B512)/B512</f>
        <v>0</v>
      </c>
      <c r="G512" s="5">
        <f>100*('Parameter &lt;x, y&gt;'!L512-B512)/B512</f>
        <v>34.769958634299378</v>
      </c>
      <c r="H512" s="5">
        <f>100*('Parameter &lt;x, y&gt;'!Q512-B512)/B512</f>
        <v>6.203084084957819</v>
      </c>
      <c r="J512" s="5">
        <f>100*('Parameter &lt;x, y&gt;'!D512-C512)/C512</f>
        <v>58.514372933095899</v>
      </c>
      <c r="K512" s="5">
        <f>100*('Parameter &lt;x, y&gt;'!I512-C512)/C512</f>
        <v>51.813086079702444</v>
      </c>
      <c r="L512" s="5">
        <f>100*('Parameter &lt;x, y&gt;'!N512-C512)/C512</f>
        <v>0</v>
      </c>
      <c r="M512" s="5">
        <f>100*('Parameter &lt;x, y&gt;'!S512-C512)/C512</f>
        <v>81.25071272555023</v>
      </c>
    </row>
    <row r="513" spans="1:13" ht="12.75" customHeight="1">
      <c r="A513" s="38"/>
      <c r="B513" s="5">
        <f>MIN('Parameter &lt;x, y&gt;'!B513,'Parameter &lt;x, y&gt;'!G513,'Parameter &lt;x, y&gt;'!L513,'Parameter &lt;x, y&gt;'!Q513)</f>
        <v>87982.3</v>
      </c>
      <c r="C513" s="5">
        <f>MIN('Parameter &lt;x, y&gt;'!D513,'Parameter &lt;x, y&gt;'!I513,'Parameter &lt;x, y&gt;'!N513,'Parameter &lt;x, y&gt;'!S513)</f>
        <v>77347.100000000006</v>
      </c>
      <c r="E513" s="5">
        <f>100*('Parameter &lt;x, y&gt;'!B513-B513)/B513</f>
        <v>0</v>
      </c>
      <c r="F513" s="5">
        <f>100*('Parameter &lt;x, y&gt;'!G513-B513)/B513</f>
        <v>2.1763468333971754</v>
      </c>
      <c r="G513" s="5">
        <f>100*('Parameter &lt;x, y&gt;'!L513-B513)/B513</f>
        <v>0.62728526078540137</v>
      </c>
      <c r="H513" s="5">
        <f>100*('Parameter &lt;x, y&gt;'!Q513-B513)/B513</f>
        <v>4.491812557753093</v>
      </c>
      <c r="J513" s="5">
        <f>100*('Parameter &lt;x, y&gt;'!D513-C513)/C513</f>
        <v>0</v>
      </c>
      <c r="K513" s="5">
        <f>100*('Parameter &lt;x, y&gt;'!I513-C513)/C513</f>
        <v>9.6264759764748611</v>
      </c>
      <c r="L513" s="5">
        <f>100*('Parameter &lt;x, y&gt;'!N513-C513)/C513</f>
        <v>0.9068213287893071</v>
      </c>
      <c r="M513" s="5">
        <f>100*('Parameter &lt;x, y&gt;'!S513-C513)/C513</f>
        <v>8.5867472730069903</v>
      </c>
    </row>
    <row r="514" spans="1:13" ht="12.75" customHeight="1">
      <c r="A514" s="38"/>
      <c r="B514" s="5">
        <f>MIN('Parameter &lt;x, y&gt;'!B514,'Parameter &lt;x, y&gt;'!G514,'Parameter &lt;x, y&gt;'!L514,'Parameter &lt;x, y&gt;'!Q514)</f>
        <v>74008.5</v>
      </c>
      <c r="C514" s="5">
        <f>MIN('Parameter &lt;x, y&gt;'!D514,'Parameter &lt;x, y&gt;'!I514,'Parameter &lt;x, y&gt;'!N514,'Parameter &lt;x, y&gt;'!S514)</f>
        <v>56008.9</v>
      </c>
      <c r="E514" s="5">
        <f>100*('Parameter &lt;x, y&gt;'!B514-B514)/B514</f>
        <v>12.164548666707205</v>
      </c>
      <c r="F514" s="5">
        <f>100*('Parameter &lt;x, y&gt;'!G514-B514)/B514</f>
        <v>12.168737374760999</v>
      </c>
      <c r="G514" s="5">
        <f>100*('Parameter &lt;x, y&gt;'!L514-B514)/B514</f>
        <v>0</v>
      </c>
      <c r="H514" s="5">
        <f>100*('Parameter &lt;x, y&gt;'!Q514-B514)/B514</f>
        <v>11.104400170250711</v>
      </c>
      <c r="J514" s="5">
        <f>100*('Parameter &lt;x, y&gt;'!D514-C514)/C514</f>
        <v>10.656520660109374</v>
      </c>
      <c r="K514" s="5">
        <f>100*('Parameter &lt;x, y&gt;'!I514-C514)/C514</f>
        <v>0</v>
      </c>
      <c r="L514" s="5">
        <f>100*('Parameter &lt;x, y&gt;'!N514-C514)/C514</f>
        <v>1.1485674598144144</v>
      </c>
      <c r="M514" s="5">
        <f>100*('Parameter &lt;x, y&gt;'!S514-C514)/C514</f>
        <v>16.888387381291189</v>
      </c>
    </row>
    <row r="515" spans="1:13" ht="12.75" customHeight="1">
      <c r="A515" s="38"/>
      <c r="B515" s="5">
        <f>MIN('Parameter &lt;x, y&gt;'!B515,'Parameter &lt;x, y&gt;'!G515,'Parameter &lt;x, y&gt;'!L515,'Parameter &lt;x, y&gt;'!Q515)</f>
        <v>91660.4</v>
      </c>
      <c r="C515" s="5">
        <f>MIN('Parameter &lt;x, y&gt;'!D515,'Parameter &lt;x, y&gt;'!I515,'Parameter &lt;x, y&gt;'!N515,'Parameter &lt;x, y&gt;'!S515)</f>
        <v>73797</v>
      </c>
      <c r="E515" s="5">
        <f>100*('Parameter &lt;x, y&gt;'!B515-B515)/B515</f>
        <v>0.9917041601389478</v>
      </c>
      <c r="F515" s="5">
        <f>100*('Parameter &lt;x, y&gt;'!G515-B515)/B515</f>
        <v>3.7029076896893383</v>
      </c>
      <c r="G515" s="5">
        <f>100*('Parameter &lt;x, y&gt;'!L515-B515)/B515</f>
        <v>2.4895156468878699</v>
      </c>
      <c r="H515" s="5">
        <f>100*('Parameter &lt;x, y&gt;'!Q515-B515)/B515</f>
        <v>0</v>
      </c>
      <c r="J515" s="5">
        <f>100*('Parameter &lt;x, y&gt;'!D515-C515)/C515</f>
        <v>0</v>
      </c>
      <c r="K515" s="5">
        <f>100*('Parameter &lt;x, y&gt;'!I515-C515)/C515</f>
        <v>11.28026884561703</v>
      </c>
      <c r="L515" s="5">
        <f>100*('Parameter &lt;x, y&gt;'!N515-C515)/C515</f>
        <v>14.104231879344688</v>
      </c>
      <c r="M515" s="5">
        <f>100*('Parameter &lt;x, y&gt;'!S515-C515)/C515</f>
        <v>21.861864303426962</v>
      </c>
    </row>
    <row r="516" spans="1:13" ht="12.75" customHeight="1">
      <c r="A516" s="38"/>
      <c r="B516" s="5">
        <f>MIN('Parameter &lt;x, y&gt;'!B516,'Parameter &lt;x, y&gt;'!G516,'Parameter &lt;x, y&gt;'!L516,'Parameter &lt;x, y&gt;'!Q516)</f>
        <v>82285.2</v>
      </c>
      <c r="C516" s="5">
        <f>MIN('Parameter &lt;x, y&gt;'!D516,'Parameter &lt;x, y&gt;'!I516,'Parameter &lt;x, y&gt;'!N516,'Parameter &lt;x, y&gt;'!S516)</f>
        <v>55785.5</v>
      </c>
      <c r="E516" s="5">
        <f>100*('Parameter &lt;x, y&gt;'!B516-B516)/B516</f>
        <v>0</v>
      </c>
      <c r="F516" s="5">
        <f>100*('Parameter &lt;x, y&gt;'!G516-B516)/B516</f>
        <v>4.2672315313081857</v>
      </c>
      <c r="G516" s="5">
        <f>100*('Parameter &lt;x, y&gt;'!L516-B516)/B516</f>
        <v>25.07109419433872</v>
      </c>
      <c r="H516" s="5">
        <f>100*('Parameter &lt;x, y&gt;'!Q516-B516)/B516</f>
        <v>14.809467559172246</v>
      </c>
      <c r="J516" s="5">
        <f>100*('Parameter &lt;x, y&gt;'!D516-C516)/C516</f>
        <v>40.018463579245505</v>
      </c>
      <c r="K516" s="5">
        <f>100*('Parameter &lt;x, y&gt;'!I516-C516)/C516</f>
        <v>35.880829247743591</v>
      </c>
      <c r="L516" s="5">
        <f>100*('Parameter &lt;x, y&gt;'!N516-C516)/C516</f>
        <v>0</v>
      </c>
      <c r="M516" s="5">
        <f>100*('Parameter &lt;x, y&gt;'!S516-C516)/C516</f>
        <v>129.93430192433519</v>
      </c>
    </row>
    <row r="517" spans="1:13" ht="12.75" customHeight="1">
      <c r="A517" s="38"/>
      <c r="B517" s="5">
        <f>MIN('Parameter &lt;x, y&gt;'!B517,'Parameter &lt;x, y&gt;'!G517,'Parameter &lt;x, y&gt;'!L517,'Parameter &lt;x, y&gt;'!Q517)</f>
        <v>69454.8</v>
      </c>
      <c r="C517" s="5">
        <f>MIN('Parameter &lt;x, y&gt;'!D517,'Parameter &lt;x, y&gt;'!I517,'Parameter &lt;x, y&gt;'!N517,'Parameter &lt;x, y&gt;'!S517)</f>
        <v>54397.3</v>
      </c>
      <c r="E517" s="5">
        <f>100*('Parameter &lt;x, y&gt;'!B517-B517)/B517</f>
        <v>0</v>
      </c>
      <c r="F517" s="5">
        <f>100*('Parameter &lt;x, y&gt;'!G517-B517)/B517</f>
        <v>2.7944792872486768</v>
      </c>
      <c r="G517" s="5">
        <f>100*('Parameter &lt;x, y&gt;'!L517-B517)/B517</f>
        <v>30.659220097099126</v>
      </c>
      <c r="H517" s="5">
        <f>100*('Parameter &lt;x, y&gt;'!Q517-B517)/B517</f>
        <v>5.1059106066103466</v>
      </c>
      <c r="J517" s="5">
        <f>100*('Parameter &lt;x, y&gt;'!D517-C517)/C517</f>
        <v>12.040854968904695</v>
      </c>
      <c r="K517" s="5">
        <f>100*('Parameter &lt;x, y&gt;'!I517-C517)/C517</f>
        <v>18.886599151060796</v>
      </c>
      <c r="L517" s="5">
        <f>100*('Parameter &lt;x, y&gt;'!N517-C517)/C517</f>
        <v>0</v>
      </c>
      <c r="M517" s="5">
        <f>100*('Parameter &lt;x, y&gt;'!S517-C517)/C517</f>
        <v>17.849231487592213</v>
      </c>
    </row>
    <row r="518" spans="1:13" ht="12.75" customHeight="1">
      <c r="A518" s="38"/>
      <c r="B518" s="5">
        <f>MIN('Parameter &lt;x, y&gt;'!B518,'Parameter &lt;x, y&gt;'!G518,'Parameter &lt;x, y&gt;'!L518,'Parameter &lt;x, y&gt;'!Q518)</f>
        <v>76857.8</v>
      </c>
      <c r="C518" s="5">
        <f>MIN('Parameter &lt;x, y&gt;'!D518,'Parameter &lt;x, y&gt;'!I518,'Parameter &lt;x, y&gt;'!N518,'Parameter &lt;x, y&gt;'!S518)</f>
        <v>69446.2</v>
      </c>
      <c r="E518" s="5">
        <f>100*('Parameter &lt;x, y&gt;'!B518-B518)/B518</f>
        <v>11.694844244826152</v>
      </c>
      <c r="F518" s="5">
        <f>100*('Parameter &lt;x, y&gt;'!G518-B518)/B518</f>
        <v>0</v>
      </c>
      <c r="G518" s="5">
        <f>100*('Parameter &lt;x, y&gt;'!L518-B518)/B518</f>
        <v>53.810023185675355</v>
      </c>
      <c r="H518" s="5">
        <f>100*('Parameter &lt;x, y&gt;'!Q518-B518)/B518</f>
        <v>30.578809177467992</v>
      </c>
      <c r="J518" s="5">
        <f>100*('Parameter &lt;x, y&gt;'!D518-C518)/C518</f>
        <v>0</v>
      </c>
      <c r="K518" s="5">
        <f>100*('Parameter &lt;x, y&gt;'!I518-C518)/C518</f>
        <v>29.846125489947614</v>
      </c>
      <c r="L518" s="5">
        <f>100*('Parameter &lt;x, y&gt;'!N518-C518)/C518</f>
        <v>119.84068242754823</v>
      </c>
      <c r="M518" s="5">
        <f>100*('Parameter &lt;x, y&gt;'!S518-C518)/C518</f>
        <v>13.789955389927751</v>
      </c>
    </row>
    <row r="519" spans="1:13" ht="12.75" customHeight="1">
      <c r="A519" s="38"/>
      <c r="B519" s="5">
        <f>MIN('Parameter &lt;x, y&gt;'!B519,'Parameter &lt;x, y&gt;'!G519,'Parameter &lt;x, y&gt;'!L519,'Parameter &lt;x, y&gt;'!Q519)</f>
        <v>66627.899999999994</v>
      </c>
      <c r="C519" s="5">
        <f>MIN('Parameter &lt;x, y&gt;'!D519,'Parameter &lt;x, y&gt;'!I519,'Parameter &lt;x, y&gt;'!N519,'Parameter &lt;x, y&gt;'!S519)</f>
        <v>52398.9</v>
      </c>
      <c r="E519" s="5">
        <f>100*('Parameter &lt;x, y&gt;'!B519-B519)/B519</f>
        <v>0</v>
      </c>
      <c r="F519" s="5">
        <f>100*('Parameter &lt;x, y&gt;'!G519-B519)/B519</f>
        <v>31.571909065121385</v>
      </c>
      <c r="G519" s="5">
        <f>100*('Parameter &lt;x, y&gt;'!L519-B519)/B519</f>
        <v>7.0860705500248446</v>
      </c>
      <c r="H519" s="5">
        <f>100*('Parameter &lt;x, y&gt;'!Q519-B519)/B519</f>
        <v>7.4219658731552496</v>
      </c>
      <c r="J519" s="5">
        <f>100*('Parameter &lt;x, y&gt;'!D519-C519)/C519</f>
        <v>36.866041081015062</v>
      </c>
      <c r="K519" s="5">
        <f>100*('Parameter &lt;x, y&gt;'!I519-C519)/C519</f>
        <v>17.368494376790355</v>
      </c>
      <c r="L519" s="5">
        <f>100*('Parameter &lt;x, y&gt;'!N519-C519)/C519</f>
        <v>0</v>
      </c>
      <c r="M519" s="5">
        <f>100*('Parameter &lt;x, y&gt;'!S519-C519)/C519</f>
        <v>6.7608289486993023</v>
      </c>
    </row>
    <row r="520" spans="1:13" ht="12.75" customHeight="1">
      <c r="A520" s="38"/>
      <c r="B520" s="5">
        <f>MIN('Parameter &lt;x, y&gt;'!B520,'Parameter &lt;x, y&gt;'!G520,'Parameter &lt;x, y&gt;'!L520,'Parameter &lt;x, y&gt;'!Q520)</f>
        <v>71039</v>
      </c>
      <c r="C520" s="5">
        <f>MIN('Parameter &lt;x, y&gt;'!D520,'Parameter &lt;x, y&gt;'!I520,'Parameter &lt;x, y&gt;'!N520,'Parameter &lt;x, y&gt;'!S520)</f>
        <v>54923.9</v>
      </c>
      <c r="E520" s="5">
        <f>100*('Parameter &lt;x, y&gt;'!B520-B520)/B520</f>
        <v>2.4877883979222721</v>
      </c>
      <c r="F520" s="5">
        <f>100*('Parameter &lt;x, y&gt;'!G520-B520)/B520</f>
        <v>0</v>
      </c>
      <c r="G520" s="5">
        <f>100*('Parameter &lt;x, y&gt;'!L520-B520)/B520</f>
        <v>4.0272244823266012</v>
      </c>
      <c r="H520" s="5">
        <f>100*('Parameter &lt;x, y&gt;'!Q520-B520)/B520</f>
        <v>10.242824364081693</v>
      </c>
      <c r="J520" s="5">
        <f>100*('Parameter &lt;x, y&gt;'!D520-C520)/C520</f>
        <v>22.097483973279385</v>
      </c>
      <c r="K520" s="5">
        <f>100*('Parameter &lt;x, y&gt;'!I520-C520)/C520</f>
        <v>13.13380877905611</v>
      </c>
      <c r="L520" s="5">
        <f>100*('Parameter &lt;x, y&gt;'!N520-C520)/C520</f>
        <v>0</v>
      </c>
      <c r="M520" s="5">
        <f>100*('Parameter &lt;x, y&gt;'!S520-C520)/C520</f>
        <v>17.16393045650436</v>
      </c>
    </row>
    <row r="521" spans="1:13" ht="12.75" customHeight="1">
      <c r="A521" s="38"/>
      <c r="B521" s="5">
        <f>MIN('Parameter &lt;x, y&gt;'!B521,'Parameter &lt;x, y&gt;'!G521,'Parameter &lt;x, y&gt;'!L521,'Parameter &lt;x, y&gt;'!Q521)</f>
        <v>75371</v>
      </c>
      <c r="C521" s="5">
        <f>MIN('Parameter &lt;x, y&gt;'!D521,'Parameter &lt;x, y&gt;'!I521,'Parameter &lt;x, y&gt;'!N521,'Parameter &lt;x, y&gt;'!S521)</f>
        <v>64304</v>
      </c>
      <c r="E521" s="5">
        <f>100*('Parameter &lt;x, y&gt;'!B521-B521)/B521</f>
        <v>4.1245306550264651</v>
      </c>
      <c r="F521" s="5">
        <f>100*('Parameter &lt;x, y&gt;'!G521-B521)/B521</f>
        <v>0</v>
      </c>
      <c r="G521" s="5">
        <f>100*('Parameter &lt;x, y&gt;'!L521-B521)/B521</f>
        <v>12.304997943506116</v>
      </c>
      <c r="H521" s="5">
        <f>100*('Parameter &lt;x, y&gt;'!Q521-B521)/B521</f>
        <v>5.5677913255761498</v>
      </c>
      <c r="J521" s="5">
        <f>100*('Parameter &lt;x, y&gt;'!D521-C521)/C521</f>
        <v>31.424794725055978</v>
      </c>
      <c r="K521" s="5">
        <f>100*('Parameter &lt;x, y&gt;'!I521-C521)/C521</f>
        <v>10.478974869370481</v>
      </c>
      <c r="L521" s="5">
        <f>100*('Parameter &lt;x, y&gt;'!N521-C521)/C521</f>
        <v>0</v>
      </c>
      <c r="M521" s="5">
        <f>100*('Parameter &lt;x, y&gt;'!S521-C521)/C521</f>
        <v>12.2189910425479</v>
      </c>
    </row>
    <row r="522" spans="1:13" ht="12.75" customHeight="1">
      <c r="A522" s="38"/>
      <c r="B522" s="5">
        <f>MIN('Parameter &lt;x, y&gt;'!B522,'Parameter &lt;x, y&gt;'!G522,'Parameter &lt;x, y&gt;'!L522,'Parameter &lt;x, y&gt;'!Q522)</f>
        <v>73648.899999999994</v>
      </c>
      <c r="C522" s="5">
        <f>MIN('Parameter &lt;x, y&gt;'!D522,'Parameter &lt;x, y&gt;'!I522,'Parameter &lt;x, y&gt;'!N522,'Parameter &lt;x, y&gt;'!S522)</f>
        <v>52715.6</v>
      </c>
      <c r="E522" s="5">
        <f>100*('Parameter &lt;x, y&gt;'!B522-B522)/B522</f>
        <v>28.208296390034349</v>
      </c>
      <c r="F522" s="5">
        <f>100*('Parameter &lt;x, y&gt;'!G522-B522)/B522</f>
        <v>12.674187937633841</v>
      </c>
      <c r="G522" s="5">
        <f>100*('Parameter &lt;x, y&gt;'!L522-B522)/B522</f>
        <v>41.476654776921322</v>
      </c>
      <c r="H522" s="5">
        <f>100*('Parameter &lt;x, y&gt;'!Q522-B522)/B522</f>
        <v>0</v>
      </c>
      <c r="J522" s="5">
        <f>100*('Parameter &lt;x, y&gt;'!D522-C522)/C522</f>
        <v>30.075916806410255</v>
      </c>
      <c r="K522" s="5">
        <f>100*('Parameter &lt;x, y&gt;'!I522-C522)/C522</f>
        <v>0</v>
      </c>
      <c r="L522" s="5">
        <f>100*('Parameter &lt;x, y&gt;'!N522-C522)/C522</f>
        <v>27.656898527191206</v>
      </c>
      <c r="M522" s="5">
        <f>100*('Parameter &lt;x, y&gt;'!S522-C522)/C522</f>
        <v>24.073329337046346</v>
      </c>
    </row>
    <row r="523" spans="1:13" ht="12.75" customHeight="1">
      <c r="A523" s="38"/>
      <c r="B523" s="5">
        <f>MIN('Parameter &lt;x, y&gt;'!B523,'Parameter &lt;x, y&gt;'!G523,'Parameter &lt;x, y&gt;'!L523,'Parameter &lt;x, y&gt;'!Q523)</f>
        <v>65517.7</v>
      </c>
      <c r="C523" s="5">
        <f>MIN('Parameter &lt;x, y&gt;'!D523,'Parameter &lt;x, y&gt;'!I523,'Parameter &lt;x, y&gt;'!N523,'Parameter &lt;x, y&gt;'!S523)</f>
        <v>60992.4</v>
      </c>
      <c r="E523" s="5">
        <f>100*('Parameter &lt;x, y&gt;'!B523-B523)/B523</f>
        <v>0</v>
      </c>
      <c r="F523" s="5">
        <f>100*('Parameter &lt;x, y&gt;'!G523-B523)/B523</f>
        <v>0.34357127921158076</v>
      </c>
      <c r="G523" s="5">
        <f>100*('Parameter &lt;x, y&gt;'!L523-B523)/B523</f>
        <v>28.239849689473235</v>
      </c>
      <c r="H523" s="5">
        <f>100*('Parameter &lt;x, y&gt;'!Q523-B523)/B523</f>
        <v>28.015024947456951</v>
      </c>
      <c r="J523" s="5">
        <f>100*('Parameter &lt;x, y&gt;'!D523-C523)/C523</f>
        <v>26.949751116532543</v>
      </c>
      <c r="K523" s="5">
        <f>100*('Parameter &lt;x, y&gt;'!I523-C523)/C523</f>
        <v>0</v>
      </c>
      <c r="L523" s="5">
        <f>100*('Parameter &lt;x, y&gt;'!N523-C523)/C523</f>
        <v>9.1944242233458606</v>
      </c>
      <c r="M523" s="5">
        <f>100*('Parameter &lt;x, y&gt;'!S523-C523)/C523</f>
        <v>5.5711859182455514</v>
      </c>
    </row>
    <row r="524" spans="1:13" ht="12.75" customHeight="1">
      <c r="A524" s="38"/>
      <c r="B524" s="5">
        <f>MIN('Parameter &lt;x, y&gt;'!B524,'Parameter &lt;x, y&gt;'!G524,'Parameter &lt;x, y&gt;'!L524,'Parameter &lt;x, y&gt;'!Q524)</f>
        <v>71937.7</v>
      </c>
      <c r="C524" s="5">
        <f>MIN('Parameter &lt;x, y&gt;'!D524,'Parameter &lt;x, y&gt;'!I524,'Parameter &lt;x, y&gt;'!N524,'Parameter &lt;x, y&gt;'!S524)</f>
        <v>53038.9</v>
      </c>
      <c r="E524" s="5">
        <f>100*('Parameter &lt;x, y&gt;'!B524-B524)/B524</f>
        <v>0</v>
      </c>
      <c r="F524" s="5">
        <f>100*('Parameter &lt;x, y&gt;'!G524-B524)/B524</f>
        <v>1.86383495719213</v>
      </c>
      <c r="G524" s="5">
        <f>100*('Parameter &lt;x, y&gt;'!L524-B524)/B524</f>
        <v>2.0957022534776701</v>
      </c>
      <c r="H524" s="5">
        <f>100*('Parameter &lt;x, y&gt;'!Q524-B524)/B524</f>
        <v>4.6855821078516513</v>
      </c>
      <c r="J524" s="5">
        <f>100*('Parameter &lt;x, y&gt;'!D524-C524)/C524</f>
        <v>14.390004317585763</v>
      </c>
      <c r="K524" s="5">
        <f>100*('Parameter &lt;x, y&gt;'!I524-C524)/C524</f>
        <v>12.181059561944153</v>
      </c>
      <c r="L524" s="5">
        <f>100*('Parameter &lt;x, y&gt;'!N524-C524)/C524</f>
        <v>0</v>
      </c>
      <c r="M524" s="5">
        <f>100*('Parameter &lt;x, y&gt;'!S524-C524)/C524</f>
        <v>29.138613357365998</v>
      </c>
    </row>
    <row r="525" spans="1:13" ht="12.75" customHeight="1">
      <c r="A525" s="38"/>
      <c r="B525" s="5">
        <f>MIN('Parameter &lt;x, y&gt;'!B525,'Parameter &lt;x, y&gt;'!G525,'Parameter &lt;x, y&gt;'!L525,'Parameter &lt;x, y&gt;'!Q525)</f>
        <v>62106.3</v>
      </c>
      <c r="C525" s="5">
        <f>MIN('Parameter &lt;x, y&gt;'!D525,'Parameter &lt;x, y&gt;'!I525,'Parameter &lt;x, y&gt;'!N525,'Parameter &lt;x, y&gt;'!S525)</f>
        <v>49252.5</v>
      </c>
      <c r="E525" s="5">
        <f>100*('Parameter &lt;x, y&gt;'!B525-B525)/B525</f>
        <v>0.46178890064292288</v>
      </c>
      <c r="F525" s="5">
        <f>100*('Parameter &lt;x, y&gt;'!G525-B525)/B525</f>
        <v>2.3076563891263802</v>
      </c>
      <c r="G525" s="5">
        <f>100*('Parameter &lt;x, y&gt;'!L525-B525)/B525</f>
        <v>0</v>
      </c>
      <c r="H525" s="5">
        <f>100*('Parameter &lt;x, y&gt;'!Q525-B525)/B525</f>
        <v>13.321836915095565</v>
      </c>
      <c r="J525" s="5">
        <f>100*('Parameter &lt;x, y&gt;'!D525-C525)/C525</f>
        <v>0</v>
      </c>
      <c r="K525" s="5">
        <f>100*('Parameter &lt;x, y&gt;'!I525-C525)/C525</f>
        <v>5.8328003654636875</v>
      </c>
      <c r="L525" s="5">
        <f>100*('Parameter &lt;x, y&gt;'!N525-C525)/C525</f>
        <v>12.675092634891634</v>
      </c>
      <c r="M525" s="5">
        <f>100*('Parameter &lt;x, y&gt;'!S525-C525)/C525</f>
        <v>19.627227044312473</v>
      </c>
    </row>
    <row r="526" spans="1:13" ht="12.75" customHeight="1">
      <c r="A526" s="38"/>
      <c r="B526" s="5">
        <f>MIN('Parameter &lt;x, y&gt;'!B526,'Parameter &lt;x, y&gt;'!G526,'Parameter &lt;x, y&gt;'!L526,'Parameter &lt;x, y&gt;'!Q526)</f>
        <v>76933.3</v>
      </c>
      <c r="C526" s="5">
        <f>MIN('Parameter &lt;x, y&gt;'!D526,'Parameter &lt;x, y&gt;'!I526,'Parameter &lt;x, y&gt;'!N526,'Parameter &lt;x, y&gt;'!S526)</f>
        <v>71439.899999999994</v>
      </c>
      <c r="E526" s="5">
        <f>100*('Parameter &lt;x, y&gt;'!B526-B526)/B526</f>
        <v>0</v>
      </c>
      <c r="F526" s="5">
        <f>100*('Parameter &lt;x, y&gt;'!G526-B526)/B526</f>
        <v>39.279089808964379</v>
      </c>
      <c r="G526" s="5">
        <f>100*('Parameter &lt;x, y&gt;'!L526-B526)/B526</f>
        <v>51.761330919120837</v>
      </c>
      <c r="H526" s="5">
        <f>100*('Parameter &lt;x, y&gt;'!Q526-B526)/B526</f>
        <v>60.984905106111398</v>
      </c>
      <c r="J526" s="5">
        <f>100*('Parameter &lt;x, y&gt;'!D526-C526)/C526</f>
        <v>92.714435490531216</v>
      </c>
      <c r="K526" s="5">
        <f>100*('Parameter &lt;x, y&gt;'!I526-C526)/C526</f>
        <v>3.1545396900051736</v>
      </c>
      <c r="L526" s="5">
        <f>100*('Parameter &lt;x, y&gt;'!N526-C526)/C526</f>
        <v>51.12703125284331</v>
      </c>
      <c r="M526" s="5">
        <f>100*('Parameter &lt;x, y&gt;'!S526-C526)/C526</f>
        <v>0</v>
      </c>
    </row>
    <row r="527" spans="1:13" ht="12.75" customHeight="1">
      <c r="A527" s="38"/>
      <c r="B527" s="5">
        <f>MIN('Parameter &lt;x, y&gt;'!B527,'Parameter &lt;x, y&gt;'!G527,'Parameter &lt;x, y&gt;'!L527,'Parameter &lt;x, y&gt;'!Q527)</f>
        <v>65369.599999999999</v>
      </c>
      <c r="C527" s="5">
        <f>MIN('Parameter &lt;x, y&gt;'!D527,'Parameter &lt;x, y&gt;'!I527,'Parameter &lt;x, y&gt;'!N527,'Parameter &lt;x, y&gt;'!S527)</f>
        <v>58902.7</v>
      </c>
      <c r="E527" s="5">
        <f>100*('Parameter &lt;x, y&gt;'!B527-B527)/B527</f>
        <v>0</v>
      </c>
      <c r="F527" s="5">
        <f>100*('Parameter &lt;x, y&gt;'!G527-B527)/B527</f>
        <v>3.202711963971018</v>
      </c>
      <c r="G527" s="5">
        <f>100*('Parameter &lt;x, y&gt;'!L527-B527)/B527</f>
        <v>35.223253622478943</v>
      </c>
      <c r="H527" s="5">
        <f>100*('Parameter &lt;x, y&gt;'!Q527-B527)/B527</f>
        <v>1.4323171627178317</v>
      </c>
      <c r="J527" s="5">
        <f>100*('Parameter &lt;x, y&gt;'!D527-C527)/C527</f>
        <v>17.690869858257788</v>
      </c>
      <c r="K527" s="5">
        <f>100*('Parameter &lt;x, y&gt;'!I527-C527)/C527</f>
        <v>0</v>
      </c>
      <c r="L527" s="5">
        <f>100*('Parameter &lt;x, y&gt;'!N527-C527)/C527</f>
        <v>20.19160412001489</v>
      </c>
      <c r="M527" s="5">
        <f>100*('Parameter &lt;x, y&gt;'!S527-C527)/C527</f>
        <v>32.926843760982102</v>
      </c>
    </row>
    <row r="528" spans="1:13" ht="12.75" customHeight="1">
      <c r="A528" s="38"/>
      <c r="B528" s="5">
        <f>MIN('Parameter &lt;x, y&gt;'!B528,'Parameter &lt;x, y&gt;'!G528,'Parameter &lt;x, y&gt;'!L528,'Parameter &lt;x, y&gt;'!Q528)</f>
        <v>73926.7</v>
      </c>
      <c r="C528" s="5">
        <f>MIN('Parameter &lt;x, y&gt;'!D528,'Parameter &lt;x, y&gt;'!I528,'Parameter &lt;x, y&gt;'!N528,'Parameter &lt;x, y&gt;'!S528)</f>
        <v>67499.199999999997</v>
      </c>
      <c r="E528" s="5">
        <f>100*('Parameter &lt;x, y&gt;'!B528-B528)/B528</f>
        <v>1.4991877089062584</v>
      </c>
      <c r="F528" s="5">
        <f>100*('Parameter &lt;x, y&gt;'!G528-B528)/B528</f>
        <v>61.359833456653689</v>
      </c>
      <c r="G528" s="5">
        <f>100*('Parameter &lt;x, y&gt;'!L528-B528)/B528</f>
        <v>0</v>
      </c>
      <c r="H528" s="5">
        <f>100*('Parameter &lt;x, y&gt;'!Q528-B528)/B528</f>
        <v>21.612353858619421</v>
      </c>
      <c r="J528" s="5">
        <f>100*('Parameter &lt;x, y&gt;'!D528-C528)/C528</f>
        <v>0</v>
      </c>
      <c r="K528" s="5">
        <f>100*('Parameter &lt;x, y&gt;'!I528-C528)/C528</f>
        <v>62.868596961149173</v>
      </c>
      <c r="L528" s="5">
        <f>100*('Parameter &lt;x, y&gt;'!N528-C528)/C528</f>
        <v>7.2334190627444475</v>
      </c>
      <c r="M528" s="5">
        <f>100*('Parameter &lt;x, y&gt;'!S528-C528)/C528</f>
        <v>43.755925996159974</v>
      </c>
    </row>
    <row r="529" spans="1:13" ht="12.75" customHeight="1">
      <c r="A529" s="38"/>
      <c r="B529" s="5">
        <f>MIN('Parameter &lt;x, y&gt;'!B529,'Parameter &lt;x, y&gt;'!G529,'Parameter &lt;x, y&gt;'!L529,'Parameter &lt;x, y&gt;'!Q529)</f>
        <v>78730.100000000006</v>
      </c>
      <c r="C529" s="5">
        <f>MIN('Parameter &lt;x, y&gt;'!D529,'Parameter &lt;x, y&gt;'!I529,'Parameter &lt;x, y&gt;'!N529,'Parameter &lt;x, y&gt;'!S529)</f>
        <v>63412.6</v>
      </c>
      <c r="E529" s="5">
        <f>100*('Parameter &lt;x, y&gt;'!B529-B529)/B529</f>
        <v>0</v>
      </c>
      <c r="F529" s="5">
        <f>100*('Parameter &lt;x, y&gt;'!G529-B529)/B529</f>
        <v>47.077166166434431</v>
      </c>
      <c r="G529" s="5">
        <f>100*('Parameter &lt;x, y&gt;'!L529-B529)/B529</f>
        <v>68.760105728304666</v>
      </c>
      <c r="H529" s="5">
        <f>100*('Parameter &lt;x, y&gt;'!Q529-B529)/B529</f>
        <v>19.001754094050419</v>
      </c>
      <c r="J529" s="5">
        <f>100*('Parameter &lt;x, y&gt;'!D529-C529)/C529</f>
        <v>31.091139615786144</v>
      </c>
      <c r="K529" s="5">
        <f>100*('Parameter &lt;x, y&gt;'!I529-C529)/C529</f>
        <v>37.133787291484673</v>
      </c>
      <c r="L529" s="5">
        <f>100*('Parameter &lt;x, y&gt;'!N529-C529)/C529</f>
        <v>0</v>
      </c>
      <c r="M529" s="5">
        <f>100*('Parameter &lt;x, y&gt;'!S529-C529)/C529</f>
        <v>23.354033740928465</v>
      </c>
    </row>
    <row r="530" spans="1:13" ht="12.75" customHeight="1">
      <c r="A530" s="38"/>
      <c r="B530" s="5">
        <f>MIN('Parameter &lt;x, y&gt;'!B530,'Parameter &lt;x, y&gt;'!G530,'Parameter &lt;x, y&gt;'!L530,'Parameter &lt;x, y&gt;'!Q530)</f>
        <v>71144.5</v>
      </c>
      <c r="C530" s="5">
        <f>MIN('Parameter &lt;x, y&gt;'!D530,'Parameter &lt;x, y&gt;'!I530,'Parameter &lt;x, y&gt;'!N530,'Parameter &lt;x, y&gt;'!S530)</f>
        <v>70152.2</v>
      </c>
      <c r="E530" s="5">
        <f>100*('Parameter &lt;x, y&gt;'!B530-B530)/B530</f>
        <v>0</v>
      </c>
      <c r="F530" s="5">
        <f>100*('Parameter &lt;x, y&gt;'!G530-B530)/B530</f>
        <v>40.202826641553465</v>
      </c>
      <c r="G530" s="5">
        <f>100*('Parameter &lt;x, y&gt;'!L530-B530)/B530</f>
        <v>31.935848870959813</v>
      </c>
      <c r="H530" s="5">
        <f>100*('Parameter &lt;x, y&gt;'!Q530-B530)/B530</f>
        <v>64.851815670923258</v>
      </c>
      <c r="J530" s="5">
        <f>100*('Parameter &lt;x, y&gt;'!D530-C530)/C530</f>
        <v>0</v>
      </c>
      <c r="K530" s="5">
        <f>100*('Parameter &lt;x, y&gt;'!I530-C530)/C530</f>
        <v>7.1746858972348653</v>
      </c>
      <c r="L530" s="5">
        <f>100*('Parameter &lt;x, y&gt;'!N530-C530)/C530</f>
        <v>9.363213128027347</v>
      </c>
      <c r="M530" s="5">
        <f>100*('Parameter &lt;x, y&gt;'!S530-C530)/C530</f>
        <v>34.686866555859979</v>
      </c>
    </row>
    <row r="531" spans="1:13" ht="12.75" customHeight="1">
      <c r="A531" s="38"/>
      <c r="B531" s="5">
        <f>MIN('Parameter &lt;x, y&gt;'!B531,'Parameter &lt;x, y&gt;'!G531,'Parameter &lt;x, y&gt;'!L531,'Parameter &lt;x, y&gt;'!Q531)</f>
        <v>69222.5</v>
      </c>
      <c r="C531" s="5">
        <f>MIN('Parameter &lt;x, y&gt;'!D531,'Parameter &lt;x, y&gt;'!I531,'Parameter &lt;x, y&gt;'!N531,'Parameter &lt;x, y&gt;'!S531)</f>
        <v>55010</v>
      </c>
      <c r="E531" s="5">
        <f>100*('Parameter &lt;x, y&gt;'!B531-B531)/B531</f>
        <v>13.823828957347679</v>
      </c>
      <c r="F531" s="5">
        <f>100*('Parameter &lt;x, y&gt;'!G531-B531)/B531</f>
        <v>0</v>
      </c>
      <c r="G531" s="5">
        <f>100*('Parameter &lt;x, y&gt;'!L531-B531)/B531</f>
        <v>47.566181516125539</v>
      </c>
      <c r="H531" s="5">
        <f>100*('Parameter &lt;x, y&gt;'!Q531-B531)/B531</f>
        <v>9.1773628516739532</v>
      </c>
      <c r="J531" s="5">
        <f>100*('Parameter &lt;x, y&gt;'!D531-C531)/C531</f>
        <v>64.249954553717501</v>
      </c>
      <c r="K531" s="5">
        <f>100*('Parameter &lt;x, y&gt;'!I531-C531)/C531</f>
        <v>0</v>
      </c>
      <c r="L531" s="5">
        <f>100*('Parameter &lt;x, y&gt;'!N531-C531)/C531</f>
        <v>14.949645518996551</v>
      </c>
      <c r="M531" s="5">
        <f>100*('Parameter &lt;x, y&gt;'!S531-C531)/C531</f>
        <v>68.082530449009269</v>
      </c>
    </row>
    <row r="532" spans="1:13" ht="12.75" customHeight="1">
      <c r="A532" s="38"/>
      <c r="B532" s="5">
        <f>MIN('Parameter &lt;x, y&gt;'!B532,'Parameter &lt;x, y&gt;'!G532,'Parameter &lt;x, y&gt;'!L532,'Parameter &lt;x, y&gt;'!Q532)</f>
        <v>68775</v>
      </c>
      <c r="C532" s="5">
        <f>MIN('Parameter &lt;x, y&gt;'!D532,'Parameter &lt;x, y&gt;'!I532,'Parameter &lt;x, y&gt;'!N532,'Parameter &lt;x, y&gt;'!S532)</f>
        <v>60788</v>
      </c>
      <c r="E532" s="5">
        <f>100*('Parameter &lt;x, y&gt;'!B532-B532)/B532</f>
        <v>5.0227553616866514</v>
      </c>
      <c r="F532" s="5">
        <f>100*('Parameter &lt;x, y&gt;'!G532-B532)/B532</f>
        <v>47.187204652853509</v>
      </c>
      <c r="G532" s="5">
        <f>100*('Parameter &lt;x, y&gt;'!L532-B532)/B532</f>
        <v>0</v>
      </c>
      <c r="H532" s="5">
        <f>100*('Parameter &lt;x, y&gt;'!Q532-B532)/B532</f>
        <v>15.587204652853515</v>
      </c>
      <c r="J532" s="5">
        <f>100*('Parameter &lt;x, y&gt;'!D532-C532)/C532</f>
        <v>0</v>
      </c>
      <c r="K532" s="5">
        <f>100*('Parameter &lt;x, y&gt;'!I532-C532)/C532</f>
        <v>95.481015989998028</v>
      </c>
      <c r="L532" s="5">
        <f>100*('Parameter &lt;x, y&gt;'!N532-C532)/C532</f>
        <v>18.548233203921836</v>
      </c>
      <c r="M532" s="5">
        <f>100*('Parameter &lt;x, y&gt;'!S532-C532)/C532</f>
        <v>14.485260248733306</v>
      </c>
    </row>
    <row r="533" spans="1:13" ht="12.75" customHeight="1">
      <c r="A533" s="38"/>
      <c r="B533" s="5">
        <f>MIN('Parameter &lt;x, y&gt;'!B533,'Parameter &lt;x, y&gt;'!G533,'Parameter &lt;x, y&gt;'!L533,'Parameter &lt;x, y&gt;'!Q533)</f>
        <v>72568.100000000006</v>
      </c>
      <c r="C533" s="5">
        <f>MIN('Parameter &lt;x, y&gt;'!D533,'Parameter &lt;x, y&gt;'!I533,'Parameter &lt;x, y&gt;'!N533,'Parameter &lt;x, y&gt;'!S533)</f>
        <v>53882.1</v>
      </c>
      <c r="E533" s="5">
        <f>100*('Parameter &lt;x, y&gt;'!B533-B533)/B533</f>
        <v>20.613327343557287</v>
      </c>
      <c r="F533" s="5">
        <f>100*('Parameter &lt;x, y&gt;'!G533-B533)/B533</f>
        <v>0</v>
      </c>
      <c r="G533" s="5">
        <f>100*('Parameter &lt;x, y&gt;'!L533-B533)/B533</f>
        <v>25.489850223445284</v>
      </c>
      <c r="H533" s="5">
        <f>100*('Parameter &lt;x, y&gt;'!Q533-B533)/B533</f>
        <v>4.4339041534778936</v>
      </c>
      <c r="J533" s="5">
        <f>100*('Parameter &lt;x, y&gt;'!D533-C533)/C533</f>
        <v>0</v>
      </c>
      <c r="K533" s="5">
        <f>100*('Parameter &lt;x, y&gt;'!I533-C533)/C533</f>
        <v>25.403241521766962</v>
      </c>
      <c r="L533" s="5">
        <f>100*('Parameter &lt;x, y&gt;'!N533-C533)/C533</f>
        <v>71.386230306539645</v>
      </c>
      <c r="M533" s="5">
        <f>100*('Parameter &lt;x, y&gt;'!S533-C533)/C533</f>
        <v>60.147247416117786</v>
      </c>
    </row>
    <row r="534" spans="1:13" ht="12.75" customHeight="1">
      <c r="A534" s="38"/>
      <c r="B534" s="5">
        <f>MIN('Parameter &lt;x, y&gt;'!B534,'Parameter &lt;x, y&gt;'!G534,'Parameter &lt;x, y&gt;'!L534,'Parameter &lt;x, y&gt;'!Q534)</f>
        <v>67271.600000000006</v>
      </c>
      <c r="C534" s="5">
        <f>MIN('Parameter &lt;x, y&gt;'!D534,'Parameter &lt;x, y&gt;'!I534,'Parameter &lt;x, y&gt;'!N534,'Parameter &lt;x, y&gt;'!S534)</f>
        <v>56133.9</v>
      </c>
      <c r="E534" s="5">
        <f>100*('Parameter &lt;x, y&gt;'!B534-B534)/B534</f>
        <v>0</v>
      </c>
      <c r="F534" s="5">
        <f>100*('Parameter &lt;x, y&gt;'!G534-B534)/B534</f>
        <v>7.18683664428971</v>
      </c>
      <c r="G534" s="5">
        <f>100*('Parameter &lt;x, y&gt;'!L534-B534)/B534</f>
        <v>54.05014894844183</v>
      </c>
      <c r="H534" s="5">
        <f>100*('Parameter &lt;x, y&gt;'!Q534-B534)/B534</f>
        <v>22.309711676249695</v>
      </c>
      <c r="J534" s="5">
        <f>100*('Parameter &lt;x, y&gt;'!D534-C534)/C534</f>
        <v>24.905627437252697</v>
      </c>
      <c r="K534" s="5">
        <f>100*('Parameter &lt;x, y&gt;'!I534-C534)/C534</f>
        <v>16.881777321725377</v>
      </c>
      <c r="L534" s="5">
        <f>100*('Parameter &lt;x, y&gt;'!N534-C534)/C534</f>
        <v>0</v>
      </c>
      <c r="M534" s="5">
        <f>100*('Parameter &lt;x, y&gt;'!S534-C534)/C534</f>
        <v>14.132814573724604</v>
      </c>
    </row>
    <row r="535" spans="1:13" ht="12.75" customHeight="1">
      <c r="A535" s="38"/>
      <c r="B535" s="5">
        <f>MIN('Parameter &lt;x, y&gt;'!B535,'Parameter &lt;x, y&gt;'!G535,'Parameter &lt;x, y&gt;'!L535,'Parameter &lt;x, y&gt;'!Q535)</f>
        <v>77271.7</v>
      </c>
      <c r="C535" s="5">
        <f>MIN('Parameter &lt;x, y&gt;'!D535,'Parameter &lt;x, y&gt;'!I535,'Parameter &lt;x, y&gt;'!N535,'Parameter &lt;x, y&gt;'!S535)</f>
        <v>71763.100000000006</v>
      </c>
      <c r="E535" s="5">
        <f>100*('Parameter &lt;x, y&gt;'!B535-B535)/B535</f>
        <v>5.3649654401287998</v>
      </c>
      <c r="F535" s="5">
        <f>100*('Parameter &lt;x, y&gt;'!G535-B535)/B535</f>
        <v>30.963858696003847</v>
      </c>
      <c r="G535" s="5">
        <f>100*('Parameter &lt;x, y&gt;'!L535-B535)/B535</f>
        <v>0</v>
      </c>
      <c r="H535" s="5">
        <f>100*('Parameter &lt;x, y&gt;'!Q535-B535)/B535</f>
        <v>21.582545744431659</v>
      </c>
      <c r="J535" s="5">
        <f>100*('Parameter &lt;x, y&gt;'!D535-C535)/C535</f>
        <v>40.862086504066845</v>
      </c>
      <c r="K535" s="5">
        <f>100*('Parameter &lt;x, y&gt;'!I535-C535)/C535</f>
        <v>0</v>
      </c>
      <c r="L535" s="5">
        <f>100*('Parameter &lt;x, y&gt;'!N535-C535)/C535</f>
        <v>26.357138975322968</v>
      </c>
      <c r="M535" s="5">
        <f>100*('Parameter &lt;x, y&gt;'!S535-C535)/C535</f>
        <v>26.485895954884878</v>
      </c>
    </row>
    <row r="536" spans="1:13" ht="12.75" customHeight="1">
      <c r="A536" s="38"/>
      <c r="B536" s="5">
        <f>MIN('Parameter &lt;x, y&gt;'!B536,'Parameter &lt;x, y&gt;'!G536,'Parameter &lt;x, y&gt;'!L536,'Parameter &lt;x, y&gt;'!Q536)</f>
        <v>65138.3</v>
      </c>
      <c r="C536" s="5">
        <f>MIN('Parameter &lt;x, y&gt;'!D536,'Parameter &lt;x, y&gt;'!I536,'Parameter &lt;x, y&gt;'!N536,'Parameter &lt;x, y&gt;'!S536)</f>
        <v>49737</v>
      </c>
      <c r="E536" s="5">
        <f>100*('Parameter &lt;x, y&gt;'!B536-B536)/B536</f>
        <v>4.783207421747262</v>
      </c>
      <c r="F536" s="5">
        <f>100*('Parameter &lt;x, y&gt;'!G536-B536)/B536</f>
        <v>0</v>
      </c>
      <c r="G536" s="5">
        <f>100*('Parameter &lt;x, y&gt;'!L536-B536)/B536</f>
        <v>25.658637084480237</v>
      </c>
      <c r="H536" s="5">
        <f>100*('Parameter &lt;x, y&gt;'!Q536-B536)/B536</f>
        <v>35.608697187369017</v>
      </c>
      <c r="J536" s="5">
        <f>100*('Parameter &lt;x, y&gt;'!D536-C536)/C536</f>
        <v>19.31218207772886</v>
      </c>
      <c r="K536" s="5">
        <f>100*('Parameter &lt;x, y&gt;'!I536-C536)/C536</f>
        <v>67.446770010253942</v>
      </c>
      <c r="L536" s="5">
        <f>100*('Parameter &lt;x, y&gt;'!N536-C536)/C536</f>
        <v>0</v>
      </c>
      <c r="M536" s="5">
        <f>100*('Parameter &lt;x, y&gt;'!S536-C536)/C536</f>
        <v>38.81416249472224</v>
      </c>
    </row>
    <row r="537" spans="1:13" ht="12.75" customHeight="1">
      <c r="A537" s="38"/>
      <c r="B537" s="5">
        <f>MIN('Parameter &lt;x, y&gt;'!B537,'Parameter &lt;x, y&gt;'!G537,'Parameter &lt;x, y&gt;'!L537,'Parameter &lt;x, y&gt;'!Q537)</f>
        <v>67743.199999999997</v>
      </c>
      <c r="C537" s="5">
        <f>MIN('Parameter &lt;x, y&gt;'!D537,'Parameter &lt;x, y&gt;'!I537,'Parameter &lt;x, y&gt;'!N537,'Parameter &lt;x, y&gt;'!S537)</f>
        <v>57974.6</v>
      </c>
      <c r="E537" s="5">
        <f>100*('Parameter &lt;x, y&gt;'!B537-B537)/B537</f>
        <v>0</v>
      </c>
      <c r="F537" s="5">
        <f>100*('Parameter &lt;x, y&gt;'!G537-B537)/B537</f>
        <v>54.409593878057144</v>
      </c>
      <c r="G537" s="5">
        <f>100*('Parameter &lt;x, y&gt;'!L537-B537)/B537</f>
        <v>80.629199683510677</v>
      </c>
      <c r="H537" s="5">
        <f>100*('Parameter &lt;x, y&gt;'!Q537-B537)/B537</f>
        <v>63.350712691458334</v>
      </c>
      <c r="J537" s="5">
        <f>100*('Parameter &lt;x, y&gt;'!D537-C537)/C537</f>
        <v>0</v>
      </c>
      <c r="K537" s="5">
        <f>100*('Parameter &lt;x, y&gt;'!I537-C537)/C537</f>
        <v>50.389480910605677</v>
      </c>
      <c r="L537" s="5">
        <f>100*('Parameter &lt;x, y&gt;'!N537-C537)/C537</f>
        <v>49.670717866099984</v>
      </c>
      <c r="M537" s="5">
        <f>100*('Parameter &lt;x, y&gt;'!S537-C537)/C537</f>
        <v>20.238345758314846</v>
      </c>
    </row>
    <row r="538" spans="1:13" ht="12.75" customHeight="1">
      <c r="A538" s="38"/>
      <c r="B538" s="5">
        <f>MIN('Parameter &lt;x, y&gt;'!B538,'Parameter &lt;x, y&gt;'!G538,'Parameter &lt;x, y&gt;'!L538,'Parameter &lt;x, y&gt;'!Q538)</f>
        <v>69574.2</v>
      </c>
      <c r="C538" s="5">
        <f>MIN('Parameter &lt;x, y&gt;'!D538,'Parameter &lt;x, y&gt;'!I538,'Parameter &lt;x, y&gt;'!N538,'Parameter &lt;x, y&gt;'!S538)</f>
        <v>63664.800000000003</v>
      </c>
      <c r="E538" s="5">
        <f>100*('Parameter &lt;x, y&gt;'!B538-B538)/B538</f>
        <v>0</v>
      </c>
      <c r="F538" s="5">
        <f>100*('Parameter &lt;x, y&gt;'!G538-B538)/B538</f>
        <v>6.1869198639725651</v>
      </c>
      <c r="G538" s="5">
        <f>100*('Parameter &lt;x, y&gt;'!L538-B538)/B538</f>
        <v>30.307642775626604</v>
      </c>
      <c r="H538" s="5">
        <f>100*('Parameter &lt;x, y&gt;'!Q538-B538)/B538</f>
        <v>8.0633338220202315</v>
      </c>
      <c r="J538" s="5">
        <f>100*('Parameter &lt;x, y&gt;'!D538-C538)/C538</f>
        <v>24.669833251655543</v>
      </c>
      <c r="K538" s="5">
        <f>100*('Parameter &lt;x, y&gt;'!I538-C538)/C538</f>
        <v>0</v>
      </c>
      <c r="L538" s="5">
        <f>100*('Parameter &lt;x, y&gt;'!N538-C538)/C538</f>
        <v>1.0308679207348419</v>
      </c>
      <c r="M538" s="5">
        <f>100*('Parameter &lt;x, y&gt;'!S538-C538)/C538</f>
        <v>1.8171736972392816</v>
      </c>
    </row>
    <row r="539" spans="1:13" ht="12.75" customHeight="1">
      <c r="A539" s="38"/>
      <c r="B539" s="5">
        <f>MIN('Parameter &lt;x, y&gt;'!B539,'Parameter &lt;x, y&gt;'!G539,'Parameter &lt;x, y&gt;'!L539,'Parameter &lt;x, y&gt;'!Q539)</f>
        <v>116556</v>
      </c>
      <c r="C539" s="5">
        <f>MIN('Parameter &lt;x, y&gt;'!D539,'Parameter &lt;x, y&gt;'!I539,'Parameter &lt;x, y&gt;'!N539,'Parameter &lt;x, y&gt;'!S539)</f>
        <v>105556</v>
      </c>
      <c r="E539" s="5">
        <f>100*('Parameter &lt;x, y&gt;'!B539-B539)/B539</f>
        <v>0</v>
      </c>
      <c r="F539" s="5">
        <f>100*('Parameter &lt;x, y&gt;'!G539-B539)/B539</f>
        <v>15.455231819897731</v>
      </c>
      <c r="G539" s="5">
        <f>100*('Parameter &lt;x, y&gt;'!L539-B539)/B539</f>
        <v>36.816637496139194</v>
      </c>
      <c r="H539" s="5">
        <f>100*('Parameter &lt;x, y&gt;'!Q539-B539)/B539</f>
        <v>24.553862521019941</v>
      </c>
      <c r="J539" s="5">
        <f>100*('Parameter &lt;x, y&gt;'!D539-C539)/C539</f>
        <v>30.482397968850659</v>
      </c>
      <c r="K539" s="5">
        <f>100*('Parameter &lt;x, y&gt;'!I539-C539)/C539</f>
        <v>19.453181249763158</v>
      </c>
      <c r="L539" s="5">
        <f>100*('Parameter &lt;x, y&gt;'!N539-C539)/C539</f>
        <v>0</v>
      </c>
      <c r="M539" s="5">
        <f>100*('Parameter &lt;x, y&gt;'!S539-C539)/C539</f>
        <v>15.841828034408277</v>
      </c>
    </row>
    <row r="540" spans="1:13" ht="12.75" customHeight="1">
      <c r="A540" s="38"/>
      <c r="B540" s="5">
        <f>MIN('Parameter &lt;x, y&gt;'!B540,'Parameter &lt;x, y&gt;'!G540,'Parameter &lt;x, y&gt;'!L540,'Parameter &lt;x, y&gt;'!Q540)</f>
        <v>76466.2</v>
      </c>
      <c r="C540" s="5">
        <f>MIN('Parameter &lt;x, y&gt;'!D540,'Parameter &lt;x, y&gt;'!I540,'Parameter &lt;x, y&gt;'!N540,'Parameter &lt;x, y&gt;'!S540)</f>
        <v>75666.2</v>
      </c>
      <c r="E540" s="5">
        <f>100*('Parameter &lt;x, y&gt;'!B540-B540)/B540</f>
        <v>0</v>
      </c>
      <c r="F540" s="5">
        <f>100*('Parameter &lt;x, y&gt;'!G540-B540)/B540</f>
        <v>0.39769205217469394</v>
      </c>
      <c r="G540" s="5">
        <f>100*('Parameter &lt;x, y&gt;'!L540-B540)/B540</f>
        <v>55.935563686962347</v>
      </c>
      <c r="H540" s="5">
        <f>100*('Parameter &lt;x, y&gt;'!Q540-B540)/B540</f>
        <v>39.087596872866712</v>
      </c>
      <c r="J540" s="5">
        <f>100*('Parameter &lt;x, y&gt;'!D540-C540)/C540</f>
        <v>0</v>
      </c>
      <c r="K540" s="5">
        <f>100*('Parameter &lt;x, y&gt;'!I540-C540)/C540</f>
        <v>14.56766693715292</v>
      </c>
      <c r="L540" s="5">
        <f>100*('Parameter &lt;x, y&gt;'!N540-C540)/C540</f>
        <v>27.944445472350932</v>
      </c>
      <c r="M540" s="5">
        <f>100*('Parameter &lt;x, y&gt;'!S540-C540)/C540</f>
        <v>26.262452719972725</v>
      </c>
    </row>
    <row r="541" spans="1:13" ht="12.75" customHeight="1">
      <c r="A541" s="38"/>
      <c r="B541" s="5">
        <f>MIN('Parameter &lt;x, y&gt;'!B541,'Parameter &lt;x, y&gt;'!G541,'Parameter &lt;x, y&gt;'!L541,'Parameter &lt;x, y&gt;'!Q541)</f>
        <v>67949.600000000006</v>
      </c>
      <c r="C541" s="5">
        <f>MIN('Parameter &lt;x, y&gt;'!D541,'Parameter &lt;x, y&gt;'!I541,'Parameter &lt;x, y&gt;'!N541,'Parameter &lt;x, y&gt;'!S541)</f>
        <v>67315.399999999994</v>
      </c>
      <c r="E541" s="5">
        <f>100*('Parameter &lt;x, y&gt;'!B541-B541)/B541</f>
        <v>40.744757879369402</v>
      </c>
      <c r="F541" s="5">
        <f>100*('Parameter &lt;x, y&gt;'!G541-B541)/B541</f>
        <v>3.2958251409868486</v>
      </c>
      <c r="G541" s="5">
        <f>100*('Parameter &lt;x, y&gt;'!L541-B541)/B541</f>
        <v>0</v>
      </c>
      <c r="H541" s="5">
        <f>100*('Parameter &lt;x, y&gt;'!Q541-B541)/B541</f>
        <v>24.280790468229387</v>
      </c>
      <c r="J541" s="5">
        <f>100*('Parameter &lt;x, y&gt;'!D541-C541)/C541</f>
        <v>11.511778879721449</v>
      </c>
      <c r="K541" s="5">
        <f>100*('Parameter &lt;x, y&gt;'!I541-C541)/C541</f>
        <v>0</v>
      </c>
      <c r="L541" s="5">
        <f>100*('Parameter &lt;x, y&gt;'!N541-C541)/C541</f>
        <v>24.857907700169669</v>
      </c>
      <c r="M541" s="5">
        <f>100*('Parameter &lt;x, y&gt;'!S541-C541)/C541</f>
        <v>20.544035985821971</v>
      </c>
    </row>
    <row r="542" spans="1:13" ht="12.75" customHeight="1">
      <c r="A542" s="38"/>
      <c r="B542" s="5">
        <f>MIN('Parameter &lt;x, y&gt;'!B542,'Parameter &lt;x, y&gt;'!G542,'Parameter &lt;x, y&gt;'!L542,'Parameter &lt;x, y&gt;'!Q542)</f>
        <v>72941.899999999994</v>
      </c>
      <c r="C542" s="5">
        <f>MIN('Parameter &lt;x, y&gt;'!D542,'Parameter &lt;x, y&gt;'!I542,'Parameter &lt;x, y&gt;'!N542,'Parameter &lt;x, y&gt;'!S542)</f>
        <v>63185.599999999999</v>
      </c>
      <c r="E542" s="5">
        <f>100*('Parameter &lt;x, y&gt;'!B542-B542)/B542</f>
        <v>3.0794371959052502</v>
      </c>
      <c r="F542" s="5">
        <f>100*('Parameter &lt;x, y&gt;'!G542-B542)/B542</f>
        <v>5.5041066931352258</v>
      </c>
      <c r="G542" s="5">
        <f>100*('Parameter &lt;x, y&gt;'!L542-B542)/B542</f>
        <v>0</v>
      </c>
      <c r="H542" s="5">
        <f>100*('Parameter &lt;x, y&gt;'!Q542-B542)/B542</f>
        <v>2.4940397768635196</v>
      </c>
      <c r="J542" s="5">
        <f>100*('Parameter &lt;x, y&gt;'!D542-C542)/C542</f>
        <v>32.533362031855361</v>
      </c>
      <c r="K542" s="5">
        <f>100*('Parameter &lt;x, y&gt;'!I542-C542)/C542</f>
        <v>58.001190144589906</v>
      </c>
      <c r="L542" s="5">
        <f>100*('Parameter &lt;x, y&gt;'!N542-C542)/C542</f>
        <v>0</v>
      </c>
      <c r="M542" s="5">
        <f>100*('Parameter &lt;x, y&gt;'!S542-C542)/C542</f>
        <v>7.6425641285356267</v>
      </c>
    </row>
    <row r="543" spans="1:13" ht="12.75" customHeight="1">
      <c r="A543" s="38"/>
      <c r="B543" s="5">
        <f>MIN('Parameter &lt;x, y&gt;'!B543,'Parameter &lt;x, y&gt;'!G543,'Parameter &lt;x, y&gt;'!L543,'Parameter &lt;x, y&gt;'!Q543)</f>
        <v>63419.6</v>
      </c>
      <c r="C543" s="5">
        <f>MIN('Parameter &lt;x, y&gt;'!D543,'Parameter &lt;x, y&gt;'!I543,'Parameter &lt;x, y&gt;'!N543,'Parameter &lt;x, y&gt;'!S543)</f>
        <v>57052</v>
      </c>
      <c r="E543" s="5">
        <f>100*('Parameter &lt;x, y&gt;'!B543-B543)/B543</f>
        <v>47.195031189096113</v>
      </c>
      <c r="F543" s="5">
        <f>100*('Parameter &lt;x, y&gt;'!G543-B543)/B543</f>
        <v>59.55319806495153</v>
      </c>
      <c r="G543" s="5">
        <f>100*('Parameter &lt;x, y&gt;'!L543-B543)/B543</f>
        <v>54.880510126207056</v>
      </c>
      <c r="H543" s="5">
        <f>100*('Parameter &lt;x, y&gt;'!Q543-B543)/B543</f>
        <v>0</v>
      </c>
      <c r="J543" s="5">
        <f>100*('Parameter &lt;x, y&gt;'!D543-C543)/C543</f>
        <v>0</v>
      </c>
      <c r="K543" s="5">
        <f>100*('Parameter &lt;x, y&gt;'!I543-C543)/C543</f>
        <v>8.4733225829068175</v>
      </c>
      <c r="L543" s="5">
        <f>100*('Parameter &lt;x, y&gt;'!N543-C543)/C543</f>
        <v>12.957302110355467</v>
      </c>
      <c r="M543" s="5">
        <f>100*('Parameter &lt;x, y&gt;'!S543-C543)/C543</f>
        <v>88.117857393255278</v>
      </c>
    </row>
    <row r="544" spans="1:13" ht="12.75" customHeight="1">
      <c r="A544" s="38"/>
      <c r="B544" s="5">
        <f>MIN('Parameter &lt;x, y&gt;'!B544,'Parameter &lt;x, y&gt;'!G544,'Parameter &lt;x, y&gt;'!L544,'Parameter &lt;x, y&gt;'!Q544)</f>
        <v>68448.399999999994</v>
      </c>
      <c r="C544" s="5">
        <f>MIN('Parameter &lt;x, y&gt;'!D544,'Parameter &lt;x, y&gt;'!I544,'Parameter &lt;x, y&gt;'!N544,'Parameter &lt;x, y&gt;'!S544)</f>
        <v>52849.2</v>
      </c>
      <c r="E544" s="5">
        <f>100*('Parameter &lt;x, y&gt;'!B544-B544)/B544</f>
        <v>5.25081667358186</v>
      </c>
      <c r="F544" s="5">
        <f>100*('Parameter &lt;x, y&gt;'!G544-B544)/B544</f>
        <v>0</v>
      </c>
      <c r="G544" s="5">
        <f>100*('Parameter &lt;x, y&gt;'!L544-B544)/B544</f>
        <v>9.8878863494252691</v>
      </c>
      <c r="H544" s="5">
        <f>100*('Parameter &lt;x, y&gt;'!Q544-B544)/B544</f>
        <v>7.3486012821341207E-2</v>
      </c>
      <c r="J544" s="5">
        <f>100*('Parameter &lt;x, y&gt;'!D544-C544)/C544</f>
        <v>7.495288481187993</v>
      </c>
      <c r="K544" s="5">
        <f>100*('Parameter &lt;x, y&gt;'!I544-C544)/C544</f>
        <v>23.283417724393189</v>
      </c>
      <c r="L544" s="5">
        <f>100*('Parameter &lt;x, y&gt;'!N544-C544)/C544</f>
        <v>0</v>
      </c>
      <c r="M544" s="5">
        <f>100*('Parameter &lt;x, y&gt;'!S544-C544)/C544</f>
        <v>19.529340084618134</v>
      </c>
    </row>
    <row r="545" spans="1:13" ht="12.75" customHeight="1">
      <c r="A545" s="38"/>
      <c r="B545" s="5">
        <f>MIN('Parameter &lt;x, y&gt;'!B545,'Parameter &lt;x, y&gt;'!G545,'Parameter &lt;x, y&gt;'!L545,'Parameter &lt;x, y&gt;'!Q545)</f>
        <v>78248.100000000006</v>
      </c>
      <c r="C545" s="5">
        <f>MIN('Parameter &lt;x, y&gt;'!D545,'Parameter &lt;x, y&gt;'!I545,'Parameter &lt;x, y&gt;'!N545,'Parameter &lt;x, y&gt;'!S545)</f>
        <v>60163.1</v>
      </c>
      <c r="E545" s="5">
        <f>100*('Parameter &lt;x, y&gt;'!B545-B545)/B545</f>
        <v>0</v>
      </c>
      <c r="F545" s="5">
        <f>100*('Parameter &lt;x, y&gt;'!G545-B545)/B545</f>
        <v>19.620156911158219</v>
      </c>
      <c r="G545" s="5">
        <f>100*('Parameter &lt;x, y&gt;'!L545-B545)/B545</f>
        <v>46.551801257794111</v>
      </c>
      <c r="H545" s="5">
        <f>100*('Parameter &lt;x, y&gt;'!Q545-B545)/B545</f>
        <v>51.907841851751023</v>
      </c>
      <c r="J545" s="5">
        <f>100*('Parameter &lt;x, y&gt;'!D545-C545)/C545</f>
        <v>0</v>
      </c>
      <c r="K545" s="5">
        <f>100*('Parameter &lt;x, y&gt;'!I545-C545)/C545</f>
        <v>29.459087048373519</v>
      </c>
      <c r="L545" s="5">
        <f>100*('Parameter &lt;x, y&gt;'!N545-C545)/C545</f>
        <v>12.348100413708748</v>
      </c>
      <c r="M545" s="5">
        <f>100*('Parameter &lt;x, y&gt;'!S545-C545)/C545</f>
        <v>28.806195159491459</v>
      </c>
    </row>
    <row r="546" spans="1:13" ht="12.75" customHeight="1">
      <c r="A546" s="38"/>
      <c r="B546" s="5">
        <f>MIN('Parameter &lt;x, y&gt;'!B546,'Parameter &lt;x, y&gt;'!G546,'Parameter &lt;x, y&gt;'!L546,'Parameter &lt;x, y&gt;'!Q546)</f>
        <v>68244.7</v>
      </c>
      <c r="C546" s="5">
        <f>MIN('Parameter &lt;x, y&gt;'!D546,'Parameter &lt;x, y&gt;'!I546,'Parameter &lt;x, y&gt;'!N546,'Parameter &lt;x, y&gt;'!S546)</f>
        <v>68790</v>
      </c>
      <c r="E546" s="5">
        <f>100*('Parameter &lt;x, y&gt;'!B546-B546)/B546</f>
        <v>0.52267795154788155</v>
      </c>
      <c r="F546" s="5">
        <f>100*('Parameter &lt;x, y&gt;'!G546-B546)/B546</f>
        <v>0</v>
      </c>
      <c r="G546" s="5">
        <f>100*('Parameter &lt;x, y&gt;'!L546-B546)/B546</f>
        <v>5.8883693532244994</v>
      </c>
      <c r="H546" s="5">
        <f>100*('Parameter &lt;x, y&gt;'!Q546-B546)/B546</f>
        <v>5.9414137654645671</v>
      </c>
      <c r="J546" s="5">
        <f>100*('Parameter &lt;x, y&gt;'!D546-C546)/C546</f>
        <v>2.5742113679313898</v>
      </c>
      <c r="K546" s="5">
        <f>100*('Parameter &lt;x, y&gt;'!I546-C546)/C546</f>
        <v>7.6977758395115599</v>
      </c>
      <c r="L546" s="5">
        <f>100*('Parameter &lt;x, y&gt;'!N546-C546)/C546</f>
        <v>8.6294519552260471</v>
      </c>
      <c r="M546" s="5">
        <f>100*('Parameter &lt;x, y&gt;'!S546-C546)/C546</f>
        <v>0</v>
      </c>
    </row>
    <row r="547" spans="1:13" ht="12.75" customHeight="1">
      <c r="A547" s="38"/>
      <c r="B547" s="5">
        <f>MIN('Parameter &lt;x, y&gt;'!B547,'Parameter &lt;x, y&gt;'!G547,'Parameter &lt;x, y&gt;'!L547,'Parameter &lt;x, y&gt;'!Q547)</f>
        <v>81590</v>
      </c>
      <c r="C547" s="5">
        <f>MIN('Parameter &lt;x, y&gt;'!D547,'Parameter &lt;x, y&gt;'!I547,'Parameter &lt;x, y&gt;'!N547,'Parameter &lt;x, y&gt;'!S547)</f>
        <v>63408.6</v>
      </c>
      <c r="E547" s="5">
        <f>100*('Parameter &lt;x, y&gt;'!B547-B547)/B547</f>
        <v>13.508518200759903</v>
      </c>
      <c r="F547" s="5">
        <f>100*('Parameter &lt;x, y&gt;'!G547-B547)/B547</f>
        <v>5.5199166564529936</v>
      </c>
      <c r="G547" s="5">
        <f>100*('Parameter &lt;x, y&gt;'!L547-B547)/B547</f>
        <v>0</v>
      </c>
      <c r="H547" s="5">
        <f>100*('Parameter &lt;x, y&gt;'!Q547-B547)/B547</f>
        <v>15.015688197082978</v>
      </c>
      <c r="J547" s="5">
        <f>100*('Parameter &lt;x, y&gt;'!D547-C547)/C547</f>
        <v>52.767921070643418</v>
      </c>
      <c r="K547" s="5">
        <f>100*('Parameter &lt;x, y&gt;'!I547-C547)/C547</f>
        <v>104.30194011537866</v>
      </c>
      <c r="L547" s="5">
        <f>100*('Parameter &lt;x, y&gt;'!N547-C547)/C547</f>
        <v>0</v>
      </c>
      <c r="M547" s="5">
        <f>100*('Parameter &lt;x, y&gt;'!S547-C547)/C547</f>
        <v>50.218897752039943</v>
      </c>
    </row>
    <row r="548" spans="1:13" ht="12.75" customHeight="1">
      <c r="A548" s="38"/>
      <c r="B548" s="5">
        <f>MIN('Parameter &lt;x, y&gt;'!B548,'Parameter &lt;x, y&gt;'!G548,'Parameter &lt;x, y&gt;'!L548,'Parameter &lt;x, y&gt;'!Q548)</f>
        <v>70931.5</v>
      </c>
      <c r="C548" s="5">
        <f>MIN('Parameter &lt;x, y&gt;'!D548,'Parameter &lt;x, y&gt;'!I548,'Parameter &lt;x, y&gt;'!N548,'Parameter &lt;x, y&gt;'!S548)</f>
        <v>52969.8</v>
      </c>
      <c r="E548" s="5">
        <f>100*('Parameter &lt;x, y&gt;'!B548-B548)/B548</f>
        <v>0</v>
      </c>
      <c r="F548" s="5">
        <f>100*('Parameter &lt;x, y&gt;'!G548-B548)/B548</f>
        <v>14.881399660235585</v>
      </c>
      <c r="G548" s="5">
        <f>100*('Parameter &lt;x, y&gt;'!L548-B548)/B548</f>
        <v>17.430619682369613</v>
      </c>
      <c r="H548" s="5">
        <f>100*('Parameter &lt;x, y&gt;'!Q548-B548)/B548</f>
        <v>33.396163904612187</v>
      </c>
      <c r="J548" s="5">
        <f>100*('Parameter &lt;x, y&gt;'!D548-C548)/C548</f>
        <v>0</v>
      </c>
      <c r="K548" s="5">
        <f>100*('Parameter &lt;x, y&gt;'!I548-C548)/C548</f>
        <v>27.384660693451721</v>
      </c>
      <c r="L548" s="5">
        <f>100*('Parameter &lt;x, y&gt;'!N548-C548)/C548</f>
        <v>74.065033283116023</v>
      </c>
      <c r="M548" s="5">
        <f>100*('Parameter &lt;x, y&gt;'!S548-C548)/C548</f>
        <v>116.52148960350992</v>
      </c>
    </row>
    <row r="549" spans="1:13" ht="12.75" customHeight="1">
      <c r="A549" s="38"/>
      <c r="B549" s="5">
        <f>MIN('Parameter &lt;x, y&gt;'!B549,'Parameter &lt;x, y&gt;'!G549,'Parameter &lt;x, y&gt;'!L549,'Parameter &lt;x, y&gt;'!Q549)</f>
        <v>85875.5</v>
      </c>
      <c r="C549" s="5">
        <f>MIN('Parameter &lt;x, y&gt;'!D549,'Parameter &lt;x, y&gt;'!I549,'Parameter &lt;x, y&gt;'!N549,'Parameter &lt;x, y&gt;'!S549)</f>
        <v>56249.599999999999</v>
      </c>
      <c r="E549" s="5">
        <f>100*('Parameter &lt;x, y&gt;'!B549-B549)/B549</f>
        <v>14.021344853887308</v>
      </c>
      <c r="F549" s="5">
        <f>100*('Parameter &lt;x, y&gt;'!G549-B549)/B549</f>
        <v>0</v>
      </c>
      <c r="G549" s="5">
        <f>100*('Parameter &lt;x, y&gt;'!L549-B549)/B549</f>
        <v>35.406489627425749</v>
      </c>
      <c r="H549" s="5">
        <f>100*('Parameter &lt;x, y&gt;'!Q549-B549)/B549</f>
        <v>7.900157786563109</v>
      </c>
      <c r="J549" s="5">
        <f>100*('Parameter &lt;x, y&gt;'!D549-C549)/C549</f>
        <v>19.372226646945037</v>
      </c>
      <c r="K549" s="5">
        <f>100*('Parameter &lt;x, y&gt;'!I549-C549)/C549</f>
        <v>38.4532512231198</v>
      </c>
      <c r="L549" s="5">
        <f>100*('Parameter &lt;x, y&gt;'!N549-C549)/C549</f>
        <v>0</v>
      </c>
      <c r="M549" s="5">
        <f>100*('Parameter &lt;x, y&gt;'!S549-C549)/C549</f>
        <v>92.895593924223462</v>
      </c>
    </row>
    <row r="550" spans="1:13" ht="12.75" customHeight="1">
      <c r="A550" s="38"/>
      <c r="B550" s="5">
        <f>MIN('Parameter &lt;x, y&gt;'!B550,'Parameter &lt;x, y&gt;'!G550,'Parameter &lt;x, y&gt;'!L550,'Parameter &lt;x, y&gt;'!Q550)</f>
        <v>74165</v>
      </c>
      <c r="C550" s="5">
        <f>MIN('Parameter &lt;x, y&gt;'!D550,'Parameter &lt;x, y&gt;'!I550,'Parameter &lt;x, y&gt;'!N550,'Parameter &lt;x, y&gt;'!S550)</f>
        <v>66208.100000000006</v>
      </c>
      <c r="E550" s="5">
        <f>100*('Parameter &lt;x, y&gt;'!B550-B550)/B550</f>
        <v>48.470302703431535</v>
      </c>
      <c r="F550" s="5">
        <f>100*('Parameter &lt;x, y&gt;'!G550-B550)/B550</f>
        <v>0</v>
      </c>
      <c r="G550" s="5">
        <f>100*('Parameter &lt;x, y&gt;'!L550-B550)/B550</f>
        <v>32.170026292725673</v>
      </c>
      <c r="H550" s="5">
        <f>100*('Parameter &lt;x, y&gt;'!Q550-B550)/B550</f>
        <v>35.603047259488974</v>
      </c>
      <c r="J550" s="5">
        <f>100*('Parameter &lt;x, y&gt;'!D550-C550)/C550</f>
        <v>81.399254773962681</v>
      </c>
      <c r="K550" s="5">
        <f>100*('Parameter &lt;x, y&gt;'!I550-C550)/C550</f>
        <v>4.8663230027745756</v>
      </c>
      <c r="L550" s="5">
        <f>100*('Parameter &lt;x, y&gt;'!N550-C550)/C550</f>
        <v>0</v>
      </c>
      <c r="M550" s="5">
        <f>100*('Parameter &lt;x, y&gt;'!S550-C550)/C550</f>
        <v>70.88543546786569</v>
      </c>
    </row>
    <row r="551" spans="1:13" ht="12.75" customHeight="1">
      <c r="A551" s="38"/>
      <c r="B551" s="5">
        <f>MIN('Parameter &lt;x, y&gt;'!B551,'Parameter &lt;x, y&gt;'!G551,'Parameter &lt;x, y&gt;'!L551,'Parameter &lt;x, y&gt;'!Q551)</f>
        <v>68319</v>
      </c>
      <c r="C551" s="5">
        <f>MIN('Parameter &lt;x, y&gt;'!D551,'Parameter &lt;x, y&gt;'!I551,'Parameter &lt;x, y&gt;'!N551,'Parameter &lt;x, y&gt;'!S551)</f>
        <v>59683.4</v>
      </c>
      <c r="E551" s="5">
        <f>100*('Parameter &lt;x, y&gt;'!B551-B551)/B551</f>
        <v>40.434871704796606</v>
      </c>
      <c r="F551" s="5">
        <f>100*('Parameter &lt;x, y&gt;'!G551-B551)/B551</f>
        <v>49.522094878437919</v>
      </c>
      <c r="G551" s="5">
        <f>100*('Parameter &lt;x, y&gt;'!L551-B551)/B551</f>
        <v>4.0231853510736482</v>
      </c>
      <c r="H551" s="5">
        <f>100*('Parameter &lt;x, y&gt;'!Q551-B551)/B551</f>
        <v>0</v>
      </c>
      <c r="J551" s="5">
        <f>100*('Parameter &lt;x, y&gt;'!D551-C551)/C551</f>
        <v>0</v>
      </c>
      <c r="K551" s="5">
        <f>100*('Parameter &lt;x, y&gt;'!I551-C551)/C551</f>
        <v>12.219645663618357</v>
      </c>
      <c r="L551" s="5">
        <f>100*('Parameter &lt;x, y&gt;'!N551-C551)/C551</f>
        <v>20.708270641417887</v>
      </c>
      <c r="M551" s="5">
        <f>100*('Parameter &lt;x, y&gt;'!S551-C551)/C551</f>
        <v>26.646437702945864</v>
      </c>
    </row>
    <row r="552" spans="1:13" ht="12.75" customHeight="1">
      <c r="A552" s="38"/>
      <c r="B552" s="5">
        <f>MIN('Parameter &lt;x, y&gt;'!B552,'Parameter &lt;x, y&gt;'!G552,'Parameter &lt;x, y&gt;'!L552,'Parameter &lt;x, y&gt;'!Q552)</f>
        <v>67293.3</v>
      </c>
      <c r="C552" s="5">
        <f>MIN('Parameter &lt;x, y&gt;'!D552,'Parameter &lt;x, y&gt;'!I552,'Parameter &lt;x, y&gt;'!N552,'Parameter &lt;x, y&gt;'!S552)</f>
        <v>49508.1</v>
      </c>
      <c r="E552" s="5">
        <f>100*('Parameter &lt;x, y&gt;'!B552-B552)/B552</f>
        <v>15.517592390327122</v>
      </c>
      <c r="F552" s="5">
        <f>100*('Parameter &lt;x, y&gt;'!G552-B552)/B552</f>
        <v>0</v>
      </c>
      <c r="G552" s="5">
        <f>100*('Parameter &lt;x, y&gt;'!L552-B552)/B552</f>
        <v>27.242087993901311</v>
      </c>
      <c r="H552" s="5">
        <f>100*('Parameter &lt;x, y&gt;'!Q552-B552)/B552</f>
        <v>32.237236099284772</v>
      </c>
      <c r="J552" s="5">
        <f>100*('Parameter &lt;x, y&gt;'!D552-C552)/C552</f>
        <v>21.082408737156143</v>
      </c>
      <c r="K552" s="5">
        <f>100*('Parameter &lt;x, y&gt;'!I552-C552)/C552</f>
        <v>19.962591979898239</v>
      </c>
      <c r="L552" s="5">
        <f>100*('Parameter &lt;x, y&gt;'!N552-C552)/C552</f>
        <v>0</v>
      </c>
      <c r="M552" s="5">
        <f>100*('Parameter &lt;x, y&gt;'!S552-C552)/C552</f>
        <v>20.962226383157503</v>
      </c>
    </row>
    <row r="553" spans="1:13" ht="12.75" customHeight="1">
      <c r="A553" s="38"/>
      <c r="B553" s="5">
        <f>MIN('Parameter &lt;x, y&gt;'!B553,'Parameter &lt;x, y&gt;'!G553,'Parameter &lt;x, y&gt;'!L553,'Parameter &lt;x, y&gt;'!Q553)</f>
        <v>66719.5</v>
      </c>
      <c r="C553" s="5">
        <f>MIN('Parameter &lt;x, y&gt;'!D553,'Parameter &lt;x, y&gt;'!I553,'Parameter &lt;x, y&gt;'!N553,'Parameter &lt;x, y&gt;'!S553)</f>
        <v>58199</v>
      </c>
      <c r="E553" s="5">
        <f>100*('Parameter &lt;x, y&gt;'!B553-B553)/B553</f>
        <v>6.8377310981047605</v>
      </c>
      <c r="F553" s="5">
        <f>100*('Parameter &lt;x, y&gt;'!G553-B553)/B553</f>
        <v>6.9167185005882885</v>
      </c>
      <c r="G553" s="5">
        <f>100*('Parameter &lt;x, y&gt;'!L553-B553)/B553</f>
        <v>0</v>
      </c>
      <c r="H553" s="5">
        <f>100*('Parameter &lt;x, y&gt;'!Q553-B553)/B553</f>
        <v>36.73258942288237</v>
      </c>
      <c r="J553" s="5">
        <f>100*('Parameter &lt;x, y&gt;'!D553-C553)/C553</f>
        <v>0</v>
      </c>
      <c r="K553" s="5">
        <f>100*('Parameter &lt;x, y&gt;'!I553-C553)/C553</f>
        <v>14.763312084400086</v>
      </c>
      <c r="L553" s="5">
        <f>100*('Parameter &lt;x, y&gt;'!N553-C553)/C553</f>
        <v>3.6619185896664841</v>
      </c>
      <c r="M553" s="5">
        <f>100*('Parameter &lt;x, y&gt;'!S553-C553)/C553</f>
        <v>31.092286809051693</v>
      </c>
    </row>
    <row r="554" spans="1:13" ht="12.75" customHeight="1">
      <c r="A554" s="38"/>
      <c r="B554" s="5">
        <f>MIN('Parameter &lt;x, y&gt;'!B554,'Parameter &lt;x, y&gt;'!G554,'Parameter &lt;x, y&gt;'!L554,'Parameter &lt;x, y&gt;'!Q554)</f>
        <v>66032</v>
      </c>
      <c r="C554" s="5">
        <f>MIN('Parameter &lt;x, y&gt;'!D554,'Parameter &lt;x, y&gt;'!I554,'Parameter &lt;x, y&gt;'!N554,'Parameter &lt;x, y&gt;'!S554)</f>
        <v>55390.8</v>
      </c>
      <c r="E554" s="5">
        <f>100*('Parameter &lt;x, y&gt;'!B554-B554)/B554</f>
        <v>0</v>
      </c>
      <c r="F554" s="5">
        <f>100*('Parameter &lt;x, y&gt;'!G554-B554)/B554</f>
        <v>40.671341167918591</v>
      </c>
      <c r="G554" s="5">
        <f>100*('Parameter &lt;x, y&gt;'!L554-B554)/B554</f>
        <v>31.847286164283975</v>
      </c>
      <c r="H554" s="5">
        <f>100*('Parameter &lt;x, y&gt;'!Q554-B554)/B554</f>
        <v>10.149018657620557</v>
      </c>
      <c r="J554" s="5">
        <f>100*('Parameter &lt;x, y&gt;'!D554-C554)/C554</f>
        <v>0</v>
      </c>
      <c r="K554" s="5">
        <f>100*('Parameter &lt;x, y&gt;'!I554-C554)/C554</f>
        <v>18.37850328935491</v>
      </c>
      <c r="L554" s="5">
        <f>100*('Parameter &lt;x, y&gt;'!N554-C554)/C554</f>
        <v>3.0958209666587151</v>
      </c>
      <c r="M554" s="5">
        <f>100*('Parameter &lt;x, y&gt;'!S554-C554)/C554</f>
        <v>29.404522050593229</v>
      </c>
    </row>
    <row r="555" spans="1:13" ht="12.75" customHeight="1">
      <c r="A555" s="38"/>
      <c r="B555" s="5">
        <f>MIN('Parameter &lt;x, y&gt;'!B555,'Parameter &lt;x, y&gt;'!G555,'Parameter &lt;x, y&gt;'!L555,'Parameter &lt;x, y&gt;'!Q555)</f>
        <v>76238.600000000006</v>
      </c>
      <c r="C555" s="5">
        <f>MIN('Parameter &lt;x, y&gt;'!D555,'Parameter &lt;x, y&gt;'!I555,'Parameter &lt;x, y&gt;'!N555,'Parameter &lt;x, y&gt;'!S555)</f>
        <v>54414.2</v>
      </c>
      <c r="E555" s="5">
        <f>100*('Parameter &lt;x, y&gt;'!B555-B555)/B555</f>
        <v>12.810439855925999</v>
      </c>
      <c r="F555" s="5">
        <f>100*('Parameter &lt;x, y&gt;'!G555-B555)/B555</f>
        <v>10.20598489479082</v>
      </c>
      <c r="G555" s="5">
        <f>100*('Parameter &lt;x, y&gt;'!L555-B555)/B555</f>
        <v>0</v>
      </c>
      <c r="H555" s="5">
        <f>100*('Parameter &lt;x, y&gt;'!Q555-B555)/B555</f>
        <v>9.729585800368838</v>
      </c>
      <c r="J555" s="5">
        <f>100*('Parameter &lt;x, y&gt;'!D555-C555)/C555</f>
        <v>13.824883945734763</v>
      </c>
      <c r="K555" s="5">
        <f>100*('Parameter &lt;x, y&gt;'!I555-C555)/C555</f>
        <v>19.322346005270692</v>
      </c>
      <c r="L555" s="5">
        <f>100*('Parameter &lt;x, y&gt;'!N555-C555)/C555</f>
        <v>0</v>
      </c>
      <c r="M555" s="5">
        <f>100*('Parameter &lt;x, y&gt;'!S555-C555)/C555</f>
        <v>32.123600089682476</v>
      </c>
    </row>
    <row r="556" spans="1:13" ht="12.75" customHeight="1">
      <c r="A556" s="38"/>
      <c r="B556" s="5">
        <f>MIN('Parameter &lt;x, y&gt;'!B556,'Parameter &lt;x, y&gt;'!G556,'Parameter &lt;x, y&gt;'!L556,'Parameter &lt;x, y&gt;'!Q556)</f>
        <v>79286.899999999994</v>
      </c>
      <c r="C556" s="5">
        <f>MIN('Parameter &lt;x, y&gt;'!D556,'Parameter &lt;x, y&gt;'!I556,'Parameter &lt;x, y&gt;'!N556,'Parameter &lt;x, y&gt;'!S556)</f>
        <v>64885.8</v>
      </c>
      <c r="E556" s="5">
        <f>100*('Parameter &lt;x, y&gt;'!B556-B556)/B556</f>
        <v>3.621909798466092</v>
      </c>
      <c r="F556" s="5">
        <f>100*('Parameter &lt;x, y&gt;'!G556-B556)/B556</f>
        <v>0</v>
      </c>
      <c r="G556" s="5">
        <f>100*('Parameter &lt;x, y&gt;'!L556-B556)/B556</f>
        <v>4.8936205098197703E-2</v>
      </c>
      <c r="H556" s="5">
        <f>100*('Parameter &lt;x, y&gt;'!Q556-B556)/B556</f>
        <v>1.3375475646039889</v>
      </c>
      <c r="J556" s="5">
        <f>100*('Parameter &lt;x, y&gt;'!D556-C556)/C556</f>
        <v>0</v>
      </c>
      <c r="K556" s="5">
        <f>100*('Parameter &lt;x, y&gt;'!I556-C556)/C556</f>
        <v>31.266933597181513</v>
      </c>
      <c r="L556" s="5">
        <f>100*('Parameter &lt;x, y&gt;'!N556-C556)/C556</f>
        <v>1.4510108529138885</v>
      </c>
      <c r="M556" s="5">
        <f>100*('Parameter &lt;x, y&gt;'!S556-C556)/C556</f>
        <v>19.963227701592647</v>
      </c>
    </row>
    <row r="557" spans="1:13" ht="12.75" customHeight="1">
      <c r="A557" s="38"/>
      <c r="B557" s="5">
        <f>MIN('Parameter &lt;x, y&gt;'!B557,'Parameter &lt;x, y&gt;'!G557,'Parameter &lt;x, y&gt;'!L557,'Parameter &lt;x, y&gt;'!Q557)</f>
        <v>86341.3</v>
      </c>
      <c r="C557" s="5">
        <f>MIN('Parameter &lt;x, y&gt;'!D557,'Parameter &lt;x, y&gt;'!I557,'Parameter &lt;x, y&gt;'!N557,'Parameter &lt;x, y&gt;'!S557)</f>
        <v>72298.600000000006</v>
      </c>
      <c r="E557" s="5">
        <f>100*('Parameter &lt;x, y&gt;'!B557-B557)/B557</f>
        <v>31.917170577695721</v>
      </c>
      <c r="F557" s="5">
        <f>100*('Parameter &lt;x, y&gt;'!G557-B557)/B557</f>
        <v>63.440902557640435</v>
      </c>
      <c r="G557" s="5">
        <f>100*('Parameter &lt;x, y&gt;'!L557-B557)/B557</f>
        <v>0</v>
      </c>
      <c r="H557" s="5">
        <f>100*('Parameter &lt;x, y&gt;'!Q557-B557)/B557</f>
        <v>37.814695863972389</v>
      </c>
      <c r="J557" s="5">
        <f>100*('Parameter &lt;x, y&gt;'!D557-C557)/C557</f>
        <v>0</v>
      </c>
      <c r="K557" s="5">
        <f>100*('Parameter &lt;x, y&gt;'!I557-C557)/C557</f>
        <v>70.354612675764102</v>
      </c>
      <c r="L557" s="5">
        <f>100*('Parameter &lt;x, y&gt;'!N557-C557)/C557</f>
        <v>37.891605093321296</v>
      </c>
      <c r="M557" s="5">
        <f>100*('Parameter &lt;x, y&gt;'!S557-C557)/C557</f>
        <v>44.488275015007197</v>
      </c>
    </row>
    <row r="558" spans="1:13" ht="12.75" customHeight="1">
      <c r="A558" s="38"/>
      <c r="B558" s="5">
        <f>MIN('Parameter &lt;x, y&gt;'!B558,'Parameter &lt;x, y&gt;'!G558,'Parameter &lt;x, y&gt;'!L558,'Parameter &lt;x, y&gt;'!Q558)</f>
        <v>57198.1</v>
      </c>
      <c r="C558" s="5">
        <f>MIN('Parameter &lt;x, y&gt;'!D558,'Parameter &lt;x, y&gt;'!I558,'Parameter &lt;x, y&gt;'!N558,'Parameter &lt;x, y&gt;'!S558)</f>
        <v>45474.2</v>
      </c>
      <c r="E558" s="5">
        <f>100*('Parameter &lt;x, y&gt;'!B558-B558)/B558</f>
        <v>6.8444581201123835</v>
      </c>
      <c r="F558" s="5">
        <f>100*('Parameter &lt;x, y&gt;'!G558-B558)/B558</f>
        <v>6.3864009468846019</v>
      </c>
      <c r="G558" s="5">
        <f>100*('Parameter &lt;x, y&gt;'!L558-B558)/B558</f>
        <v>0</v>
      </c>
      <c r="H558" s="5">
        <f>100*('Parameter &lt;x, y&gt;'!Q558-B558)/B558</f>
        <v>9.485804598404501</v>
      </c>
      <c r="J558" s="5">
        <f>100*('Parameter &lt;x, y&gt;'!D558-C558)/C558</f>
        <v>3.947952905163814</v>
      </c>
      <c r="K558" s="5">
        <f>100*('Parameter &lt;x, y&gt;'!I558-C558)/C558</f>
        <v>37.374159413469627</v>
      </c>
      <c r="L558" s="5">
        <f>100*('Parameter &lt;x, y&gt;'!N558-C558)/C558</f>
        <v>0</v>
      </c>
      <c r="M558" s="5">
        <f>100*('Parameter &lt;x, y&gt;'!S558-C558)/C558</f>
        <v>15.978950701716585</v>
      </c>
    </row>
    <row r="559" spans="1:13" ht="12.75" customHeight="1">
      <c r="A559" s="38"/>
      <c r="B559" s="5">
        <f>MIN('Parameter &lt;x, y&gt;'!B559,'Parameter &lt;x, y&gt;'!G559,'Parameter &lt;x, y&gt;'!L559,'Parameter &lt;x, y&gt;'!Q559)</f>
        <v>81091.600000000006</v>
      </c>
      <c r="C559" s="5">
        <f>MIN('Parameter &lt;x, y&gt;'!D559,'Parameter &lt;x, y&gt;'!I559,'Parameter &lt;x, y&gt;'!N559,'Parameter &lt;x, y&gt;'!S559)</f>
        <v>65169.9</v>
      </c>
      <c r="E559" s="5">
        <f>100*('Parameter &lt;x, y&gt;'!B559-B559)/B559</f>
        <v>42.99878162473054</v>
      </c>
      <c r="F559" s="5">
        <f>100*('Parameter &lt;x, y&gt;'!G559-B559)/B559</f>
        <v>0</v>
      </c>
      <c r="G559" s="5">
        <f>100*('Parameter &lt;x, y&gt;'!L559-B559)/B559</f>
        <v>6.9305575423348289</v>
      </c>
      <c r="H559" s="5">
        <f>100*('Parameter &lt;x, y&gt;'!Q559-B559)/B559</f>
        <v>7.5394985423890928</v>
      </c>
      <c r="J559" s="5">
        <f>100*('Parameter &lt;x, y&gt;'!D559-C559)/C559</f>
        <v>54.641943596660418</v>
      </c>
      <c r="K559" s="5">
        <f>100*('Parameter &lt;x, y&gt;'!I559-C559)/C559</f>
        <v>12.88432236354514</v>
      </c>
      <c r="L559" s="5">
        <f>100*('Parameter &lt;x, y&gt;'!N559-C559)/C559</f>
        <v>0</v>
      </c>
      <c r="M559" s="5">
        <f>100*('Parameter &lt;x, y&gt;'!S559-C559)/C559</f>
        <v>36.115752824540159</v>
      </c>
    </row>
    <row r="560" spans="1:13" ht="12.75" customHeight="1">
      <c r="A560" s="38"/>
      <c r="B560" s="5">
        <f>MIN('Parameter &lt;x, y&gt;'!B560,'Parameter &lt;x, y&gt;'!G560,'Parameter &lt;x, y&gt;'!L560,'Parameter &lt;x, y&gt;'!Q560)</f>
        <v>73184.800000000003</v>
      </c>
      <c r="C560" s="5">
        <f>MIN('Parameter &lt;x, y&gt;'!D560,'Parameter &lt;x, y&gt;'!I560,'Parameter &lt;x, y&gt;'!N560,'Parameter &lt;x, y&gt;'!S560)</f>
        <v>62184</v>
      </c>
      <c r="E560" s="5">
        <f>100*('Parameter &lt;x, y&gt;'!B560-B560)/B560</f>
        <v>0</v>
      </c>
      <c r="F560" s="5">
        <f>100*('Parameter &lt;x, y&gt;'!G560-B560)/B560</f>
        <v>11.596397066057435</v>
      </c>
      <c r="G560" s="5">
        <f>100*('Parameter &lt;x, y&gt;'!L560-B560)/B560</f>
        <v>54.392715427247182</v>
      </c>
      <c r="H560" s="5">
        <f>100*('Parameter &lt;x, y&gt;'!Q560-B560)/B560</f>
        <v>5.6873831724620452</v>
      </c>
      <c r="J560" s="5">
        <f>100*('Parameter &lt;x, y&gt;'!D560-C560)/C560</f>
        <v>1.9001672455937195</v>
      </c>
      <c r="K560" s="5">
        <f>100*('Parameter &lt;x, y&gt;'!I560-C560)/C560</f>
        <v>14.460793773317899</v>
      </c>
      <c r="L560" s="5">
        <f>100*('Parameter &lt;x, y&gt;'!N560-C560)/C560</f>
        <v>0</v>
      </c>
      <c r="M560" s="5">
        <f>100*('Parameter &lt;x, y&gt;'!S560-C560)/C560</f>
        <v>7.9692525408465293</v>
      </c>
    </row>
    <row r="561" spans="1:13" ht="12.75" customHeight="1">
      <c r="A561" s="38"/>
      <c r="B561" s="5">
        <f>MIN('Parameter &lt;x, y&gt;'!B561,'Parameter &lt;x, y&gt;'!G561,'Parameter &lt;x, y&gt;'!L561,'Parameter &lt;x, y&gt;'!Q561)</f>
        <v>86348.7</v>
      </c>
      <c r="C561" s="5">
        <f>MIN('Parameter &lt;x, y&gt;'!D561,'Parameter &lt;x, y&gt;'!I561,'Parameter &lt;x, y&gt;'!N561,'Parameter &lt;x, y&gt;'!S561)</f>
        <v>74587.399999999994</v>
      </c>
      <c r="E561" s="5">
        <f>100*('Parameter &lt;x, y&gt;'!B561-B561)/B561</f>
        <v>15.680722466001232</v>
      </c>
      <c r="F561" s="5">
        <f>100*('Parameter &lt;x, y&gt;'!G561-B561)/B561</f>
        <v>38.003235717503571</v>
      </c>
      <c r="G561" s="5">
        <f>100*('Parameter &lt;x, y&gt;'!L561-B561)/B561</f>
        <v>11.284014698542082</v>
      </c>
      <c r="H561" s="5">
        <f>100*('Parameter &lt;x, y&gt;'!Q561-B561)/B561</f>
        <v>0</v>
      </c>
      <c r="J561" s="5">
        <f>100*('Parameter &lt;x, y&gt;'!D561-C561)/C561</f>
        <v>18.733861215165035</v>
      </c>
      <c r="K561" s="5">
        <f>100*('Parameter &lt;x, y&gt;'!I561-C561)/C561</f>
        <v>13.407224276486385</v>
      </c>
      <c r="L561" s="5">
        <f>100*('Parameter &lt;x, y&gt;'!N561-C561)/C561</f>
        <v>0</v>
      </c>
      <c r="M561" s="5">
        <f>100*('Parameter &lt;x, y&gt;'!S561-C561)/C561</f>
        <v>21.635289606555549</v>
      </c>
    </row>
    <row r="562" spans="1:13" ht="12.75" customHeight="1">
      <c r="A562" s="38"/>
      <c r="B562" s="5">
        <f>MIN('Parameter &lt;x, y&gt;'!B562,'Parameter &lt;x, y&gt;'!G562,'Parameter &lt;x, y&gt;'!L562,'Parameter &lt;x, y&gt;'!Q562)</f>
        <v>80662.100000000006</v>
      </c>
      <c r="C562" s="5">
        <f>MIN('Parameter &lt;x, y&gt;'!D562,'Parameter &lt;x, y&gt;'!I562,'Parameter &lt;x, y&gt;'!N562,'Parameter &lt;x, y&gt;'!S562)</f>
        <v>69349.7</v>
      </c>
      <c r="E562" s="5">
        <f>100*('Parameter &lt;x, y&gt;'!B562-B562)/B562</f>
        <v>0.40960996552283435</v>
      </c>
      <c r="F562" s="5">
        <f>100*('Parameter &lt;x, y&gt;'!G562-B562)/B562</f>
        <v>22.197289681275329</v>
      </c>
      <c r="G562" s="5">
        <f>100*('Parameter &lt;x, y&gt;'!L562-B562)/B562</f>
        <v>0</v>
      </c>
      <c r="H562" s="5">
        <f>100*('Parameter &lt;x, y&gt;'!Q562-B562)/B562</f>
        <v>0.91108463578309284</v>
      </c>
      <c r="J562" s="5">
        <f>100*('Parameter &lt;x, y&gt;'!D562-C562)/C562</f>
        <v>0.17144991254469555</v>
      </c>
      <c r="K562" s="5">
        <f>100*('Parameter &lt;x, y&gt;'!I562-C562)/C562</f>
        <v>0</v>
      </c>
      <c r="L562" s="5">
        <f>100*('Parameter &lt;x, y&gt;'!N562-C562)/C562</f>
        <v>12.798613404239676</v>
      </c>
      <c r="M562" s="5">
        <f>100*('Parameter &lt;x, y&gt;'!S562-C562)/C562</f>
        <v>16.70966132513912</v>
      </c>
    </row>
    <row r="563" spans="1:13" ht="12.75" customHeight="1">
      <c r="A563" s="38"/>
      <c r="B563" s="5">
        <f>MIN('Parameter &lt;x, y&gt;'!B563,'Parameter &lt;x, y&gt;'!G563,'Parameter &lt;x, y&gt;'!L563,'Parameter &lt;x, y&gt;'!Q563)</f>
        <v>101619</v>
      </c>
      <c r="C563" s="5">
        <f>MIN('Parameter &lt;x, y&gt;'!D563,'Parameter &lt;x, y&gt;'!I563,'Parameter &lt;x, y&gt;'!N563,'Parameter &lt;x, y&gt;'!S563)</f>
        <v>66971.8</v>
      </c>
      <c r="E563" s="5">
        <f>100*('Parameter &lt;x, y&gt;'!B563-B563)/B563</f>
        <v>5.6357570926696781</v>
      </c>
      <c r="F563" s="5">
        <f>100*('Parameter &lt;x, y&gt;'!G563-B563)/B563</f>
        <v>2.6845373404579851</v>
      </c>
      <c r="G563" s="5">
        <f>100*('Parameter &lt;x, y&gt;'!L563-B563)/B563</f>
        <v>28.608823153150492</v>
      </c>
      <c r="H563" s="5">
        <f>100*('Parameter &lt;x, y&gt;'!Q563-B563)/B563</f>
        <v>0</v>
      </c>
      <c r="J563" s="5">
        <f>100*('Parameter &lt;x, y&gt;'!D563-C563)/C563</f>
        <v>45.039106011784064</v>
      </c>
      <c r="K563" s="5">
        <f>100*('Parameter &lt;x, y&gt;'!I563-C563)/C563</f>
        <v>26.239999522186942</v>
      </c>
      <c r="L563" s="5">
        <f>100*('Parameter &lt;x, y&gt;'!N563-C563)/C563</f>
        <v>0</v>
      </c>
      <c r="M563" s="5">
        <f>100*('Parameter &lt;x, y&gt;'!S563-C563)/C563</f>
        <v>77.137242839523495</v>
      </c>
    </row>
    <row r="564" spans="1:13" ht="12.75" customHeight="1">
      <c r="A564" s="38"/>
      <c r="B564" s="5">
        <f>MIN('Parameter &lt;x, y&gt;'!B564,'Parameter &lt;x, y&gt;'!G564,'Parameter &lt;x, y&gt;'!L564,'Parameter &lt;x, y&gt;'!Q564)</f>
        <v>69665.600000000006</v>
      </c>
      <c r="C564" s="5">
        <f>MIN('Parameter &lt;x, y&gt;'!D564,'Parameter &lt;x, y&gt;'!I564,'Parameter &lt;x, y&gt;'!N564,'Parameter &lt;x, y&gt;'!S564)</f>
        <v>54397.1</v>
      </c>
      <c r="E564" s="5">
        <f>100*('Parameter &lt;x, y&gt;'!B564-B564)/B564</f>
        <v>36.324958085482649</v>
      </c>
      <c r="F564" s="5">
        <f>100*('Parameter &lt;x, y&gt;'!G564-B564)/B564</f>
        <v>8.4904170781562112</v>
      </c>
      <c r="G564" s="5">
        <f>100*('Parameter &lt;x, y&gt;'!L564-B564)/B564</f>
        <v>0</v>
      </c>
      <c r="H564" s="5">
        <f>100*('Parameter &lt;x, y&gt;'!Q564-B564)/B564</f>
        <v>7.7264819365655315</v>
      </c>
      <c r="J564" s="5">
        <f>100*('Parameter &lt;x, y&gt;'!D564-C564)/C564</f>
        <v>9.2442427997080703</v>
      </c>
      <c r="K564" s="5">
        <f>100*('Parameter &lt;x, y&gt;'!I564-C564)/C564</f>
        <v>16.066665318555589</v>
      </c>
      <c r="L564" s="5">
        <f>100*('Parameter &lt;x, y&gt;'!N564-C564)/C564</f>
        <v>0</v>
      </c>
      <c r="M564" s="5">
        <f>100*('Parameter &lt;x, y&gt;'!S564-C564)/C564</f>
        <v>43.315544394829871</v>
      </c>
    </row>
    <row r="565" spans="1:13" ht="12.75" customHeight="1">
      <c r="A565" s="38"/>
      <c r="B565" s="5">
        <f>MIN('Parameter &lt;x, y&gt;'!B565,'Parameter &lt;x, y&gt;'!G565,'Parameter &lt;x, y&gt;'!L565,'Parameter &lt;x, y&gt;'!Q565)</f>
        <v>90241.1</v>
      </c>
      <c r="C565" s="5">
        <f>MIN('Parameter &lt;x, y&gt;'!D565,'Parameter &lt;x, y&gt;'!I565,'Parameter &lt;x, y&gt;'!N565,'Parameter &lt;x, y&gt;'!S565)</f>
        <v>75154.2</v>
      </c>
      <c r="E565" s="5">
        <f>100*('Parameter &lt;x, y&gt;'!B565-B565)/B565</f>
        <v>82.216307203702073</v>
      </c>
      <c r="F565" s="5">
        <f>100*('Parameter &lt;x, y&gt;'!G565-B565)/B565</f>
        <v>10.839739320553488</v>
      </c>
      <c r="G565" s="5">
        <f>100*('Parameter &lt;x, y&gt;'!L565-B565)/B565</f>
        <v>12.476465823222449</v>
      </c>
      <c r="H565" s="5">
        <f>100*('Parameter &lt;x, y&gt;'!Q565-B565)/B565</f>
        <v>0</v>
      </c>
      <c r="J565" s="5">
        <f>100*('Parameter &lt;x, y&gt;'!D565-C565)/C565</f>
        <v>64.54170226015313</v>
      </c>
      <c r="K565" s="5">
        <f>100*('Parameter &lt;x, y&gt;'!I565-C565)/C565</f>
        <v>0</v>
      </c>
      <c r="L565" s="5">
        <f>100*('Parameter &lt;x, y&gt;'!N565-C565)/C565</f>
        <v>8.9611758225089186</v>
      </c>
      <c r="M565" s="5">
        <f>100*('Parameter &lt;x, y&gt;'!S565-C565)/C565</f>
        <v>15.979146874027002</v>
      </c>
    </row>
    <row r="566" spans="1:13" ht="12.75" customHeight="1">
      <c r="A566" s="38"/>
      <c r="B566" s="5">
        <f>MIN('Parameter &lt;x, y&gt;'!B566,'Parameter &lt;x, y&gt;'!G566,'Parameter &lt;x, y&gt;'!L566,'Parameter &lt;x, y&gt;'!Q566)</f>
        <v>90281.4</v>
      </c>
      <c r="C566" s="5">
        <f>MIN('Parameter &lt;x, y&gt;'!D566,'Parameter &lt;x, y&gt;'!I566,'Parameter &lt;x, y&gt;'!N566,'Parameter &lt;x, y&gt;'!S566)</f>
        <v>74664.399999999994</v>
      </c>
      <c r="E566" s="5">
        <f>100*('Parameter &lt;x, y&gt;'!B566-B566)/B566</f>
        <v>0</v>
      </c>
      <c r="F566" s="5">
        <f>100*('Parameter &lt;x, y&gt;'!G566-B566)/B566</f>
        <v>2.1284561382521825</v>
      </c>
      <c r="G566" s="5">
        <f>100*('Parameter &lt;x, y&gt;'!L566-B566)/B566</f>
        <v>50.249110004940121</v>
      </c>
      <c r="H566" s="5">
        <f>100*('Parameter &lt;x, y&gt;'!Q566-B566)/B566</f>
        <v>9.2473089695108914</v>
      </c>
      <c r="J566" s="5">
        <f>100*('Parameter &lt;x, y&gt;'!D566-C566)/C566</f>
        <v>0</v>
      </c>
      <c r="K566" s="5">
        <f>100*('Parameter &lt;x, y&gt;'!I566-C566)/C566</f>
        <v>69.898907645410688</v>
      </c>
      <c r="L566" s="5">
        <f>100*('Parameter &lt;x, y&gt;'!N566-C566)/C566</f>
        <v>30.605080868526375</v>
      </c>
      <c r="M566" s="5">
        <f>100*('Parameter &lt;x, y&gt;'!S566-C566)/C566</f>
        <v>42.872640776595013</v>
      </c>
    </row>
    <row r="567" spans="1:13" ht="12.75" customHeight="1">
      <c r="A567" s="38"/>
      <c r="B567" s="5">
        <f>MIN('Parameter &lt;x, y&gt;'!B567,'Parameter &lt;x, y&gt;'!G567,'Parameter &lt;x, y&gt;'!L567,'Parameter &lt;x, y&gt;'!Q567)</f>
        <v>69568</v>
      </c>
      <c r="C567" s="5">
        <f>MIN('Parameter &lt;x, y&gt;'!D567,'Parameter &lt;x, y&gt;'!I567,'Parameter &lt;x, y&gt;'!N567,'Parameter &lt;x, y&gt;'!S567)</f>
        <v>65825.600000000006</v>
      </c>
      <c r="E567" s="5">
        <f>100*('Parameter &lt;x, y&gt;'!B567-B567)/B567</f>
        <v>4.1546400643974284</v>
      </c>
      <c r="F567" s="5">
        <f>100*('Parameter &lt;x, y&gt;'!G567-B567)/B567</f>
        <v>0</v>
      </c>
      <c r="G567" s="5">
        <f>100*('Parameter &lt;x, y&gt;'!L567-B567)/B567</f>
        <v>9.9113097976081033</v>
      </c>
      <c r="H567" s="5">
        <f>100*('Parameter &lt;x, y&gt;'!Q567-B567)/B567</f>
        <v>5.9077449402023836</v>
      </c>
      <c r="J567" s="5">
        <f>100*('Parameter &lt;x, y&gt;'!D567-C567)/C567</f>
        <v>27.344680489049832</v>
      </c>
      <c r="K567" s="5">
        <f>100*('Parameter &lt;x, y&gt;'!I567-C567)/C567</f>
        <v>43.161323254174654</v>
      </c>
      <c r="L567" s="5">
        <f>100*('Parameter &lt;x, y&gt;'!N567-C567)/C567</f>
        <v>3.6774446415984006</v>
      </c>
      <c r="M567" s="5">
        <f>100*('Parameter &lt;x, y&gt;'!S567-C567)/C567</f>
        <v>0</v>
      </c>
    </row>
    <row r="568" spans="1:13" ht="12.75" customHeight="1">
      <c r="A568" s="38"/>
      <c r="B568" s="5">
        <f>MIN('Parameter &lt;x, y&gt;'!B568,'Parameter &lt;x, y&gt;'!G568,'Parameter &lt;x, y&gt;'!L568,'Parameter &lt;x, y&gt;'!Q568)</f>
        <v>52290.8</v>
      </c>
      <c r="C568" s="5">
        <f>MIN('Parameter &lt;x, y&gt;'!D568,'Parameter &lt;x, y&gt;'!I568,'Parameter &lt;x, y&gt;'!N568,'Parameter &lt;x, y&gt;'!S568)</f>
        <v>40692.9</v>
      </c>
      <c r="E568" s="5">
        <f>100*('Parameter &lt;x, y&gt;'!B568-B568)/B568</f>
        <v>15.553596426139968</v>
      </c>
      <c r="F568" s="5">
        <f>100*('Parameter &lt;x, y&gt;'!G568-B568)/B568</f>
        <v>0</v>
      </c>
      <c r="G568" s="5">
        <f>100*('Parameter &lt;x, y&gt;'!L568-B568)/B568</f>
        <v>34.318082722008455</v>
      </c>
      <c r="H568" s="5">
        <f>100*('Parameter &lt;x, y&gt;'!Q568-B568)/B568</f>
        <v>16.966273225882937</v>
      </c>
      <c r="J568" s="5">
        <f>100*('Parameter &lt;x, y&gt;'!D568-C568)/C568</f>
        <v>0</v>
      </c>
      <c r="K568" s="5">
        <f>100*('Parameter &lt;x, y&gt;'!I568-C568)/C568</f>
        <v>12.358421247932686</v>
      </c>
      <c r="L568" s="5">
        <f>100*('Parameter &lt;x, y&gt;'!N568-C568)/C568</f>
        <v>5.1861626966866492</v>
      </c>
      <c r="M568" s="5">
        <f>100*('Parameter &lt;x, y&gt;'!S568-C568)/C568</f>
        <v>6.2035391923406822</v>
      </c>
    </row>
    <row r="569" spans="1:13" ht="12.75" customHeight="1">
      <c r="A569" s="38"/>
      <c r="B569" s="5">
        <f>MIN('Parameter &lt;x, y&gt;'!B569,'Parameter &lt;x, y&gt;'!G569,'Parameter &lt;x, y&gt;'!L569,'Parameter &lt;x, y&gt;'!Q569)</f>
        <v>66976</v>
      </c>
      <c r="C569" s="5">
        <f>MIN('Parameter &lt;x, y&gt;'!D569,'Parameter &lt;x, y&gt;'!I569,'Parameter &lt;x, y&gt;'!N569,'Parameter &lt;x, y&gt;'!S569)</f>
        <v>56610</v>
      </c>
      <c r="E569" s="5">
        <f>100*('Parameter &lt;x, y&gt;'!B569-B569)/B569</f>
        <v>0</v>
      </c>
      <c r="F569" s="5">
        <f>100*('Parameter &lt;x, y&gt;'!G569-B569)/B569</f>
        <v>31.099050406115616</v>
      </c>
      <c r="G569" s="5">
        <f>100*('Parameter &lt;x, y&gt;'!L569-B569)/B569</f>
        <v>1.230291447682752</v>
      </c>
      <c r="H569" s="5">
        <f>100*('Parameter &lt;x, y&gt;'!Q569-B569)/B569</f>
        <v>40.247849976110835</v>
      </c>
      <c r="J569" s="5">
        <f>100*('Parameter &lt;x, y&gt;'!D569-C569)/C569</f>
        <v>44.774951422010254</v>
      </c>
      <c r="K569" s="5">
        <f>100*('Parameter &lt;x, y&gt;'!I569-C569)/C569</f>
        <v>4.6292174527468619</v>
      </c>
      <c r="L569" s="5">
        <f>100*('Parameter &lt;x, y&gt;'!N569-C569)/C569</f>
        <v>0</v>
      </c>
      <c r="M569" s="5">
        <f>100*('Parameter &lt;x, y&gt;'!S569-C569)/C569</f>
        <v>16.009892245186357</v>
      </c>
    </row>
    <row r="570" spans="1:13" ht="12.75" customHeight="1">
      <c r="A570" s="38"/>
      <c r="B570" s="5">
        <f>MIN('Parameter &lt;x, y&gt;'!B570,'Parameter &lt;x, y&gt;'!G570,'Parameter &lt;x, y&gt;'!L570,'Parameter &lt;x, y&gt;'!Q570)</f>
        <v>77386.600000000006</v>
      </c>
      <c r="C570" s="5">
        <f>MIN('Parameter &lt;x, y&gt;'!D570,'Parameter &lt;x, y&gt;'!I570,'Parameter &lt;x, y&gt;'!N570,'Parameter &lt;x, y&gt;'!S570)</f>
        <v>64837.9</v>
      </c>
      <c r="E570" s="5">
        <f>100*('Parameter &lt;x, y&gt;'!B570-B570)/B570</f>
        <v>0</v>
      </c>
      <c r="F570" s="5">
        <f>100*('Parameter &lt;x, y&gt;'!G570-B570)/B570</f>
        <v>5.7130045770197828</v>
      </c>
      <c r="G570" s="5">
        <f>100*('Parameter &lt;x, y&gt;'!L570-B570)/B570</f>
        <v>49.648647181811832</v>
      </c>
      <c r="H570" s="5">
        <f>100*('Parameter &lt;x, y&gt;'!Q570-B570)/B570</f>
        <v>9.7702961494625598</v>
      </c>
      <c r="J570" s="5">
        <f>100*('Parameter &lt;x, y&gt;'!D570-C570)/C570</f>
        <v>0</v>
      </c>
      <c r="K570" s="5">
        <f>100*('Parameter &lt;x, y&gt;'!I570-C570)/C570</f>
        <v>10.87265318586814</v>
      </c>
      <c r="L570" s="5">
        <f>100*('Parameter &lt;x, y&gt;'!N570-C570)/C570</f>
        <v>38.158237697396103</v>
      </c>
      <c r="M570" s="5">
        <f>100*('Parameter &lt;x, y&gt;'!S570-C570)/C570</f>
        <v>11.110322820449158</v>
      </c>
    </row>
    <row r="571" spans="1:13" ht="12.75" customHeight="1">
      <c r="A571" s="38"/>
      <c r="B571" s="5">
        <f>MIN('Parameter &lt;x, y&gt;'!B571,'Parameter &lt;x, y&gt;'!G571,'Parameter &lt;x, y&gt;'!L571,'Parameter &lt;x, y&gt;'!Q571)</f>
        <v>72148.899999999994</v>
      </c>
      <c r="C571" s="5">
        <f>MIN('Parameter &lt;x, y&gt;'!D571,'Parameter &lt;x, y&gt;'!I571,'Parameter &lt;x, y&gt;'!N571,'Parameter &lt;x, y&gt;'!S571)</f>
        <v>56919.3</v>
      </c>
      <c r="E571" s="5">
        <f>100*('Parameter &lt;x, y&gt;'!B571-B571)/B571</f>
        <v>0</v>
      </c>
      <c r="F571" s="5">
        <f>100*('Parameter &lt;x, y&gt;'!G571-B571)/B571</f>
        <v>23.420176884193676</v>
      </c>
      <c r="G571" s="5">
        <f>100*('Parameter &lt;x, y&gt;'!L571-B571)/B571</f>
        <v>16.493390751626155</v>
      </c>
      <c r="H571" s="5">
        <f>100*('Parameter &lt;x, y&gt;'!Q571-B571)/B571</f>
        <v>2.3172910467103573</v>
      </c>
      <c r="J571" s="5">
        <f>100*('Parameter &lt;x, y&gt;'!D571-C571)/C571</f>
        <v>12.586591894137836</v>
      </c>
      <c r="K571" s="5">
        <f>100*('Parameter &lt;x, y&gt;'!I571-C571)/C571</f>
        <v>7.75360905703337</v>
      </c>
      <c r="L571" s="5">
        <f>100*('Parameter &lt;x, y&gt;'!N571-C571)/C571</f>
        <v>0</v>
      </c>
      <c r="M571" s="5">
        <f>100*('Parameter &lt;x, y&gt;'!S571-C571)/C571</f>
        <v>26.93901716992303</v>
      </c>
    </row>
    <row r="572" spans="1:13" ht="12.75" customHeight="1">
      <c r="A572" s="38"/>
      <c r="B572" s="5">
        <f>MIN('Parameter &lt;x, y&gt;'!B572,'Parameter &lt;x, y&gt;'!G572,'Parameter &lt;x, y&gt;'!L572,'Parameter &lt;x, y&gt;'!Q572)</f>
        <v>70637</v>
      </c>
      <c r="C572" s="5">
        <f>MIN('Parameter &lt;x, y&gt;'!D572,'Parameter &lt;x, y&gt;'!I572,'Parameter &lt;x, y&gt;'!N572,'Parameter &lt;x, y&gt;'!S572)</f>
        <v>62509.8</v>
      </c>
      <c r="E572" s="5">
        <f>100*('Parameter &lt;x, y&gt;'!B572-B572)/B572</f>
        <v>47.919645511559096</v>
      </c>
      <c r="F572" s="5">
        <f>100*('Parameter &lt;x, y&gt;'!G572-B572)/B572</f>
        <v>62.996729759191361</v>
      </c>
      <c r="G572" s="5">
        <f>100*('Parameter &lt;x, y&gt;'!L572-B572)/B572</f>
        <v>0</v>
      </c>
      <c r="H572" s="5">
        <f>100*('Parameter &lt;x, y&gt;'!Q572-B572)/B572</f>
        <v>7.6291461981680992</v>
      </c>
      <c r="J572" s="5">
        <f>100*('Parameter &lt;x, y&gt;'!D572-C572)/C572</f>
        <v>63.347187161053135</v>
      </c>
      <c r="K572" s="5">
        <f>100*('Parameter &lt;x, y&gt;'!I572-C572)/C572</f>
        <v>0</v>
      </c>
      <c r="L572" s="5">
        <f>100*('Parameter &lt;x, y&gt;'!N572-C572)/C572</f>
        <v>28.178141667386537</v>
      </c>
      <c r="M572" s="5">
        <f>100*('Parameter &lt;x, y&gt;'!S572-C572)/C572</f>
        <v>6.85444522298903</v>
      </c>
    </row>
    <row r="573" spans="1:13" ht="12.75" customHeight="1">
      <c r="A573" s="38"/>
      <c r="B573" s="5">
        <f>MIN('Parameter &lt;x, y&gt;'!B573,'Parameter &lt;x, y&gt;'!G573,'Parameter &lt;x, y&gt;'!L573,'Parameter &lt;x, y&gt;'!Q573)</f>
        <v>69226.5</v>
      </c>
      <c r="C573" s="5">
        <f>MIN('Parameter &lt;x, y&gt;'!D573,'Parameter &lt;x, y&gt;'!I573,'Parameter &lt;x, y&gt;'!N573,'Parameter &lt;x, y&gt;'!S573)</f>
        <v>58264.2</v>
      </c>
      <c r="E573" s="5">
        <f>100*('Parameter &lt;x, y&gt;'!B573-B573)/B573</f>
        <v>0.10285078690963301</v>
      </c>
      <c r="F573" s="5">
        <f>100*('Parameter &lt;x, y&gt;'!G573-B573)/B573</f>
        <v>0</v>
      </c>
      <c r="G573" s="5">
        <f>100*('Parameter &lt;x, y&gt;'!L573-B573)/B573</f>
        <v>31.826829321141478</v>
      </c>
      <c r="H573" s="5">
        <f>100*('Parameter &lt;x, y&gt;'!Q573-B573)/B573</f>
        <v>54.469747856673386</v>
      </c>
      <c r="J573" s="5">
        <f>100*('Parameter &lt;x, y&gt;'!D573-C573)/C573</f>
        <v>11.341956124000678</v>
      </c>
      <c r="K573" s="5">
        <f>100*('Parameter &lt;x, y&gt;'!I573-C573)/C573</f>
        <v>15.1207774242159</v>
      </c>
      <c r="L573" s="5">
        <f>100*('Parameter &lt;x, y&gt;'!N573-C573)/C573</f>
        <v>0</v>
      </c>
      <c r="M573" s="5">
        <f>100*('Parameter &lt;x, y&gt;'!S573-C573)/C573</f>
        <v>33.86436267896925</v>
      </c>
    </row>
    <row r="574" spans="1:13" ht="12.75" customHeight="1">
      <c r="A574" s="38"/>
      <c r="B574" s="5">
        <f>MIN('Parameter &lt;x, y&gt;'!B574,'Parameter &lt;x, y&gt;'!G574,'Parameter &lt;x, y&gt;'!L574,'Parameter &lt;x, y&gt;'!Q574)</f>
        <v>73703.899999999994</v>
      </c>
      <c r="C574" s="5">
        <f>MIN('Parameter &lt;x, y&gt;'!D574,'Parameter &lt;x, y&gt;'!I574,'Parameter &lt;x, y&gt;'!N574,'Parameter &lt;x, y&gt;'!S574)</f>
        <v>57719</v>
      </c>
      <c r="E574" s="5">
        <f>100*('Parameter &lt;x, y&gt;'!B574-B574)/B574</f>
        <v>38.599178605202717</v>
      </c>
      <c r="F574" s="5">
        <f>100*('Parameter &lt;x, y&gt;'!G574-B574)/B574</f>
        <v>0</v>
      </c>
      <c r="G574" s="5">
        <f>100*('Parameter &lt;x, y&gt;'!L574-B574)/B574</f>
        <v>16.074047641983682</v>
      </c>
      <c r="H574" s="5">
        <f>100*('Parameter &lt;x, y&gt;'!Q574-B574)/B574</f>
        <v>16.458152146629967</v>
      </c>
      <c r="J574" s="5">
        <f>100*('Parameter &lt;x, y&gt;'!D574-C574)/C574</f>
        <v>0.53777785477919138</v>
      </c>
      <c r="K574" s="5">
        <f>100*('Parameter &lt;x, y&gt;'!I574-C574)/C574</f>
        <v>10.252603128952334</v>
      </c>
      <c r="L574" s="5">
        <f>100*('Parameter &lt;x, y&gt;'!N574-C574)/C574</f>
        <v>0</v>
      </c>
      <c r="M574" s="5">
        <f>100*('Parameter &lt;x, y&gt;'!S574-C574)/C574</f>
        <v>21.078674266705928</v>
      </c>
    </row>
    <row r="575" spans="1:13" ht="12.75" customHeight="1">
      <c r="A575" s="38"/>
      <c r="B575" s="5">
        <f>MIN('Parameter &lt;x, y&gt;'!B575,'Parameter &lt;x, y&gt;'!G575,'Parameter &lt;x, y&gt;'!L575,'Parameter &lt;x, y&gt;'!Q575)</f>
        <v>60076.800000000003</v>
      </c>
      <c r="C575" s="5">
        <f>MIN('Parameter &lt;x, y&gt;'!D575,'Parameter &lt;x, y&gt;'!I575,'Parameter &lt;x, y&gt;'!N575,'Parameter &lt;x, y&gt;'!S575)</f>
        <v>41683.199999999997</v>
      </c>
      <c r="E575" s="5">
        <f>100*('Parameter &lt;x, y&gt;'!B575-B575)/B575</f>
        <v>0</v>
      </c>
      <c r="F575" s="5">
        <f>100*('Parameter &lt;x, y&gt;'!G575-B575)/B575</f>
        <v>35.612915468200683</v>
      </c>
      <c r="G575" s="5">
        <f>100*('Parameter &lt;x, y&gt;'!L575-B575)/B575</f>
        <v>39.446508469159468</v>
      </c>
      <c r="H575" s="5">
        <f>100*('Parameter &lt;x, y&gt;'!Q575-B575)/B575</f>
        <v>1.1978001491424286</v>
      </c>
      <c r="J575" s="5">
        <f>100*('Parameter &lt;x, y&gt;'!D575-C575)/C575</f>
        <v>19.38814678335638</v>
      </c>
      <c r="K575" s="5">
        <f>100*('Parameter &lt;x, y&gt;'!I575-C575)/C575</f>
        <v>24.035822585598041</v>
      </c>
      <c r="L575" s="5">
        <f>100*('Parameter &lt;x, y&gt;'!N575-C575)/C575</f>
        <v>0</v>
      </c>
      <c r="M575" s="5">
        <f>100*('Parameter &lt;x, y&gt;'!S575-C575)/C575</f>
        <v>61.809553968985099</v>
      </c>
    </row>
    <row r="576" spans="1:13" ht="12.75" customHeight="1">
      <c r="A576" s="38"/>
      <c r="B576" s="5">
        <f>MIN('Parameter &lt;x, y&gt;'!B576,'Parameter &lt;x, y&gt;'!G576,'Parameter &lt;x, y&gt;'!L576,'Parameter &lt;x, y&gt;'!Q576)</f>
        <v>77292.3</v>
      </c>
      <c r="C576" s="5">
        <f>MIN('Parameter &lt;x, y&gt;'!D576,'Parameter &lt;x, y&gt;'!I576,'Parameter &lt;x, y&gt;'!N576,'Parameter &lt;x, y&gt;'!S576)</f>
        <v>62139</v>
      </c>
      <c r="E576" s="5">
        <f>100*('Parameter &lt;x, y&gt;'!B576-B576)/B576</f>
        <v>0</v>
      </c>
      <c r="F576" s="5">
        <f>100*('Parameter &lt;x, y&gt;'!G576-B576)/B576</f>
        <v>0.5071656555698304</v>
      </c>
      <c r="G576" s="5">
        <f>100*('Parameter &lt;x, y&gt;'!L576-B576)/B576</f>
        <v>3.361525016075336</v>
      </c>
      <c r="H576" s="5">
        <f>100*('Parameter &lt;x, y&gt;'!Q576-B576)/B576</f>
        <v>5.1736072027873448</v>
      </c>
      <c r="J576" s="5">
        <f>100*('Parameter &lt;x, y&gt;'!D576-C576)/C576</f>
        <v>22.194113197830667</v>
      </c>
      <c r="K576" s="5">
        <f>100*('Parameter &lt;x, y&gt;'!I576-C576)/C576</f>
        <v>55.144112393183022</v>
      </c>
      <c r="L576" s="5">
        <f>100*('Parameter &lt;x, y&gt;'!N576-C576)/C576</f>
        <v>0</v>
      </c>
      <c r="M576" s="5">
        <f>100*('Parameter &lt;x, y&gt;'!S576-C576)/C576</f>
        <v>27.078485331273438</v>
      </c>
    </row>
    <row r="577" spans="1:13" ht="12.75" customHeight="1">
      <c r="A577" s="38"/>
      <c r="B577" s="5">
        <f>MIN('Parameter &lt;x, y&gt;'!B577,'Parameter &lt;x, y&gt;'!G577,'Parameter &lt;x, y&gt;'!L577,'Parameter &lt;x, y&gt;'!Q577)</f>
        <v>64182.8</v>
      </c>
      <c r="C577" s="5">
        <f>MIN('Parameter &lt;x, y&gt;'!D577,'Parameter &lt;x, y&gt;'!I577,'Parameter &lt;x, y&gt;'!N577,'Parameter &lt;x, y&gt;'!S577)</f>
        <v>50653.1</v>
      </c>
      <c r="E577" s="5">
        <f>100*('Parameter &lt;x, y&gt;'!B577-B577)/B577</f>
        <v>2.5647058090329358</v>
      </c>
      <c r="F577" s="5">
        <f>100*('Parameter &lt;x, y&gt;'!G577-B577)/B577</f>
        <v>50.627426662594949</v>
      </c>
      <c r="G577" s="5">
        <f>100*('Parameter &lt;x, y&gt;'!L577-B577)/B577</f>
        <v>0</v>
      </c>
      <c r="H577" s="5">
        <f>100*('Parameter &lt;x, y&gt;'!Q577-B577)/B577</f>
        <v>12.443209084053661</v>
      </c>
      <c r="J577" s="5">
        <f>100*('Parameter &lt;x, y&gt;'!D577-C577)/C577</f>
        <v>0</v>
      </c>
      <c r="K577" s="5">
        <f>100*('Parameter &lt;x, y&gt;'!I577-C577)/C577</f>
        <v>41.492623353753267</v>
      </c>
      <c r="L577" s="5">
        <f>100*('Parameter &lt;x, y&gt;'!N577-C577)/C577</f>
        <v>2.3769522497142326</v>
      </c>
      <c r="M577" s="5">
        <f>100*('Parameter &lt;x, y&gt;'!S577-C577)/C577</f>
        <v>68.189311216885073</v>
      </c>
    </row>
    <row r="578" spans="1:13" ht="12.75" customHeight="1">
      <c r="A578" s="38"/>
      <c r="B578" s="5">
        <f>MIN('Parameter &lt;x, y&gt;'!B578,'Parameter &lt;x, y&gt;'!G578,'Parameter &lt;x, y&gt;'!L578,'Parameter &lt;x, y&gt;'!Q578)</f>
        <v>78932</v>
      </c>
      <c r="C578" s="5">
        <f>MIN('Parameter &lt;x, y&gt;'!D578,'Parameter &lt;x, y&gt;'!I578,'Parameter &lt;x, y&gt;'!N578,'Parameter &lt;x, y&gt;'!S578)</f>
        <v>67278</v>
      </c>
      <c r="E578" s="5">
        <f>100*('Parameter &lt;x, y&gt;'!B578-B578)/B578</f>
        <v>0</v>
      </c>
      <c r="F578" s="5">
        <f>100*('Parameter &lt;x, y&gt;'!G578-B578)/B578</f>
        <v>39.585972736025944</v>
      </c>
      <c r="G578" s="5">
        <f>100*('Parameter &lt;x, y&gt;'!L578-B578)/B578</f>
        <v>3.3417371915066094</v>
      </c>
      <c r="H578" s="5">
        <f>100*('Parameter &lt;x, y&gt;'!Q578-B578)/B578</f>
        <v>27.053666447068363</v>
      </c>
      <c r="J578" s="5">
        <f>100*('Parameter &lt;x, y&gt;'!D578-C578)/C578</f>
        <v>0</v>
      </c>
      <c r="K578" s="5">
        <f>100*('Parameter &lt;x, y&gt;'!I578-C578)/C578</f>
        <v>3.5122922797942864</v>
      </c>
      <c r="L578" s="5">
        <f>100*('Parameter &lt;x, y&gt;'!N578-C578)/C578</f>
        <v>21.565742144534617</v>
      </c>
      <c r="M578" s="5">
        <f>100*('Parameter &lt;x, y&gt;'!S578-C578)/C578</f>
        <v>27.26626831951009</v>
      </c>
    </row>
    <row r="579" spans="1:13" ht="12.75" customHeight="1">
      <c r="A579" s="38"/>
      <c r="B579" s="5">
        <f>MIN('Parameter &lt;x, y&gt;'!B579,'Parameter &lt;x, y&gt;'!G579,'Parameter &lt;x, y&gt;'!L579,'Parameter &lt;x, y&gt;'!Q579)</f>
        <v>83284.399999999994</v>
      </c>
      <c r="C579" s="5">
        <f>MIN('Parameter &lt;x, y&gt;'!D579,'Parameter &lt;x, y&gt;'!I579,'Parameter &lt;x, y&gt;'!N579,'Parameter &lt;x, y&gt;'!S579)</f>
        <v>69254.8</v>
      </c>
      <c r="E579" s="5">
        <f>100*('Parameter &lt;x, y&gt;'!B579-B579)/B579</f>
        <v>19.611836070140395</v>
      </c>
      <c r="F579" s="5">
        <f>100*('Parameter &lt;x, y&gt;'!G579-B579)/B579</f>
        <v>6.095259136164767</v>
      </c>
      <c r="G579" s="5">
        <f>100*('Parameter &lt;x, y&gt;'!L579-B579)/B579</f>
        <v>7.0189615342129041</v>
      </c>
      <c r="H579" s="5">
        <f>100*('Parameter &lt;x, y&gt;'!Q579-B579)/B579</f>
        <v>0</v>
      </c>
      <c r="J579" s="5">
        <f>100*('Parameter &lt;x, y&gt;'!D579-C579)/C579</f>
        <v>3.0803641047263191</v>
      </c>
      <c r="K579" s="5">
        <f>100*('Parameter &lt;x, y&gt;'!I579-C579)/C579</f>
        <v>22.389639418495172</v>
      </c>
      <c r="L579" s="5">
        <f>100*('Parameter &lt;x, y&gt;'!N579-C579)/C579</f>
        <v>0</v>
      </c>
      <c r="M579" s="5">
        <f>100*('Parameter &lt;x, y&gt;'!S579-C579)/C579</f>
        <v>15.977953874677278</v>
      </c>
    </row>
    <row r="580" spans="1:13" ht="12.75" customHeight="1">
      <c r="A580" s="38"/>
      <c r="B580" s="5">
        <f>MIN('Parameter &lt;x, y&gt;'!B580,'Parameter &lt;x, y&gt;'!G580,'Parameter &lt;x, y&gt;'!L580,'Parameter &lt;x, y&gt;'!Q580)</f>
        <v>71157.2</v>
      </c>
      <c r="C580" s="5">
        <f>MIN('Parameter &lt;x, y&gt;'!D580,'Parameter &lt;x, y&gt;'!I580,'Parameter &lt;x, y&gt;'!N580,'Parameter &lt;x, y&gt;'!S580)</f>
        <v>62946.5</v>
      </c>
      <c r="E580" s="5">
        <f>100*('Parameter &lt;x, y&gt;'!B580-B580)/B580</f>
        <v>27.148060913020753</v>
      </c>
      <c r="F580" s="5">
        <f>100*('Parameter &lt;x, y&gt;'!G580-B580)/B580</f>
        <v>0</v>
      </c>
      <c r="G580" s="5">
        <f>100*('Parameter &lt;x, y&gt;'!L580-B580)/B580</f>
        <v>26.760608905353227</v>
      </c>
      <c r="H580" s="5">
        <f>100*('Parameter &lt;x, y&gt;'!Q580-B580)/B580</f>
        <v>48.503594857582939</v>
      </c>
      <c r="J580" s="5">
        <f>100*('Parameter &lt;x, y&gt;'!D580-C580)/C580</f>
        <v>30.326864877316449</v>
      </c>
      <c r="K580" s="5">
        <f>100*('Parameter &lt;x, y&gt;'!I580-C580)/C580</f>
        <v>0</v>
      </c>
      <c r="L580" s="5">
        <f>100*('Parameter &lt;x, y&gt;'!N580-C580)/C580</f>
        <v>0.74793673992994514</v>
      </c>
      <c r="M580" s="5">
        <f>100*('Parameter &lt;x, y&gt;'!S580-C580)/C580</f>
        <v>43.016212180184752</v>
      </c>
    </row>
    <row r="581" spans="1:13" ht="12.75" customHeight="1">
      <c r="A581" s="38"/>
      <c r="B581" s="5">
        <f>MIN('Parameter &lt;x, y&gt;'!B581,'Parameter &lt;x, y&gt;'!G581,'Parameter &lt;x, y&gt;'!L581,'Parameter &lt;x, y&gt;'!Q581)</f>
        <v>76996.800000000003</v>
      </c>
      <c r="C581" s="5">
        <f>MIN('Parameter &lt;x, y&gt;'!D581,'Parameter &lt;x, y&gt;'!I581,'Parameter &lt;x, y&gt;'!N581,'Parameter &lt;x, y&gt;'!S581)</f>
        <v>62317.3</v>
      </c>
      <c r="E581" s="5">
        <f>100*('Parameter &lt;x, y&gt;'!B581-B581)/B581</f>
        <v>0.16065602726346689</v>
      </c>
      <c r="F581" s="5">
        <f>100*('Parameter &lt;x, y&gt;'!G581-B581)/B581</f>
        <v>31.360004571618553</v>
      </c>
      <c r="G581" s="5">
        <f>100*('Parameter &lt;x, y&gt;'!L581-B581)/B581</f>
        <v>22.234560397315207</v>
      </c>
      <c r="H581" s="5">
        <f>100*('Parameter &lt;x, y&gt;'!Q581-B581)/B581</f>
        <v>0</v>
      </c>
      <c r="J581" s="5">
        <f>100*('Parameter &lt;x, y&gt;'!D581-C581)/C581</f>
        <v>13.019980005552226</v>
      </c>
      <c r="K581" s="5">
        <f>100*('Parameter &lt;x, y&gt;'!I581-C581)/C581</f>
        <v>0</v>
      </c>
      <c r="L581" s="5">
        <f>100*('Parameter &lt;x, y&gt;'!N581-C581)/C581</f>
        <v>0.85241177008631164</v>
      </c>
      <c r="M581" s="5">
        <f>100*('Parameter &lt;x, y&gt;'!S581-C581)/C581</f>
        <v>30.640608627138842</v>
      </c>
    </row>
    <row r="582" spans="1:13" ht="12.75" customHeight="1">
      <c r="A582" s="38"/>
      <c r="B582" s="5">
        <f>MIN('Parameter &lt;x, y&gt;'!B582,'Parameter &lt;x, y&gt;'!G582,'Parameter &lt;x, y&gt;'!L582,'Parameter &lt;x, y&gt;'!Q582)</f>
        <v>76443.399999999994</v>
      </c>
      <c r="C582" s="5">
        <f>MIN('Parameter &lt;x, y&gt;'!D582,'Parameter &lt;x, y&gt;'!I582,'Parameter &lt;x, y&gt;'!N582,'Parameter &lt;x, y&gt;'!S582)</f>
        <v>63222</v>
      </c>
      <c r="E582" s="5">
        <f>100*('Parameter &lt;x, y&gt;'!B582-B582)/B582</f>
        <v>0</v>
      </c>
      <c r="F582" s="5">
        <f>100*('Parameter &lt;x, y&gt;'!G582-B582)/B582</f>
        <v>24.802402823526954</v>
      </c>
      <c r="G582" s="5">
        <f>100*('Parameter &lt;x, y&gt;'!L582-B582)/B582</f>
        <v>18.330424863362971</v>
      </c>
      <c r="H582" s="5">
        <f>100*('Parameter &lt;x, y&gt;'!Q582-B582)/B582</f>
        <v>1.9522941156463591</v>
      </c>
      <c r="J582" s="5">
        <f>100*('Parameter &lt;x, y&gt;'!D582-C582)/C582</f>
        <v>0</v>
      </c>
      <c r="K582" s="5">
        <f>100*('Parameter &lt;x, y&gt;'!I582-C582)/C582</f>
        <v>7.551801588054782</v>
      </c>
      <c r="L582" s="5">
        <f>100*('Parameter &lt;x, y&gt;'!N582-C582)/C582</f>
        <v>1.0374553161874054</v>
      </c>
      <c r="M582" s="5">
        <f>100*('Parameter &lt;x, y&gt;'!S582-C582)/C582</f>
        <v>25.91740217013065</v>
      </c>
    </row>
    <row r="583" spans="1:13" ht="12.75" customHeight="1">
      <c r="A583" s="38"/>
      <c r="B583" s="5">
        <f>MIN('Parameter &lt;x, y&gt;'!B583,'Parameter &lt;x, y&gt;'!G583,'Parameter &lt;x, y&gt;'!L583,'Parameter &lt;x, y&gt;'!Q583)</f>
        <v>66864.5</v>
      </c>
      <c r="C583" s="5">
        <f>MIN('Parameter &lt;x, y&gt;'!D583,'Parameter &lt;x, y&gt;'!I583,'Parameter &lt;x, y&gt;'!N583,'Parameter &lt;x, y&gt;'!S583)</f>
        <v>51783.9</v>
      </c>
      <c r="E583" s="5">
        <f>100*('Parameter &lt;x, y&gt;'!B583-B583)/B583</f>
        <v>5.6817892902810998</v>
      </c>
      <c r="F583" s="5">
        <f>100*('Parameter &lt;x, y&gt;'!G583-B583)/B583</f>
        <v>5.8567700349213796</v>
      </c>
      <c r="G583" s="5">
        <f>100*('Parameter &lt;x, y&gt;'!L583-B583)/B583</f>
        <v>68.421210059149473</v>
      </c>
      <c r="H583" s="5">
        <f>100*('Parameter &lt;x, y&gt;'!Q583-B583)/B583</f>
        <v>0</v>
      </c>
      <c r="J583" s="5">
        <f>100*('Parameter &lt;x, y&gt;'!D583-C583)/C583</f>
        <v>1.1542197478366771</v>
      </c>
      <c r="K583" s="5">
        <f>100*('Parameter &lt;x, y&gt;'!I583-C583)/C583</f>
        <v>0</v>
      </c>
      <c r="L583" s="5">
        <f>100*('Parameter &lt;x, y&gt;'!N583-C583)/C583</f>
        <v>43.721697284291054</v>
      </c>
      <c r="M583" s="5">
        <f>100*('Parameter &lt;x, y&gt;'!S583-C583)/C583</f>
        <v>20.00544570802894</v>
      </c>
    </row>
    <row r="584" spans="1:13" ht="12.75" customHeight="1">
      <c r="A584" s="38"/>
      <c r="B584" s="5">
        <f>MIN('Parameter &lt;x, y&gt;'!B584,'Parameter &lt;x, y&gt;'!G584,'Parameter &lt;x, y&gt;'!L584,'Parameter &lt;x, y&gt;'!Q584)</f>
        <v>53754.2</v>
      </c>
      <c r="C584" s="5">
        <f>MIN('Parameter &lt;x, y&gt;'!D584,'Parameter &lt;x, y&gt;'!I584,'Parameter &lt;x, y&gt;'!N584,'Parameter &lt;x, y&gt;'!S584)</f>
        <v>44155.7</v>
      </c>
      <c r="E584" s="5">
        <f>100*('Parameter &lt;x, y&gt;'!B584-B584)/B584</f>
        <v>10.70297762779467</v>
      </c>
      <c r="F584" s="5">
        <f>100*('Parameter &lt;x, y&gt;'!G584-B584)/B584</f>
        <v>4.1273054012523787</v>
      </c>
      <c r="G584" s="5">
        <f>100*('Parameter &lt;x, y&gt;'!L584-B584)/B584</f>
        <v>3.617949853220777</v>
      </c>
      <c r="H584" s="5">
        <f>100*('Parameter &lt;x, y&gt;'!Q584-B584)/B584</f>
        <v>0</v>
      </c>
      <c r="J584" s="5">
        <f>100*('Parameter &lt;x, y&gt;'!D584-C584)/C584</f>
        <v>2.9214801260086469</v>
      </c>
      <c r="K584" s="5">
        <f>100*('Parameter &lt;x, y&gt;'!I584-C584)/C584</f>
        <v>26.238062130144026</v>
      </c>
      <c r="L584" s="5">
        <f>100*('Parameter &lt;x, y&gt;'!N584-C584)/C584</f>
        <v>0</v>
      </c>
      <c r="M584" s="5">
        <f>100*('Parameter &lt;x, y&gt;'!S584-C584)/C584</f>
        <v>43.53209211947722</v>
      </c>
    </row>
    <row r="585" spans="1:13" ht="12.75" customHeight="1">
      <c r="A585" s="38"/>
      <c r="B585" s="5">
        <f>MIN('Parameter &lt;x, y&gt;'!B585,'Parameter &lt;x, y&gt;'!G585,'Parameter &lt;x, y&gt;'!L585,'Parameter &lt;x, y&gt;'!Q585)</f>
        <v>72184.600000000006</v>
      </c>
      <c r="C585" s="5">
        <f>MIN('Parameter &lt;x, y&gt;'!D585,'Parameter &lt;x, y&gt;'!I585,'Parameter &lt;x, y&gt;'!N585,'Parameter &lt;x, y&gt;'!S585)</f>
        <v>58195.4</v>
      </c>
      <c r="E585" s="5">
        <f>100*('Parameter &lt;x, y&gt;'!B585-B585)/B585</f>
        <v>1.9463985393006262</v>
      </c>
      <c r="F585" s="5">
        <f>100*('Parameter &lt;x, y&gt;'!G585-B585)/B585</f>
        <v>0</v>
      </c>
      <c r="G585" s="5">
        <f>100*('Parameter &lt;x, y&gt;'!L585-B585)/B585</f>
        <v>1.5108485743496414</v>
      </c>
      <c r="H585" s="5">
        <f>100*('Parameter &lt;x, y&gt;'!Q585-B585)/B585</f>
        <v>4.1338457233260275</v>
      </c>
      <c r="J585" s="5">
        <f>100*('Parameter &lt;x, y&gt;'!D585-C585)/C585</f>
        <v>0</v>
      </c>
      <c r="K585" s="5">
        <f>100*('Parameter &lt;x, y&gt;'!I585-C585)/C585</f>
        <v>13.386453224825322</v>
      </c>
      <c r="L585" s="5">
        <f>100*('Parameter &lt;x, y&gt;'!N585-C585)/C585</f>
        <v>0.34968399564226726</v>
      </c>
      <c r="M585" s="5">
        <f>100*('Parameter &lt;x, y&gt;'!S585-C585)/C585</f>
        <v>15.318392862666119</v>
      </c>
    </row>
    <row r="586" spans="1:13" ht="12.75" customHeight="1">
      <c r="A586" s="38"/>
      <c r="B586" s="5">
        <f>MIN('Parameter &lt;x, y&gt;'!B586,'Parameter &lt;x, y&gt;'!G586,'Parameter &lt;x, y&gt;'!L586,'Parameter &lt;x, y&gt;'!Q586)</f>
        <v>67010.899999999994</v>
      </c>
      <c r="C586" s="5">
        <f>MIN('Parameter &lt;x, y&gt;'!D586,'Parameter &lt;x, y&gt;'!I586,'Parameter &lt;x, y&gt;'!N586,'Parameter &lt;x, y&gt;'!S586)</f>
        <v>57032.7</v>
      </c>
      <c r="E586" s="5">
        <f>100*('Parameter &lt;x, y&gt;'!B586-B586)/B586</f>
        <v>0</v>
      </c>
      <c r="F586" s="5">
        <f>100*('Parameter &lt;x, y&gt;'!G586-B586)/B586</f>
        <v>2.8468502885351663</v>
      </c>
      <c r="G586" s="5">
        <f>100*('Parameter &lt;x, y&gt;'!L586-B586)/B586</f>
        <v>20.382206476856755</v>
      </c>
      <c r="H586" s="5">
        <f>100*('Parameter &lt;x, y&gt;'!Q586-B586)/B586</f>
        <v>6.4202987872122348</v>
      </c>
      <c r="J586" s="5">
        <f>100*('Parameter &lt;x, y&gt;'!D586-C586)/C586</f>
        <v>0</v>
      </c>
      <c r="K586" s="5">
        <f>100*('Parameter &lt;x, y&gt;'!I586-C586)/C586</f>
        <v>43.813286062206437</v>
      </c>
      <c r="L586" s="5">
        <f>100*('Parameter &lt;x, y&gt;'!N586-C586)/C586</f>
        <v>1.5124656556677236</v>
      </c>
      <c r="M586" s="5">
        <f>100*('Parameter &lt;x, y&gt;'!S586-C586)/C586</f>
        <v>11.890722339990928</v>
      </c>
    </row>
    <row r="587" spans="1:13" ht="12.75" customHeight="1">
      <c r="A587" s="38"/>
      <c r="B587" s="5">
        <f>MIN('Parameter &lt;x, y&gt;'!B587,'Parameter &lt;x, y&gt;'!G587,'Parameter &lt;x, y&gt;'!L587,'Parameter &lt;x, y&gt;'!Q587)</f>
        <v>59082.400000000001</v>
      </c>
      <c r="C587" s="5">
        <f>MIN('Parameter &lt;x, y&gt;'!D587,'Parameter &lt;x, y&gt;'!I587,'Parameter &lt;x, y&gt;'!N587,'Parameter &lt;x, y&gt;'!S587)</f>
        <v>44769.1</v>
      </c>
      <c r="E587" s="5">
        <f>100*('Parameter &lt;x, y&gt;'!B587-B587)/B587</f>
        <v>63.926482336533375</v>
      </c>
      <c r="F587" s="5">
        <f>100*('Parameter &lt;x, y&gt;'!G587-B587)/B587</f>
        <v>12.530296670412854</v>
      </c>
      <c r="G587" s="5">
        <f>100*('Parameter &lt;x, y&gt;'!L587-B587)/B587</f>
        <v>0</v>
      </c>
      <c r="H587" s="5">
        <f>100*('Parameter &lt;x, y&gt;'!Q587-B587)/B587</f>
        <v>59.449006810826909</v>
      </c>
      <c r="J587" s="5">
        <f>100*('Parameter &lt;x, y&gt;'!D587-C587)/C587</f>
        <v>47.69383346996031</v>
      </c>
      <c r="K587" s="5">
        <f>100*('Parameter &lt;x, y&gt;'!I587-C587)/C587</f>
        <v>122.78446517799109</v>
      </c>
      <c r="L587" s="5">
        <f>100*('Parameter &lt;x, y&gt;'!N587-C587)/C587</f>
        <v>0</v>
      </c>
      <c r="M587" s="5">
        <f>100*('Parameter &lt;x, y&gt;'!S587-C587)/C587</f>
        <v>133.24346480049857</v>
      </c>
    </row>
    <row r="588" spans="1:13" ht="12.75" customHeight="1">
      <c r="A588" s="38"/>
      <c r="B588" s="5">
        <f>MIN('Parameter &lt;x, y&gt;'!B588,'Parameter &lt;x, y&gt;'!G588,'Parameter &lt;x, y&gt;'!L588,'Parameter &lt;x, y&gt;'!Q588)</f>
        <v>61311.9</v>
      </c>
      <c r="C588" s="5">
        <f>MIN('Parameter &lt;x, y&gt;'!D588,'Parameter &lt;x, y&gt;'!I588,'Parameter &lt;x, y&gt;'!N588,'Parameter &lt;x, y&gt;'!S588)</f>
        <v>55738</v>
      </c>
      <c r="E588" s="5">
        <f>100*('Parameter &lt;x, y&gt;'!B588-B588)/B588</f>
        <v>35.543344766676604</v>
      </c>
      <c r="F588" s="5">
        <f>100*('Parameter &lt;x, y&gt;'!G588-B588)/B588</f>
        <v>6.8030839037772415</v>
      </c>
      <c r="G588" s="5">
        <f>100*('Parameter &lt;x, y&gt;'!L588-B588)/B588</f>
        <v>3.1734459379011204</v>
      </c>
      <c r="H588" s="5">
        <f>100*('Parameter &lt;x, y&gt;'!Q588-B588)/B588</f>
        <v>0</v>
      </c>
      <c r="J588" s="5">
        <f>100*('Parameter &lt;x, y&gt;'!D588-C588)/C588</f>
        <v>32.231332304711337</v>
      </c>
      <c r="K588" s="5">
        <f>100*('Parameter &lt;x, y&gt;'!I588-C588)/C588</f>
        <v>0</v>
      </c>
      <c r="L588" s="5">
        <f>100*('Parameter &lt;x, y&gt;'!N588-C588)/C588</f>
        <v>7.7173562022318709</v>
      </c>
      <c r="M588" s="5">
        <f>100*('Parameter &lt;x, y&gt;'!S588-C588)/C588</f>
        <v>19.330797660482983</v>
      </c>
    </row>
    <row r="589" spans="1:13" ht="12.75" customHeight="1">
      <c r="A589" s="38"/>
      <c r="B589" s="5">
        <f>MIN('Parameter &lt;x, y&gt;'!B589,'Parameter &lt;x, y&gt;'!G589,'Parameter &lt;x, y&gt;'!L589,'Parameter &lt;x, y&gt;'!Q589)</f>
        <v>69957.5</v>
      </c>
      <c r="C589" s="5">
        <f>MIN('Parameter &lt;x, y&gt;'!D589,'Parameter &lt;x, y&gt;'!I589,'Parameter &lt;x, y&gt;'!N589,'Parameter &lt;x, y&gt;'!S589)</f>
        <v>54477.3</v>
      </c>
      <c r="E589" s="5">
        <f>100*('Parameter &lt;x, y&gt;'!B589-B589)/B589</f>
        <v>0</v>
      </c>
      <c r="F589" s="5">
        <f>100*('Parameter &lt;x, y&gt;'!G589-B589)/B589</f>
        <v>0.50359146624736861</v>
      </c>
      <c r="G589" s="5">
        <f>100*('Parameter &lt;x, y&gt;'!L589-B589)/B589</f>
        <v>46.403173355251404</v>
      </c>
      <c r="H589" s="5">
        <f>100*('Parameter &lt;x, y&gt;'!Q589-B589)/B589</f>
        <v>0.53260908408677532</v>
      </c>
      <c r="J589" s="5">
        <f>100*('Parameter &lt;x, y&gt;'!D589-C589)/C589</f>
        <v>5.0253958988422642</v>
      </c>
      <c r="K589" s="5">
        <f>100*('Parameter &lt;x, y&gt;'!I589-C589)/C589</f>
        <v>3.6011329489530421</v>
      </c>
      <c r="L589" s="5">
        <f>100*('Parameter &lt;x, y&gt;'!N589-C589)/C589</f>
        <v>0</v>
      </c>
      <c r="M589" s="5">
        <f>100*('Parameter &lt;x, y&gt;'!S589-C589)/C589</f>
        <v>20.025588639671927</v>
      </c>
    </row>
    <row r="590" spans="1:13" ht="12.75" customHeight="1">
      <c r="A590" s="38"/>
      <c r="B590" s="5">
        <f>MIN('Parameter &lt;x, y&gt;'!B590,'Parameter &lt;x, y&gt;'!G590,'Parameter &lt;x, y&gt;'!L590,'Parameter &lt;x, y&gt;'!Q590)</f>
        <v>76395.199999999997</v>
      </c>
      <c r="C590" s="5">
        <f>MIN('Parameter &lt;x, y&gt;'!D590,'Parameter &lt;x, y&gt;'!I590,'Parameter &lt;x, y&gt;'!N590,'Parameter &lt;x, y&gt;'!S590)</f>
        <v>63005.5</v>
      </c>
      <c r="E590" s="5">
        <f>100*('Parameter &lt;x, y&gt;'!B590-B590)/B590</f>
        <v>0</v>
      </c>
      <c r="F590" s="5">
        <f>100*('Parameter &lt;x, y&gt;'!G590-B590)/B590</f>
        <v>0.8569910151423088</v>
      </c>
      <c r="G590" s="5">
        <f>100*('Parameter &lt;x, y&gt;'!L590-B590)/B590</f>
        <v>17.195059375458143</v>
      </c>
      <c r="H590" s="5">
        <f>100*('Parameter &lt;x, y&gt;'!Q590-B590)/B590</f>
        <v>36.562244748361159</v>
      </c>
      <c r="J590" s="5">
        <f>100*('Parameter &lt;x, y&gt;'!D590-C590)/C590</f>
        <v>11.428684797358956</v>
      </c>
      <c r="K590" s="5">
        <f>100*('Parameter &lt;x, y&gt;'!I590-C590)/C590</f>
        <v>8.0659624953377094</v>
      </c>
      <c r="L590" s="5">
        <f>100*('Parameter &lt;x, y&gt;'!N590-C590)/C590</f>
        <v>0</v>
      </c>
      <c r="M590" s="5">
        <f>100*('Parameter &lt;x, y&gt;'!S590-C590)/C590</f>
        <v>56.554745220655349</v>
      </c>
    </row>
    <row r="591" spans="1:13" ht="12.75" customHeight="1">
      <c r="A591" s="38"/>
      <c r="B591" s="5">
        <f>MIN('Parameter &lt;x, y&gt;'!B591,'Parameter &lt;x, y&gt;'!G591,'Parameter &lt;x, y&gt;'!L591,'Parameter &lt;x, y&gt;'!Q591)</f>
        <v>82958.399999999994</v>
      </c>
      <c r="C591" s="5">
        <f>MIN('Parameter &lt;x, y&gt;'!D591,'Parameter &lt;x, y&gt;'!I591,'Parameter &lt;x, y&gt;'!N591,'Parameter &lt;x, y&gt;'!S591)</f>
        <v>66473.5</v>
      </c>
      <c r="E591" s="5">
        <f>100*('Parameter &lt;x, y&gt;'!B591-B591)/B591</f>
        <v>0</v>
      </c>
      <c r="F591" s="5">
        <f>100*('Parameter &lt;x, y&gt;'!G591-B591)/B591</f>
        <v>2.1099731913826796</v>
      </c>
      <c r="G591" s="5">
        <f>100*('Parameter &lt;x, y&gt;'!L591-B591)/B591</f>
        <v>15.174834615903878</v>
      </c>
      <c r="H591" s="5">
        <f>100*('Parameter &lt;x, y&gt;'!Q591-B591)/B591</f>
        <v>33.881559914366726</v>
      </c>
      <c r="J591" s="5">
        <f>100*('Parameter &lt;x, y&gt;'!D591-C591)/C591</f>
        <v>76.259712517018059</v>
      </c>
      <c r="K591" s="5">
        <f>100*('Parameter &lt;x, y&gt;'!I591-C591)/C591</f>
        <v>109.80390682001098</v>
      </c>
      <c r="L591" s="5">
        <f>100*('Parameter &lt;x, y&gt;'!N591-C591)/C591</f>
        <v>2.810593695231939</v>
      </c>
      <c r="M591" s="5">
        <f>100*('Parameter &lt;x, y&gt;'!S591-C591)/C591</f>
        <v>0</v>
      </c>
    </row>
    <row r="592" spans="1:13" ht="12.75" customHeight="1">
      <c r="A592" s="38"/>
      <c r="B592" s="5">
        <f>MIN('Parameter &lt;x, y&gt;'!B592,'Parameter &lt;x, y&gt;'!G592,'Parameter &lt;x, y&gt;'!L592,'Parameter &lt;x, y&gt;'!Q592)</f>
        <v>73626.899999999994</v>
      </c>
      <c r="C592" s="5">
        <f>MIN('Parameter &lt;x, y&gt;'!D592,'Parameter &lt;x, y&gt;'!I592,'Parameter &lt;x, y&gt;'!N592,'Parameter &lt;x, y&gt;'!S592)</f>
        <v>61008.4</v>
      </c>
      <c r="E592" s="5">
        <f>100*('Parameter &lt;x, y&gt;'!B592-B592)/B592</f>
        <v>77.443298577014673</v>
      </c>
      <c r="F592" s="5">
        <f>100*('Parameter &lt;x, y&gt;'!G592-B592)/B592</f>
        <v>75.964219599086761</v>
      </c>
      <c r="G592" s="5">
        <f>100*('Parameter &lt;x, y&gt;'!L592-B592)/B592</f>
        <v>32.225178569245763</v>
      </c>
      <c r="H592" s="5">
        <f>100*('Parameter &lt;x, y&gt;'!Q592-B592)/B592</f>
        <v>0</v>
      </c>
      <c r="J592" s="5">
        <f>100*('Parameter &lt;x, y&gt;'!D592-C592)/C592</f>
        <v>0</v>
      </c>
      <c r="K592" s="5">
        <f>100*('Parameter &lt;x, y&gt;'!I592-C592)/C592</f>
        <v>44.04836055362869</v>
      </c>
      <c r="L592" s="5">
        <f>100*('Parameter &lt;x, y&gt;'!N592-C592)/C592</f>
        <v>39.255741832272271</v>
      </c>
      <c r="M592" s="5">
        <f>100*('Parameter &lt;x, y&gt;'!S592-C592)/C592</f>
        <v>53.976009860937182</v>
      </c>
    </row>
    <row r="593" spans="1:13" ht="12.75" customHeight="1">
      <c r="A593" s="38"/>
      <c r="B593" s="5">
        <f>MIN('Parameter &lt;x, y&gt;'!B593,'Parameter &lt;x, y&gt;'!G593,'Parameter &lt;x, y&gt;'!L593,'Parameter &lt;x, y&gt;'!Q593)</f>
        <v>83028.5</v>
      </c>
      <c r="C593" s="5">
        <f>MIN('Parameter &lt;x, y&gt;'!D593,'Parameter &lt;x, y&gt;'!I593,'Parameter &lt;x, y&gt;'!N593,'Parameter &lt;x, y&gt;'!S593)</f>
        <v>65089.3</v>
      </c>
      <c r="E593" s="5">
        <f>100*('Parameter &lt;x, y&gt;'!B593-B593)/B593</f>
        <v>0</v>
      </c>
      <c r="F593" s="5">
        <f>100*('Parameter &lt;x, y&gt;'!G593-B593)/B593</f>
        <v>17.000186682885996</v>
      </c>
      <c r="G593" s="5">
        <f>100*('Parameter &lt;x, y&gt;'!L593-B593)/B593</f>
        <v>5.5461678821127611</v>
      </c>
      <c r="H593" s="5">
        <f>100*('Parameter &lt;x, y&gt;'!Q593-B593)/B593</f>
        <v>2.9988497925411082</v>
      </c>
      <c r="J593" s="5">
        <f>100*('Parameter &lt;x, y&gt;'!D593-C593)/C593</f>
        <v>19.429460756222603</v>
      </c>
      <c r="K593" s="5">
        <f>100*('Parameter &lt;x, y&gt;'!I593-C593)/C593</f>
        <v>14.596408319032463</v>
      </c>
      <c r="L593" s="5">
        <f>100*('Parameter &lt;x, y&gt;'!N593-C593)/C593</f>
        <v>0</v>
      </c>
      <c r="M593" s="5">
        <f>100*('Parameter &lt;x, y&gt;'!S593-C593)/C593</f>
        <v>17.251529821337755</v>
      </c>
    </row>
    <row r="594" spans="1:13" ht="12.75" customHeight="1">
      <c r="A594" s="38"/>
      <c r="B594" s="5">
        <f>MIN('Parameter &lt;x, y&gt;'!B594,'Parameter &lt;x, y&gt;'!G594,'Parameter &lt;x, y&gt;'!L594,'Parameter &lt;x, y&gt;'!Q594)</f>
        <v>82693.2</v>
      </c>
      <c r="C594" s="5">
        <f>MIN('Parameter &lt;x, y&gt;'!D594,'Parameter &lt;x, y&gt;'!I594,'Parameter &lt;x, y&gt;'!N594,'Parameter &lt;x, y&gt;'!S594)</f>
        <v>65841.7</v>
      </c>
      <c r="E594" s="5">
        <f>100*('Parameter &lt;x, y&gt;'!B594-B594)/B594</f>
        <v>6.5798638823990441</v>
      </c>
      <c r="F594" s="5">
        <f>100*('Parameter &lt;x, y&gt;'!G594-B594)/B594</f>
        <v>8.4370903532575952</v>
      </c>
      <c r="G594" s="5">
        <f>100*('Parameter &lt;x, y&gt;'!L594-B594)/B594</f>
        <v>7.5302443248054258</v>
      </c>
      <c r="H594" s="5">
        <f>100*('Parameter &lt;x, y&gt;'!Q594-B594)/B594</f>
        <v>0</v>
      </c>
      <c r="J594" s="5">
        <f>100*('Parameter &lt;x, y&gt;'!D594-C594)/C594</f>
        <v>19.570272335009591</v>
      </c>
      <c r="K594" s="5">
        <f>100*('Parameter &lt;x, y&gt;'!I594-C594)/C594</f>
        <v>31.079543814937953</v>
      </c>
      <c r="L594" s="5">
        <f>100*('Parameter &lt;x, y&gt;'!N594-C594)/C594</f>
        <v>0</v>
      </c>
      <c r="M594" s="5">
        <f>100*('Parameter &lt;x, y&gt;'!S594-C594)/C594</f>
        <v>75.650081938953591</v>
      </c>
    </row>
    <row r="595" spans="1:13" ht="12.75" customHeight="1">
      <c r="A595" s="38"/>
      <c r="B595" s="5">
        <f>MIN('Parameter &lt;x, y&gt;'!B595,'Parameter &lt;x, y&gt;'!G595,'Parameter &lt;x, y&gt;'!L595,'Parameter &lt;x, y&gt;'!Q595)</f>
        <v>79193.899999999994</v>
      </c>
      <c r="C595" s="5">
        <f>MIN('Parameter &lt;x, y&gt;'!D595,'Parameter &lt;x, y&gt;'!I595,'Parameter &lt;x, y&gt;'!N595,'Parameter &lt;x, y&gt;'!S595)</f>
        <v>72714.899999999994</v>
      </c>
      <c r="E595" s="5">
        <f>100*('Parameter &lt;x, y&gt;'!B595-B595)/B595</f>
        <v>1.7098539155162278</v>
      </c>
      <c r="F595" s="5">
        <f>100*('Parameter &lt;x, y&gt;'!G595-B595)/B595</f>
        <v>14.418408488532577</v>
      </c>
      <c r="G595" s="5">
        <f>100*('Parameter &lt;x, y&gt;'!L595-B595)/B595</f>
        <v>39.408464540829542</v>
      </c>
      <c r="H595" s="5">
        <f>100*('Parameter &lt;x, y&gt;'!Q595-B595)/B595</f>
        <v>0</v>
      </c>
      <c r="J595" s="5">
        <f>100*('Parameter &lt;x, y&gt;'!D595-C595)/C595</f>
        <v>18.131084550759198</v>
      </c>
      <c r="K595" s="5">
        <f>100*('Parameter &lt;x, y&gt;'!I595-C595)/C595</f>
        <v>0</v>
      </c>
      <c r="L595" s="5">
        <f>100*('Parameter &lt;x, y&gt;'!N595-C595)/C595</f>
        <v>64.22631400166955</v>
      </c>
      <c r="M595" s="5">
        <f>100*('Parameter &lt;x, y&gt;'!S595-C595)/C595</f>
        <v>41.165015698295683</v>
      </c>
    </row>
    <row r="596" spans="1:13" ht="12.75" customHeight="1">
      <c r="A596" s="38"/>
      <c r="B596" s="5">
        <f>MIN('Parameter &lt;x, y&gt;'!B596,'Parameter &lt;x, y&gt;'!G596,'Parameter &lt;x, y&gt;'!L596,'Parameter &lt;x, y&gt;'!Q596)</f>
        <v>78582.100000000006</v>
      </c>
      <c r="C596" s="5">
        <f>MIN('Parameter &lt;x, y&gt;'!D596,'Parameter &lt;x, y&gt;'!I596,'Parameter &lt;x, y&gt;'!N596,'Parameter &lt;x, y&gt;'!S596)</f>
        <v>59644.800000000003</v>
      </c>
      <c r="E596" s="5">
        <f>100*('Parameter &lt;x, y&gt;'!B596-B596)/B596</f>
        <v>0</v>
      </c>
      <c r="F596" s="5">
        <f>100*('Parameter &lt;x, y&gt;'!G596-B596)/B596</f>
        <v>3.1647156286227958</v>
      </c>
      <c r="G596" s="5">
        <f>100*('Parameter &lt;x, y&gt;'!L596-B596)/B596</f>
        <v>0.3437169533519609</v>
      </c>
      <c r="H596" s="5">
        <f>100*('Parameter &lt;x, y&gt;'!Q596-B596)/B596</f>
        <v>7.0804928857844214</v>
      </c>
      <c r="J596" s="5">
        <f>100*('Parameter &lt;x, y&gt;'!D596-C596)/C596</f>
        <v>6.3710499490316E-2</v>
      </c>
      <c r="K596" s="5">
        <f>100*('Parameter &lt;x, y&gt;'!I596-C596)/C596</f>
        <v>16.237123772734574</v>
      </c>
      <c r="L596" s="5">
        <f>100*('Parameter &lt;x, y&gt;'!N596-C596)/C596</f>
        <v>0</v>
      </c>
      <c r="M596" s="5">
        <f>100*('Parameter &lt;x, y&gt;'!S596-C596)/C596</f>
        <v>17.016403777026653</v>
      </c>
    </row>
    <row r="597" spans="1:13" ht="12.75" customHeight="1">
      <c r="A597" s="38"/>
      <c r="B597" s="5">
        <f>MIN('Parameter &lt;x, y&gt;'!B597,'Parameter &lt;x, y&gt;'!G597,'Parameter &lt;x, y&gt;'!L597,'Parameter &lt;x, y&gt;'!Q597)</f>
        <v>79843.7</v>
      </c>
      <c r="C597" s="5">
        <f>MIN('Parameter &lt;x, y&gt;'!D597,'Parameter &lt;x, y&gt;'!I597,'Parameter &lt;x, y&gt;'!N597,'Parameter &lt;x, y&gt;'!S597)</f>
        <v>67252.3</v>
      </c>
      <c r="E597" s="5">
        <f>100*('Parameter &lt;x, y&gt;'!B597-B597)/B597</f>
        <v>6.3045675488485671</v>
      </c>
      <c r="F597" s="5">
        <f>100*('Parameter &lt;x, y&gt;'!G597-B597)/B597</f>
        <v>2.3192812958317348</v>
      </c>
      <c r="G597" s="5">
        <f>100*('Parameter &lt;x, y&gt;'!L597-B597)/B597</f>
        <v>0</v>
      </c>
      <c r="H597" s="5">
        <f>100*('Parameter &lt;x, y&gt;'!Q597-B597)/B597</f>
        <v>7.3268147643458403E-2</v>
      </c>
      <c r="J597" s="5">
        <f>100*('Parameter &lt;x, y&gt;'!D597-C597)/C597</f>
        <v>3.7983831036261955</v>
      </c>
      <c r="K597" s="5">
        <f>100*('Parameter &lt;x, y&gt;'!I597-C597)/C597</f>
        <v>18.05901062119807</v>
      </c>
      <c r="L597" s="5">
        <f>100*('Parameter &lt;x, y&gt;'!N597-C597)/C597</f>
        <v>0</v>
      </c>
      <c r="M597" s="5">
        <f>100*('Parameter &lt;x, y&gt;'!S597-C597)/C597</f>
        <v>20.073365520584428</v>
      </c>
    </row>
    <row r="598" spans="1:13" ht="12.75" customHeight="1">
      <c r="A598" s="38"/>
      <c r="B598" s="5">
        <f>MIN('Parameter &lt;x, y&gt;'!B598,'Parameter &lt;x, y&gt;'!G598,'Parameter &lt;x, y&gt;'!L598,'Parameter &lt;x, y&gt;'!Q598)</f>
        <v>74238.899999999994</v>
      </c>
      <c r="C598" s="5">
        <f>MIN('Parameter &lt;x, y&gt;'!D598,'Parameter &lt;x, y&gt;'!I598,'Parameter &lt;x, y&gt;'!N598,'Parameter &lt;x, y&gt;'!S598)</f>
        <v>60629.9</v>
      </c>
      <c r="E598" s="5">
        <f>100*('Parameter &lt;x, y&gt;'!B598-B598)/B598</f>
        <v>0</v>
      </c>
      <c r="F598" s="5">
        <f>100*('Parameter &lt;x, y&gt;'!G598-B598)/B598</f>
        <v>5.0660772182777496</v>
      </c>
      <c r="G598" s="5">
        <f>100*('Parameter &lt;x, y&gt;'!L598-B598)/B598</f>
        <v>45.492457458286701</v>
      </c>
      <c r="H598" s="5">
        <f>100*('Parameter &lt;x, y&gt;'!Q598-B598)/B598</f>
        <v>26.03837071939375</v>
      </c>
      <c r="J598" s="5">
        <f>100*('Parameter &lt;x, y&gt;'!D598-C598)/C598</f>
        <v>0</v>
      </c>
      <c r="K598" s="5">
        <f>100*('Parameter &lt;x, y&gt;'!I598-C598)/C598</f>
        <v>7.1009518405934946</v>
      </c>
      <c r="L598" s="5">
        <f>100*('Parameter &lt;x, y&gt;'!N598-C598)/C598</f>
        <v>24.667037220909151</v>
      </c>
      <c r="M598" s="5">
        <f>100*('Parameter &lt;x, y&gt;'!S598-C598)/C598</f>
        <v>18.577797423383519</v>
      </c>
    </row>
    <row r="599" spans="1:13" ht="12.75" customHeight="1">
      <c r="A599" s="38"/>
      <c r="B599" s="5">
        <f>MIN('Parameter &lt;x, y&gt;'!B599,'Parameter &lt;x, y&gt;'!G599,'Parameter &lt;x, y&gt;'!L599,'Parameter &lt;x, y&gt;'!Q599)</f>
        <v>68971.7</v>
      </c>
      <c r="C599" s="5">
        <f>MIN('Parameter &lt;x, y&gt;'!D599,'Parameter &lt;x, y&gt;'!I599,'Parameter &lt;x, y&gt;'!N599,'Parameter &lt;x, y&gt;'!S599)</f>
        <v>59966.9</v>
      </c>
      <c r="E599" s="5">
        <f>100*('Parameter &lt;x, y&gt;'!B599-B599)/B599</f>
        <v>0</v>
      </c>
      <c r="F599" s="5">
        <f>100*('Parameter &lt;x, y&gt;'!G599-B599)/B599</f>
        <v>3.3516645232754843</v>
      </c>
      <c r="G599" s="5">
        <f>100*('Parameter &lt;x, y&gt;'!L599-B599)/B599</f>
        <v>3.1802898870116296</v>
      </c>
      <c r="H599" s="5">
        <f>100*('Parameter &lt;x, y&gt;'!Q599-B599)/B599</f>
        <v>7.7618791475344242</v>
      </c>
      <c r="J599" s="5">
        <f>100*('Parameter &lt;x, y&gt;'!D599-C599)/C599</f>
        <v>2.3734760342789034</v>
      </c>
      <c r="K599" s="5">
        <f>100*('Parameter &lt;x, y&gt;'!I599-C599)/C599</f>
        <v>3.1098822850605941</v>
      </c>
      <c r="L599" s="5">
        <f>100*('Parameter &lt;x, y&gt;'!N599-C599)/C599</f>
        <v>0</v>
      </c>
      <c r="M599" s="5">
        <f>100*('Parameter &lt;x, y&gt;'!S599-C599)/C599</f>
        <v>19.507428264592622</v>
      </c>
    </row>
    <row r="600" spans="1:13" ht="12.75" customHeight="1">
      <c r="A600" s="38"/>
      <c r="B600" s="5">
        <f>MIN('Parameter &lt;x, y&gt;'!B600,'Parameter &lt;x, y&gt;'!G600,'Parameter &lt;x, y&gt;'!L600,'Parameter &lt;x, y&gt;'!Q600)</f>
        <v>69306.3</v>
      </c>
      <c r="C600" s="5">
        <f>MIN('Parameter &lt;x, y&gt;'!D600,'Parameter &lt;x, y&gt;'!I600,'Parameter &lt;x, y&gt;'!N600,'Parameter &lt;x, y&gt;'!S600)</f>
        <v>60380.7</v>
      </c>
      <c r="E600" s="5">
        <f>100*('Parameter &lt;x, y&gt;'!B600-B600)/B600</f>
        <v>13.803939901567389</v>
      </c>
      <c r="F600" s="5">
        <f>100*('Parameter &lt;x, y&gt;'!G600-B600)/B600</f>
        <v>70.555923487475155</v>
      </c>
      <c r="G600" s="5">
        <f>100*('Parameter &lt;x, y&gt;'!L600-B600)/B600</f>
        <v>5.4723740843184485</v>
      </c>
      <c r="H600" s="5">
        <f>100*('Parameter &lt;x, y&gt;'!Q600-B600)/B600</f>
        <v>0</v>
      </c>
      <c r="J600" s="5">
        <f>100*('Parameter &lt;x, y&gt;'!D600-C600)/C600</f>
        <v>0</v>
      </c>
      <c r="K600" s="5">
        <f>100*('Parameter &lt;x, y&gt;'!I600-C600)/C600</f>
        <v>18.314295793192201</v>
      </c>
      <c r="L600" s="5">
        <f>100*('Parameter &lt;x, y&gt;'!N600-C600)/C600</f>
        <v>35.143183169456456</v>
      </c>
      <c r="M600" s="5">
        <f>100*('Parameter &lt;x, y&gt;'!S600-C600)/C600</f>
        <v>46.302543693597464</v>
      </c>
    </row>
    <row r="601" spans="1:13" ht="12.75" customHeight="1">
      <c r="A601" s="38"/>
      <c r="B601" s="5">
        <f>MIN('Parameter &lt;x, y&gt;'!B601,'Parameter &lt;x, y&gt;'!G601,'Parameter &lt;x, y&gt;'!L601,'Parameter &lt;x, y&gt;'!Q601)</f>
        <v>64794</v>
      </c>
      <c r="C601" s="5">
        <f>MIN('Parameter &lt;x, y&gt;'!D601,'Parameter &lt;x, y&gt;'!I601,'Parameter &lt;x, y&gt;'!N601,'Parameter &lt;x, y&gt;'!S601)</f>
        <v>50417.1</v>
      </c>
      <c r="E601" s="5">
        <f>100*('Parameter &lt;x, y&gt;'!B601-B601)/B601</f>
        <v>0</v>
      </c>
      <c r="F601" s="5">
        <f>100*('Parameter &lt;x, y&gt;'!G601-B601)/B601</f>
        <v>2.4264592400530867</v>
      </c>
      <c r="G601" s="5">
        <f>100*('Parameter &lt;x, y&gt;'!L601-B601)/B601</f>
        <v>8.4234651356607007</v>
      </c>
      <c r="H601" s="5">
        <f>100*('Parameter &lt;x, y&gt;'!Q601-B601)/B601</f>
        <v>6.6756181127882117</v>
      </c>
      <c r="J601" s="5">
        <f>100*('Parameter &lt;x, y&gt;'!D601-C601)/C601</f>
        <v>26.426748067619911</v>
      </c>
      <c r="K601" s="5">
        <f>100*('Parameter &lt;x, y&gt;'!I601-C601)/C601</f>
        <v>18.789061647734602</v>
      </c>
      <c r="L601" s="5">
        <f>100*('Parameter &lt;x, y&gt;'!N601-C601)/C601</f>
        <v>0</v>
      </c>
      <c r="M601" s="5">
        <f>100*('Parameter &lt;x, y&gt;'!S601-C601)/C601</f>
        <v>27.260790485767721</v>
      </c>
    </row>
    <row r="602" spans="1:13" ht="12.75" customHeight="1">
      <c r="A602" s="38"/>
      <c r="B602" s="5">
        <f>MIN('Parameter &lt;x, y&gt;'!B602,'Parameter &lt;x, y&gt;'!G602,'Parameter &lt;x, y&gt;'!L602,'Parameter &lt;x, y&gt;'!Q602)</f>
        <v>57001.599999999999</v>
      </c>
      <c r="C602" s="5">
        <f>MIN('Parameter &lt;x, y&gt;'!D602,'Parameter &lt;x, y&gt;'!I602,'Parameter &lt;x, y&gt;'!N602,'Parameter &lt;x, y&gt;'!S602)</f>
        <v>50253.5</v>
      </c>
      <c r="E602" s="5">
        <f>100*('Parameter &lt;x, y&gt;'!B602-B602)/B602</f>
        <v>0</v>
      </c>
      <c r="F602" s="5">
        <f>100*('Parameter &lt;x, y&gt;'!G602-B602)/B602</f>
        <v>1.8767894234547853</v>
      </c>
      <c r="G602" s="5">
        <f>100*('Parameter &lt;x, y&gt;'!L602-B602)/B602</f>
        <v>31.877877112221416</v>
      </c>
      <c r="H602" s="5">
        <f>100*('Parameter &lt;x, y&gt;'!Q602-B602)/B602</f>
        <v>17.654767585471298</v>
      </c>
      <c r="J602" s="5">
        <f>100*('Parameter &lt;x, y&gt;'!D602-C602)/C602</f>
        <v>3.5454246967872827</v>
      </c>
      <c r="K602" s="5">
        <f>100*('Parameter &lt;x, y&gt;'!I602-C602)/C602</f>
        <v>78.63969673754066</v>
      </c>
      <c r="L602" s="5">
        <f>100*('Parameter &lt;x, y&gt;'!N602-C602)/C602</f>
        <v>0</v>
      </c>
      <c r="M602" s="5">
        <f>100*('Parameter &lt;x, y&gt;'!S602-C602)/C602</f>
        <v>83.678350761638498</v>
      </c>
    </row>
    <row r="603" spans="1:13" ht="12.75" customHeight="1">
      <c r="A603" s="39" t="s">
        <v>24</v>
      </c>
      <c r="B603" s="5">
        <f>MIN('Parameter &lt;x, y&gt;'!B603,'Parameter &lt;x, y&gt;'!G603,'Parameter &lt;x, y&gt;'!L603,'Parameter &lt;x, y&gt;'!Q603)</f>
        <v>463307</v>
      </c>
      <c r="C603" s="5">
        <f>MIN('Parameter &lt;x, y&gt;'!D603,'Parameter &lt;x, y&gt;'!I603,'Parameter &lt;x, y&gt;'!N603,'Parameter &lt;x, y&gt;'!S603)</f>
        <v>355962</v>
      </c>
      <c r="E603" s="5">
        <f>100*('Parameter &lt;x, y&gt;'!B603-B603)/B603</f>
        <v>0</v>
      </c>
      <c r="F603" s="5">
        <f>100*('Parameter &lt;x, y&gt;'!G603-B603)/B603</f>
        <v>7.1889697328121525</v>
      </c>
      <c r="G603" s="5">
        <f>100*('Parameter &lt;x, y&gt;'!L603-B603)/B603</f>
        <v>13.484795179006577</v>
      </c>
      <c r="H603" s="5">
        <f>100*('Parameter &lt;x, y&gt;'!Q603-B603)/B603</f>
        <v>7.4061043757163176</v>
      </c>
      <c r="J603" s="5">
        <f>100*('Parameter &lt;x, y&gt;'!D603-C603)/C603</f>
        <v>16.270556969564169</v>
      </c>
      <c r="K603" s="5">
        <f>100*('Parameter &lt;x, y&gt;'!I603-C603)/C603</f>
        <v>17.967648232114662</v>
      </c>
      <c r="L603" s="5">
        <f>100*('Parameter &lt;x, y&gt;'!N603-C603)/C603</f>
        <v>0</v>
      </c>
      <c r="M603" s="5">
        <f>100*('Parameter &lt;x, y&gt;'!S603-C603)/C603</f>
        <v>6.0610402233946319</v>
      </c>
    </row>
    <row r="604" spans="1:13" ht="12.75" customHeight="1">
      <c r="A604" s="40"/>
      <c r="B604" s="5">
        <f>MIN('Parameter &lt;x, y&gt;'!B604,'Parameter &lt;x, y&gt;'!G604,'Parameter &lt;x, y&gt;'!L604,'Parameter &lt;x, y&gt;'!Q604)</f>
        <v>498364</v>
      </c>
      <c r="C604" s="5">
        <f>MIN('Parameter &lt;x, y&gt;'!D604,'Parameter &lt;x, y&gt;'!I604,'Parameter &lt;x, y&gt;'!N604,'Parameter &lt;x, y&gt;'!S604)</f>
        <v>400869</v>
      </c>
      <c r="E604" s="5">
        <f>100*('Parameter &lt;x, y&gt;'!B604-B604)/B604</f>
        <v>20.147322037707379</v>
      </c>
      <c r="F604" s="5">
        <f>100*('Parameter &lt;x, y&gt;'!G604-B604)/B604</f>
        <v>0.11256832355467088</v>
      </c>
      <c r="G604" s="5">
        <f>100*('Parameter &lt;x, y&gt;'!L604-B604)/B604</f>
        <v>0</v>
      </c>
      <c r="H604" s="5">
        <f>100*('Parameter &lt;x, y&gt;'!Q604-B604)/B604</f>
        <v>11.097310399627581</v>
      </c>
      <c r="J604" s="5">
        <f>100*('Parameter &lt;x, y&gt;'!D604-C604)/C604</f>
        <v>12.299030356550395</v>
      </c>
      <c r="K604" s="5">
        <f>100*('Parameter &lt;x, y&gt;'!I604-C604)/C604</f>
        <v>15.707375726234755</v>
      </c>
      <c r="L604" s="5">
        <f>100*('Parameter &lt;x, y&gt;'!N604-C604)/C604</f>
        <v>0</v>
      </c>
      <c r="M604" s="5">
        <f>100*('Parameter &lt;x, y&gt;'!S604-C604)/C604</f>
        <v>5.4563959797340278</v>
      </c>
    </row>
    <row r="605" spans="1:13" ht="12.75" customHeight="1">
      <c r="A605" s="40"/>
      <c r="B605" s="5">
        <f>MIN('Parameter &lt;x, y&gt;'!B605,'Parameter &lt;x, y&gt;'!G605,'Parameter &lt;x, y&gt;'!L605,'Parameter &lt;x, y&gt;'!Q605)</f>
        <v>567213</v>
      </c>
      <c r="C605" s="5">
        <f>MIN('Parameter &lt;x, y&gt;'!D605,'Parameter &lt;x, y&gt;'!I605,'Parameter &lt;x, y&gt;'!N605,'Parameter &lt;x, y&gt;'!S605)</f>
        <v>436570</v>
      </c>
      <c r="E605" s="5">
        <f>100*('Parameter &lt;x, y&gt;'!B605-B605)/B605</f>
        <v>0</v>
      </c>
      <c r="F605" s="5">
        <f>100*('Parameter &lt;x, y&gt;'!G605-B605)/B605</f>
        <v>2.4664455856970839</v>
      </c>
      <c r="G605" s="5">
        <f>100*('Parameter &lt;x, y&gt;'!L605-B605)/B605</f>
        <v>0.19692778550562134</v>
      </c>
      <c r="H605" s="5">
        <f>100*('Parameter &lt;x, y&gt;'!Q605-B605)/B605</f>
        <v>0.7838325285210318</v>
      </c>
      <c r="J605" s="5">
        <f>100*('Parameter &lt;x, y&gt;'!D605-C605)/C605</f>
        <v>14.606821357399729</v>
      </c>
      <c r="K605" s="5">
        <f>100*('Parameter &lt;x, y&gt;'!I605-C605)/C605</f>
        <v>5.6937031862015255</v>
      </c>
      <c r="L605" s="5">
        <f>100*('Parameter &lt;x, y&gt;'!N605-C605)/C605</f>
        <v>0</v>
      </c>
      <c r="M605" s="5">
        <f>100*('Parameter &lt;x, y&gt;'!S605-C605)/C605</f>
        <v>4.3351581647845707</v>
      </c>
    </row>
    <row r="606" spans="1:13" ht="12.75" customHeight="1">
      <c r="A606" s="40"/>
      <c r="B606" s="5">
        <f>MIN('Parameter &lt;x, y&gt;'!B606,'Parameter &lt;x, y&gt;'!G606,'Parameter &lt;x, y&gt;'!L606,'Parameter &lt;x, y&gt;'!Q606)</f>
        <v>505149</v>
      </c>
      <c r="C606" s="5">
        <f>MIN('Parameter &lt;x, y&gt;'!D606,'Parameter &lt;x, y&gt;'!I606,'Parameter &lt;x, y&gt;'!N606,'Parameter &lt;x, y&gt;'!S606)</f>
        <v>415289</v>
      </c>
      <c r="E606" s="5">
        <f>100*('Parameter &lt;x, y&gt;'!B606-B606)/B606</f>
        <v>13.332105972693205</v>
      </c>
      <c r="F606" s="5">
        <f>100*('Parameter &lt;x, y&gt;'!G606-B606)/B606</f>
        <v>1.0054459179370838</v>
      </c>
      <c r="G606" s="5">
        <f>100*('Parameter &lt;x, y&gt;'!L606-B606)/B606</f>
        <v>17.830976602942894</v>
      </c>
      <c r="H606" s="5">
        <f>100*('Parameter &lt;x, y&gt;'!Q606-B606)/B606</f>
        <v>0</v>
      </c>
      <c r="J606" s="5">
        <f>100*('Parameter &lt;x, y&gt;'!D606-C606)/C606</f>
        <v>0</v>
      </c>
      <c r="K606" s="5">
        <f>100*('Parameter &lt;x, y&gt;'!I606-C606)/C606</f>
        <v>1.7604607875479485</v>
      </c>
      <c r="L606" s="5">
        <f>100*('Parameter &lt;x, y&gt;'!N606-C606)/C606</f>
        <v>18.456785515628876</v>
      </c>
      <c r="M606" s="5">
        <f>100*('Parameter &lt;x, y&gt;'!S606-C606)/C606</f>
        <v>6.3413670961667661</v>
      </c>
    </row>
    <row r="607" spans="1:13" ht="12.75" customHeight="1">
      <c r="A607" s="40"/>
      <c r="B607" s="5">
        <f>MIN('Parameter &lt;x, y&gt;'!B607,'Parameter &lt;x, y&gt;'!G607,'Parameter &lt;x, y&gt;'!L607,'Parameter &lt;x, y&gt;'!Q607)</f>
        <v>484237</v>
      </c>
      <c r="C607" s="5">
        <f>MIN('Parameter &lt;x, y&gt;'!D607,'Parameter &lt;x, y&gt;'!I607,'Parameter &lt;x, y&gt;'!N607,'Parameter &lt;x, y&gt;'!S607)</f>
        <v>344085</v>
      </c>
      <c r="E607" s="5">
        <f>100*('Parameter &lt;x, y&gt;'!B607-B607)/B607</f>
        <v>4.2394529951242887</v>
      </c>
      <c r="F607" s="5">
        <f>100*('Parameter &lt;x, y&gt;'!G607-B607)/B607</f>
        <v>5.8483758985785883</v>
      </c>
      <c r="G607" s="5">
        <f>100*('Parameter &lt;x, y&gt;'!L607-B607)/B607</f>
        <v>4.4591801122177781</v>
      </c>
      <c r="H607" s="5">
        <f>100*('Parameter &lt;x, y&gt;'!Q607-B607)/B607</f>
        <v>0</v>
      </c>
      <c r="J607" s="5">
        <f>100*('Parameter &lt;x, y&gt;'!D607-C607)/C607</f>
        <v>14.317973756484589</v>
      </c>
      <c r="K607" s="5">
        <f>100*('Parameter &lt;x, y&gt;'!I607-C607)/C607</f>
        <v>30.987691994710609</v>
      </c>
      <c r="L607" s="5">
        <f>100*('Parameter &lt;x, y&gt;'!N607-C607)/C607</f>
        <v>0</v>
      </c>
      <c r="M607" s="5">
        <f>100*('Parameter &lt;x, y&gt;'!S607-C607)/C607</f>
        <v>21.791127192408851</v>
      </c>
    </row>
    <row r="608" spans="1:13" ht="12.75" customHeight="1">
      <c r="A608" s="40"/>
      <c r="B608" s="5">
        <f>MIN('Parameter &lt;x, y&gt;'!B608,'Parameter &lt;x, y&gt;'!G608,'Parameter &lt;x, y&gt;'!L608,'Parameter &lt;x, y&gt;'!Q608)</f>
        <v>536599</v>
      </c>
      <c r="C608" s="5">
        <f>MIN('Parameter &lt;x, y&gt;'!D608,'Parameter &lt;x, y&gt;'!I608,'Parameter &lt;x, y&gt;'!N608,'Parameter &lt;x, y&gt;'!S608)</f>
        <v>371416</v>
      </c>
      <c r="E608" s="5">
        <f>100*('Parameter &lt;x, y&gt;'!B608-B608)/B608</f>
        <v>8.8091852575200473</v>
      </c>
      <c r="F608" s="5">
        <f>100*('Parameter &lt;x, y&gt;'!G608-B608)/B608</f>
        <v>2.199035033609828E-2</v>
      </c>
      <c r="G608" s="5">
        <f>100*('Parameter &lt;x, y&gt;'!L608-B608)/B608</f>
        <v>0</v>
      </c>
      <c r="H608" s="5">
        <f>100*('Parameter &lt;x, y&gt;'!Q608-B608)/B608</f>
        <v>2.1477863357926497</v>
      </c>
      <c r="J608" s="5">
        <f>100*('Parameter &lt;x, y&gt;'!D608-C608)/C608</f>
        <v>18.647015745148298</v>
      </c>
      <c r="K608" s="5">
        <f>100*('Parameter &lt;x, y&gt;'!I608-C608)/C608</f>
        <v>20.93905486031835</v>
      </c>
      <c r="L608" s="5">
        <f>100*('Parameter &lt;x, y&gt;'!N608-C608)/C608</f>
        <v>0</v>
      </c>
      <c r="M608" s="5">
        <f>100*('Parameter &lt;x, y&gt;'!S608-C608)/C608</f>
        <v>5.8344282421866582</v>
      </c>
    </row>
    <row r="609" spans="1:13" ht="12.75" customHeight="1">
      <c r="A609" s="40"/>
      <c r="B609" s="5">
        <f>MIN('Parameter &lt;x, y&gt;'!B609,'Parameter &lt;x, y&gt;'!G609,'Parameter &lt;x, y&gt;'!L609,'Parameter &lt;x, y&gt;'!Q609)</f>
        <v>483021</v>
      </c>
      <c r="C609" s="5">
        <f>MIN('Parameter &lt;x, y&gt;'!D609,'Parameter &lt;x, y&gt;'!I609,'Parameter &lt;x, y&gt;'!N609,'Parameter &lt;x, y&gt;'!S609)</f>
        <v>393904</v>
      </c>
      <c r="E609" s="5">
        <f>100*('Parameter &lt;x, y&gt;'!B609-B609)/B609</f>
        <v>0</v>
      </c>
      <c r="F609" s="5">
        <f>100*('Parameter &lt;x, y&gt;'!G609-B609)/B609</f>
        <v>9.2637794215986471</v>
      </c>
      <c r="G609" s="5">
        <f>100*('Parameter &lt;x, y&gt;'!L609-B609)/B609</f>
        <v>13.271472668890173</v>
      </c>
      <c r="H609" s="5">
        <f>100*('Parameter &lt;x, y&gt;'!Q609-B609)/B609</f>
        <v>8.5284076675755305</v>
      </c>
      <c r="J609" s="5">
        <f>100*('Parameter &lt;x, y&gt;'!D609-C609)/C609</f>
        <v>8.5586843494861693</v>
      </c>
      <c r="K609" s="5">
        <f>100*('Parameter &lt;x, y&gt;'!I609-C609)/C609</f>
        <v>2.5470673057394695</v>
      </c>
      <c r="L609" s="5">
        <f>100*('Parameter &lt;x, y&gt;'!N609-C609)/C609</f>
        <v>8.5767090458588893</v>
      </c>
      <c r="M609" s="5">
        <f>100*('Parameter &lt;x, y&gt;'!S609-C609)/C609</f>
        <v>0</v>
      </c>
    </row>
    <row r="610" spans="1:13" ht="12.75" customHeight="1">
      <c r="A610" s="40"/>
      <c r="B610" s="5">
        <f>MIN('Parameter &lt;x, y&gt;'!B610,'Parameter &lt;x, y&gt;'!G610,'Parameter &lt;x, y&gt;'!L610,'Parameter &lt;x, y&gt;'!Q610)</f>
        <v>573323</v>
      </c>
      <c r="C610" s="5">
        <f>MIN('Parameter &lt;x, y&gt;'!D610,'Parameter &lt;x, y&gt;'!I610,'Parameter &lt;x, y&gt;'!N610,'Parameter &lt;x, y&gt;'!S610)</f>
        <v>417813</v>
      </c>
      <c r="E610" s="5">
        <f>100*('Parameter &lt;x, y&gt;'!B610-B610)/B610</f>
        <v>2.2903319769135373</v>
      </c>
      <c r="F610" s="5">
        <f>100*('Parameter &lt;x, y&gt;'!G610-B610)/B610</f>
        <v>0</v>
      </c>
      <c r="G610" s="5">
        <f>100*('Parameter &lt;x, y&gt;'!L610-B610)/B610</f>
        <v>4.1693774713381462</v>
      </c>
      <c r="H610" s="5">
        <f>100*('Parameter &lt;x, y&gt;'!Q610-B610)/B610</f>
        <v>6.2439497456058799</v>
      </c>
      <c r="J610" s="5">
        <f>100*('Parameter &lt;x, y&gt;'!D610-C610)/C610</f>
        <v>34.054230002417349</v>
      </c>
      <c r="K610" s="5">
        <f>100*('Parameter &lt;x, y&gt;'!I610-C610)/C610</f>
        <v>49.508751522810442</v>
      </c>
      <c r="L610" s="5">
        <f>100*('Parameter &lt;x, y&gt;'!N610-C610)/C610</f>
        <v>0</v>
      </c>
      <c r="M610" s="5">
        <f>100*('Parameter &lt;x, y&gt;'!S610-C610)/C610</f>
        <v>17.628221237730756</v>
      </c>
    </row>
    <row r="611" spans="1:13" ht="12.75" customHeight="1">
      <c r="A611" s="40"/>
      <c r="B611" s="5">
        <f>MIN('Parameter &lt;x, y&gt;'!B611,'Parameter &lt;x, y&gt;'!G611,'Parameter &lt;x, y&gt;'!L611,'Parameter &lt;x, y&gt;'!Q611)</f>
        <v>468769</v>
      </c>
      <c r="C611" s="5">
        <f>MIN('Parameter &lt;x, y&gt;'!D611,'Parameter &lt;x, y&gt;'!I611,'Parameter &lt;x, y&gt;'!N611,'Parameter &lt;x, y&gt;'!S611)</f>
        <v>363382</v>
      </c>
      <c r="E611" s="5">
        <f>100*('Parameter &lt;x, y&gt;'!B611-B611)/B611</f>
        <v>1.2571223779729461</v>
      </c>
      <c r="F611" s="5">
        <f>100*('Parameter &lt;x, y&gt;'!G611-B611)/B611</f>
        <v>0</v>
      </c>
      <c r="G611" s="5">
        <f>100*('Parameter &lt;x, y&gt;'!L611-B611)/B611</f>
        <v>2.3853966452559789</v>
      </c>
      <c r="H611" s="5">
        <f>100*('Parameter &lt;x, y&gt;'!Q611-B611)/B611</f>
        <v>2.9647864939874435</v>
      </c>
      <c r="J611" s="5">
        <f>100*('Parameter &lt;x, y&gt;'!D611-C611)/C611</f>
        <v>0.25510344485967934</v>
      </c>
      <c r="K611" s="5">
        <f>100*('Parameter &lt;x, y&gt;'!I611-C611)/C611</f>
        <v>10.431997182028828</v>
      </c>
      <c r="L611" s="5">
        <f>100*('Parameter &lt;x, y&gt;'!N611-C611)/C611</f>
        <v>0</v>
      </c>
      <c r="M611" s="5">
        <f>100*('Parameter &lt;x, y&gt;'!S611-C611)/C611</f>
        <v>1.457969849910012</v>
      </c>
    </row>
    <row r="612" spans="1:13" ht="12.75" customHeight="1">
      <c r="A612" s="40"/>
      <c r="B612" s="5">
        <f>MIN('Parameter &lt;x, y&gt;'!B612,'Parameter &lt;x, y&gt;'!G612,'Parameter &lt;x, y&gt;'!L612,'Parameter &lt;x, y&gt;'!Q612)</f>
        <v>540185</v>
      </c>
      <c r="C612" s="5">
        <f>MIN('Parameter &lt;x, y&gt;'!D612,'Parameter &lt;x, y&gt;'!I612,'Parameter &lt;x, y&gt;'!N612,'Parameter &lt;x, y&gt;'!S612)</f>
        <v>416980</v>
      </c>
      <c r="E612" s="5">
        <f>100*('Parameter &lt;x, y&gt;'!B612-B612)/B612</f>
        <v>1.7362570230569156</v>
      </c>
      <c r="F612" s="5">
        <f>100*('Parameter &lt;x, y&gt;'!G612-B612)/B612</f>
        <v>3.9227301757731148</v>
      </c>
      <c r="G612" s="5">
        <f>100*('Parameter &lt;x, y&gt;'!L612-B612)/B612</f>
        <v>0</v>
      </c>
      <c r="H612" s="5">
        <f>100*('Parameter &lt;x, y&gt;'!Q612-B612)/B612</f>
        <v>3.9571628238473857</v>
      </c>
      <c r="J612" s="5">
        <f>100*('Parameter &lt;x, y&gt;'!D612-C612)/C612</f>
        <v>9.9544342654323952</v>
      </c>
      <c r="K612" s="5">
        <f>100*('Parameter &lt;x, y&gt;'!I612-C612)/C612</f>
        <v>14.334500455657345</v>
      </c>
      <c r="L612" s="5">
        <f>100*('Parameter &lt;x, y&gt;'!N612-C612)/C612</f>
        <v>0</v>
      </c>
      <c r="M612" s="5">
        <f>100*('Parameter &lt;x, y&gt;'!S612-C612)/C612</f>
        <v>14.414840040289702</v>
      </c>
    </row>
    <row r="613" spans="1:13" ht="12.75" customHeight="1">
      <c r="A613" s="40"/>
      <c r="B613" s="5">
        <f>MIN('Parameter &lt;x, y&gt;'!B613,'Parameter &lt;x, y&gt;'!G613,'Parameter &lt;x, y&gt;'!L613,'Parameter &lt;x, y&gt;'!Q613)</f>
        <v>500214</v>
      </c>
      <c r="C613" s="5">
        <f>MIN('Parameter &lt;x, y&gt;'!D613,'Parameter &lt;x, y&gt;'!I613,'Parameter &lt;x, y&gt;'!N613,'Parameter &lt;x, y&gt;'!S613)</f>
        <v>392220</v>
      </c>
      <c r="E613" s="5">
        <f>100*('Parameter &lt;x, y&gt;'!B613-B613)/B613</f>
        <v>5.2967329982767373</v>
      </c>
      <c r="F613" s="5">
        <f>100*('Parameter &lt;x, y&gt;'!G613-B613)/B613</f>
        <v>2.7402271827657763</v>
      </c>
      <c r="G613" s="5">
        <f>100*('Parameter &lt;x, y&gt;'!L613-B613)/B613</f>
        <v>4.7731570887660082</v>
      </c>
      <c r="H613" s="5">
        <f>100*('Parameter &lt;x, y&gt;'!Q613-B613)/B613</f>
        <v>0</v>
      </c>
      <c r="J613" s="5">
        <f>100*('Parameter &lt;x, y&gt;'!D613-C613)/C613</f>
        <v>2.2811177400438529</v>
      </c>
      <c r="K613" s="5">
        <f>100*('Parameter &lt;x, y&gt;'!I613-C613)/C613</f>
        <v>5.9690989750650143</v>
      </c>
      <c r="L613" s="5">
        <f>100*('Parameter &lt;x, y&gt;'!N613-C613)/C613</f>
        <v>0</v>
      </c>
      <c r="M613" s="5">
        <f>100*('Parameter &lt;x, y&gt;'!S613-C613)/C613</f>
        <v>9.4783539850084129</v>
      </c>
    </row>
    <row r="614" spans="1:13" ht="12.75" customHeight="1">
      <c r="A614" s="40"/>
      <c r="B614" s="5">
        <f>MIN('Parameter &lt;x, y&gt;'!B614,'Parameter &lt;x, y&gt;'!G614,'Parameter &lt;x, y&gt;'!L614,'Parameter &lt;x, y&gt;'!Q614)</f>
        <v>487789</v>
      </c>
      <c r="C614" s="5">
        <f>MIN('Parameter &lt;x, y&gt;'!D614,'Parameter &lt;x, y&gt;'!I614,'Parameter &lt;x, y&gt;'!N614,'Parameter &lt;x, y&gt;'!S614)</f>
        <v>401080</v>
      </c>
      <c r="E614" s="5">
        <f>100*('Parameter &lt;x, y&gt;'!B614-B614)/B614</f>
        <v>0</v>
      </c>
      <c r="F614" s="5">
        <f>100*('Parameter &lt;x, y&gt;'!G614-B614)/B614</f>
        <v>4.8605032093794653</v>
      </c>
      <c r="G614" s="5">
        <f>100*('Parameter &lt;x, y&gt;'!L614-B614)/B614</f>
        <v>3.4016757245448339</v>
      </c>
      <c r="H614" s="5">
        <f>100*('Parameter &lt;x, y&gt;'!Q614-B614)/B614</f>
        <v>2.2505632558339772</v>
      </c>
      <c r="J614" s="5">
        <f>100*('Parameter &lt;x, y&gt;'!D614-C614)/C614</f>
        <v>7.0479704797047971</v>
      </c>
      <c r="K614" s="5">
        <f>100*('Parameter &lt;x, y&gt;'!I614-C614)/C614</f>
        <v>0</v>
      </c>
      <c r="L614" s="5">
        <f>100*('Parameter &lt;x, y&gt;'!N614-C614)/C614</f>
        <v>6.7068913932382568E-2</v>
      </c>
      <c r="M614" s="5">
        <f>100*('Parameter &lt;x, y&gt;'!S614-C614)/C614</f>
        <v>2.4404108905953925</v>
      </c>
    </row>
    <row r="615" spans="1:13" ht="12.75" customHeight="1">
      <c r="A615" s="40"/>
      <c r="B615" s="5">
        <f>MIN('Parameter &lt;x, y&gt;'!B615,'Parameter &lt;x, y&gt;'!G615,'Parameter &lt;x, y&gt;'!L615,'Parameter &lt;x, y&gt;'!Q615)</f>
        <v>473386</v>
      </c>
      <c r="C615" s="5">
        <f>MIN('Parameter &lt;x, y&gt;'!D615,'Parameter &lt;x, y&gt;'!I615,'Parameter &lt;x, y&gt;'!N615,'Parameter &lt;x, y&gt;'!S615)</f>
        <v>370533</v>
      </c>
      <c r="E615" s="5">
        <f>100*('Parameter &lt;x, y&gt;'!B615-B615)/B615</f>
        <v>5.3398283852923409</v>
      </c>
      <c r="F615" s="5">
        <f>100*('Parameter &lt;x, y&gt;'!G615-B615)/B615</f>
        <v>0</v>
      </c>
      <c r="G615" s="5">
        <f>100*('Parameter &lt;x, y&gt;'!L615-B615)/B615</f>
        <v>1.7930399293599726</v>
      </c>
      <c r="H615" s="5">
        <f>100*('Parameter &lt;x, y&gt;'!Q615-B615)/B615</f>
        <v>3.9956821705753867</v>
      </c>
      <c r="J615" s="5">
        <f>100*('Parameter &lt;x, y&gt;'!D615-C615)/C615</f>
        <v>3.597250447328578</v>
      </c>
      <c r="K615" s="5">
        <f>100*('Parameter &lt;x, y&gt;'!I615-C615)/C615</f>
        <v>9.19081431343497</v>
      </c>
      <c r="L615" s="5">
        <f>100*('Parameter &lt;x, y&gt;'!N615-C615)/C615</f>
        <v>0.72517157716046887</v>
      </c>
      <c r="M615" s="5">
        <f>100*('Parameter &lt;x, y&gt;'!S615-C615)/C615</f>
        <v>0</v>
      </c>
    </row>
    <row r="616" spans="1:13" ht="12.75" customHeight="1">
      <c r="A616" s="40"/>
      <c r="B616" s="5">
        <f>MIN('Parameter &lt;x, y&gt;'!B616,'Parameter &lt;x, y&gt;'!G616,'Parameter &lt;x, y&gt;'!L616,'Parameter &lt;x, y&gt;'!Q616)</f>
        <v>588080</v>
      </c>
      <c r="C616" s="5">
        <f>MIN('Parameter &lt;x, y&gt;'!D616,'Parameter &lt;x, y&gt;'!I616,'Parameter &lt;x, y&gt;'!N616,'Parameter &lt;x, y&gt;'!S616)</f>
        <v>445397</v>
      </c>
      <c r="E616" s="5">
        <f>100*('Parameter &lt;x, y&gt;'!B616-B616)/B616</f>
        <v>6.6548768874982995</v>
      </c>
      <c r="F616" s="5">
        <f>100*('Parameter &lt;x, y&gt;'!G616-B616)/B616</f>
        <v>0</v>
      </c>
      <c r="G616" s="5">
        <f>100*('Parameter &lt;x, y&gt;'!L616-B616)/B616</f>
        <v>0.86212760168684532</v>
      </c>
      <c r="H616" s="5">
        <f>100*('Parameter &lt;x, y&gt;'!Q616-B616)/B616</f>
        <v>1.5533600870629847</v>
      </c>
      <c r="J616" s="5">
        <f>100*('Parameter &lt;x, y&gt;'!D616-C616)/C616</f>
        <v>15.53670096565536</v>
      </c>
      <c r="K616" s="5">
        <f>100*('Parameter &lt;x, y&gt;'!I616-C616)/C616</f>
        <v>16.760328426100759</v>
      </c>
      <c r="L616" s="5">
        <f>100*('Parameter &lt;x, y&gt;'!N616-C616)/C616</f>
        <v>0</v>
      </c>
      <c r="M616" s="5">
        <f>100*('Parameter &lt;x, y&gt;'!S616-C616)/C616</f>
        <v>1.3581142216943536</v>
      </c>
    </row>
    <row r="617" spans="1:13" ht="12.75" customHeight="1">
      <c r="A617" s="40"/>
      <c r="B617" s="5">
        <f>MIN('Parameter &lt;x, y&gt;'!B617,'Parameter &lt;x, y&gt;'!G617,'Parameter &lt;x, y&gt;'!L617,'Parameter &lt;x, y&gt;'!Q617)</f>
        <v>497830</v>
      </c>
      <c r="C617" s="5">
        <f>MIN('Parameter &lt;x, y&gt;'!D617,'Parameter &lt;x, y&gt;'!I617,'Parameter &lt;x, y&gt;'!N617,'Parameter &lt;x, y&gt;'!S617)</f>
        <v>375741</v>
      </c>
      <c r="E617" s="5">
        <f>100*('Parameter &lt;x, y&gt;'!B617-B617)/B617</f>
        <v>0</v>
      </c>
      <c r="F617" s="5">
        <f>100*('Parameter &lt;x, y&gt;'!G617-B617)/B617</f>
        <v>3.2197738183717335</v>
      </c>
      <c r="G617" s="5">
        <f>100*('Parameter &lt;x, y&gt;'!L617-B617)/B617</f>
        <v>0.6755318080469237</v>
      </c>
      <c r="H617" s="5">
        <f>100*('Parameter &lt;x, y&gt;'!Q617-B617)/B617</f>
        <v>3.3678163228411306</v>
      </c>
      <c r="J617" s="5">
        <f>100*('Parameter &lt;x, y&gt;'!D617-C617)/C617</f>
        <v>11.744526149661603</v>
      </c>
      <c r="K617" s="5">
        <f>100*('Parameter &lt;x, y&gt;'!I617-C617)/C617</f>
        <v>8.4419853037065433</v>
      </c>
      <c r="L617" s="5">
        <f>100*('Parameter &lt;x, y&gt;'!N617-C617)/C617</f>
        <v>0</v>
      </c>
      <c r="M617" s="5">
        <f>100*('Parameter &lt;x, y&gt;'!S617-C617)/C617</f>
        <v>5.1857529521665189</v>
      </c>
    </row>
    <row r="618" spans="1:13" ht="12.75" customHeight="1">
      <c r="A618" s="40"/>
      <c r="B618" s="5">
        <f>MIN('Parameter &lt;x, y&gt;'!B618,'Parameter &lt;x, y&gt;'!G618,'Parameter &lt;x, y&gt;'!L618,'Parameter &lt;x, y&gt;'!Q618)</f>
        <v>528948</v>
      </c>
      <c r="C618" s="5">
        <f>MIN('Parameter &lt;x, y&gt;'!D618,'Parameter &lt;x, y&gt;'!I618,'Parameter &lt;x, y&gt;'!N618,'Parameter &lt;x, y&gt;'!S618)</f>
        <v>414158</v>
      </c>
      <c r="E618" s="5">
        <f>100*('Parameter &lt;x, y&gt;'!B618-B618)/B618</f>
        <v>3.8536869408713144</v>
      </c>
      <c r="F618" s="5">
        <f>100*('Parameter &lt;x, y&gt;'!G618-B618)/B618</f>
        <v>5.3430582968458147</v>
      </c>
      <c r="G618" s="5">
        <f>100*('Parameter &lt;x, y&gt;'!L618-B618)/B618</f>
        <v>5.7879035368315979</v>
      </c>
      <c r="H618" s="5">
        <f>100*('Parameter &lt;x, y&gt;'!Q618-B618)/B618</f>
        <v>0</v>
      </c>
      <c r="J618" s="5">
        <f>100*('Parameter &lt;x, y&gt;'!D618-C618)/C618</f>
        <v>12.383196750998412</v>
      </c>
      <c r="K618" s="5">
        <f>100*('Parameter &lt;x, y&gt;'!I618-C618)/C618</f>
        <v>12.711090936309331</v>
      </c>
      <c r="L618" s="5">
        <f>100*('Parameter &lt;x, y&gt;'!N618-C618)/C618</f>
        <v>0</v>
      </c>
      <c r="M618" s="5">
        <f>100*('Parameter &lt;x, y&gt;'!S618-C618)/C618</f>
        <v>7.5519487731735229</v>
      </c>
    </row>
    <row r="619" spans="1:13" ht="12.75" customHeight="1">
      <c r="A619" s="40"/>
      <c r="B619" s="5">
        <f>MIN('Parameter &lt;x, y&gt;'!B619,'Parameter &lt;x, y&gt;'!G619,'Parameter &lt;x, y&gt;'!L619,'Parameter &lt;x, y&gt;'!Q619)</f>
        <v>528882</v>
      </c>
      <c r="C619" s="5">
        <f>MIN('Parameter &lt;x, y&gt;'!D619,'Parameter &lt;x, y&gt;'!I619,'Parameter &lt;x, y&gt;'!N619,'Parameter &lt;x, y&gt;'!S619)</f>
        <v>442376</v>
      </c>
      <c r="E619" s="5">
        <f>100*('Parameter &lt;x, y&gt;'!B619-B619)/B619</f>
        <v>2.5204109801430188</v>
      </c>
      <c r="F619" s="5">
        <f>100*('Parameter &lt;x, y&gt;'!G619-B619)/B619</f>
        <v>2.3128032339917031</v>
      </c>
      <c r="G619" s="5">
        <f>100*('Parameter &lt;x, y&gt;'!L619-B619)/B619</f>
        <v>0</v>
      </c>
      <c r="H619" s="5">
        <f>100*('Parameter &lt;x, y&gt;'!Q619-B619)/B619</f>
        <v>1.4326447109185036</v>
      </c>
      <c r="J619" s="5">
        <f>100*('Parameter &lt;x, y&gt;'!D619-C619)/C619</f>
        <v>1.7103097817241442</v>
      </c>
      <c r="K619" s="5">
        <f>100*('Parameter &lt;x, y&gt;'!I619-C619)/C619</f>
        <v>3.3351718899759479</v>
      </c>
      <c r="L619" s="5">
        <f>100*('Parameter &lt;x, y&gt;'!N619-C619)/C619</f>
        <v>10.057507640559162</v>
      </c>
      <c r="M619" s="5">
        <f>100*('Parameter &lt;x, y&gt;'!S619-C619)/C619</f>
        <v>0</v>
      </c>
    </row>
    <row r="620" spans="1:13" ht="12.75" customHeight="1">
      <c r="A620" s="40"/>
      <c r="B620" s="5">
        <f>MIN('Parameter &lt;x, y&gt;'!B620,'Parameter &lt;x, y&gt;'!G620,'Parameter &lt;x, y&gt;'!L620,'Parameter &lt;x, y&gt;'!Q620)</f>
        <v>549051</v>
      </c>
      <c r="C620" s="5">
        <f>MIN('Parameter &lt;x, y&gt;'!D620,'Parameter &lt;x, y&gt;'!I620,'Parameter &lt;x, y&gt;'!N620,'Parameter &lt;x, y&gt;'!S620)</f>
        <v>444490</v>
      </c>
      <c r="E620" s="5">
        <f>100*('Parameter &lt;x, y&gt;'!B620-B620)/B620</f>
        <v>33.440791474744607</v>
      </c>
      <c r="F620" s="5">
        <f>100*('Parameter &lt;x, y&gt;'!G620-B620)/B620</f>
        <v>0</v>
      </c>
      <c r="G620" s="5">
        <f>100*('Parameter &lt;x, y&gt;'!L620-B620)/B620</f>
        <v>3.1607264170359404</v>
      </c>
      <c r="H620" s="5">
        <f>100*('Parameter &lt;x, y&gt;'!Q620-B620)/B620</f>
        <v>0.74328250016847253</v>
      </c>
      <c r="J620" s="5">
        <f>100*('Parameter &lt;x, y&gt;'!D620-C620)/C620</f>
        <v>16.026232311188103</v>
      </c>
      <c r="K620" s="5">
        <f>100*('Parameter &lt;x, y&gt;'!I620-C620)/C620</f>
        <v>0</v>
      </c>
      <c r="L620" s="5">
        <f>100*('Parameter &lt;x, y&gt;'!N620-C620)/C620</f>
        <v>0.67223109631262801</v>
      </c>
      <c r="M620" s="5">
        <f>100*('Parameter &lt;x, y&gt;'!S620-C620)/C620</f>
        <v>0.69765349051722203</v>
      </c>
    </row>
    <row r="621" spans="1:13" ht="12.75" customHeight="1">
      <c r="A621" s="40"/>
      <c r="B621" s="5">
        <f>MIN('Parameter &lt;x, y&gt;'!B621,'Parameter &lt;x, y&gt;'!G621,'Parameter &lt;x, y&gt;'!L621,'Parameter &lt;x, y&gt;'!Q621)</f>
        <v>542588</v>
      </c>
      <c r="C621" s="5">
        <f>MIN('Parameter &lt;x, y&gt;'!D621,'Parameter &lt;x, y&gt;'!I621,'Parameter &lt;x, y&gt;'!N621,'Parameter &lt;x, y&gt;'!S621)</f>
        <v>485139</v>
      </c>
      <c r="E621" s="5">
        <f>100*('Parameter &lt;x, y&gt;'!B621-B621)/B621</f>
        <v>7.5536134230760723</v>
      </c>
      <c r="F621" s="5">
        <f>100*('Parameter &lt;x, y&gt;'!G621-B621)/B621</f>
        <v>11.97612184567296</v>
      </c>
      <c r="G621" s="5">
        <f>100*('Parameter &lt;x, y&gt;'!L621-B621)/B621</f>
        <v>7.261679211482746</v>
      </c>
      <c r="H621" s="5">
        <f>100*('Parameter &lt;x, y&gt;'!Q621-B621)/B621</f>
        <v>0</v>
      </c>
      <c r="J621" s="5">
        <f>100*('Parameter &lt;x, y&gt;'!D621-C621)/C621</f>
        <v>0.54705970866081677</v>
      </c>
      <c r="K621" s="5">
        <f>100*('Parameter &lt;x, y&gt;'!I621-C621)/C621</f>
        <v>11.808162196813697</v>
      </c>
      <c r="L621" s="5">
        <f>100*('Parameter &lt;x, y&gt;'!N621-C621)/C621</f>
        <v>0</v>
      </c>
      <c r="M621" s="5">
        <f>100*('Parameter &lt;x, y&gt;'!S621-C621)/C621</f>
        <v>1.891004433780834</v>
      </c>
    </row>
    <row r="622" spans="1:13" ht="12.75" customHeight="1">
      <c r="A622" s="40"/>
      <c r="B622" s="5">
        <f>MIN('Parameter &lt;x, y&gt;'!B622,'Parameter &lt;x, y&gt;'!G622,'Parameter &lt;x, y&gt;'!L622,'Parameter &lt;x, y&gt;'!Q622)</f>
        <v>527696</v>
      </c>
      <c r="C622" s="5">
        <f>MIN('Parameter &lt;x, y&gt;'!D622,'Parameter &lt;x, y&gt;'!I622,'Parameter &lt;x, y&gt;'!N622,'Parameter &lt;x, y&gt;'!S622)</f>
        <v>436702</v>
      </c>
      <c r="E622" s="5">
        <f>100*('Parameter &lt;x, y&gt;'!B622-B622)/B622</f>
        <v>2.0193444710590946</v>
      </c>
      <c r="F622" s="5">
        <f>100*('Parameter &lt;x, y&gt;'!G622-B622)/B622</f>
        <v>6.3530896576816955</v>
      </c>
      <c r="G622" s="5">
        <f>100*('Parameter &lt;x, y&gt;'!L622-B622)/B622</f>
        <v>8.2399714987416992</v>
      </c>
      <c r="H622" s="5">
        <f>100*('Parameter &lt;x, y&gt;'!Q622-B622)/B622</f>
        <v>0</v>
      </c>
      <c r="J622" s="5">
        <f>100*('Parameter &lt;x, y&gt;'!D622-C622)/C622</f>
        <v>2.2225682502026554</v>
      </c>
      <c r="K622" s="5">
        <f>100*('Parameter &lt;x, y&gt;'!I622-C622)/C622</f>
        <v>5.3892585790768077</v>
      </c>
      <c r="L622" s="5">
        <f>100*('Parameter &lt;x, y&gt;'!N622-C622)/C622</f>
        <v>4.0908903554368887</v>
      </c>
      <c r="M622" s="5">
        <f>100*('Parameter &lt;x, y&gt;'!S622-C622)/C622</f>
        <v>0</v>
      </c>
    </row>
    <row r="623" spans="1:13" ht="12.75" customHeight="1">
      <c r="A623" s="40"/>
      <c r="B623" s="5">
        <f>MIN('Parameter &lt;x, y&gt;'!B623,'Parameter &lt;x, y&gt;'!G623,'Parameter &lt;x, y&gt;'!L623,'Parameter &lt;x, y&gt;'!Q623)</f>
        <v>522651</v>
      </c>
      <c r="C623" s="5">
        <f>MIN('Parameter &lt;x, y&gt;'!D623,'Parameter &lt;x, y&gt;'!I623,'Parameter &lt;x, y&gt;'!N623,'Parameter &lt;x, y&gt;'!S623)</f>
        <v>422034</v>
      </c>
      <c r="E623" s="5">
        <f>100*('Parameter &lt;x, y&gt;'!B623-B623)/B623</f>
        <v>0</v>
      </c>
      <c r="F623" s="5">
        <f>100*('Parameter &lt;x, y&gt;'!G623-B623)/B623</f>
        <v>0.87075314119747216</v>
      </c>
      <c r="G623" s="5">
        <f>100*('Parameter &lt;x, y&gt;'!L623-B623)/B623</f>
        <v>8.053557727814546</v>
      </c>
      <c r="H623" s="5">
        <f>100*('Parameter &lt;x, y&gt;'!Q623-B623)/B623</f>
        <v>4.0388327966463278</v>
      </c>
      <c r="J623" s="5">
        <f>100*('Parameter &lt;x, y&gt;'!D623-C623)/C623</f>
        <v>1.770710416696285</v>
      </c>
      <c r="K623" s="5">
        <f>100*('Parameter &lt;x, y&gt;'!I623-C623)/C623</f>
        <v>7.3254761464716109</v>
      </c>
      <c r="L623" s="5">
        <f>100*('Parameter &lt;x, y&gt;'!N623-C623)/C623</f>
        <v>14.917518493770643</v>
      </c>
      <c r="M623" s="5">
        <f>100*('Parameter &lt;x, y&gt;'!S623-C623)/C623</f>
        <v>0</v>
      </c>
    </row>
    <row r="624" spans="1:13" ht="12.75" customHeight="1">
      <c r="A624" s="40"/>
      <c r="B624" s="5">
        <f>MIN('Parameter &lt;x, y&gt;'!B624,'Parameter &lt;x, y&gt;'!G624,'Parameter &lt;x, y&gt;'!L624,'Parameter &lt;x, y&gt;'!Q624)</f>
        <v>561534</v>
      </c>
      <c r="C624" s="5">
        <f>MIN('Parameter &lt;x, y&gt;'!D624,'Parameter &lt;x, y&gt;'!I624,'Parameter &lt;x, y&gt;'!N624,'Parameter &lt;x, y&gt;'!S624)</f>
        <v>419070</v>
      </c>
      <c r="E624" s="5">
        <f>100*('Parameter &lt;x, y&gt;'!B624-B624)/B624</f>
        <v>1.0832825795054262</v>
      </c>
      <c r="F624" s="5">
        <f>100*('Parameter &lt;x, y&gt;'!G624-B624)/B624</f>
        <v>1.3721341895593142</v>
      </c>
      <c r="G624" s="5">
        <f>100*('Parameter &lt;x, y&gt;'!L624-B624)/B624</f>
        <v>0</v>
      </c>
      <c r="H624" s="5">
        <f>100*('Parameter &lt;x, y&gt;'!Q624-B624)/B624</f>
        <v>3.5794804945025592E-2</v>
      </c>
      <c r="J624" s="5">
        <f>100*('Parameter &lt;x, y&gt;'!D624-C624)/C624</f>
        <v>12.522251652468562</v>
      </c>
      <c r="K624" s="5">
        <f>100*('Parameter &lt;x, y&gt;'!I624-C624)/C624</f>
        <v>11.95575918104374</v>
      </c>
      <c r="L624" s="5">
        <f>100*('Parameter &lt;x, y&gt;'!N624-C624)/C624</f>
        <v>11.694704941895148</v>
      </c>
      <c r="M624" s="5">
        <f>100*('Parameter &lt;x, y&gt;'!S624-C624)/C624</f>
        <v>0</v>
      </c>
    </row>
    <row r="625" spans="1:13" ht="12.75" customHeight="1">
      <c r="A625" s="40"/>
      <c r="B625" s="5">
        <f>MIN('Parameter &lt;x, y&gt;'!B625,'Parameter &lt;x, y&gt;'!G625,'Parameter &lt;x, y&gt;'!L625,'Parameter &lt;x, y&gt;'!Q625)</f>
        <v>534667</v>
      </c>
      <c r="C625" s="5">
        <f>MIN('Parameter &lt;x, y&gt;'!D625,'Parameter &lt;x, y&gt;'!I625,'Parameter &lt;x, y&gt;'!N625,'Parameter &lt;x, y&gt;'!S625)</f>
        <v>389373</v>
      </c>
      <c r="E625" s="5">
        <f>100*('Parameter &lt;x, y&gt;'!B625-B625)/B625</f>
        <v>7.6496211660715921E-2</v>
      </c>
      <c r="F625" s="5">
        <f>100*('Parameter &lt;x, y&gt;'!G625-B625)/B625</f>
        <v>3.7092246201841519</v>
      </c>
      <c r="G625" s="5">
        <f>100*('Parameter &lt;x, y&gt;'!L625-B625)/B625</f>
        <v>0</v>
      </c>
      <c r="H625" s="5">
        <f>100*('Parameter &lt;x, y&gt;'!Q625-B625)/B625</f>
        <v>2.5638388005992514</v>
      </c>
      <c r="J625" s="5">
        <f>100*('Parameter &lt;x, y&gt;'!D625-C625)/C625</f>
        <v>18.599389274551651</v>
      </c>
      <c r="K625" s="5">
        <f>100*('Parameter &lt;x, y&gt;'!I625-C625)/C625</f>
        <v>16.498062269340711</v>
      </c>
      <c r="L625" s="5">
        <f>100*('Parameter &lt;x, y&gt;'!N625-C625)/C625</f>
        <v>0</v>
      </c>
      <c r="M625" s="5">
        <f>100*('Parameter &lt;x, y&gt;'!S625-C625)/C625</f>
        <v>15.912248666445798</v>
      </c>
    </row>
    <row r="626" spans="1:13" ht="12.75" customHeight="1">
      <c r="A626" s="40"/>
      <c r="B626" s="5">
        <f>MIN('Parameter &lt;x, y&gt;'!B626,'Parameter &lt;x, y&gt;'!G626,'Parameter &lt;x, y&gt;'!L626,'Parameter &lt;x, y&gt;'!Q626)</f>
        <v>542918</v>
      </c>
      <c r="C626" s="5">
        <f>MIN('Parameter &lt;x, y&gt;'!D626,'Parameter &lt;x, y&gt;'!I626,'Parameter &lt;x, y&gt;'!N626,'Parameter &lt;x, y&gt;'!S626)</f>
        <v>423553</v>
      </c>
      <c r="E626" s="5">
        <f>100*('Parameter &lt;x, y&gt;'!B626-B626)/B626</f>
        <v>4.1087236009857842</v>
      </c>
      <c r="F626" s="5">
        <f>100*('Parameter &lt;x, y&gt;'!G626-B626)/B626</f>
        <v>5.1016912314566838</v>
      </c>
      <c r="G626" s="5">
        <f>100*('Parameter &lt;x, y&gt;'!L626-B626)/B626</f>
        <v>0</v>
      </c>
      <c r="H626" s="5">
        <f>100*('Parameter &lt;x, y&gt;'!Q626-B626)/B626</f>
        <v>5.0919291679406466</v>
      </c>
      <c r="J626" s="5">
        <f>100*('Parameter &lt;x, y&gt;'!D626-C626)/C626</f>
        <v>12.760150441621237</v>
      </c>
      <c r="K626" s="5">
        <f>100*('Parameter &lt;x, y&gt;'!I626-C626)/C626</f>
        <v>10.818008608131686</v>
      </c>
      <c r="L626" s="5">
        <f>100*('Parameter &lt;x, y&gt;'!N626-C626)/C626</f>
        <v>0</v>
      </c>
      <c r="M626" s="5">
        <f>100*('Parameter &lt;x, y&gt;'!S626-C626)/C626</f>
        <v>11.618380698519429</v>
      </c>
    </row>
    <row r="627" spans="1:13" ht="12.75" customHeight="1">
      <c r="A627" s="40"/>
      <c r="B627" s="5">
        <f>MIN('Parameter &lt;x, y&gt;'!B627,'Parameter &lt;x, y&gt;'!G627,'Parameter &lt;x, y&gt;'!L627,'Parameter &lt;x, y&gt;'!Q627)</f>
        <v>519120</v>
      </c>
      <c r="C627" s="5">
        <f>MIN('Parameter &lt;x, y&gt;'!D627,'Parameter &lt;x, y&gt;'!I627,'Parameter &lt;x, y&gt;'!N627,'Parameter &lt;x, y&gt;'!S627)</f>
        <v>402130</v>
      </c>
      <c r="E627" s="5">
        <f>100*('Parameter &lt;x, y&gt;'!B627-B627)/B627</f>
        <v>1.6818847280012328</v>
      </c>
      <c r="F627" s="5">
        <f>100*('Parameter &lt;x, y&gt;'!G627-B627)/B627</f>
        <v>4.2209893666204348</v>
      </c>
      <c r="G627" s="5">
        <f>100*('Parameter &lt;x, y&gt;'!L627-B627)/B627</f>
        <v>0</v>
      </c>
      <c r="H627" s="5">
        <f>100*('Parameter &lt;x, y&gt;'!Q627-B627)/B627</f>
        <v>0.87455694251810756</v>
      </c>
      <c r="J627" s="5">
        <f>100*('Parameter &lt;x, y&gt;'!D627-C627)/C627</f>
        <v>5.0312088130703998</v>
      </c>
      <c r="K627" s="5">
        <f>100*('Parameter &lt;x, y&gt;'!I627-C627)/C627</f>
        <v>14.550767164847189</v>
      </c>
      <c r="L627" s="5">
        <f>100*('Parameter &lt;x, y&gt;'!N627-C627)/C627</f>
        <v>0</v>
      </c>
      <c r="M627" s="5">
        <f>100*('Parameter &lt;x, y&gt;'!S627-C627)/C627</f>
        <v>1.4664412006067689</v>
      </c>
    </row>
    <row r="628" spans="1:13" ht="12.75" customHeight="1">
      <c r="A628" s="40"/>
      <c r="B628" s="5">
        <f>MIN('Parameter &lt;x, y&gt;'!B628,'Parameter &lt;x, y&gt;'!G628,'Parameter &lt;x, y&gt;'!L628,'Parameter &lt;x, y&gt;'!Q628)</f>
        <v>573530</v>
      </c>
      <c r="C628" s="5">
        <f>MIN('Parameter &lt;x, y&gt;'!D628,'Parameter &lt;x, y&gt;'!I628,'Parameter &lt;x, y&gt;'!N628,'Parameter &lt;x, y&gt;'!S628)</f>
        <v>455040</v>
      </c>
      <c r="E628" s="5">
        <f>100*('Parameter &lt;x, y&gt;'!B628-B628)/B628</f>
        <v>3.3806426865203214</v>
      </c>
      <c r="F628" s="5">
        <f>100*('Parameter &lt;x, y&gt;'!G628-B628)/B628</f>
        <v>4.0974316949418513E-2</v>
      </c>
      <c r="G628" s="5">
        <f>100*('Parameter &lt;x, y&gt;'!L628-B628)/B628</f>
        <v>0.82611197321848906</v>
      </c>
      <c r="H628" s="5">
        <f>100*('Parameter &lt;x, y&gt;'!Q628-B628)/B628</f>
        <v>0</v>
      </c>
      <c r="J628" s="5">
        <f>100*('Parameter &lt;x, y&gt;'!D628-C628)/C628</f>
        <v>3.9728375527426159</v>
      </c>
      <c r="K628" s="5">
        <f>100*('Parameter &lt;x, y&gt;'!I628-C628)/C628</f>
        <v>29.463124120956401</v>
      </c>
      <c r="L628" s="5">
        <f>100*('Parameter &lt;x, y&gt;'!N628-C628)/C628</f>
        <v>0.55028129395218006</v>
      </c>
      <c r="M628" s="5">
        <f>100*('Parameter &lt;x, y&gt;'!S628-C628)/C628</f>
        <v>0</v>
      </c>
    </row>
    <row r="629" spans="1:13" ht="12.75" customHeight="1">
      <c r="A629" s="40"/>
      <c r="B629" s="5">
        <f>MIN('Parameter &lt;x, y&gt;'!B629,'Parameter &lt;x, y&gt;'!G629,'Parameter &lt;x, y&gt;'!L629,'Parameter &lt;x, y&gt;'!Q629)</f>
        <v>501712</v>
      </c>
      <c r="C629" s="5">
        <f>MIN('Parameter &lt;x, y&gt;'!D629,'Parameter &lt;x, y&gt;'!I629,'Parameter &lt;x, y&gt;'!N629,'Parameter &lt;x, y&gt;'!S629)</f>
        <v>378871</v>
      </c>
      <c r="E629" s="5">
        <f>100*('Parameter &lt;x, y&gt;'!B629-B629)/B629</f>
        <v>4.2568246324584624</v>
      </c>
      <c r="F629" s="5">
        <f>100*('Parameter &lt;x, y&gt;'!G629-B629)/B629</f>
        <v>1.6417785502439646</v>
      </c>
      <c r="G629" s="5">
        <f>100*('Parameter &lt;x, y&gt;'!L629-B629)/B629</f>
        <v>3.2781755269955672</v>
      </c>
      <c r="H629" s="5">
        <f>100*('Parameter &lt;x, y&gt;'!Q629-B629)/B629</f>
        <v>0</v>
      </c>
      <c r="J629" s="5">
        <f>100*('Parameter &lt;x, y&gt;'!D629-C629)/C629</f>
        <v>0</v>
      </c>
      <c r="K629" s="5">
        <f>100*('Parameter &lt;x, y&gt;'!I629-C629)/C629</f>
        <v>18.953152920123209</v>
      </c>
      <c r="L629" s="5">
        <f>100*('Parameter &lt;x, y&gt;'!N629-C629)/C629</f>
        <v>4.6865555822430327</v>
      </c>
      <c r="M629" s="5">
        <f>100*('Parameter &lt;x, y&gt;'!S629-C629)/C629</f>
        <v>10.440492938229635</v>
      </c>
    </row>
    <row r="630" spans="1:13" ht="12.75" customHeight="1">
      <c r="A630" s="40"/>
      <c r="B630" s="5">
        <f>MIN('Parameter &lt;x, y&gt;'!B630,'Parameter &lt;x, y&gt;'!G630,'Parameter &lt;x, y&gt;'!L630,'Parameter &lt;x, y&gt;'!Q630)</f>
        <v>495280</v>
      </c>
      <c r="C630" s="5">
        <f>MIN('Parameter &lt;x, y&gt;'!D630,'Parameter &lt;x, y&gt;'!I630,'Parameter &lt;x, y&gt;'!N630,'Parameter &lt;x, y&gt;'!S630)</f>
        <v>377814</v>
      </c>
      <c r="E630" s="5">
        <f>100*('Parameter &lt;x, y&gt;'!B630-B630)/B630</f>
        <v>0.72040058148925856</v>
      </c>
      <c r="F630" s="5">
        <f>100*('Parameter &lt;x, y&gt;'!G630-B630)/B630</f>
        <v>0</v>
      </c>
      <c r="G630" s="5">
        <f>100*('Parameter &lt;x, y&gt;'!L630-B630)/B630</f>
        <v>3.1664916814731061</v>
      </c>
      <c r="H630" s="5">
        <f>100*('Parameter &lt;x, y&gt;'!Q630-B630)/B630</f>
        <v>13.787352608625424</v>
      </c>
      <c r="J630" s="5">
        <f>100*('Parameter &lt;x, y&gt;'!D630-C630)/C630</f>
        <v>0.15933766350638146</v>
      </c>
      <c r="K630" s="5">
        <f>100*('Parameter &lt;x, y&gt;'!I630-C630)/C630</f>
        <v>20.488123785778185</v>
      </c>
      <c r="L630" s="5">
        <f>100*('Parameter &lt;x, y&gt;'!N630-C630)/C630</f>
        <v>0</v>
      </c>
      <c r="M630" s="5">
        <f>100*('Parameter &lt;x, y&gt;'!S630-C630)/C630</f>
        <v>5.3952473968672416</v>
      </c>
    </row>
    <row r="631" spans="1:13" ht="12.75" customHeight="1">
      <c r="A631" s="40"/>
      <c r="B631" s="5">
        <f>MIN('Parameter &lt;x, y&gt;'!B631,'Parameter &lt;x, y&gt;'!G631,'Parameter &lt;x, y&gt;'!L631,'Parameter &lt;x, y&gt;'!Q631)</f>
        <v>512073</v>
      </c>
      <c r="C631" s="5">
        <f>MIN('Parameter &lt;x, y&gt;'!D631,'Parameter &lt;x, y&gt;'!I631,'Parameter &lt;x, y&gt;'!N631,'Parameter &lt;x, y&gt;'!S631)</f>
        <v>419335</v>
      </c>
      <c r="E631" s="5">
        <f>100*('Parameter &lt;x, y&gt;'!B631-B631)/B631</f>
        <v>2.984340123380846</v>
      </c>
      <c r="F631" s="5">
        <f>100*('Parameter &lt;x, y&gt;'!G631-B631)/B631</f>
        <v>3.1417395566647723</v>
      </c>
      <c r="G631" s="5">
        <f>100*('Parameter &lt;x, y&gt;'!L631-B631)/B631</f>
        <v>0</v>
      </c>
      <c r="H631" s="5">
        <f>100*('Parameter &lt;x, y&gt;'!Q631-B631)/B631</f>
        <v>3.7660646040701229</v>
      </c>
      <c r="J631" s="5">
        <f>100*('Parameter &lt;x, y&gt;'!D631-C631)/C631</f>
        <v>4.7456091192006389E-2</v>
      </c>
      <c r="K631" s="5">
        <f>100*('Parameter &lt;x, y&gt;'!I631-C631)/C631</f>
        <v>2.320340539187046</v>
      </c>
      <c r="L631" s="5">
        <f>100*('Parameter &lt;x, y&gt;'!N631-C631)/C631</f>
        <v>0</v>
      </c>
      <c r="M631" s="5">
        <f>100*('Parameter &lt;x, y&gt;'!S631-C631)/C631</f>
        <v>13.869579214709004</v>
      </c>
    </row>
    <row r="632" spans="1:13" ht="12.75" customHeight="1">
      <c r="A632" s="40"/>
      <c r="B632" s="5">
        <f>MIN('Parameter &lt;x, y&gt;'!B632,'Parameter &lt;x, y&gt;'!G632,'Parameter &lt;x, y&gt;'!L632,'Parameter &lt;x, y&gt;'!Q632)</f>
        <v>524808</v>
      </c>
      <c r="C632" s="5">
        <f>MIN('Parameter &lt;x, y&gt;'!D632,'Parameter &lt;x, y&gt;'!I632,'Parameter &lt;x, y&gt;'!N632,'Parameter &lt;x, y&gt;'!S632)</f>
        <v>428656</v>
      </c>
      <c r="E632" s="5">
        <f>100*('Parameter &lt;x, y&gt;'!B632-B632)/B632</f>
        <v>0</v>
      </c>
      <c r="F632" s="5">
        <f>100*('Parameter &lt;x, y&gt;'!G632-B632)/B632</f>
        <v>2.3145607536470481</v>
      </c>
      <c r="G632" s="5">
        <f>100*('Parameter &lt;x, y&gt;'!L632-B632)/B632</f>
        <v>0.45959665249005349</v>
      </c>
      <c r="H632" s="5">
        <f>100*('Parameter &lt;x, y&gt;'!Q632-B632)/B632</f>
        <v>4.046813310772702</v>
      </c>
      <c r="J632" s="5">
        <f>100*('Parameter &lt;x, y&gt;'!D632-C632)/C632</f>
        <v>13.432216042700906</v>
      </c>
      <c r="K632" s="5">
        <f>100*('Parameter &lt;x, y&gt;'!I632-C632)/C632</f>
        <v>8.3222910678959359</v>
      </c>
      <c r="L632" s="5">
        <f>100*('Parameter &lt;x, y&gt;'!N632-C632)/C632</f>
        <v>0</v>
      </c>
      <c r="M632" s="5">
        <f>100*('Parameter &lt;x, y&gt;'!S632-C632)/C632</f>
        <v>2.6083852786383486</v>
      </c>
    </row>
    <row r="633" spans="1:13" ht="12.75" customHeight="1">
      <c r="A633" s="40"/>
      <c r="B633" s="5">
        <f>MIN('Parameter &lt;x, y&gt;'!B633,'Parameter &lt;x, y&gt;'!G633,'Parameter &lt;x, y&gt;'!L633,'Parameter &lt;x, y&gt;'!Q633)</f>
        <v>489216</v>
      </c>
      <c r="C633" s="5">
        <f>MIN('Parameter &lt;x, y&gt;'!D633,'Parameter &lt;x, y&gt;'!I633,'Parameter &lt;x, y&gt;'!N633,'Parameter &lt;x, y&gt;'!S633)</f>
        <v>389788</v>
      </c>
      <c r="E633" s="5">
        <f>100*('Parameter &lt;x, y&gt;'!B633-B633)/B633</f>
        <v>1.7231652276295133</v>
      </c>
      <c r="F633" s="5">
        <f>100*('Parameter &lt;x, y&gt;'!G633-B633)/B633</f>
        <v>3.2057414311878598</v>
      </c>
      <c r="G633" s="5">
        <f>100*('Parameter &lt;x, y&gt;'!L633-B633)/B633</f>
        <v>1.8272092490842491</v>
      </c>
      <c r="H633" s="5">
        <f>100*('Parameter &lt;x, y&gt;'!Q633-B633)/B633</f>
        <v>0</v>
      </c>
      <c r="J633" s="5">
        <f>100*('Parameter &lt;x, y&gt;'!D633-C633)/C633</f>
        <v>13.027081387831334</v>
      </c>
      <c r="K633" s="5">
        <f>100*('Parameter &lt;x, y&gt;'!I633-C633)/C633</f>
        <v>9.7006577934672187</v>
      </c>
      <c r="L633" s="5">
        <f>100*('Parameter &lt;x, y&gt;'!N633-C633)/C633</f>
        <v>0</v>
      </c>
      <c r="M633" s="5">
        <f>100*('Parameter &lt;x, y&gt;'!S633-C633)/C633</f>
        <v>9.662944985479287</v>
      </c>
    </row>
    <row r="634" spans="1:13" ht="12.75" customHeight="1">
      <c r="A634" s="40"/>
      <c r="B634" s="5">
        <f>MIN('Parameter &lt;x, y&gt;'!B634,'Parameter &lt;x, y&gt;'!G634,'Parameter &lt;x, y&gt;'!L634,'Parameter &lt;x, y&gt;'!Q634)</f>
        <v>549751</v>
      </c>
      <c r="C634" s="5">
        <f>MIN('Parameter &lt;x, y&gt;'!D634,'Parameter &lt;x, y&gt;'!I634,'Parameter &lt;x, y&gt;'!N634,'Parameter &lt;x, y&gt;'!S634)</f>
        <v>485848</v>
      </c>
      <c r="E634" s="5">
        <f>100*('Parameter &lt;x, y&gt;'!B634-B634)/B634</f>
        <v>2.5877169845984818</v>
      </c>
      <c r="F634" s="5">
        <f>100*('Parameter &lt;x, y&gt;'!G634-B634)/B634</f>
        <v>28.135646865580963</v>
      </c>
      <c r="G634" s="5">
        <f>100*('Parameter &lt;x, y&gt;'!L634-B634)/B634</f>
        <v>0</v>
      </c>
      <c r="H634" s="5">
        <f>100*('Parameter &lt;x, y&gt;'!Q634-B634)/B634</f>
        <v>3.430280254151425</v>
      </c>
      <c r="J634" s="5">
        <f>100*('Parameter &lt;x, y&gt;'!D634-C634)/C634</f>
        <v>0</v>
      </c>
      <c r="K634" s="5">
        <f>100*('Parameter &lt;x, y&gt;'!I634-C634)/C634</f>
        <v>2.4159819532034712</v>
      </c>
      <c r="L634" s="5">
        <f>100*('Parameter &lt;x, y&gt;'!N634-C634)/C634</f>
        <v>21.485320511764996</v>
      </c>
      <c r="M634" s="5">
        <f>100*('Parameter &lt;x, y&gt;'!S634-C634)/C634</f>
        <v>10.254647544087863</v>
      </c>
    </row>
    <row r="635" spans="1:13" ht="12.75" customHeight="1">
      <c r="A635" s="40"/>
      <c r="B635" s="5">
        <f>MIN('Parameter &lt;x, y&gt;'!B635,'Parameter &lt;x, y&gt;'!G635,'Parameter &lt;x, y&gt;'!L635,'Parameter &lt;x, y&gt;'!Q635)</f>
        <v>559392</v>
      </c>
      <c r="C635" s="5">
        <f>MIN('Parameter &lt;x, y&gt;'!D635,'Parameter &lt;x, y&gt;'!I635,'Parameter &lt;x, y&gt;'!N635,'Parameter &lt;x, y&gt;'!S635)</f>
        <v>409907</v>
      </c>
      <c r="E635" s="5">
        <f>100*('Parameter &lt;x, y&gt;'!B635-B635)/B635</f>
        <v>0</v>
      </c>
      <c r="F635" s="5">
        <f>100*('Parameter &lt;x, y&gt;'!G635-B635)/B635</f>
        <v>3.3663334477432643</v>
      </c>
      <c r="G635" s="5">
        <f>100*('Parameter &lt;x, y&gt;'!L635-B635)/B635</f>
        <v>3.0608231794519765</v>
      </c>
      <c r="H635" s="5">
        <f>100*('Parameter &lt;x, y&gt;'!Q635-B635)/B635</f>
        <v>1.1399877009324408</v>
      </c>
      <c r="J635" s="5">
        <f>100*('Parameter &lt;x, y&gt;'!D635-C635)/C635</f>
        <v>40.099339606300944</v>
      </c>
      <c r="K635" s="5">
        <f>100*('Parameter &lt;x, y&gt;'!I635-C635)/C635</f>
        <v>20.860585449870335</v>
      </c>
      <c r="L635" s="5">
        <f>100*('Parameter &lt;x, y&gt;'!N635-C635)/C635</f>
        <v>0</v>
      </c>
      <c r="M635" s="5">
        <f>100*('Parameter &lt;x, y&gt;'!S635-C635)/C635</f>
        <v>17.190240713137371</v>
      </c>
    </row>
    <row r="636" spans="1:13" ht="12.75" customHeight="1">
      <c r="A636" s="40"/>
      <c r="B636" s="5">
        <f>MIN('Parameter &lt;x, y&gt;'!B636,'Parameter &lt;x, y&gt;'!G636,'Parameter &lt;x, y&gt;'!L636,'Parameter &lt;x, y&gt;'!Q636)</f>
        <v>485985</v>
      </c>
      <c r="C636" s="5">
        <f>MIN('Parameter &lt;x, y&gt;'!D636,'Parameter &lt;x, y&gt;'!I636,'Parameter &lt;x, y&gt;'!N636,'Parameter &lt;x, y&gt;'!S636)</f>
        <v>400079</v>
      </c>
      <c r="E636" s="5">
        <f>100*('Parameter &lt;x, y&gt;'!B636-B636)/B636</f>
        <v>2.3570686338055702</v>
      </c>
      <c r="F636" s="5">
        <f>100*('Parameter &lt;x, y&gt;'!G636-B636)/B636</f>
        <v>0.35412615615708304</v>
      </c>
      <c r="G636" s="5">
        <f>100*('Parameter &lt;x, y&gt;'!L636-B636)/B636</f>
        <v>0</v>
      </c>
      <c r="H636" s="5">
        <f>100*('Parameter &lt;x, y&gt;'!Q636-B636)/B636</f>
        <v>2.3560397954669381</v>
      </c>
      <c r="J636" s="5">
        <f>100*('Parameter &lt;x, y&gt;'!D636-C636)/C636</f>
        <v>2.3510356704550852</v>
      </c>
      <c r="K636" s="5">
        <f>100*('Parameter &lt;x, y&gt;'!I636-C636)/C636</f>
        <v>7.3233036475296132</v>
      </c>
      <c r="L636" s="5">
        <f>100*('Parameter &lt;x, y&gt;'!N636-C636)/C636</f>
        <v>0.3774254584719518</v>
      </c>
      <c r="M636" s="5">
        <f>100*('Parameter &lt;x, y&gt;'!S636-C636)/C636</f>
        <v>0</v>
      </c>
    </row>
    <row r="637" spans="1:13" ht="12.75" customHeight="1">
      <c r="A637" s="40"/>
      <c r="B637" s="5">
        <f>MIN('Parameter &lt;x, y&gt;'!B637,'Parameter &lt;x, y&gt;'!G637,'Parameter &lt;x, y&gt;'!L637,'Parameter &lt;x, y&gt;'!Q637)</f>
        <v>429107</v>
      </c>
      <c r="C637" s="5">
        <f>MIN('Parameter &lt;x, y&gt;'!D637,'Parameter &lt;x, y&gt;'!I637,'Parameter &lt;x, y&gt;'!N637,'Parameter &lt;x, y&gt;'!S637)</f>
        <v>316558</v>
      </c>
      <c r="E637" s="5">
        <f>100*('Parameter &lt;x, y&gt;'!B637-B637)/B637</f>
        <v>6.3930441591491167</v>
      </c>
      <c r="F637" s="5">
        <f>100*('Parameter &lt;x, y&gt;'!G637-B637)/B637</f>
        <v>5.4510879570829651</v>
      </c>
      <c r="G637" s="5">
        <f>100*('Parameter &lt;x, y&gt;'!L637-B637)/B637</f>
        <v>0</v>
      </c>
      <c r="H637" s="5">
        <f>100*('Parameter &lt;x, y&gt;'!Q637-B637)/B637</f>
        <v>2.6951319833980802</v>
      </c>
      <c r="J637" s="5">
        <f>100*('Parameter &lt;x, y&gt;'!D637-C637)/C637</f>
        <v>17.506428521787477</v>
      </c>
      <c r="K637" s="5">
        <f>100*('Parameter &lt;x, y&gt;'!I637-C637)/C637</f>
        <v>55.022144441145066</v>
      </c>
      <c r="L637" s="5">
        <f>100*('Parameter &lt;x, y&gt;'!N637-C637)/C637</f>
        <v>0</v>
      </c>
      <c r="M637" s="5">
        <f>100*('Parameter &lt;x, y&gt;'!S637-C637)/C637</f>
        <v>5.7477618635447536</v>
      </c>
    </row>
    <row r="638" spans="1:13" ht="12.75" customHeight="1">
      <c r="A638" s="40"/>
      <c r="B638" s="5">
        <f>MIN('Parameter &lt;x, y&gt;'!B638,'Parameter &lt;x, y&gt;'!G638,'Parameter &lt;x, y&gt;'!L638,'Parameter &lt;x, y&gt;'!Q638)</f>
        <v>587659</v>
      </c>
      <c r="C638" s="5">
        <f>MIN('Parameter &lt;x, y&gt;'!D638,'Parameter &lt;x, y&gt;'!I638,'Parameter &lt;x, y&gt;'!N638,'Parameter &lt;x, y&gt;'!S638)</f>
        <v>458374</v>
      </c>
      <c r="E638" s="5">
        <f>100*('Parameter &lt;x, y&gt;'!B638-B638)/B638</f>
        <v>28.205643068514224</v>
      </c>
      <c r="F638" s="5">
        <f>100*('Parameter &lt;x, y&gt;'!G638-B638)/B638</f>
        <v>3.3922734102600316</v>
      </c>
      <c r="G638" s="5">
        <f>100*('Parameter &lt;x, y&gt;'!L638-B638)/B638</f>
        <v>16.217738518426504</v>
      </c>
      <c r="H638" s="5">
        <f>100*('Parameter &lt;x, y&gt;'!Q638-B638)/B638</f>
        <v>0</v>
      </c>
      <c r="J638" s="5">
        <f>100*('Parameter &lt;x, y&gt;'!D638-C638)/C638</f>
        <v>0</v>
      </c>
      <c r="K638" s="5">
        <f>100*('Parameter &lt;x, y&gt;'!I638-C638)/C638</f>
        <v>16.843014656154146</v>
      </c>
      <c r="L638" s="5">
        <f>100*('Parameter &lt;x, y&gt;'!N638-C638)/C638</f>
        <v>9.2551060924048922</v>
      </c>
      <c r="M638" s="5">
        <f>100*('Parameter &lt;x, y&gt;'!S638-C638)/C638</f>
        <v>4.3944464563871426</v>
      </c>
    </row>
    <row r="639" spans="1:13" ht="12.75" customHeight="1">
      <c r="A639" s="40"/>
      <c r="B639" s="5">
        <f>MIN('Parameter &lt;x, y&gt;'!B639,'Parameter &lt;x, y&gt;'!G639,'Parameter &lt;x, y&gt;'!L639,'Parameter &lt;x, y&gt;'!Q639)</f>
        <v>521853</v>
      </c>
      <c r="C639" s="5">
        <f>MIN('Parameter &lt;x, y&gt;'!D639,'Parameter &lt;x, y&gt;'!I639,'Parameter &lt;x, y&gt;'!N639,'Parameter &lt;x, y&gt;'!S639)</f>
        <v>418267</v>
      </c>
      <c r="E639" s="5">
        <f>100*('Parameter &lt;x, y&gt;'!B639-B639)/B639</f>
        <v>1.5638503563263983</v>
      </c>
      <c r="F639" s="5">
        <f>100*('Parameter &lt;x, y&gt;'!G639-B639)/B639</f>
        <v>0</v>
      </c>
      <c r="G639" s="5">
        <f>100*('Parameter &lt;x, y&gt;'!L639-B639)/B639</f>
        <v>1.0662006350447348</v>
      </c>
      <c r="H639" s="5">
        <f>100*('Parameter &lt;x, y&gt;'!Q639-B639)/B639</f>
        <v>1.4927575390004464</v>
      </c>
      <c r="J639" s="5">
        <f>100*('Parameter &lt;x, y&gt;'!D639-C639)/C639</f>
        <v>14.671728823933037</v>
      </c>
      <c r="K639" s="5">
        <f>100*('Parameter &lt;x, y&gt;'!I639-C639)/C639</f>
        <v>9.4097789211197629</v>
      </c>
      <c r="L639" s="5">
        <f>100*('Parameter &lt;x, y&gt;'!N639-C639)/C639</f>
        <v>0</v>
      </c>
      <c r="M639" s="5">
        <f>100*('Parameter &lt;x, y&gt;'!S639-C639)/C639</f>
        <v>7.9941759689385012</v>
      </c>
    </row>
    <row r="640" spans="1:13" ht="12.75" customHeight="1">
      <c r="A640" s="40"/>
      <c r="B640" s="5">
        <f>MIN('Parameter &lt;x, y&gt;'!B640,'Parameter &lt;x, y&gt;'!G640,'Parameter &lt;x, y&gt;'!L640,'Parameter &lt;x, y&gt;'!Q640)</f>
        <v>505456</v>
      </c>
      <c r="C640" s="5">
        <f>MIN('Parameter &lt;x, y&gt;'!D640,'Parameter &lt;x, y&gt;'!I640,'Parameter &lt;x, y&gt;'!N640,'Parameter &lt;x, y&gt;'!S640)</f>
        <v>397278</v>
      </c>
      <c r="E640" s="5">
        <f>100*('Parameter &lt;x, y&gt;'!B640-B640)/B640</f>
        <v>1.3868665126143522</v>
      </c>
      <c r="F640" s="5">
        <f>100*('Parameter &lt;x, y&gt;'!G640-B640)/B640</f>
        <v>0</v>
      </c>
      <c r="G640" s="5">
        <f>100*('Parameter &lt;x, y&gt;'!L640-B640)/B640</f>
        <v>0.83370263682694434</v>
      </c>
      <c r="H640" s="5">
        <f>100*('Parameter &lt;x, y&gt;'!Q640-B640)/B640</f>
        <v>0.69936849102592513</v>
      </c>
      <c r="J640" s="5">
        <f>100*('Parameter &lt;x, y&gt;'!D640-C640)/C640</f>
        <v>13.551971163769451</v>
      </c>
      <c r="K640" s="5">
        <f>100*('Parameter &lt;x, y&gt;'!I640-C640)/C640</f>
        <v>16.524197161685269</v>
      </c>
      <c r="L640" s="5">
        <f>100*('Parameter &lt;x, y&gt;'!N640-C640)/C640</f>
        <v>0</v>
      </c>
      <c r="M640" s="5">
        <f>100*('Parameter &lt;x, y&gt;'!S640-C640)/C640</f>
        <v>8.3586304804192526</v>
      </c>
    </row>
    <row r="641" spans="1:13" ht="12.75" customHeight="1">
      <c r="A641" s="40"/>
      <c r="B641" s="5">
        <f>MIN('Parameter &lt;x, y&gt;'!B641,'Parameter &lt;x, y&gt;'!G641,'Parameter &lt;x, y&gt;'!L641,'Parameter &lt;x, y&gt;'!Q641)</f>
        <v>521927</v>
      </c>
      <c r="C641" s="5">
        <f>MIN('Parameter &lt;x, y&gt;'!D641,'Parameter &lt;x, y&gt;'!I641,'Parameter &lt;x, y&gt;'!N641,'Parameter &lt;x, y&gt;'!S641)</f>
        <v>403073</v>
      </c>
      <c r="E641" s="5">
        <f>100*('Parameter &lt;x, y&gt;'!B641-B641)/B641</f>
        <v>3.6819325307945365</v>
      </c>
      <c r="F641" s="5">
        <f>100*('Parameter &lt;x, y&gt;'!G641-B641)/B641</f>
        <v>3.1655767952223202</v>
      </c>
      <c r="G641" s="5">
        <f>100*('Parameter &lt;x, y&gt;'!L641-B641)/B641</f>
        <v>7.0504112644105401</v>
      </c>
      <c r="H641" s="5">
        <f>100*('Parameter &lt;x, y&gt;'!Q641-B641)/B641</f>
        <v>0</v>
      </c>
      <c r="J641" s="5">
        <f>100*('Parameter &lt;x, y&gt;'!D641-C641)/C641</f>
        <v>14.777720164833665</v>
      </c>
      <c r="K641" s="5">
        <f>100*('Parameter &lt;x, y&gt;'!I641-C641)/C641</f>
        <v>18.634341670119309</v>
      </c>
      <c r="L641" s="5">
        <f>100*('Parameter &lt;x, y&gt;'!N641-C641)/C641</f>
        <v>0</v>
      </c>
      <c r="M641" s="5">
        <f>100*('Parameter &lt;x, y&gt;'!S641-C641)/C641</f>
        <v>13.491600777030463</v>
      </c>
    </row>
    <row r="642" spans="1:13" ht="12.75" customHeight="1">
      <c r="A642" s="40"/>
      <c r="B642" s="5">
        <f>MIN('Parameter &lt;x, y&gt;'!B642,'Parameter &lt;x, y&gt;'!G642,'Parameter &lt;x, y&gt;'!L642,'Parameter &lt;x, y&gt;'!Q642)</f>
        <v>553632</v>
      </c>
      <c r="C642" s="5">
        <f>MIN('Parameter &lt;x, y&gt;'!D642,'Parameter &lt;x, y&gt;'!I642,'Parameter &lt;x, y&gt;'!N642,'Parameter &lt;x, y&gt;'!S642)</f>
        <v>437959</v>
      </c>
      <c r="E642" s="5">
        <f>100*('Parameter &lt;x, y&gt;'!B642-B642)/B642</f>
        <v>4.1858129587885093</v>
      </c>
      <c r="F642" s="5">
        <f>100*('Parameter &lt;x, y&gt;'!G642-B642)/B642</f>
        <v>0</v>
      </c>
      <c r="G642" s="5">
        <f>100*('Parameter &lt;x, y&gt;'!L642-B642)/B642</f>
        <v>3.6370730015606036</v>
      </c>
      <c r="H642" s="5">
        <f>100*('Parameter &lt;x, y&gt;'!Q642-B642)/B642</f>
        <v>2.9933240853129877</v>
      </c>
      <c r="J642" s="5">
        <f>100*('Parameter &lt;x, y&gt;'!D642-C642)/C642</f>
        <v>11.694017019858023</v>
      </c>
      <c r="K642" s="5">
        <f>100*('Parameter &lt;x, y&gt;'!I642-C642)/C642</f>
        <v>2.5785518735772071</v>
      </c>
      <c r="L642" s="5">
        <f>100*('Parameter &lt;x, y&gt;'!N642-C642)/C642</f>
        <v>0</v>
      </c>
      <c r="M642" s="5">
        <f>100*('Parameter &lt;x, y&gt;'!S642-C642)/C642</f>
        <v>3.5720238652476604</v>
      </c>
    </row>
    <row r="643" spans="1:13" ht="12.75" customHeight="1">
      <c r="A643" s="40"/>
      <c r="B643" s="5">
        <f>MIN('Parameter &lt;x, y&gt;'!B643,'Parameter &lt;x, y&gt;'!G643,'Parameter &lt;x, y&gt;'!L643,'Parameter &lt;x, y&gt;'!Q643)</f>
        <v>585228</v>
      </c>
      <c r="C643" s="5">
        <f>MIN('Parameter &lt;x, y&gt;'!D643,'Parameter &lt;x, y&gt;'!I643,'Parameter &lt;x, y&gt;'!N643,'Parameter &lt;x, y&gt;'!S643)</f>
        <v>428110</v>
      </c>
      <c r="E643" s="5">
        <f>100*('Parameter &lt;x, y&gt;'!B643-B643)/B643</f>
        <v>1.2388334119351774</v>
      </c>
      <c r="F643" s="5">
        <f>100*('Parameter &lt;x, y&gt;'!G643-B643)/B643</f>
        <v>0</v>
      </c>
      <c r="G643" s="5">
        <f>100*('Parameter &lt;x, y&gt;'!L643-B643)/B643</f>
        <v>3.8420923127396502</v>
      </c>
      <c r="H643" s="5">
        <f>100*('Parameter &lt;x, y&gt;'!Q643-B643)/B643</f>
        <v>0.34721510248996973</v>
      </c>
      <c r="J643" s="5">
        <f>100*('Parameter &lt;x, y&gt;'!D643-C643)/C643</f>
        <v>44.79059120319544</v>
      </c>
      <c r="K643" s="5">
        <f>100*('Parameter &lt;x, y&gt;'!I643-C643)/C643</f>
        <v>18.709443834528511</v>
      </c>
      <c r="L643" s="5">
        <f>100*('Parameter &lt;x, y&gt;'!N643-C643)/C643</f>
        <v>0</v>
      </c>
      <c r="M643" s="5">
        <f>100*('Parameter &lt;x, y&gt;'!S643-C643)/C643</f>
        <v>4.6385274812548181</v>
      </c>
    </row>
    <row r="644" spans="1:13" ht="12.75" customHeight="1">
      <c r="A644" s="40"/>
      <c r="B644" s="5">
        <f>MIN('Parameter &lt;x, y&gt;'!B644,'Parameter &lt;x, y&gt;'!G644,'Parameter &lt;x, y&gt;'!L644,'Parameter &lt;x, y&gt;'!Q644)</f>
        <v>556356</v>
      </c>
      <c r="C644" s="5">
        <f>MIN('Parameter &lt;x, y&gt;'!D644,'Parameter &lt;x, y&gt;'!I644,'Parameter &lt;x, y&gt;'!N644,'Parameter &lt;x, y&gt;'!S644)</f>
        <v>434698</v>
      </c>
      <c r="E644" s="5">
        <f>100*('Parameter &lt;x, y&gt;'!B644-B644)/B644</f>
        <v>2.2226775661626728</v>
      </c>
      <c r="F644" s="5">
        <f>100*('Parameter &lt;x, y&gt;'!G644-B644)/B644</f>
        <v>0</v>
      </c>
      <c r="G644" s="5">
        <f>100*('Parameter &lt;x, y&gt;'!L644-B644)/B644</f>
        <v>2.0632472733285883</v>
      </c>
      <c r="H644" s="5">
        <f>100*('Parameter &lt;x, y&gt;'!Q644-B644)/B644</f>
        <v>2.6554939642962418</v>
      </c>
      <c r="J644" s="5">
        <f>100*('Parameter &lt;x, y&gt;'!D644-C644)/C644</f>
        <v>15.09990844218285</v>
      </c>
      <c r="K644" s="5">
        <f>100*('Parameter &lt;x, y&gt;'!I644-C644)/C644</f>
        <v>13.032036034212258</v>
      </c>
      <c r="L644" s="5">
        <f>100*('Parameter &lt;x, y&gt;'!N644-C644)/C644</f>
        <v>0</v>
      </c>
      <c r="M644" s="5">
        <f>100*('Parameter &lt;x, y&gt;'!S644-C644)/C644</f>
        <v>11.519951782616896</v>
      </c>
    </row>
    <row r="645" spans="1:13" ht="12.75" customHeight="1">
      <c r="A645" s="40"/>
      <c r="B645" s="5">
        <f>MIN('Parameter &lt;x, y&gt;'!B645,'Parameter &lt;x, y&gt;'!G645,'Parameter &lt;x, y&gt;'!L645,'Parameter &lt;x, y&gt;'!Q645)</f>
        <v>434766</v>
      </c>
      <c r="C645" s="5">
        <f>MIN('Parameter &lt;x, y&gt;'!D645,'Parameter &lt;x, y&gt;'!I645,'Parameter &lt;x, y&gt;'!N645,'Parameter &lt;x, y&gt;'!S645)</f>
        <v>361611</v>
      </c>
      <c r="E645" s="5">
        <f>100*('Parameter &lt;x, y&gt;'!B645-B645)/B645</f>
        <v>0</v>
      </c>
      <c r="F645" s="5">
        <f>100*('Parameter &lt;x, y&gt;'!G645-B645)/B645</f>
        <v>8.2540953064407052</v>
      </c>
      <c r="G645" s="5">
        <f>100*('Parameter &lt;x, y&gt;'!L645-B645)/B645</f>
        <v>8.580247765464641</v>
      </c>
      <c r="H645" s="5">
        <f>100*('Parameter &lt;x, y&gt;'!Q645-B645)/B645</f>
        <v>4.4324993214740802</v>
      </c>
      <c r="J645" s="5">
        <f>100*('Parameter &lt;x, y&gt;'!D645-C645)/C645</f>
        <v>12.507639424685642</v>
      </c>
      <c r="K645" s="5">
        <f>100*('Parameter &lt;x, y&gt;'!I645-C645)/C645</f>
        <v>3.9680761923724663</v>
      </c>
      <c r="L645" s="5">
        <f>100*('Parameter &lt;x, y&gt;'!N645-C645)/C645</f>
        <v>0</v>
      </c>
      <c r="M645" s="5">
        <f>100*('Parameter &lt;x, y&gt;'!S645-C645)/C645</f>
        <v>6.9690910951270837</v>
      </c>
    </row>
    <row r="646" spans="1:13" ht="12.75" customHeight="1">
      <c r="A646" s="40"/>
      <c r="B646" s="5">
        <f>MIN('Parameter &lt;x, y&gt;'!B646,'Parameter &lt;x, y&gt;'!G646,'Parameter &lt;x, y&gt;'!L646,'Parameter &lt;x, y&gt;'!Q646)</f>
        <v>574845</v>
      </c>
      <c r="C646" s="5">
        <f>MIN('Parameter &lt;x, y&gt;'!D646,'Parameter &lt;x, y&gt;'!I646,'Parameter &lt;x, y&gt;'!N646,'Parameter &lt;x, y&gt;'!S646)</f>
        <v>452604</v>
      </c>
      <c r="E646" s="5">
        <f>100*('Parameter &lt;x, y&gt;'!B646-B646)/B646</f>
        <v>1.1723160156216024</v>
      </c>
      <c r="F646" s="5">
        <f>100*('Parameter &lt;x, y&gt;'!G646-B646)/B646</f>
        <v>0</v>
      </c>
      <c r="G646" s="5">
        <f>100*('Parameter &lt;x, y&gt;'!L646-B646)/B646</f>
        <v>0.90528751228592053</v>
      </c>
      <c r="H646" s="5">
        <f>100*('Parameter &lt;x, y&gt;'!Q646-B646)/B646</f>
        <v>2.0683836512451181</v>
      </c>
      <c r="J646" s="5">
        <f>100*('Parameter &lt;x, y&gt;'!D646-C646)/C646</f>
        <v>16.365520410778519</v>
      </c>
      <c r="K646" s="5">
        <f>100*('Parameter &lt;x, y&gt;'!I646-C646)/C646</f>
        <v>11.437371300297832</v>
      </c>
      <c r="L646" s="5">
        <f>100*('Parameter &lt;x, y&gt;'!N646-C646)/C646</f>
        <v>0</v>
      </c>
      <c r="M646" s="5">
        <f>100*('Parameter &lt;x, y&gt;'!S646-C646)/C646</f>
        <v>7.3600763581408915</v>
      </c>
    </row>
    <row r="647" spans="1:13" ht="12.75" customHeight="1">
      <c r="A647" s="40"/>
      <c r="B647" s="5">
        <f>MIN('Parameter &lt;x, y&gt;'!B647,'Parameter &lt;x, y&gt;'!G647,'Parameter &lt;x, y&gt;'!L647,'Parameter &lt;x, y&gt;'!Q647)</f>
        <v>557574</v>
      </c>
      <c r="C647" s="5">
        <f>MIN('Parameter &lt;x, y&gt;'!D647,'Parameter &lt;x, y&gt;'!I647,'Parameter &lt;x, y&gt;'!N647,'Parameter &lt;x, y&gt;'!S647)</f>
        <v>413784</v>
      </c>
      <c r="E647" s="5">
        <f>100*('Parameter &lt;x, y&gt;'!B647-B647)/B647</f>
        <v>2.541725403264858</v>
      </c>
      <c r="F647" s="5">
        <f>100*('Parameter &lt;x, y&gt;'!G647-B647)/B647</f>
        <v>10.220168085312443</v>
      </c>
      <c r="G647" s="5">
        <f>100*('Parameter &lt;x, y&gt;'!L647-B647)/B647</f>
        <v>2.1224088641148979</v>
      </c>
      <c r="H647" s="5">
        <f>100*('Parameter &lt;x, y&gt;'!Q647-B647)/B647</f>
        <v>0</v>
      </c>
      <c r="J647" s="5">
        <f>100*('Parameter &lt;x, y&gt;'!D647-C647)/C647</f>
        <v>4.0216634765964852</v>
      </c>
      <c r="K647" s="5">
        <f>100*('Parameter &lt;x, y&gt;'!I647-C647)/C647</f>
        <v>12.869033118728613</v>
      </c>
      <c r="L647" s="5">
        <f>100*('Parameter &lt;x, y&gt;'!N647-C647)/C647</f>
        <v>0</v>
      </c>
      <c r="M647" s="5">
        <f>100*('Parameter &lt;x, y&gt;'!S647-C647)/C647</f>
        <v>8.7939601337896107</v>
      </c>
    </row>
    <row r="648" spans="1:13" ht="12.75" customHeight="1">
      <c r="A648" s="40"/>
      <c r="B648" s="5">
        <f>MIN('Parameter &lt;x, y&gt;'!B648,'Parameter &lt;x, y&gt;'!G648,'Parameter &lt;x, y&gt;'!L648,'Parameter &lt;x, y&gt;'!Q648)</f>
        <v>555195</v>
      </c>
      <c r="C648" s="5">
        <f>MIN('Parameter &lt;x, y&gt;'!D648,'Parameter &lt;x, y&gt;'!I648,'Parameter &lt;x, y&gt;'!N648,'Parameter &lt;x, y&gt;'!S648)</f>
        <v>403068</v>
      </c>
      <c r="E648" s="5">
        <f>100*('Parameter &lt;x, y&gt;'!B648-B648)/B648</f>
        <v>2.9281603760840786</v>
      </c>
      <c r="F648" s="5">
        <f>100*('Parameter &lt;x, y&gt;'!G648-B648)/B648</f>
        <v>0</v>
      </c>
      <c r="G648" s="5">
        <f>100*('Parameter &lt;x, y&gt;'!L648-B648)/B648</f>
        <v>8.9289348787362997</v>
      </c>
      <c r="H648" s="5">
        <f>100*('Parameter &lt;x, y&gt;'!Q648-B648)/B648</f>
        <v>21.393024072623131</v>
      </c>
      <c r="J648" s="5">
        <f>100*('Parameter &lt;x, y&gt;'!D648-C648)/C648</f>
        <v>25.834598628519256</v>
      </c>
      <c r="K648" s="5">
        <f>100*('Parameter &lt;x, y&gt;'!I648-C648)/C648</f>
        <v>19.512588446614465</v>
      </c>
      <c r="L648" s="5">
        <f>100*('Parameter &lt;x, y&gt;'!N648-C648)/C648</f>
        <v>0</v>
      </c>
      <c r="M648" s="5">
        <f>100*('Parameter &lt;x, y&gt;'!S648-C648)/C648</f>
        <v>18.39590342076275</v>
      </c>
    </row>
    <row r="649" spans="1:13" ht="12.75" customHeight="1">
      <c r="A649" s="40"/>
      <c r="B649" s="5">
        <f>MIN('Parameter &lt;x, y&gt;'!B649,'Parameter &lt;x, y&gt;'!G649,'Parameter &lt;x, y&gt;'!L649,'Parameter &lt;x, y&gt;'!Q649)</f>
        <v>437098</v>
      </c>
      <c r="C649" s="5">
        <f>MIN('Parameter &lt;x, y&gt;'!D649,'Parameter &lt;x, y&gt;'!I649,'Parameter &lt;x, y&gt;'!N649,'Parameter &lt;x, y&gt;'!S649)</f>
        <v>319404</v>
      </c>
      <c r="E649" s="5">
        <f>100*('Parameter &lt;x, y&gt;'!B649-B649)/B649</f>
        <v>5.5136376739312466E-2</v>
      </c>
      <c r="F649" s="5">
        <f>100*('Parameter &lt;x, y&gt;'!G649-B649)/B649</f>
        <v>1.8313970780008144</v>
      </c>
      <c r="G649" s="5">
        <f>100*('Parameter &lt;x, y&gt;'!L649-B649)/B649</f>
        <v>0</v>
      </c>
      <c r="H649" s="5">
        <f>100*('Parameter &lt;x, y&gt;'!Q649-B649)/B649</f>
        <v>11.350315032326847</v>
      </c>
      <c r="J649" s="5">
        <f>100*('Parameter &lt;x, y&gt;'!D649-C649)/C649</f>
        <v>30.01308687430339</v>
      </c>
      <c r="K649" s="5">
        <f>100*('Parameter &lt;x, y&gt;'!I649-C649)/C649</f>
        <v>17.266847002542235</v>
      </c>
      <c r="L649" s="5">
        <f>100*('Parameter &lt;x, y&gt;'!N649-C649)/C649</f>
        <v>0</v>
      </c>
      <c r="M649" s="5">
        <f>100*('Parameter &lt;x, y&gt;'!S649-C649)/C649</f>
        <v>14.424052297403914</v>
      </c>
    </row>
    <row r="650" spans="1:13" ht="12.75" customHeight="1">
      <c r="A650" s="40"/>
      <c r="B650" s="5">
        <f>MIN('Parameter &lt;x, y&gt;'!B650,'Parameter &lt;x, y&gt;'!G650,'Parameter &lt;x, y&gt;'!L650,'Parameter &lt;x, y&gt;'!Q650)</f>
        <v>419139</v>
      </c>
      <c r="C650" s="5">
        <f>MIN('Parameter &lt;x, y&gt;'!D650,'Parameter &lt;x, y&gt;'!I650,'Parameter &lt;x, y&gt;'!N650,'Parameter &lt;x, y&gt;'!S650)</f>
        <v>331248</v>
      </c>
      <c r="E650" s="5">
        <f>100*('Parameter &lt;x, y&gt;'!B650-B650)/B650</f>
        <v>4.2353491323880625</v>
      </c>
      <c r="F650" s="5">
        <f>100*('Parameter &lt;x, y&gt;'!G650-B650)/B650</f>
        <v>17.938679053965391</v>
      </c>
      <c r="G650" s="5">
        <f>100*('Parameter &lt;x, y&gt;'!L650-B650)/B650</f>
        <v>0.38746096163802463</v>
      </c>
      <c r="H650" s="5">
        <f>100*('Parameter &lt;x, y&gt;'!Q650-B650)/B650</f>
        <v>0</v>
      </c>
      <c r="J650" s="5">
        <f>100*('Parameter &lt;x, y&gt;'!D650-C650)/C650</f>
        <v>3.3491522967685841</v>
      </c>
      <c r="K650" s="5">
        <f>100*('Parameter &lt;x, y&gt;'!I650-C650)/C650</f>
        <v>13.275853741003719</v>
      </c>
      <c r="L650" s="5">
        <f>100*('Parameter &lt;x, y&gt;'!N650-C650)/C650</f>
        <v>0</v>
      </c>
      <c r="M650" s="5">
        <f>100*('Parameter &lt;x, y&gt;'!S650-C650)/C650</f>
        <v>0.82294836497126023</v>
      </c>
    </row>
    <row r="651" spans="1:13" ht="12.75" customHeight="1">
      <c r="A651" s="40"/>
      <c r="B651" s="5">
        <f>MIN('Parameter &lt;x, y&gt;'!B651,'Parameter &lt;x, y&gt;'!G651,'Parameter &lt;x, y&gt;'!L651,'Parameter &lt;x, y&gt;'!Q651)</f>
        <v>399361</v>
      </c>
      <c r="C651" s="5">
        <f>MIN('Parameter &lt;x, y&gt;'!D651,'Parameter &lt;x, y&gt;'!I651,'Parameter &lt;x, y&gt;'!N651,'Parameter &lt;x, y&gt;'!S651)</f>
        <v>319870</v>
      </c>
      <c r="E651" s="5">
        <f>100*('Parameter &lt;x, y&gt;'!B651-B651)/B651</f>
        <v>0</v>
      </c>
      <c r="F651" s="5">
        <f>100*('Parameter &lt;x, y&gt;'!G651-B651)/B651</f>
        <v>6.5662395677094159</v>
      </c>
      <c r="G651" s="5">
        <f>100*('Parameter &lt;x, y&gt;'!L651-B651)/B651</f>
        <v>1.2049248674757926</v>
      </c>
      <c r="H651" s="5">
        <f>100*('Parameter &lt;x, y&gt;'!Q651-B651)/B651</f>
        <v>1.1435768640403043</v>
      </c>
      <c r="J651" s="5">
        <f>100*('Parameter &lt;x, y&gt;'!D651-C651)/C651</f>
        <v>12.712351892956514</v>
      </c>
      <c r="K651" s="5">
        <f>100*('Parameter &lt;x, y&gt;'!I651-C651)/C651</f>
        <v>16.494826023071873</v>
      </c>
      <c r="L651" s="5">
        <f>100*('Parameter &lt;x, y&gt;'!N651-C651)/C651</f>
        <v>0</v>
      </c>
      <c r="M651" s="5">
        <f>100*('Parameter &lt;x, y&gt;'!S651-C651)/C651</f>
        <v>8.8920498952699543</v>
      </c>
    </row>
    <row r="652" spans="1:13" ht="12.75" customHeight="1">
      <c r="A652" s="40"/>
      <c r="B652" s="5">
        <f>MIN('Parameter &lt;x, y&gt;'!B652,'Parameter &lt;x, y&gt;'!G652,'Parameter &lt;x, y&gt;'!L652,'Parameter &lt;x, y&gt;'!Q652)</f>
        <v>453921</v>
      </c>
      <c r="C652" s="5">
        <f>MIN('Parameter &lt;x, y&gt;'!D652,'Parameter &lt;x, y&gt;'!I652,'Parameter &lt;x, y&gt;'!N652,'Parameter &lt;x, y&gt;'!S652)</f>
        <v>373468</v>
      </c>
      <c r="E652" s="5">
        <f>100*('Parameter &lt;x, y&gt;'!B652-B652)/B652</f>
        <v>0</v>
      </c>
      <c r="F652" s="5">
        <f>100*('Parameter &lt;x, y&gt;'!G652-B652)/B652</f>
        <v>0.42760744711084087</v>
      </c>
      <c r="G652" s="5">
        <f>100*('Parameter &lt;x, y&gt;'!L652-B652)/B652</f>
        <v>0.3185576344782462</v>
      </c>
      <c r="H652" s="5">
        <f>100*('Parameter &lt;x, y&gt;'!Q652-B652)/B652</f>
        <v>0.43531803992324658</v>
      </c>
      <c r="J652" s="5">
        <f>100*('Parameter &lt;x, y&gt;'!D652-C652)/C652</f>
        <v>6.3411055297910393</v>
      </c>
      <c r="K652" s="5">
        <f>100*('Parameter &lt;x, y&gt;'!I652-C652)/C652</f>
        <v>0</v>
      </c>
      <c r="L652" s="5">
        <f>100*('Parameter &lt;x, y&gt;'!N652-C652)/C652</f>
        <v>0.13468356057279338</v>
      </c>
      <c r="M652" s="5">
        <f>100*('Parameter &lt;x, y&gt;'!S652-C652)/C652</f>
        <v>9.8693863999057481</v>
      </c>
    </row>
    <row r="653" spans="1:13" ht="12.75" customHeight="1">
      <c r="A653" s="40"/>
      <c r="B653" s="5">
        <f>MIN('Parameter &lt;x, y&gt;'!B653,'Parameter &lt;x, y&gt;'!G653,'Parameter &lt;x, y&gt;'!L653,'Parameter &lt;x, y&gt;'!Q653)</f>
        <v>439263</v>
      </c>
      <c r="C653" s="5">
        <f>MIN('Parameter &lt;x, y&gt;'!D653,'Parameter &lt;x, y&gt;'!I653,'Parameter &lt;x, y&gt;'!N653,'Parameter &lt;x, y&gt;'!S653)</f>
        <v>416192</v>
      </c>
      <c r="E653" s="5">
        <f>100*('Parameter &lt;x, y&gt;'!B653-B653)/B653</f>
        <v>0</v>
      </c>
      <c r="F653" s="5">
        <f>100*('Parameter &lt;x, y&gt;'!G653-B653)/B653</f>
        <v>3.9240728219768113</v>
      </c>
      <c r="G653" s="5">
        <f>100*('Parameter &lt;x, y&gt;'!L653-B653)/B653</f>
        <v>5.3528296259871651</v>
      </c>
      <c r="H653" s="5">
        <f>100*('Parameter &lt;x, y&gt;'!Q653-B653)/B653</f>
        <v>9.8321506705549986</v>
      </c>
      <c r="J653" s="5">
        <f>100*('Parameter &lt;x, y&gt;'!D653-C653)/C653</f>
        <v>22.795728894356451</v>
      </c>
      <c r="K653" s="5">
        <f>100*('Parameter &lt;x, y&gt;'!I653-C653)/C653</f>
        <v>0</v>
      </c>
      <c r="L653" s="5">
        <f>100*('Parameter &lt;x, y&gt;'!N653-C653)/C653</f>
        <v>7.2341611563893586</v>
      </c>
      <c r="M653" s="5">
        <f>100*('Parameter &lt;x, y&gt;'!S653-C653)/C653</f>
        <v>5.4926572351222509</v>
      </c>
    </row>
    <row r="654" spans="1:13" ht="12.75" customHeight="1">
      <c r="A654" s="40"/>
      <c r="B654" s="5">
        <f>MIN('Parameter &lt;x, y&gt;'!B654,'Parameter &lt;x, y&gt;'!G654,'Parameter &lt;x, y&gt;'!L654,'Parameter &lt;x, y&gt;'!Q654)</f>
        <v>455104</v>
      </c>
      <c r="C654" s="5">
        <f>MIN('Parameter &lt;x, y&gt;'!D654,'Parameter &lt;x, y&gt;'!I654,'Parameter &lt;x, y&gt;'!N654,'Parameter &lt;x, y&gt;'!S654)</f>
        <v>375951</v>
      </c>
      <c r="E654" s="5">
        <f>100*('Parameter &lt;x, y&gt;'!B654-B654)/B654</f>
        <v>3.027000421881592</v>
      </c>
      <c r="F654" s="5">
        <f>100*('Parameter &lt;x, y&gt;'!G654-B654)/B654</f>
        <v>2.2287213472085501</v>
      </c>
      <c r="G654" s="5">
        <f>100*('Parameter &lt;x, y&gt;'!L654-B654)/B654</f>
        <v>0</v>
      </c>
      <c r="H654" s="5">
        <f>100*('Parameter &lt;x, y&gt;'!Q654-B654)/B654</f>
        <v>4.8340599071860495E-2</v>
      </c>
      <c r="J654" s="5">
        <f>100*('Parameter &lt;x, y&gt;'!D654-C654)/C654</f>
        <v>0</v>
      </c>
      <c r="K654" s="5">
        <f>100*('Parameter &lt;x, y&gt;'!I654-C654)/C654</f>
        <v>11.939055887602374</v>
      </c>
      <c r="L654" s="5">
        <f>100*('Parameter &lt;x, y&gt;'!N654-C654)/C654</f>
        <v>17.498822984910266</v>
      </c>
      <c r="M654" s="5">
        <f>100*('Parameter &lt;x, y&gt;'!S654-C654)/C654</f>
        <v>8.0946719120310888</v>
      </c>
    </row>
    <row r="655" spans="1:13" ht="12.75" customHeight="1">
      <c r="A655" s="40"/>
      <c r="B655" s="5">
        <f>MIN('Parameter &lt;x, y&gt;'!B655,'Parameter &lt;x, y&gt;'!G655,'Parameter &lt;x, y&gt;'!L655,'Parameter &lt;x, y&gt;'!Q655)</f>
        <v>474455</v>
      </c>
      <c r="C655" s="5">
        <f>MIN('Parameter &lt;x, y&gt;'!D655,'Parameter &lt;x, y&gt;'!I655,'Parameter &lt;x, y&gt;'!N655,'Parameter &lt;x, y&gt;'!S655)</f>
        <v>383588</v>
      </c>
      <c r="E655" s="5">
        <f>100*('Parameter &lt;x, y&gt;'!B655-B655)/B655</f>
        <v>2.6847646246746266</v>
      </c>
      <c r="F655" s="5">
        <f>100*('Parameter &lt;x, y&gt;'!G655-B655)/B655</f>
        <v>0</v>
      </c>
      <c r="G655" s="5">
        <f>100*('Parameter &lt;x, y&gt;'!L655-B655)/B655</f>
        <v>4.4537416614852834</v>
      </c>
      <c r="H655" s="5">
        <f>100*('Parameter &lt;x, y&gt;'!Q655-B655)/B655</f>
        <v>3.1349653813322655</v>
      </c>
      <c r="J655" s="5">
        <f>100*('Parameter &lt;x, y&gt;'!D655-C655)/C655</f>
        <v>9.7114612553051707</v>
      </c>
      <c r="K655" s="5">
        <f>100*('Parameter &lt;x, y&gt;'!I655-C655)/C655</f>
        <v>5.8953877597839348</v>
      </c>
      <c r="L655" s="5">
        <f>100*('Parameter &lt;x, y&gt;'!N655-C655)/C655</f>
        <v>0</v>
      </c>
      <c r="M655" s="5">
        <f>100*('Parameter &lt;x, y&gt;'!S655-C655)/C655</f>
        <v>8.8180547879495705</v>
      </c>
    </row>
    <row r="656" spans="1:13" ht="12.75" customHeight="1">
      <c r="A656" s="40"/>
      <c r="B656" s="5">
        <f>MIN('Parameter &lt;x, y&gt;'!B656,'Parameter &lt;x, y&gt;'!G656,'Parameter &lt;x, y&gt;'!L656,'Parameter &lt;x, y&gt;'!Q656)</f>
        <v>447532</v>
      </c>
      <c r="C656" s="5">
        <f>MIN('Parameter &lt;x, y&gt;'!D656,'Parameter &lt;x, y&gt;'!I656,'Parameter &lt;x, y&gt;'!N656,'Parameter &lt;x, y&gt;'!S656)</f>
        <v>404537</v>
      </c>
      <c r="E656" s="5">
        <f>100*('Parameter &lt;x, y&gt;'!B656-B656)/B656</f>
        <v>0</v>
      </c>
      <c r="F656" s="5">
        <f>100*('Parameter &lt;x, y&gt;'!G656-B656)/B656</f>
        <v>17.664435168881777</v>
      </c>
      <c r="G656" s="5">
        <f>100*('Parameter &lt;x, y&gt;'!L656-B656)/B656</f>
        <v>10.513214697496492</v>
      </c>
      <c r="H656" s="5">
        <f>100*('Parameter &lt;x, y&gt;'!Q656-B656)/B656</f>
        <v>5.6766890412305715</v>
      </c>
      <c r="J656" s="5">
        <f>100*('Parameter &lt;x, y&gt;'!D656-C656)/C656</f>
        <v>10.68109962747536</v>
      </c>
      <c r="K656" s="5">
        <f>100*('Parameter &lt;x, y&gt;'!I656-C656)/C656</f>
        <v>9.4567369610196348</v>
      </c>
      <c r="L656" s="5">
        <f>100*('Parameter &lt;x, y&gt;'!N656-C656)/C656</f>
        <v>1.9847381080098978</v>
      </c>
      <c r="M656" s="5">
        <f>100*('Parameter &lt;x, y&gt;'!S656-C656)/C656</f>
        <v>0</v>
      </c>
    </row>
    <row r="657" spans="1:13" ht="12.75" customHeight="1">
      <c r="A657" s="40"/>
      <c r="B657" s="5">
        <f>MIN('Parameter &lt;x, y&gt;'!B657,'Parameter &lt;x, y&gt;'!G657,'Parameter &lt;x, y&gt;'!L657,'Parameter &lt;x, y&gt;'!Q657)</f>
        <v>495850</v>
      </c>
      <c r="C657" s="5">
        <f>MIN('Parameter &lt;x, y&gt;'!D657,'Parameter &lt;x, y&gt;'!I657,'Parameter &lt;x, y&gt;'!N657,'Parameter &lt;x, y&gt;'!S657)</f>
        <v>422823</v>
      </c>
      <c r="E657" s="5">
        <f>100*('Parameter &lt;x, y&gt;'!B657-B657)/B657</f>
        <v>12.511243319552284</v>
      </c>
      <c r="F657" s="5">
        <f>100*('Parameter &lt;x, y&gt;'!G657-B657)/B657</f>
        <v>0</v>
      </c>
      <c r="G657" s="5">
        <f>100*('Parameter &lt;x, y&gt;'!L657-B657)/B657</f>
        <v>14.234950085711406</v>
      </c>
      <c r="H657" s="5">
        <f>100*('Parameter &lt;x, y&gt;'!Q657-B657)/B657</f>
        <v>8.1657759403045276</v>
      </c>
      <c r="J657" s="5">
        <f>100*('Parameter &lt;x, y&gt;'!D657-C657)/C657</f>
        <v>1.3648737178441097</v>
      </c>
      <c r="K657" s="5">
        <f>100*('Parameter &lt;x, y&gt;'!I657-C657)/C657</f>
        <v>14.340516007880366</v>
      </c>
      <c r="L657" s="5">
        <f>100*('Parameter &lt;x, y&gt;'!N657-C657)/C657</f>
        <v>4.0331297020266161</v>
      </c>
      <c r="M657" s="5">
        <f>100*('Parameter &lt;x, y&gt;'!S657-C657)/C657</f>
        <v>0</v>
      </c>
    </row>
    <row r="658" spans="1:13" ht="12.75" customHeight="1">
      <c r="A658" s="40"/>
      <c r="B658" s="5">
        <f>MIN('Parameter &lt;x, y&gt;'!B658,'Parameter &lt;x, y&gt;'!G658,'Parameter &lt;x, y&gt;'!L658,'Parameter &lt;x, y&gt;'!Q658)</f>
        <v>459194</v>
      </c>
      <c r="C658" s="5">
        <f>MIN('Parameter &lt;x, y&gt;'!D658,'Parameter &lt;x, y&gt;'!I658,'Parameter &lt;x, y&gt;'!N658,'Parameter &lt;x, y&gt;'!S658)</f>
        <v>375382</v>
      </c>
      <c r="E658" s="5">
        <f>100*('Parameter &lt;x, y&gt;'!B658-B658)/B658</f>
        <v>1.2016707535377205</v>
      </c>
      <c r="F658" s="5">
        <f>100*('Parameter &lt;x, y&gt;'!G658-B658)/B658</f>
        <v>0</v>
      </c>
      <c r="G658" s="5">
        <f>100*('Parameter &lt;x, y&gt;'!L658-B658)/B658</f>
        <v>25.388615704909036</v>
      </c>
      <c r="H658" s="5">
        <f>100*('Parameter &lt;x, y&gt;'!Q658-B658)/B658</f>
        <v>3.0908504902067535</v>
      </c>
      <c r="J658" s="5">
        <f>100*('Parameter &lt;x, y&gt;'!D658-C658)/C658</f>
        <v>4.2442098981837164</v>
      </c>
      <c r="K658" s="5">
        <f>100*('Parameter &lt;x, y&gt;'!I658-C658)/C658</f>
        <v>4.2937594237336896</v>
      </c>
      <c r="L658" s="5">
        <f>100*('Parameter &lt;x, y&gt;'!N658-C658)/C658</f>
        <v>0</v>
      </c>
      <c r="M658" s="5">
        <f>100*('Parameter &lt;x, y&gt;'!S658-C658)/C658</f>
        <v>6.9379991581908564</v>
      </c>
    </row>
    <row r="659" spans="1:13" ht="12.75" customHeight="1">
      <c r="A659" s="40"/>
      <c r="B659" s="5">
        <f>MIN('Parameter &lt;x, y&gt;'!B659,'Parameter &lt;x, y&gt;'!G659,'Parameter &lt;x, y&gt;'!L659,'Parameter &lt;x, y&gt;'!Q659)</f>
        <v>512262</v>
      </c>
      <c r="C659" s="5">
        <f>MIN('Parameter &lt;x, y&gt;'!D659,'Parameter &lt;x, y&gt;'!I659,'Parameter &lt;x, y&gt;'!N659,'Parameter &lt;x, y&gt;'!S659)</f>
        <v>420586</v>
      </c>
      <c r="E659" s="5">
        <f>100*('Parameter &lt;x, y&gt;'!B659-B659)/B659</f>
        <v>0.63463618226610596</v>
      </c>
      <c r="F659" s="5">
        <f>100*('Parameter &lt;x, y&gt;'!G659-B659)/B659</f>
        <v>12.216404886561955</v>
      </c>
      <c r="G659" s="5">
        <f>100*('Parameter &lt;x, y&gt;'!L659-B659)/B659</f>
        <v>0</v>
      </c>
      <c r="H659" s="5">
        <f>100*('Parameter &lt;x, y&gt;'!Q659-B659)/B659</f>
        <v>6.2468033935759434E-2</v>
      </c>
      <c r="J659" s="5">
        <f>100*('Parameter &lt;x, y&gt;'!D659-C659)/C659</f>
        <v>4.1408891403898371</v>
      </c>
      <c r="K659" s="5">
        <f>100*('Parameter &lt;x, y&gt;'!I659-C659)/C659</f>
        <v>6.9505404364386836</v>
      </c>
      <c r="L659" s="5">
        <f>100*('Parameter &lt;x, y&gt;'!N659-C659)/C659</f>
        <v>0</v>
      </c>
      <c r="M659" s="5">
        <f>100*('Parameter &lt;x, y&gt;'!S659-C659)/C659</f>
        <v>16.254226246237394</v>
      </c>
    </row>
    <row r="660" spans="1:13" ht="12.75" customHeight="1">
      <c r="A660" s="40"/>
      <c r="B660" s="5">
        <f>MIN('Parameter &lt;x, y&gt;'!B660,'Parameter &lt;x, y&gt;'!G660,'Parameter &lt;x, y&gt;'!L660,'Parameter &lt;x, y&gt;'!Q660)</f>
        <v>414582</v>
      </c>
      <c r="C660" s="5">
        <f>MIN('Parameter &lt;x, y&gt;'!D660,'Parameter &lt;x, y&gt;'!I660,'Parameter &lt;x, y&gt;'!N660,'Parameter &lt;x, y&gt;'!S660)</f>
        <v>352165</v>
      </c>
      <c r="E660" s="5">
        <f>100*('Parameter &lt;x, y&gt;'!B660-B660)/B660</f>
        <v>3.7741628917801546</v>
      </c>
      <c r="F660" s="5">
        <f>100*('Parameter &lt;x, y&gt;'!G660-B660)/B660</f>
        <v>7.4139735926788912</v>
      </c>
      <c r="G660" s="5">
        <f>100*('Parameter &lt;x, y&gt;'!L660-B660)/B660</f>
        <v>0</v>
      </c>
      <c r="H660" s="5">
        <f>100*('Parameter &lt;x, y&gt;'!Q660-B660)/B660</f>
        <v>7.9443873588337173</v>
      </c>
      <c r="J660" s="5">
        <f>100*('Parameter &lt;x, y&gt;'!D660-C660)/C660</f>
        <v>1.1213493674839918</v>
      </c>
      <c r="K660" s="5">
        <f>100*('Parameter &lt;x, y&gt;'!I660-C660)/C660</f>
        <v>7.6978121051211792</v>
      </c>
      <c r="L660" s="5">
        <f>100*('Parameter &lt;x, y&gt;'!N660-C660)/C660</f>
        <v>2.869677565913705</v>
      </c>
      <c r="M660" s="5">
        <f>100*('Parameter &lt;x, y&gt;'!S660-C660)/C660</f>
        <v>0</v>
      </c>
    </row>
    <row r="661" spans="1:13" ht="12.75" customHeight="1">
      <c r="A661" s="40"/>
      <c r="B661" s="5">
        <f>MIN('Parameter &lt;x, y&gt;'!B661,'Parameter &lt;x, y&gt;'!G661,'Parameter &lt;x, y&gt;'!L661,'Parameter &lt;x, y&gt;'!Q661)</f>
        <v>483624</v>
      </c>
      <c r="C661" s="5">
        <f>MIN('Parameter &lt;x, y&gt;'!D661,'Parameter &lt;x, y&gt;'!I661,'Parameter &lt;x, y&gt;'!N661,'Parameter &lt;x, y&gt;'!S661)</f>
        <v>362386</v>
      </c>
      <c r="E661" s="5">
        <f>100*('Parameter &lt;x, y&gt;'!B661-B661)/B661</f>
        <v>22.4802739318148</v>
      </c>
      <c r="F661" s="5">
        <f>100*('Parameter &lt;x, y&gt;'!G661-B661)/B661</f>
        <v>12.395373265181215</v>
      </c>
      <c r="G661" s="5">
        <f>100*('Parameter &lt;x, y&gt;'!L661-B661)/B661</f>
        <v>0</v>
      </c>
      <c r="H661" s="5">
        <f>100*('Parameter &lt;x, y&gt;'!Q661-B661)/B661</f>
        <v>8.0922369444030906</v>
      </c>
      <c r="J661" s="5">
        <f>100*('Parameter &lt;x, y&gt;'!D661-C661)/C661</f>
        <v>21.084147842355939</v>
      </c>
      <c r="K661" s="5">
        <f>100*('Parameter &lt;x, y&gt;'!I661-C661)/C661</f>
        <v>10.880111262576369</v>
      </c>
      <c r="L661" s="5">
        <f>100*('Parameter &lt;x, y&gt;'!N661-C661)/C661</f>
        <v>0</v>
      </c>
      <c r="M661" s="5">
        <f>100*('Parameter &lt;x, y&gt;'!S661-C661)/C661</f>
        <v>38.207601838923139</v>
      </c>
    </row>
    <row r="662" spans="1:13" ht="12.75" customHeight="1">
      <c r="A662" s="40"/>
      <c r="B662" s="5">
        <f>MIN('Parameter &lt;x, y&gt;'!B662,'Parameter &lt;x, y&gt;'!G662,'Parameter &lt;x, y&gt;'!L662,'Parameter &lt;x, y&gt;'!Q662)</f>
        <v>403354</v>
      </c>
      <c r="C662" s="5">
        <f>MIN('Parameter &lt;x, y&gt;'!D662,'Parameter &lt;x, y&gt;'!I662,'Parameter &lt;x, y&gt;'!N662,'Parameter &lt;x, y&gt;'!S662)</f>
        <v>279750</v>
      </c>
      <c r="E662" s="5">
        <f>100*('Parameter &lt;x, y&gt;'!B662-B662)/B662</f>
        <v>4.6113339647059409E-2</v>
      </c>
      <c r="F662" s="5">
        <f>100*('Parameter &lt;x, y&gt;'!G662-B662)/B662</f>
        <v>2.3753328341853557</v>
      </c>
      <c r="G662" s="5">
        <f>100*('Parameter &lt;x, y&gt;'!L662-B662)/B662</f>
        <v>1.0139976298735107</v>
      </c>
      <c r="H662" s="5">
        <f>100*('Parameter &lt;x, y&gt;'!Q662-B662)/B662</f>
        <v>0</v>
      </c>
      <c r="J662" s="5">
        <f>100*('Parameter &lt;x, y&gt;'!D662-C662)/C662</f>
        <v>13.821626452189454</v>
      </c>
      <c r="K662" s="5">
        <f>100*('Parameter &lt;x, y&gt;'!I662-C662)/C662</f>
        <v>20.401072386058981</v>
      </c>
      <c r="L662" s="5">
        <f>100*('Parameter &lt;x, y&gt;'!N662-C662)/C662</f>
        <v>0</v>
      </c>
      <c r="M662" s="5">
        <f>100*('Parameter &lt;x, y&gt;'!S662-C662)/C662</f>
        <v>20.939767649687219</v>
      </c>
    </row>
    <row r="663" spans="1:13" ht="12.75" customHeight="1">
      <c r="A663" s="40"/>
      <c r="B663" s="5">
        <f>MIN('Parameter &lt;x, y&gt;'!B663,'Parameter &lt;x, y&gt;'!G663,'Parameter &lt;x, y&gt;'!L663,'Parameter &lt;x, y&gt;'!Q663)</f>
        <v>440395</v>
      </c>
      <c r="C663" s="5">
        <f>MIN('Parameter &lt;x, y&gt;'!D663,'Parameter &lt;x, y&gt;'!I663,'Parameter &lt;x, y&gt;'!N663,'Parameter &lt;x, y&gt;'!S663)</f>
        <v>367602</v>
      </c>
      <c r="E663" s="5">
        <f>100*('Parameter &lt;x, y&gt;'!B663-B663)/B663</f>
        <v>16.440241147151987</v>
      </c>
      <c r="F663" s="5">
        <f>100*('Parameter &lt;x, y&gt;'!G663-B663)/B663</f>
        <v>3.1662484814768561</v>
      </c>
      <c r="G663" s="5">
        <f>100*('Parameter &lt;x, y&gt;'!L663-B663)/B663</f>
        <v>3.5361436891881151</v>
      </c>
      <c r="H663" s="5">
        <f>100*('Parameter &lt;x, y&gt;'!Q663-B663)/B663</f>
        <v>0</v>
      </c>
      <c r="J663" s="5">
        <f>100*('Parameter &lt;x, y&gt;'!D663-C663)/C663</f>
        <v>0</v>
      </c>
      <c r="K663" s="5">
        <f>100*('Parameter &lt;x, y&gt;'!I663-C663)/C663</f>
        <v>11.76462587254694</v>
      </c>
      <c r="L663" s="5">
        <f>100*('Parameter &lt;x, y&gt;'!N663-C663)/C663</f>
        <v>1.6749092768809746</v>
      </c>
      <c r="M663" s="5">
        <f>100*('Parameter &lt;x, y&gt;'!S663-C663)/C663</f>
        <v>6.2594871627466659</v>
      </c>
    </row>
    <row r="664" spans="1:13" ht="12.75" customHeight="1">
      <c r="A664" s="40"/>
      <c r="B664" s="5">
        <f>MIN('Parameter &lt;x, y&gt;'!B664,'Parameter &lt;x, y&gt;'!G664,'Parameter &lt;x, y&gt;'!L664,'Parameter &lt;x, y&gt;'!Q664)</f>
        <v>535496</v>
      </c>
      <c r="C664" s="5">
        <f>MIN('Parameter &lt;x, y&gt;'!D664,'Parameter &lt;x, y&gt;'!I664,'Parameter &lt;x, y&gt;'!N664,'Parameter &lt;x, y&gt;'!S664)</f>
        <v>451708</v>
      </c>
      <c r="E664" s="5">
        <f>100*('Parameter &lt;x, y&gt;'!B664-B664)/B664</f>
        <v>4.3499858075503832</v>
      </c>
      <c r="F664" s="5">
        <f>100*('Parameter &lt;x, y&gt;'!G664-B664)/B664</f>
        <v>1.6125237163302808</v>
      </c>
      <c r="G664" s="5">
        <f>100*('Parameter &lt;x, y&gt;'!L664-B664)/B664</f>
        <v>0</v>
      </c>
      <c r="H664" s="5">
        <f>100*('Parameter &lt;x, y&gt;'!Q664-B664)/B664</f>
        <v>6.3488802904223371</v>
      </c>
      <c r="J664" s="5">
        <f>100*('Parameter &lt;x, y&gt;'!D664-C664)/C664</f>
        <v>6.3498986070647412</v>
      </c>
      <c r="K664" s="5">
        <f>100*('Parameter &lt;x, y&gt;'!I664-C664)/C664</f>
        <v>8.3695661799215415</v>
      </c>
      <c r="L664" s="5">
        <f>100*('Parameter &lt;x, y&gt;'!N664-C664)/C664</f>
        <v>0</v>
      </c>
      <c r="M664" s="5">
        <f>100*('Parameter &lt;x, y&gt;'!S664-C664)/C664</f>
        <v>16.172394555774968</v>
      </c>
    </row>
    <row r="665" spans="1:13" ht="12.75" customHeight="1">
      <c r="A665" s="40"/>
      <c r="B665" s="5">
        <f>MIN('Parameter &lt;x, y&gt;'!B665,'Parameter &lt;x, y&gt;'!G665,'Parameter &lt;x, y&gt;'!L665,'Parameter &lt;x, y&gt;'!Q665)</f>
        <v>476520</v>
      </c>
      <c r="C665" s="5">
        <f>MIN('Parameter &lt;x, y&gt;'!D665,'Parameter &lt;x, y&gt;'!I665,'Parameter &lt;x, y&gt;'!N665,'Parameter &lt;x, y&gt;'!S665)</f>
        <v>388518</v>
      </c>
      <c r="E665" s="5">
        <f>100*('Parameter &lt;x, y&gt;'!B665-B665)/B665</f>
        <v>0</v>
      </c>
      <c r="F665" s="5">
        <f>100*('Parameter &lt;x, y&gt;'!G665-B665)/B665</f>
        <v>8.383488625870898</v>
      </c>
      <c r="G665" s="5">
        <f>100*('Parameter &lt;x, y&gt;'!L665-B665)/B665</f>
        <v>13.953664064467388</v>
      </c>
      <c r="H665" s="5">
        <f>100*('Parameter &lt;x, y&gt;'!Q665-B665)/B665</f>
        <v>4.9725090237555616</v>
      </c>
      <c r="J665" s="5">
        <f>100*('Parameter &lt;x, y&gt;'!D665-C665)/C665</f>
        <v>7.2686464977169658</v>
      </c>
      <c r="K665" s="5">
        <f>100*('Parameter &lt;x, y&gt;'!I665-C665)/C665</f>
        <v>13.635919056517331</v>
      </c>
      <c r="L665" s="5">
        <f>100*('Parameter &lt;x, y&gt;'!N665-C665)/C665</f>
        <v>0</v>
      </c>
      <c r="M665" s="5">
        <f>100*('Parameter &lt;x, y&gt;'!S665-C665)/C665</f>
        <v>6.6931261872036814</v>
      </c>
    </row>
    <row r="666" spans="1:13" ht="12.75" customHeight="1">
      <c r="A666" s="40"/>
      <c r="B666" s="5">
        <f>MIN('Parameter &lt;x, y&gt;'!B666,'Parameter &lt;x, y&gt;'!G666,'Parameter &lt;x, y&gt;'!L666,'Parameter &lt;x, y&gt;'!Q666)</f>
        <v>482208</v>
      </c>
      <c r="C666" s="5">
        <f>MIN('Parameter &lt;x, y&gt;'!D666,'Parameter &lt;x, y&gt;'!I666,'Parameter &lt;x, y&gt;'!N666,'Parameter &lt;x, y&gt;'!S666)</f>
        <v>391320</v>
      </c>
      <c r="E666" s="5">
        <f>100*('Parameter &lt;x, y&gt;'!B666-B666)/B666</f>
        <v>3.3141300019908422</v>
      </c>
      <c r="F666" s="5">
        <f>100*('Parameter &lt;x, y&gt;'!G666-B666)/B666</f>
        <v>1.5628110690822217</v>
      </c>
      <c r="G666" s="5">
        <f>100*('Parameter &lt;x, y&gt;'!L666-B666)/B666</f>
        <v>0</v>
      </c>
      <c r="H666" s="5">
        <f>100*('Parameter &lt;x, y&gt;'!Q666-B666)/B666</f>
        <v>6.7072715508660163</v>
      </c>
      <c r="J666" s="5">
        <f>100*('Parameter &lt;x, y&gt;'!D666-C666)/C666</f>
        <v>6.9487887151180621</v>
      </c>
      <c r="K666" s="5">
        <f>100*('Parameter &lt;x, y&gt;'!I666-C666)/C666</f>
        <v>9.812174179699479</v>
      </c>
      <c r="L666" s="5">
        <f>100*('Parameter &lt;x, y&gt;'!N666-C666)/C666</f>
        <v>0</v>
      </c>
      <c r="M666" s="5">
        <f>100*('Parameter &lt;x, y&gt;'!S666-C666)/C666</f>
        <v>4.4339670857610143</v>
      </c>
    </row>
    <row r="667" spans="1:13" ht="12.75" customHeight="1">
      <c r="A667" s="40"/>
      <c r="B667" s="5">
        <f>MIN('Parameter &lt;x, y&gt;'!B667,'Parameter &lt;x, y&gt;'!G667,'Parameter &lt;x, y&gt;'!L667,'Parameter &lt;x, y&gt;'!Q667)</f>
        <v>466977</v>
      </c>
      <c r="C667" s="5">
        <f>MIN('Parameter &lt;x, y&gt;'!D667,'Parameter &lt;x, y&gt;'!I667,'Parameter &lt;x, y&gt;'!N667,'Parameter &lt;x, y&gt;'!S667)</f>
        <v>354606</v>
      </c>
      <c r="E667" s="5">
        <f>100*('Parameter &lt;x, y&gt;'!B667-B667)/B667</f>
        <v>3.0523987262755981</v>
      </c>
      <c r="F667" s="5">
        <f>100*('Parameter &lt;x, y&gt;'!G667-B667)/B667</f>
        <v>5.2540060859528417</v>
      </c>
      <c r="G667" s="5">
        <f>100*('Parameter &lt;x, y&gt;'!L667-B667)/B667</f>
        <v>3.5155907036106702</v>
      </c>
      <c r="H667" s="5">
        <f>100*('Parameter &lt;x, y&gt;'!Q667-B667)/B667</f>
        <v>0</v>
      </c>
      <c r="J667" s="5">
        <f>100*('Parameter &lt;x, y&gt;'!D667-C667)/C667</f>
        <v>17.408616887475112</v>
      </c>
      <c r="K667" s="5">
        <f>100*('Parameter &lt;x, y&gt;'!I667-C667)/C667</f>
        <v>17.883510149292455</v>
      </c>
      <c r="L667" s="5">
        <f>100*('Parameter &lt;x, y&gt;'!N667-C667)/C667</f>
        <v>0</v>
      </c>
      <c r="M667" s="5">
        <f>100*('Parameter &lt;x, y&gt;'!S667-C667)/C667</f>
        <v>16.974050072474803</v>
      </c>
    </row>
    <row r="668" spans="1:13" ht="12.75" customHeight="1">
      <c r="A668" s="40"/>
      <c r="B668" s="5">
        <f>MIN('Parameter &lt;x, y&gt;'!B668,'Parameter &lt;x, y&gt;'!G668,'Parameter &lt;x, y&gt;'!L668,'Parameter &lt;x, y&gt;'!Q668)</f>
        <v>473284</v>
      </c>
      <c r="C668" s="5">
        <f>MIN('Parameter &lt;x, y&gt;'!D668,'Parameter &lt;x, y&gt;'!I668,'Parameter &lt;x, y&gt;'!N668,'Parameter &lt;x, y&gt;'!S668)</f>
        <v>388662</v>
      </c>
      <c r="E668" s="5">
        <f>100*('Parameter &lt;x, y&gt;'!B668-B668)/B668</f>
        <v>0.76254426517693397</v>
      </c>
      <c r="F668" s="5">
        <f>100*('Parameter &lt;x, y&gt;'!G668-B668)/B668</f>
        <v>0</v>
      </c>
      <c r="G668" s="5">
        <f>100*('Parameter &lt;x, y&gt;'!L668-B668)/B668</f>
        <v>4.3263664100201993</v>
      </c>
      <c r="H668" s="5">
        <f>100*('Parameter &lt;x, y&gt;'!Q668-B668)/B668</f>
        <v>5.6883393480447255</v>
      </c>
      <c r="J668" s="5">
        <f>100*('Parameter &lt;x, y&gt;'!D668-C668)/C668</f>
        <v>1.4812356237553452</v>
      </c>
      <c r="K668" s="5">
        <f>100*('Parameter &lt;x, y&gt;'!I668-C668)/C668</f>
        <v>11.00570675805713</v>
      </c>
      <c r="L668" s="5">
        <f>100*('Parameter &lt;x, y&gt;'!N668-C668)/C668</f>
        <v>0</v>
      </c>
      <c r="M668" s="5">
        <f>100*('Parameter &lt;x, y&gt;'!S668-C668)/C668</f>
        <v>6.2671421440737713</v>
      </c>
    </row>
    <row r="669" spans="1:13" ht="12.75" customHeight="1">
      <c r="A669" s="40"/>
      <c r="B669" s="5">
        <f>MIN('Parameter &lt;x, y&gt;'!B669,'Parameter &lt;x, y&gt;'!G669,'Parameter &lt;x, y&gt;'!L669,'Parameter &lt;x, y&gt;'!Q669)</f>
        <v>460455</v>
      </c>
      <c r="C669" s="5">
        <f>MIN('Parameter &lt;x, y&gt;'!D669,'Parameter &lt;x, y&gt;'!I669,'Parameter &lt;x, y&gt;'!N669,'Parameter &lt;x, y&gt;'!S669)</f>
        <v>376314</v>
      </c>
      <c r="E669" s="5">
        <f>100*('Parameter &lt;x, y&gt;'!B669-B669)/B669</f>
        <v>4.3819700079269417</v>
      </c>
      <c r="F669" s="5">
        <f>100*('Parameter &lt;x, y&gt;'!G669-B669)/B669</f>
        <v>0.87239795419747856</v>
      </c>
      <c r="G669" s="5">
        <f>100*('Parameter &lt;x, y&gt;'!L669-B669)/B669</f>
        <v>0</v>
      </c>
      <c r="H669" s="5">
        <f>100*('Parameter &lt;x, y&gt;'!Q669-B669)/B669</f>
        <v>0.91670195784604358</v>
      </c>
      <c r="J669" s="5">
        <f>100*('Parameter &lt;x, y&gt;'!D669-C669)/C669</f>
        <v>0</v>
      </c>
      <c r="K669" s="5">
        <f>100*('Parameter &lt;x, y&gt;'!I669-C669)/C669</f>
        <v>4.358594152755412</v>
      </c>
      <c r="L669" s="5">
        <f>100*('Parameter &lt;x, y&gt;'!N669-C669)/C669</f>
        <v>11.716279490000373</v>
      </c>
      <c r="M669" s="5">
        <f>100*('Parameter &lt;x, y&gt;'!S669-C669)/C669</f>
        <v>10.037893886488412</v>
      </c>
    </row>
    <row r="670" spans="1:13" ht="12.75" customHeight="1">
      <c r="A670" s="40"/>
      <c r="B670" s="5">
        <f>MIN('Parameter &lt;x, y&gt;'!B670,'Parameter &lt;x, y&gt;'!G670,'Parameter &lt;x, y&gt;'!L670,'Parameter &lt;x, y&gt;'!Q670)</f>
        <v>443851</v>
      </c>
      <c r="C670" s="5">
        <f>MIN('Parameter &lt;x, y&gt;'!D670,'Parameter &lt;x, y&gt;'!I670,'Parameter &lt;x, y&gt;'!N670,'Parameter &lt;x, y&gt;'!S670)</f>
        <v>349069</v>
      </c>
      <c r="E670" s="5">
        <f>100*('Parameter &lt;x, y&gt;'!B670-B670)/B670</f>
        <v>4.633987531851905</v>
      </c>
      <c r="F670" s="5">
        <f>100*('Parameter &lt;x, y&gt;'!G670-B670)/B670</f>
        <v>5.2535648224291487</v>
      </c>
      <c r="G670" s="5">
        <f>100*('Parameter &lt;x, y&gt;'!L670-B670)/B670</f>
        <v>0</v>
      </c>
      <c r="H670" s="5">
        <f>100*('Parameter &lt;x, y&gt;'!Q670-B670)/B670</f>
        <v>9.2639196487109405</v>
      </c>
      <c r="J670" s="5">
        <f>100*('Parameter &lt;x, y&gt;'!D670-C670)/C670</f>
        <v>8.7939633711386573</v>
      </c>
      <c r="K670" s="5">
        <f>100*('Parameter &lt;x, y&gt;'!I670-C670)/C670</f>
        <v>19.285012418748156</v>
      </c>
      <c r="L670" s="5">
        <f>100*('Parameter &lt;x, y&gt;'!N670-C670)/C670</f>
        <v>0</v>
      </c>
      <c r="M670" s="5">
        <f>100*('Parameter &lt;x, y&gt;'!S670-C670)/C670</f>
        <v>5.8025777138617292</v>
      </c>
    </row>
    <row r="671" spans="1:13" ht="12.75" customHeight="1">
      <c r="A671" s="40"/>
      <c r="B671" s="5">
        <f>MIN('Parameter &lt;x, y&gt;'!B671,'Parameter &lt;x, y&gt;'!G671,'Parameter &lt;x, y&gt;'!L671,'Parameter &lt;x, y&gt;'!Q671)</f>
        <v>415624</v>
      </c>
      <c r="C671" s="5">
        <f>MIN('Parameter &lt;x, y&gt;'!D671,'Parameter &lt;x, y&gt;'!I671,'Parameter &lt;x, y&gt;'!N671,'Parameter &lt;x, y&gt;'!S671)</f>
        <v>330670</v>
      </c>
      <c r="E671" s="5">
        <f>100*('Parameter &lt;x, y&gt;'!B671-B671)/B671</f>
        <v>0.15326352664908668</v>
      </c>
      <c r="F671" s="5">
        <f>100*('Parameter &lt;x, y&gt;'!G671-B671)/B671</f>
        <v>3.1494812619098029</v>
      </c>
      <c r="G671" s="5">
        <f>100*('Parameter &lt;x, y&gt;'!L671-B671)/B671</f>
        <v>0</v>
      </c>
      <c r="H671" s="5">
        <f>100*('Parameter &lt;x, y&gt;'!Q671-B671)/B671</f>
        <v>1.4852366562084962</v>
      </c>
      <c r="J671" s="5">
        <f>100*('Parameter &lt;x, y&gt;'!D671-C671)/C671</f>
        <v>1.6496809507968671</v>
      </c>
      <c r="K671" s="5">
        <f>100*('Parameter &lt;x, y&gt;'!I671-C671)/C671</f>
        <v>9.0041431033961352</v>
      </c>
      <c r="L671" s="5">
        <f>100*('Parameter &lt;x, y&gt;'!N671-C671)/C671</f>
        <v>0</v>
      </c>
      <c r="M671" s="5">
        <f>100*('Parameter &lt;x, y&gt;'!S671-C671)/C671</f>
        <v>17.670789608975717</v>
      </c>
    </row>
    <row r="672" spans="1:13" ht="12.75" customHeight="1">
      <c r="A672" s="40"/>
      <c r="B672" s="5">
        <f>MIN('Parameter &lt;x, y&gt;'!B672,'Parameter &lt;x, y&gt;'!G672,'Parameter &lt;x, y&gt;'!L672,'Parameter &lt;x, y&gt;'!Q672)</f>
        <v>490370</v>
      </c>
      <c r="C672" s="5">
        <f>MIN('Parameter &lt;x, y&gt;'!D672,'Parameter &lt;x, y&gt;'!I672,'Parameter &lt;x, y&gt;'!N672,'Parameter &lt;x, y&gt;'!S672)</f>
        <v>359271</v>
      </c>
      <c r="E672" s="5">
        <f>100*('Parameter &lt;x, y&gt;'!B672-B672)/B672</f>
        <v>2.4120562024593672</v>
      </c>
      <c r="F672" s="5">
        <f>100*('Parameter &lt;x, y&gt;'!G672-B672)/B672</f>
        <v>0</v>
      </c>
      <c r="G672" s="5">
        <f>100*('Parameter &lt;x, y&gt;'!L672-B672)/B672</f>
        <v>12.965107979688806</v>
      </c>
      <c r="H672" s="5">
        <f>100*('Parameter &lt;x, y&gt;'!Q672-B672)/B672</f>
        <v>3.0627893223484306</v>
      </c>
      <c r="J672" s="5">
        <f>100*('Parameter &lt;x, y&gt;'!D672-C672)/C672</f>
        <v>9.0010048125231368</v>
      </c>
      <c r="K672" s="5">
        <f>100*('Parameter &lt;x, y&gt;'!I672-C672)/C672</f>
        <v>22.066629368916502</v>
      </c>
      <c r="L672" s="5">
        <f>100*('Parameter &lt;x, y&gt;'!N672-C672)/C672</f>
        <v>0</v>
      </c>
      <c r="M672" s="5">
        <f>100*('Parameter &lt;x, y&gt;'!S672-C672)/C672</f>
        <v>26.663159564785357</v>
      </c>
    </row>
    <row r="673" spans="1:13" ht="12.75" customHeight="1">
      <c r="A673" s="40"/>
      <c r="B673" s="5">
        <f>MIN('Parameter &lt;x, y&gt;'!B673,'Parameter &lt;x, y&gt;'!G673,'Parameter &lt;x, y&gt;'!L673,'Parameter &lt;x, y&gt;'!Q673)</f>
        <v>502558</v>
      </c>
      <c r="C673" s="5">
        <f>MIN('Parameter &lt;x, y&gt;'!D673,'Parameter &lt;x, y&gt;'!I673,'Parameter &lt;x, y&gt;'!N673,'Parameter &lt;x, y&gt;'!S673)</f>
        <v>415765</v>
      </c>
      <c r="E673" s="5">
        <f>100*('Parameter &lt;x, y&gt;'!B673-B673)/B673</f>
        <v>0</v>
      </c>
      <c r="F673" s="5">
        <f>100*('Parameter &lt;x, y&gt;'!G673-B673)/B673</f>
        <v>3.7848367750587992</v>
      </c>
      <c r="G673" s="5">
        <f>100*('Parameter &lt;x, y&gt;'!L673-B673)/B673</f>
        <v>7.3828294445616232</v>
      </c>
      <c r="H673" s="5">
        <f>100*('Parameter &lt;x, y&gt;'!Q673-B673)/B673</f>
        <v>4.8995339841371539</v>
      </c>
      <c r="J673" s="5">
        <f>100*('Parameter &lt;x, y&gt;'!D673-C673)/C673</f>
        <v>1.5388500715548448</v>
      </c>
      <c r="K673" s="5">
        <f>100*('Parameter &lt;x, y&gt;'!I673-C673)/C673</f>
        <v>7.5251644558825301</v>
      </c>
      <c r="L673" s="5">
        <f>100*('Parameter &lt;x, y&gt;'!N673-C673)/C673</f>
        <v>0</v>
      </c>
      <c r="M673" s="5">
        <f>100*('Parameter &lt;x, y&gt;'!S673-C673)/C673</f>
        <v>11.04758697822087</v>
      </c>
    </row>
    <row r="674" spans="1:13" ht="12.75" customHeight="1">
      <c r="A674" s="40"/>
      <c r="B674" s="5">
        <f>MIN('Parameter &lt;x, y&gt;'!B674,'Parameter &lt;x, y&gt;'!G674,'Parameter &lt;x, y&gt;'!L674,'Parameter &lt;x, y&gt;'!Q674)</f>
        <v>470797</v>
      </c>
      <c r="C674" s="5">
        <f>MIN('Parameter &lt;x, y&gt;'!D674,'Parameter &lt;x, y&gt;'!I674,'Parameter &lt;x, y&gt;'!N674,'Parameter &lt;x, y&gt;'!S674)</f>
        <v>419755</v>
      </c>
      <c r="E674" s="5">
        <f>100*('Parameter &lt;x, y&gt;'!B674-B674)/B674</f>
        <v>10.676363698154406</v>
      </c>
      <c r="F674" s="5">
        <f>100*('Parameter &lt;x, y&gt;'!G674-B674)/B674</f>
        <v>5.2555560039677403</v>
      </c>
      <c r="G674" s="5">
        <f>100*('Parameter &lt;x, y&gt;'!L674-B674)/B674</f>
        <v>8.6200634243633676</v>
      </c>
      <c r="H674" s="5">
        <f>100*('Parameter &lt;x, y&gt;'!Q674-B674)/B674</f>
        <v>0</v>
      </c>
      <c r="J674" s="5">
        <f>100*('Parameter &lt;x, y&gt;'!D674-C674)/C674</f>
        <v>14.601612845588498</v>
      </c>
      <c r="K674" s="5">
        <f>100*('Parameter &lt;x, y&gt;'!I674-C674)/C674</f>
        <v>0.91624876416004575</v>
      </c>
      <c r="L674" s="5">
        <f>100*('Parameter &lt;x, y&gt;'!N674-C674)/C674</f>
        <v>0</v>
      </c>
      <c r="M674" s="5">
        <f>100*('Parameter &lt;x, y&gt;'!S674-C674)/C674</f>
        <v>10.865385760741384</v>
      </c>
    </row>
    <row r="675" spans="1:13" ht="12.75" customHeight="1">
      <c r="A675" s="40"/>
      <c r="B675" s="5">
        <f>MIN('Parameter &lt;x, y&gt;'!B675,'Parameter &lt;x, y&gt;'!G675,'Parameter &lt;x, y&gt;'!L675,'Parameter &lt;x, y&gt;'!Q675)</f>
        <v>457336</v>
      </c>
      <c r="C675" s="5">
        <f>MIN('Parameter &lt;x, y&gt;'!D675,'Parameter &lt;x, y&gt;'!I675,'Parameter &lt;x, y&gt;'!N675,'Parameter &lt;x, y&gt;'!S675)</f>
        <v>363518</v>
      </c>
      <c r="E675" s="5">
        <f>100*('Parameter &lt;x, y&gt;'!B675-B675)/B675</f>
        <v>0</v>
      </c>
      <c r="F675" s="5">
        <f>100*('Parameter &lt;x, y&gt;'!G675-B675)/B675</f>
        <v>0.72922315321776554</v>
      </c>
      <c r="G675" s="5">
        <f>100*('Parameter &lt;x, y&gt;'!L675-B675)/B675</f>
        <v>6.9314464638690149E-2</v>
      </c>
      <c r="H675" s="5">
        <f>100*('Parameter &lt;x, y&gt;'!Q675-B675)/B675</f>
        <v>6.3441321041859817</v>
      </c>
      <c r="J675" s="5">
        <f>100*('Parameter &lt;x, y&gt;'!D675-C675)/C675</f>
        <v>0</v>
      </c>
      <c r="K675" s="5">
        <f>100*('Parameter &lt;x, y&gt;'!I675-C675)/C675</f>
        <v>3.8471272399165928</v>
      </c>
      <c r="L675" s="5">
        <f>100*('Parameter &lt;x, y&gt;'!N675-C675)/C675</f>
        <v>23.151535824911008</v>
      </c>
      <c r="M675" s="5">
        <f>100*('Parameter &lt;x, y&gt;'!S675-C675)/C675</f>
        <v>10.354095258006481</v>
      </c>
    </row>
    <row r="676" spans="1:13" ht="12.75" customHeight="1">
      <c r="A676" s="40"/>
      <c r="B676" s="5">
        <f>MIN('Parameter &lt;x, y&gt;'!B676,'Parameter &lt;x, y&gt;'!G676,'Parameter &lt;x, y&gt;'!L676,'Parameter &lt;x, y&gt;'!Q676)</f>
        <v>442648</v>
      </c>
      <c r="C676" s="5">
        <f>MIN('Parameter &lt;x, y&gt;'!D676,'Parameter &lt;x, y&gt;'!I676,'Parameter &lt;x, y&gt;'!N676,'Parameter &lt;x, y&gt;'!S676)</f>
        <v>384136</v>
      </c>
      <c r="E676" s="5">
        <f>100*('Parameter &lt;x, y&gt;'!B676-B676)/B676</f>
        <v>0</v>
      </c>
      <c r="F676" s="5">
        <f>100*('Parameter &lt;x, y&gt;'!G676-B676)/B676</f>
        <v>2.0745603730277784</v>
      </c>
      <c r="G676" s="5">
        <f>100*('Parameter &lt;x, y&gt;'!L676-B676)/B676</f>
        <v>27.767887802497697</v>
      </c>
      <c r="H676" s="5">
        <f>100*('Parameter &lt;x, y&gt;'!Q676-B676)/B676</f>
        <v>2.1884205960492311</v>
      </c>
      <c r="J676" s="5">
        <f>100*('Parameter &lt;x, y&gt;'!D676-C676)/C676</f>
        <v>4.3937563779494759</v>
      </c>
      <c r="K676" s="5">
        <f>100*('Parameter &lt;x, y&gt;'!I676-C676)/C676</f>
        <v>0</v>
      </c>
      <c r="L676" s="5">
        <f>100*('Parameter &lt;x, y&gt;'!N676-C676)/C676</f>
        <v>3.1220713497303039</v>
      </c>
      <c r="M676" s="5">
        <f>100*('Parameter &lt;x, y&gt;'!S676-C676)/C676</f>
        <v>3.7161317866588917</v>
      </c>
    </row>
    <row r="677" spans="1:13" ht="12.75" customHeight="1">
      <c r="A677" s="40"/>
      <c r="B677" s="5">
        <f>MIN('Parameter &lt;x, y&gt;'!B677,'Parameter &lt;x, y&gt;'!G677,'Parameter &lt;x, y&gt;'!L677,'Parameter &lt;x, y&gt;'!Q677)</f>
        <v>512882</v>
      </c>
      <c r="C677" s="5">
        <f>MIN('Parameter &lt;x, y&gt;'!D677,'Parameter &lt;x, y&gt;'!I677,'Parameter &lt;x, y&gt;'!N677,'Parameter &lt;x, y&gt;'!S677)</f>
        <v>432420</v>
      </c>
      <c r="E677" s="5">
        <f>100*('Parameter &lt;x, y&gt;'!B677-B677)/B677</f>
        <v>14.742377388951065</v>
      </c>
      <c r="F677" s="5">
        <f>100*('Parameter &lt;x, y&gt;'!G677-B677)/B677</f>
        <v>0</v>
      </c>
      <c r="G677" s="5">
        <f>100*('Parameter &lt;x, y&gt;'!L677-B677)/B677</f>
        <v>7.6046731996833579</v>
      </c>
      <c r="H677" s="5">
        <f>100*('Parameter &lt;x, y&gt;'!Q677-B677)/B677</f>
        <v>1.1786336818215497</v>
      </c>
      <c r="J677" s="5">
        <f>100*('Parameter &lt;x, y&gt;'!D677-C677)/C677</f>
        <v>2.7824799962998936</v>
      </c>
      <c r="K677" s="5">
        <f>100*('Parameter &lt;x, y&gt;'!I677-C677)/C677</f>
        <v>0</v>
      </c>
      <c r="L677" s="5">
        <f>100*('Parameter &lt;x, y&gt;'!N677-C677)/C677</f>
        <v>0.80523565052495261</v>
      </c>
      <c r="M677" s="5">
        <f>100*('Parameter &lt;x, y&gt;'!S677-C677)/C677</f>
        <v>10.603348596272143</v>
      </c>
    </row>
    <row r="678" spans="1:13" ht="12.75" customHeight="1">
      <c r="A678" s="40"/>
      <c r="B678" s="5">
        <f>MIN('Parameter &lt;x, y&gt;'!B678,'Parameter &lt;x, y&gt;'!G678,'Parameter &lt;x, y&gt;'!L678,'Parameter &lt;x, y&gt;'!Q678)</f>
        <v>473964</v>
      </c>
      <c r="C678" s="5">
        <f>MIN('Parameter &lt;x, y&gt;'!D678,'Parameter &lt;x, y&gt;'!I678,'Parameter &lt;x, y&gt;'!N678,'Parameter &lt;x, y&gt;'!S678)</f>
        <v>366093</v>
      </c>
      <c r="E678" s="5">
        <f>100*('Parameter &lt;x, y&gt;'!B678-B678)/B678</f>
        <v>0</v>
      </c>
      <c r="F678" s="5">
        <f>100*('Parameter &lt;x, y&gt;'!G678-B678)/B678</f>
        <v>7.7942628554067399</v>
      </c>
      <c r="G678" s="5">
        <f>100*('Parameter &lt;x, y&gt;'!L678-B678)/B678</f>
        <v>9.388898734925015E-2</v>
      </c>
      <c r="H678" s="5">
        <f>100*('Parameter &lt;x, y&gt;'!Q678-B678)/B678</f>
        <v>9.3570397751727974</v>
      </c>
      <c r="J678" s="5">
        <f>100*('Parameter &lt;x, y&gt;'!D678-C678)/C678</f>
        <v>0</v>
      </c>
      <c r="K678" s="5">
        <f>100*('Parameter &lt;x, y&gt;'!I678-C678)/C678</f>
        <v>18.804784576596656</v>
      </c>
      <c r="L678" s="5">
        <f>100*('Parameter &lt;x, y&gt;'!N678-C678)/C678</f>
        <v>17.376458987197243</v>
      </c>
      <c r="M678" s="5">
        <f>100*('Parameter &lt;x, y&gt;'!S678-C678)/C678</f>
        <v>12.546265566399795</v>
      </c>
    </row>
    <row r="679" spans="1:13" ht="12.75" customHeight="1">
      <c r="A679" s="40"/>
      <c r="B679" s="5">
        <f>MIN('Parameter &lt;x, y&gt;'!B679,'Parameter &lt;x, y&gt;'!G679,'Parameter &lt;x, y&gt;'!L679,'Parameter &lt;x, y&gt;'!Q679)</f>
        <v>506702</v>
      </c>
      <c r="C679" s="5">
        <f>MIN('Parameter &lt;x, y&gt;'!D679,'Parameter &lt;x, y&gt;'!I679,'Parameter &lt;x, y&gt;'!N679,'Parameter &lt;x, y&gt;'!S679)</f>
        <v>397186</v>
      </c>
      <c r="E679" s="5">
        <f>100*('Parameter &lt;x, y&gt;'!B679-B679)/B679</f>
        <v>3.365291630978366</v>
      </c>
      <c r="F679" s="5">
        <f>100*('Parameter &lt;x, y&gt;'!G679-B679)/B679</f>
        <v>3.9273576974237323</v>
      </c>
      <c r="G679" s="5">
        <f>100*('Parameter &lt;x, y&gt;'!L679-B679)/B679</f>
        <v>7.8132709166334449</v>
      </c>
      <c r="H679" s="5">
        <f>100*('Parameter &lt;x, y&gt;'!Q679-B679)/B679</f>
        <v>0</v>
      </c>
      <c r="J679" s="5">
        <f>100*('Parameter &lt;x, y&gt;'!D679-C679)/C679</f>
        <v>0</v>
      </c>
      <c r="K679" s="5">
        <f>100*('Parameter &lt;x, y&gt;'!I679-C679)/C679</f>
        <v>5.4845840487831898</v>
      </c>
      <c r="L679" s="5">
        <f>100*('Parameter &lt;x, y&gt;'!N679-C679)/C679</f>
        <v>0.25529600741214442</v>
      </c>
      <c r="M679" s="5">
        <f>100*('Parameter &lt;x, y&gt;'!S679-C679)/C679</f>
        <v>6.6651392546565082</v>
      </c>
    </row>
    <row r="680" spans="1:13" ht="12.75" customHeight="1">
      <c r="A680" s="40"/>
      <c r="B680" s="5">
        <f>MIN('Parameter &lt;x, y&gt;'!B680,'Parameter &lt;x, y&gt;'!G680,'Parameter &lt;x, y&gt;'!L680,'Parameter &lt;x, y&gt;'!Q680)</f>
        <v>545577</v>
      </c>
      <c r="C680" s="5">
        <f>MIN('Parameter &lt;x, y&gt;'!D680,'Parameter &lt;x, y&gt;'!I680,'Parameter &lt;x, y&gt;'!N680,'Parameter &lt;x, y&gt;'!S680)</f>
        <v>435437</v>
      </c>
      <c r="E680" s="5">
        <f>100*('Parameter &lt;x, y&gt;'!B680-B680)/B680</f>
        <v>7.2301434994510396</v>
      </c>
      <c r="F680" s="5">
        <f>100*('Parameter &lt;x, y&gt;'!G680-B680)/B680</f>
        <v>13.628507066830164</v>
      </c>
      <c r="G680" s="5">
        <f>100*('Parameter &lt;x, y&gt;'!L680-B680)/B680</f>
        <v>9.938468813751312</v>
      </c>
      <c r="H680" s="5">
        <f>100*('Parameter &lt;x, y&gt;'!Q680-B680)/B680</f>
        <v>0</v>
      </c>
      <c r="J680" s="5">
        <f>100*('Parameter &lt;x, y&gt;'!D680-C680)/C680</f>
        <v>6.0249817998929807</v>
      </c>
      <c r="K680" s="5">
        <f>100*('Parameter &lt;x, y&gt;'!I680-C680)/C680</f>
        <v>4.6263868251894076</v>
      </c>
      <c r="L680" s="5">
        <f>100*('Parameter &lt;x, y&gt;'!N680-C680)/C680</f>
        <v>0</v>
      </c>
      <c r="M680" s="5">
        <f>100*('Parameter &lt;x, y&gt;'!S680-C680)/C680</f>
        <v>6.1278669474573819</v>
      </c>
    </row>
    <row r="681" spans="1:13" ht="12.75" customHeight="1">
      <c r="A681" s="40"/>
      <c r="B681" s="5">
        <f>MIN('Parameter &lt;x, y&gt;'!B681,'Parameter &lt;x, y&gt;'!G681,'Parameter &lt;x, y&gt;'!L681,'Parameter &lt;x, y&gt;'!Q681)</f>
        <v>489500</v>
      </c>
      <c r="C681" s="5">
        <f>MIN('Parameter &lt;x, y&gt;'!D681,'Parameter &lt;x, y&gt;'!I681,'Parameter &lt;x, y&gt;'!N681,'Parameter &lt;x, y&gt;'!S681)</f>
        <v>367193</v>
      </c>
      <c r="E681" s="5">
        <f>100*('Parameter &lt;x, y&gt;'!B681-B681)/B681</f>
        <v>0</v>
      </c>
      <c r="F681" s="5">
        <f>100*('Parameter &lt;x, y&gt;'!G681-B681)/B681</f>
        <v>2.6849846782431053</v>
      </c>
      <c r="G681" s="5">
        <f>100*('Parameter &lt;x, y&gt;'!L681-B681)/B681</f>
        <v>2.9256384065372831</v>
      </c>
      <c r="H681" s="5">
        <f>100*('Parameter &lt;x, y&gt;'!Q681-B681)/B681</f>
        <v>2.6780388151174668</v>
      </c>
      <c r="J681" s="5">
        <f>100*('Parameter &lt;x, y&gt;'!D681-C681)/C681</f>
        <v>14.698809617830404</v>
      </c>
      <c r="K681" s="5">
        <f>100*('Parameter &lt;x, y&gt;'!I681-C681)/C681</f>
        <v>20.259373136198128</v>
      </c>
      <c r="L681" s="5">
        <f>100*('Parameter &lt;x, y&gt;'!N681-C681)/C681</f>
        <v>0</v>
      </c>
      <c r="M681" s="5">
        <f>100*('Parameter &lt;x, y&gt;'!S681-C681)/C681</f>
        <v>12.558790608753435</v>
      </c>
    </row>
    <row r="682" spans="1:13" ht="12.75" customHeight="1">
      <c r="A682" s="40"/>
      <c r="B682" s="5">
        <f>MIN('Parameter &lt;x, y&gt;'!B682,'Parameter &lt;x, y&gt;'!G682,'Parameter &lt;x, y&gt;'!L682,'Parameter &lt;x, y&gt;'!Q682)</f>
        <v>507199</v>
      </c>
      <c r="C682" s="5">
        <f>MIN('Parameter &lt;x, y&gt;'!D682,'Parameter &lt;x, y&gt;'!I682,'Parameter &lt;x, y&gt;'!N682,'Parameter &lt;x, y&gt;'!S682)</f>
        <v>392196</v>
      </c>
      <c r="E682" s="5">
        <f>100*('Parameter &lt;x, y&gt;'!B682-B682)/B682</f>
        <v>0.87815630551322066</v>
      </c>
      <c r="F682" s="5">
        <f>100*('Parameter &lt;x, y&gt;'!G682-B682)/B682</f>
        <v>2.463332932438747</v>
      </c>
      <c r="G682" s="5">
        <f>100*('Parameter &lt;x, y&gt;'!L682-B682)/B682</f>
        <v>3.1244146774737334</v>
      </c>
      <c r="H682" s="5">
        <f>100*('Parameter &lt;x, y&gt;'!Q682-B682)/B682</f>
        <v>0</v>
      </c>
      <c r="J682" s="5">
        <f>100*('Parameter &lt;x, y&gt;'!D682-C682)/C682</f>
        <v>6.0798682291507307</v>
      </c>
      <c r="K682" s="5">
        <f>100*('Parameter &lt;x, y&gt;'!I682-C682)/C682</f>
        <v>10.141612867035869</v>
      </c>
      <c r="L682" s="5">
        <f>100*('Parameter &lt;x, y&gt;'!N682-C682)/C682</f>
        <v>0</v>
      </c>
      <c r="M682" s="5">
        <f>100*('Parameter &lt;x, y&gt;'!S682-C682)/C682</f>
        <v>11.929494436455242</v>
      </c>
    </row>
    <row r="683" spans="1:13" ht="12.75" customHeight="1">
      <c r="A683" s="40"/>
      <c r="B683" s="5">
        <f>MIN('Parameter &lt;x, y&gt;'!B683,'Parameter &lt;x, y&gt;'!G683,'Parameter &lt;x, y&gt;'!L683,'Parameter &lt;x, y&gt;'!Q683)</f>
        <v>468559</v>
      </c>
      <c r="C683" s="5">
        <f>MIN('Parameter &lt;x, y&gt;'!D683,'Parameter &lt;x, y&gt;'!I683,'Parameter &lt;x, y&gt;'!N683,'Parameter &lt;x, y&gt;'!S683)</f>
        <v>377760</v>
      </c>
      <c r="E683" s="5">
        <f>100*('Parameter &lt;x, y&gt;'!B683-B683)/B683</f>
        <v>0</v>
      </c>
      <c r="F683" s="5">
        <f>100*('Parameter &lt;x, y&gt;'!G683-B683)/B683</f>
        <v>0.72712294502933461</v>
      </c>
      <c r="G683" s="5">
        <f>100*('Parameter &lt;x, y&gt;'!L683-B683)/B683</f>
        <v>3.2170975266722013</v>
      </c>
      <c r="H683" s="5">
        <f>100*('Parameter &lt;x, y&gt;'!Q683-B683)/B683</f>
        <v>0.97874547282199253</v>
      </c>
      <c r="J683" s="5">
        <f>100*('Parameter &lt;x, y&gt;'!D683-C683)/C683</f>
        <v>1.075021177467175</v>
      </c>
      <c r="K683" s="5">
        <f>100*('Parameter &lt;x, y&gt;'!I683-C683)/C683</f>
        <v>7.1754553155442613</v>
      </c>
      <c r="L683" s="5">
        <f>100*('Parameter &lt;x, y&gt;'!N683-C683)/C683</f>
        <v>0</v>
      </c>
      <c r="M683" s="5">
        <f>100*('Parameter &lt;x, y&gt;'!S683-C683)/C683</f>
        <v>7.2384582803896658</v>
      </c>
    </row>
    <row r="684" spans="1:13" ht="12.75" customHeight="1">
      <c r="A684" s="40"/>
      <c r="B684" s="5">
        <f>MIN('Parameter &lt;x, y&gt;'!B684,'Parameter &lt;x, y&gt;'!G684,'Parameter &lt;x, y&gt;'!L684,'Parameter &lt;x, y&gt;'!Q684)</f>
        <v>551635</v>
      </c>
      <c r="C684" s="5">
        <f>MIN('Parameter &lt;x, y&gt;'!D684,'Parameter &lt;x, y&gt;'!I684,'Parameter &lt;x, y&gt;'!N684,'Parameter &lt;x, y&gt;'!S684)</f>
        <v>454899</v>
      </c>
      <c r="E684" s="5">
        <f>100*('Parameter &lt;x, y&gt;'!B684-B684)/B684</f>
        <v>2.7226336254951189</v>
      </c>
      <c r="F684" s="5">
        <f>100*('Parameter &lt;x, y&gt;'!G684-B684)/B684</f>
        <v>1.2622476818911055</v>
      </c>
      <c r="G684" s="5">
        <f>100*('Parameter &lt;x, y&gt;'!L684-B684)/B684</f>
        <v>0</v>
      </c>
      <c r="H684" s="5">
        <f>100*('Parameter &lt;x, y&gt;'!Q684-B684)/B684</f>
        <v>0.71840981808623461</v>
      </c>
      <c r="J684" s="5">
        <f>100*('Parameter &lt;x, y&gt;'!D684-C684)/C684</f>
        <v>5.5414498602986599</v>
      </c>
      <c r="K684" s="5">
        <f>100*('Parameter &lt;x, y&gt;'!I684-C684)/C684</f>
        <v>14.727444993284223</v>
      </c>
      <c r="L684" s="5">
        <f>100*('Parameter &lt;x, y&gt;'!N684-C684)/C684</f>
        <v>0</v>
      </c>
      <c r="M684" s="5">
        <f>100*('Parameter &lt;x, y&gt;'!S684-C684)/C684</f>
        <v>4.957583991171667</v>
      </c>
    </row>
    <row r="685" spans="1:13" ht="12.75" customHeight="1">
      <c r="A685" s="40"/>
      <c r="B685" s="5">
        <f>MIN('Parameter &lt;x, y&gt;'!B685,'Parameter &lt;x, y&gt;'!G685,'Parameter &lt;x, y&gt;'!L685,'Parameter &lt;x, y&gt;'!Q685)</f>
        <v>533383</v>
      </c>
      <c r="C685" s="5">
        <f>MIN('Parameter &lt;x, y&gt;'!D685,'Parameter &lt;x, y&gt;'!I685,'Parameter &lt;x, y&gt;'!N685,'Parameter &lt;x, y&gt;'!S685)</f>
        <v>435712</v>
      </c>
      <c r="E685" s="5">
        <f>100*('Parameter &lt;x, y&gt;'!B685-B685)/B685</f>
        <v>2.8124255928666644</v>
      </c>
      <c r="F685" s="5">
        <f>100*('Parameter &lt;x, y&gt;'!G685-B685)/B685</f>
        <v>3.3227530686204849</v>
      </c>
      <c r="G685" s="5">
        <f>100*('Parameter &lt;x, y&gt;'!L685-B685)/B685</f>
        <v>5.1520202181171877</v>
      </c>
      <c r="H685" s="5">
        <f>100*('Parameter &lt;x, y&gt;'!Q685-B685)/B685</f>
        <v>0</v>
      </c>
      <c r="J685" s="5">
        <f>100*('Parameter &lt;x, y&gt;'!D685-C685)/C685</f>
        <v>15.651852599882492</v>
      </c>
      <c r="K685" s="5">
        <f>100*('Parameter &lt;x, y&gt;'!I685-C685)/C685</f>
        <v>9.2827372209165695</v>
      </c>
      <c r="L685" s="5">
        <f>100*('Parameter &lt;x, y&gt;'!N685-C685)/C685</f>
        <v>0</v>
      </c>
      <c r="M685" s="5">
        <f>100*('Parameter &lt;x, y&gt;'!S685-C685)/C685</f>
        <v>12.574590555229141</v>
      </c>
    </row>
    <row r="686" spans="1:13" ht="12.75" customHeight="1">
      <c r="A686" s="40"/>
      <c r="B686" s="5">
        <f>MIN('Parameter &lt;x, y&gt;'!B686,'Parameter &lt;x, y&gt;'!G686,'Parameter &lt;x, y&gt;'!L686,'Parameter &lt;x, y&gt;'!Q686)</f>
        <v>516747</v>
      </c>
      <c r="C686" s="5">
        <f>MIN('Parameter &lt;x, y&gt;'!D686,'Parameter &lt;x, y&gt;'!I686,'Parameter &lt;x, y&gt;'!N686,'Parameter &lt;x, y&gt;'!S686)</f>
        <v>429073</v>
      </c>
      <c r="E686" s="5">
        <f>100*('Parameter &lt;x, y&gt;'!B686-B686)/B686</f>
        <v>14.487166834059995</v>
      </c>
      <c r="F686" s="5">
        <f>100*('Parameter &lt;x, y&gt;'!G686-B686)/B686</f>
        <v>0.53933549686790638</v>
      </c>
      <c r="G686" s="5">
        <f>100*('Parameter &lt;x, y&gt;'!L686-B686)/B686</f>
        <v>0</v>
      </c>
      <c r="H686" s="5">
        <f>100*('Parameter &lt;x, y&gt;'!Q686-B686)/B686</f>
        <v>0.62719280421560264</v>
      </c>
      <c r="J686" s="5">
        <f>100*('Parameter &lt;x, y&gt;'!D686-C686)/C686</f>
        <v>0</v>
      </c>
      <c r="K686" s="5">
        <f>100*('Parameter &lt;x, y&gt;'!I686-C686)/C686</f>
        <v>8.8087574841577077</v>
      </c>
      <c r="L686" s="5">
        <f>100*('Parameter &lt;x, y&gt;'!N686-C686)/C686</f>
        <v>2.9691917226206264</v>
      </c>
      <c r="M686" s="5">
        <f>100*('Parameter &lt;x, y&gt;'!S686-C686)/C686</f>
        <v>3.6240919377355367</v>
      </c>
    </row>
    <row r="687" spans="1:13" ht="12.75" customHeight="1">
      <c r="A687" s="40"/>
      <c r="B687" s="5">
        <f>MIN('Parameter &lt;x, y&gt;'!B687,'Parameter &lt;x, y&gt;'!G687,'Parameter &lt;x, y&gt;'!L687,'Parameter &lt;x, y&gt;'!Q687)</f>
        <v>520988</v>
      </c>
      <c r="C687" s="5">
        <f>MIN('Parameter &lt;x, y&gt;'!D687,'Parameter &lt;x, y&gt;'!I687,'Parameter &lt;x, y&gt;'!N687,'Parameter &lt;x, y&gt;'!S687)</f>
        <v>410358</v>
      </c>
      <c r="E687" s="5">
        <f>100*('Parameter &lt;x, y&gt;'!B687-B687)/B687</f>
        <v>2.0821976705797445</v>
      </c>
      <c r="F687" s="5">
        <f>100*('Parameter &lt;x, y&gt;'!G687-B687)/B687</f>
        <v>0</v>
      </c>
      <c r="G687" s="5">
        <f>100*('Parameter &lt;x, y&gt;'!L687-B687)/B687</f>
        <v>1.7052216173885004</v>
      </c>
      <c r="H687" s="5">
        <f>100*('Parameter &lt;x, y&gt;'!Q687-B687)/B687</f>
        <v>0.69867252220780518</v>
      </c>
      <c r="J687" s="5">
        <f>100*('Parameter &lt;x, y&gt;'!D687-C687)/C687</f>
        <v>15.508897109353297</v>
      </c>
      <c r="K687" s="5">
        <f>100*('Parameter &lt;x, y&gt;'!I687-C687)/C687</f>
        <v>9.2755593896061495</v>
      </c>
      <c r="L687" s="5">
        <f>100*('Parameter &lt;x, y&gt;'!N687-C687)/C687</f>
        <v>0</v>
      </c>
      <c r="M687" s="5">
        <f>100*('Parameter &lt;x, y&gt;'!S687-C687)/C687</f>
        <v>26.890422509126179</v>
      </c>
    </row>
    <row r="688" spans="1:13" ht="12.75" customHeight="1">
      <c r="A688" s="40"/>
      <c r="B688" s="5">
        <f>MIN('Parameter &lt;x, y&gt;'!B688,'Parameter &lt;x, y&gt;'!G688,'Parameter &lt;x, y&gt;'!L688,'Parameter &lt;x, y&gt;'!Q688)</f>
        <v>478881</v>
      </c>
      <c r="C688" s="5">
        <f>MIN('Parameter &lt;x, y&gt;'!D688,'Parameter &lt;x, y&gt;'!I688,'Parameter &lt;x, y&gt;'!N688,'Parameter &lt;x, y&gt;'!S688)</f>
        <v>397086</v>
      </c>
      <c r="E688" s="5">
        <f>100*('Parameter &lt;x, y&gt;'!B688-B688)/B688</f>
        <v>0</v>
      </c>
      <c r="F688" s="5">
        <f>100*('Parameter &lt;x, y&gt;'!G688-B688)/B688</f>
        <v>4.1908114959666385</v>
      </c>
      <c r="G688" s="5">
        <f>100*('Parameter &lt;x, y&gt;'!L688-B688)/B688</f>
        <v>3.3006112165652843</v>
      </c>
      <c r="H688" s="5">
        <f>100*('Parameter &lt;x, y&gt;'!Q688-B688)/B688</f>
        <v>2.8577036883902265</v>
      </c>
      <c r="J688" s="5">
        <f>100*('Parameter &lt;x, y&gt;'!D688-C688)/C688</f>
        <v>8.4409926313191601</v>
      </c>
      <c r="K688" s="5">
        <f>100*('Parameter &lt;x, y&gt;'!I688-C688)/C688</f>
        <v>11.740277924681303</v>
      </c>
      <c r="L688" s="5">
        <f>100*('Parameter &lt;x, y&gt;'!N688-C688)/C688</f>
        <v>0</v>
      </c>
      <c r="M688" s="5">
        <f>100*('Parameter &lt;x, y&gt;'!S688-C688)/C688</f>
        <v>8.102275073913459</v>
      </c>
    </row>
    <row r="689" spans="1:13" ht="12.75" customHeight="1">
      <c r="A689" s="40"/>
      <c r="B689" s="5">
        <f>MIN('Parameter &lt;x, y&gt;'!B689,'Parameter &lt;x, y&gt;'!G689,'Parameter &lt;x, y&gt;'!L689,'Parameter &lt;x, y&gt;'!Q689)</f>
        <v>471943</v>
      </c>
      <c r="C689" s="5">
        <f>MIN('Parameter &lt;x, y&gt;'!D689,'Parameter &lt;x, y&gt;'!I689,'Parameter &lt;x, y&gt;'!N689,'Parameter &lt;x, y&gt;'!S689)</f>
        <v>349581</v>
      </c>
      <c r="E689" s="5">
        <f>100*('Parameter &lt;x, y&gt;'!B689-B689)/B689</f>
        <v>0</v>
      </c>
      <c r="F689" s="5">
        <f>100*('Parameter &lt;x, y&gt;'!G689-B689)/B689</f>
        <v>1.3802514286682925</v>
      </c>
      <c r="G689" s="5">
        <f>100*('Parameter &lt;x, y&gt;'!L689-B689)/B689</f>
        <v>0.48586375897089268</v>
      </c>
      <c r="H689" s="5">
        <f>100*('Parameter &lt;x, y&gt;'!Q689-B689)/B689</f>
        <v>2.7354998379041535</v>
      </c>
      <c r="J689" s="5">
        <f>100*('Parameter &lt;x, y&gt;'!D689-C689)/C689</f>
        <v>7.4623620848959185</v>
      </c>
      <c r="K689" s="5">
        <f>100*('Parameter &lt;x, y&gt;'!I689-C689)/C689</f>
        <v>16.705713411197976</v>
      </c>
      <c r="L689" s="5">
        <f>100*('Parameter &lt;x, y&gt;'!N689-C689)/C689</f>
        <v>0</v>
      </c>
      <c r="M689" s="5">
        <f>100*('Parameter &lt;x, y&gt;'!S689-C689)/C689</f>
        <v>12.702635440713312</v>
      </c>
    </row>
    <row r="690" spans="1:13" ht="12.75" customHeight="1">
      <c r="A690" s="40"/>
      <c r="B690" s="5">
        <f>MIN('Parameter &lt;x, y&gt;'!B690,'Parameter &lt;x, y&gt;'!G690,'Parameter &lt;x, y&gt;'!L690,'Parameter &lt;x, y&gt;'!Q690)</f>
        <v>506578</v>
      </c>
      <c r="C690" s="5">
        <f>MIN('Parameter &lt;x, y&gt;'!D690,'Parameter &lt;x, y&gt;'!I690,'Parameter &lt;x, y&gt;'!N690,'Parameter &lt;x, y&gt;'!S690)</f>
        <v>371029</v>
      </c>
      <c r="E690" s="5">
        <f>100*('Parameter &lt;x, y&gt;'!B690-B690)/B690</f>
        <v>5.048580870073315</v>
      </c>
      <c r="F690" s="5">
        <f>100*('Parameter &lt;x, y&gt;'!G690-B690)/B690</f>
        <v>3.4912688667885301</v>
      </c>
      <c r="G690" s="5">
        <f>100*('Parameter &lt;x, y&gt;'!L690-B690)/B690</f>
        <v>0</v>
      </c>
      <c r="H690" s="5">
        <f>100*('Parameter &lt;x, y&gt;'!Q690-B690)/B690</f>
        <v>8.2113712004864006</v>
      </c>
      <c r="J690" s="5">
        <f>100*('Parameter &lt;x, y&gt;'!D690-C690)/C690</f>
        <v>14.982925862937938</v>
      </c>
      <c r="K690" s="5">
        <f>100*('Parameter &lt;x, y&gt;'!I690-C690)/C690</f>
        <v>19.100393769759236</v>
      </c>
      <c r="L690" s="5">
        <f>100*('Parameter &lt;x, y&gt;'!N690-C690)/C690</f>
        <v>0</v>
      </c>
      <c r="M690" s="5">
        <f>100*('Parameter &lt;x, y&gt;'!S690-C690)/C690</f>
        <v>24.323974675833963</v>
      </c>
    </row>
    <row r="691" spans="1:13" ht="12.75" customHeight="1">
      <c r="A691" s="40"/>
      <c r="B691" s="5">
        <f>MIN('Parameter &lt;x, y&gt;'!B691,'Parameter &lt;x, y&gt;'!G691,'Parameter &lt;x, y&gt;'!L691,'Parameter &lt;x, y&gt;'!Q691)</f>
        <v>464264</v>
      </c>
      <c r="C691" s="5">
        <f>MIN('Parameter &lt;x, y&gt;'!D691,'Parameter &lt;x, y&gt;'!I691,'Parameter &lt;x, y&gt;'!N691,'Parameter &lt;x, y&gt;'!S691)</f>
        <v>344560</v>
      </c>
      <c r="E691" s="5">
        <f>100*('Parameter &lt;x, y&gt;'!B691-B691)/B691</f>
        <v>22.029061051470716</v>
      </c>
      <c r="F691" s="5">
        <f>100*('Parameter &lt;x, y&gt;'!G691-B691)/B691</f>
        <v>3.3954818809987422</v>
      </c>
      <c r="G691" s="5">
        <f>100*('Parameter &lt;x, y&gt;'!L691-B691)/B691</f>
        <v>0</v>
      </c>
      <c r="H691" s="5">
        <f>100*('Parameter &lt;x, y&gt;'!Q691-B691)/B691</f>
        <v>2.7391742629193736</v>
      </c>
      <c r="J691" s="5">
        <f>100*('Parameter &lt;x, y&gt;'!D691-C691)/C691</f>
        <v>19.785523566287438</v>
      </c>
      <c r="K691" s="5">
        <f>100*('Parameter &lt;x, y&gt;'!I691-C691)/C691</f>
        <v>5.1912584165312285</v>
      </c>
      <c r="L691" s="5">
        <f>100*('Parameter &lt;x, y&gt;'!N691-C691)/C691</f>
        <v>0</v>
      </c>
      <c r="M691" s="5">
        <f>100*('Parameter &lt;x, y&gt;'!S691-C691)/C691</f>
        <v>10.735140469003946</v>
      </c>
    </row>
    <row r="692" spans="1:13" ht="12.75" customHeight="1">
      <c r="A692" s="40"/>
      <c r="B692" s="5">
        <f>MIN('Parameter &lt;x, y&gt;'!B692,'Parameter &lt;x, y&gt;'!G692,'Parameter &lt;x, y&gt;'!L692,'Parameter &lt;x, y&gt;'!Q692)</f>
        <v>531982</v>
      </c>
      <c r="C692" s="5">
        <f>MIN('Parameter &lt;x, y&gt;'!D692,'Parameter &lt;x, y&gt;'!I692,'Parameter &lt;x, y&gt;'!N692,'Parameter &lt;x, y&gt;'!S692)</f>
        <v>440729</v>
      </c>
      <c r="E692" s="5">
        <f>100*('Parameter &lt;x, y&gt;'!B692-B692)/B692</f>
        <v>8.8256745528984055</v>
      </c>
      <c r="F692" s="5">
        <f>100*('Parameter &lt;x, y&gt;'!G692-B692)/B692</f>
        <v>0</v>
      </c>
      <c r="G692" s="5">
        <f>100*('Parameter &lt;x, y&gt;'!L692-B692)/B692</f>
        <v>1.3233530457797444</v>
      </c>
      <c r="H692" s="5">
        <f>100*('Parameter &lt;x, y&gt;'!Q692-B692)/B692</f>
        <v>5.6612817726915576</v>
      </c>
      <c r="J692" s="5">
        <f>100*('Parameter &lt;x, y&gt;'!D692-C692)/C692</f>
        <v>9.821681804464875</v>
      </c>
      <c r="K692" s="5">
        <f>100*('Parameter &lt;x, y&gt;'!I692-C692)/C692</f>
        <v>8.0689040203844087</v>
      </c>
      <c r="L692" s="5">
        <f>100*('Parameter &lt;x, y&gt;'!N692-C692)/C692</f>
        <v>0</v>
      </c>
      <c r="M692" s="5">
        <f>100*('Parameter &lt;x, y&gt;'!S692-C692)/C692</f>
        <v>6.4527181102219275</v>
      </c>
    </row>
    <row r="693" spans="1:13" ht="12.75" customHeight="1">
      <c r="A693" s="40"/>
      <c r="B693" s="5">
        <f>MIN('Parameter &lt;x, y&gt;'!B693,'Parameter &lt;x, y&gt;'!G693,'Parameter &lt;x, y&gt;'!L693,'Parameter &lt;x, y&gt;'!Q693)</f>
        <v>416498</v>
      </c>
      <c r="C693" s="5">
        <f>MIN('Parameter &lt;x, y&gt;'!D693,'Parameter &lt;x, y&gt;'!I693,'Parameter &lt;x, y&gt;'!N693,'Parameter &lt;x, y&gt;'!S693)</f>
        <v>357378</v>
      </c>
      <c r="E693" s="5">
        <f>100*('Parameter &lt;x, y&gt;'!B693-B693)/B693</f>
        <v>1.71213307146733</v>
      </c>
      <c r="F693" s="5">
        <f>100*('Parameter &lt;x, y&gt;'!G693-B693)/B693</f>
        <v>0</v>
      </c>
      <c r="G693" s="5">
        <f>100*('Parameter &lt;x, y&gt;'!L693-B693)/B693</f>
        <v>5.4859807249974786</v>
      </c>
      <c r="H693" s="5">
        <f>100*('Parameter &lt;x, y&gt;'!Q693-B693)/B693</f>
        <v>17.438499104437476</v>
      </c>
      <c r="J693" s="5">
        <f>100*('Parameter &lt;x, y&gt;'!D693-C693)/C693</f>
        <v>30.724051284634196</v>
      </c>
      <c r="K693" s="5">
        <f>100*('Parameter &lt;x, y&gt;'!I693-C693)/C693</f>
        <v>5.2907565658770261</v>
      </c>
      <c r="L693" s="5">
        <f>100*('Parameter &lt;x, y&gt;'!N693-C693)/C693</f>
        <v>0</v>
      </c>
      <c r="M693" s="5">
        <f>100*('Parameter &lt;x, y&gt;'!S693-C693)/C693</f>
        <v>12.437531129504334</v>
      </c>
    </row>
    <row r="694" spans="1:13" ht="12.75" customHeight="1">
      <c r="A694" s="40"/>
      <c r="B694" s="5">
        <f>MIN('Parameter &lt;x, y&gt;'!B694,'Parameter &lt;x, y&gt;'!G694,'Parameter &lt;x, y&gt;'!L694,'Parameter &lt;x, y&gt;'!Q694)</f>
        <v>381047</v>
      </c>
      <c r="C694" s="5">
        <f>MIN('Parameter &lt;x, y&gt;'!D694,'Parameter &lt;x, y&gt;'!I694,'Parameter &lt;x, y&gt;'!N694,'Parameter &lt;x, y&gt;'!S694)</f>
        <v>316650</v>
      </c>
      <c r="E694" s="5">
        <f>100*('Parameter &lt;x, y&gt;'!B694-B694)/B694</f>
        <v>4.0010812314491391</v>
      </c>
      <c r="F694" s="5">
        <f>100*('Parameter &lt;x, y&gt;'!G694-B694)/B694</f>
        <v>7.7869659123415218</v>
      </c>
      <c r="G694" s="5">
        <f>100*('Parameter &lt;x, y&gt;'!L694-B694)/B694</f>
        <v>0</v>
      </c>
      <c r="H694" s="5">
        <f>100*('Parameter &lt;x, y&gt;'!Q694-B694)/B694</f>
        <v>23.486341579910089</v>
      </c>
      <c r="J694" s="5">
        <f>100*('Parameter &lt;x, y&gt;'!D694-C694)/C694</f>
        <v>7.8755723985472921</v>
      </c>
      <c r="K694" s="5">
        <f>100*('Parameter &lt;x, y&gt;'!I694-C694)/C694</f>
        <v>0</v>
      </c>
      <c r="L694" s="5">
        <f>100*('Parameter &lt;x, y&gt;'!N694-C694)/C694</f>
        <v>6.5207642507500392</v>
      </c>
      <c r="M694" s="5">
        <f>100*('Parameter &lt;x, y&gt;'!S694-C694)/C694</f>
        <v>13.196273488078321</v>
      </c>
    </row>
    <row r="695" spans="1:13" ht="12.75" customHeight="1">
      <c r="A695" s="40"/>
      <c r="B695" s="5">
        <f>MIN('Parameter &lt;x, y&gt;'!B695,'Parameter &lt;x, y&gt;'!G695,'Parameter &lt;x, y&gt;'!L695,'Parameter &lt;x, y&gt;'!Q695)</f>
        <v>449727</v>
      </c>
      <c r="C695" s="5">
        <f>MIN('Parameter &lt;x, y&gt;'!D695,'Parameter &lt;x, y&gt;'!I695,'Parameter &lt;x, y&gt;'!N695,'Parameter &lt;x, y&gt;'!S695)</f>
        <v>348354</v>
      </c>
      <c r="E695" s="5">
        <f>100*('Parameter &lt;x, y&gt;'!B695-B695)/B695</f>
        <v>16.833545684381857</v>
      </c>
      <c r="F695" s="5">
        <f>100*('Parameter &lt;x, y&gt;'!G695-B695)/B695</f>
        <v>0</v>
      </c>
      <c r="G695" s="5">
        <f>100*('Parameter &lt;x, y&gt;'!L695-B695)/B695</f>
        <v>18.200152536983548</v>
      </c>
      <c r="H695" s="5">
        <f>100*('Parameter &lt;x, y&gt;'!Q695-B695)/B695</f>
        <v>9.741243020765932</v>
      </c>
      <c r="J695" s="5">
        <f>100*('Parameter &lt;x, y&gt;'!D695-C695)/C695</f>
        <v>18.377857007526828</v>
      </c>
      <c r="K695" s="5">
        <f>100*('Parameter &lt;x, y&gt;'!I695-C695)/C695</f>
        <v>21.545324583613223</v>
      </c>
      <c r="L695" s="5">
        <f>100*('Parameter &lt;x, y&gt;'!N695-C695)/C695</f>
        <v>0</v>
      </c>
      <c r="M695" s="5">
        <f>100*('Parameter &lt;x, y&gt;'!S695-C695)/C695</f>
        <v>15.118528852833611</v>
      </c>
    </row>
    <row r="696" spans="1:13" ht="12.75" customHeight="1">
      <c r="A696" s="40"/>
      <c r="B696" s="5">
        <f>MIN('Parameter &lt;x, y&gt;'!B696,'Parameter &lt;x, y&gt;'!G696,'Parameter &lt;x, y&gt;'!L696,'Parameter &lt;x, y&gt;'!Q696)</f>
        <v>436168</v>
      </c>
      <c r="C696" s="5">
        <f>MIN('Parameter &lt;x, y&gt;'!D696,'Parameter &lt;x, y&gt;'!I696,'Parameter &lt;x, y&gt;'!N696,'Parameter &lt;x, y&gt;'!S696)</f>
        <v>337790</v>
      </c>
      <c r="E696" s="5">
        <f>100*('Parameter &lt;x, y&gt;'!B696-B696)/B696</f>
        <v>6.8838154105757416</v>
      </c>
      <c r="F696" s="5">
        <f>100*('Parameter &lt;x, y&gt;'!G696-B696)/B696</f>
        <v>1.7406137084793016</v>
      </c>
      <c r="G696" s="5">
        <f>100*('Parameter &lt;x, y&gt;'!L696-B696)/B696</f>
        <v>3.2819922598631721</v>
      </c>
      <c r="H696" s="5">
        <f>100*('Parameter &lt;x, y&gt;'!Q696-B696)/B696</f>
        <v>0</v>
      </c>
      <c r="J696" s="5">
        <f>100*('Parameter &lt;x, y&gt;'!D696-C696)/C696</f>
        <v>4.9175523254092779</v>
      </c>
      <c r="K696" s="5">
        <f>100*('Parameter &lt;x, y&gt;'!I696-C696)/C696</f>
        <v>7.7098197104710025</v>
      </c>
      <c r="L696" s="5">
        <f>100*('Parameter &lt;x, y&gt;'!N696-C696)/C696</f>
        <v>0</v>
      </c>
      <c r="M696" s="5">
        <f>100*('Parameter &lt;x, y&gt;'!S696-C696)/C696</f>
        <v>11.875721602178869</v>
      </c>
    </row>
    <row r="697" spans="1:13" ht="12.75" customHeight="1">
      <c r="A697" s="40"/>
      <c r="B697" s="5">
        <f>MIN('Parameter &lt;x, y&gt;'!B697,'Parameter &lt;x, y&gt;'!G697,'Parameter &lt;x, y&gt;'!L697,'Parameter &lt;x, y&gt;'!Q697)</f>
        <v>425085</v>
      </c>
      <c r="C697" s="5">
        <f>MIN('Parameter &lt;x, y&gt;'!D697,'Parameter &lt;x, y&gt;'!I697,'Parameter &lt;x, y&gt;'!N697,'Parameter &lt;x, y&gt;'!S697)</f>
        <v>323983</v>
      </c>
      <c r="E697" s="5">
        <f>100*('Parameter &lt;x, y&gt;'!B697-B697)/B697</f>
        <v>0</v>
      </c>
      <c r="F697" s="5">
        <f>100*('Parameter &lt;x, y&gt;'!G697-B697)/B697</f>
        <v>8.8457602597127636</v>
      </c>
      <c r="G697" s="5">
        <f>100*('Parameter &lt;x, y&gt;'!L697-B697)/B697</f>
        <v>9.3922391992189791</v>
      </c>
      <c r="H697" s="5">
        <f>100*('Parameter &lt;x, y&gt;'!Q697-B697)/B697</f>
        <v>2.2080289824388064</v>
      </c>
      <c r="J697" s="5">
        <f>100*('Parameter &lt;x, y&gt;'!D697-C697)/C697</f>
        <v>14.574530145100207</v>
      </c>
      <c r="K697" s="5">
        <f>100*('Parameter &lt;x, y&gt;'!I697-C697)/C697</f>
        <v>24.932172367068642</v>
      </c>
      <c r="L697" s="5">
        <f>100*('Parameter &lt;x, y&gt;'!N697-C697)/C697</f>
        <v>0</v>
      </c>
      <c r="M697" s="5">
        <f>100*('Parameter &lt;x, y&gt;'!S697-C697)/C697</f>
        <v>22.825889012695111</v>
      </c>
    </row>
    <row r="698" spans="1:13" ht="12.75" customHeight="1">
      <c r="A698" s="40"/>
      <c r="B698" s="5">
        <f>MIN('Parameter &lt;x, y&gt;'!B698,'Parameter &lt;x, y&gt;'!G698,'Parameter &lt;x, y&gt;'!L698,'Parameter &lt;x, y&gt;'!Q698)</f>
        <v>459117</v>
      </c>
      <c r="C698" s="5">
        <f>MIN('Parameter &lt;x, y&gt;'!D698,'Parameter &lt;x, y&gt;'!I698,'Parameter &lt;x, y&gt;'!N698,'Parameter &lt;x, y&gt;'!S698)</f>
        <v>369729</v>
      </c>
      <c r="E698" s="5">
        <f>100*('Parameter &lt;x, y&gt;'!B698-B698)/B698</f>
        <v>0</v>
      </c>
      <c r="F698" s="5">
        <f>100*('Parameter &lt;x, y&gt;'!G698-B698)/B698</f>
        <v>12.919364780655039</v>
      </c>
      <c r="G698" s="5">
        <f>100*('Parameter &lt;x, y&gt;'!L698-B698)/B698</f>
        <v>2.414417240049922</v>
      </c>
      <c r="H698" s="5">
        <f>100*('Parameter &lt;x, y&gt;'!Q698-B698)/B698</f>
        <v>5.5282204753908042</v>
      </c>
      <c r="J698" s="5">
        <f>100*('Parameter &lt;x, y&gt;'!D698-C698)/C698</f>
        <v>30.489899358719494</v>
      </c>
      <c r="K698" s="5">
        <f>100*('Parameter &lt;x, y&gt;'!I698-C698)/C698</f>
        <v>39.709084221145758</v>
      </c>
      <c r="L698" s="5">
        <f>100*('Parameter &lt;x, y&gt;'!N698-C698)/C698</f>
        <v>0</v>
      </c>
      <c r="M698" s="5">
        <f>100*('Parameter &lt;x, y&gt;'!S698-C698)/C698</f>
        <v>15.943839947637324</v>
      </c>
    </row>
    <row r="699" spans="1:13" ht="12.75" customHeight="1">
      <c r="A699" s="40"/>
      <c r="B699" s="5">
        <f>MIN('Parameter &lt;x, y&gt;'!B699,'Parameter &lt;x, y&gt;'!G699,'Parameter &lt;x, y&gt;'!L699,'Parameter &lt;x, y&gt;'!Q699)</f>
        <v>437045</v>
      </c>
      <c r="C699" s="5">
        <f>MIN('Parameter &lt;x, y&gt;'!D699,'Parameter &lt;x, y&gt;'!I699,'Parameter &lt;x, y&gt;'!N699,'Parameter &lt;x, y&gt;'!S699)</f>
        <v>336976</v>
      </c>
      <c r="E699" s="5">
        <f>100*('Parameter &lt;x, y&gt;'!B699-B699)/B699</f>
        <v>0</v>
      </c>
      <c r="F699" s="5">
        <f>100*('Parameter &lt;x, y&gt;'!G699-B699)/B699</f>
        <v>2.9614799391367024</v>
      </c>
      <c r="G699" s="5">
        <f>100*('Parameter &lt;x, y&gt;'!L699-B699)/B699</f>
        <v>2.0773604548730682</v>
      </c>
      <c r="H699" s="5">
        <f>100*('Parameter &lt;x, y&gt;'!Q699-B699)/B699</f>
        <v>8.056607443169467</v>
      </c>
      <c r="J699" s="5">
        <f>100*('Parameter &lt;x, y&gt;'!D699-C699)/C699</f>
        <v>11.280328569393665</v>
      </c>
      <c r="K699" s="5">
        <f>100*('Parameter &lt;x, y&gt;'!I699-C699)/C699</f>
        <v>15.371124353069655</v>
      </c>
      <c r="L699" s="5">
        <f>100*('Parameter &lt;x, y&gt;'!N699-C699)/C699</f>
        <v>0</v>
      </c>
      <c r="M699" s="5">
        <f>100*('Parameter &lt;x, y&gt;'!S699-C699)/C699</f>
        <v>23.668451165661651</v>
      </c>
    </row>
    <row r="700" spans="1:13" ht="12.75" customHeight="1">
      <c r="A700" s="40"/>
      <c r="B700" s="5">
        <f>MIN('Parameter &lt;x, y&gt;'!B700,'Parameter &lt;x, y&gt;'!G700,'Parameter &lt;x, y&gt;'!L700,'Parameter &lt;x, y&gt;'!Q700)</f>
        <v>411954</v>
      </c>
      <c r="C700" s="5">
        <f>MIN('Parameter &lt;x, y&gt;'!D700,'Parameter &lt;x, y&gt;'!I700,'Parameter &lt;x, y&gt;'!N700,'Parameter &lt;x, y&gt;'!S700)</f>
        <v>332724</v>
      </c>
      <c r="E700" s="5">
        <f>100*('Parameter &lt;x, y&gt;'!B700-B700)/B700</f>
        <v>0</v>
      </c>
      <c r="F700" s="5">
        <f>100*('Parameter &lt;x, y&gt;'!G700-B700)/B700</f>
        <v>5.3945343412128537</v>
      </c>
      <c r="G700" s="5">
        <f>100*('Parameter &lt;x, y&gt;'!L700-B700)/B700</f>
        <v>5.91231059778519</v>
      </c>
      <c r="H700" s="5">
        <f>100*('Parameter &lt;x, y&gt;'!Q700-B700)/B700</f>
        <v>4.935502507561524</v>
      </c>
      <c r="J700" s="5">
        <f>100*('Parameter &lt;x, y&gt;'!D700-C700)/C700</f>
        <v>12.864115603322874</v>
      </c>
      <c r="K700" s="5">
        <f>100*('Parameter &lt;x, y&gt;'!I700-C700)/C700</f>
        <v>13.350404539498202</v>
      </c>
      <c r="L700" s="5">
        <f>100*('Parameter &lt;x, y&gt;'!N700-C700)/C700</f>
        <v>0</v>
      </c>
      <c r="M700" s="5">
        <f>100*('Parameter &lt;x, y&gt;'!S700-C700)/C700</f>
        <v>14.218391219148604</v>
      </c>
    </row>
    <row r="701" spans="1:13" ht="12.75" customHeight="1">
      <c r="A701" s="40"/>
      <c r="B701" s="5">
        <f>MIN('Parameter &lt;x, y&gt;'!B701,'Parameter &lt;x, y&gt;'!G701,'Parameter &lt;x, y&gt;'!L701,'Parameter &lt;x, y&gt;'!Q701)</f>
        <v>445454</v>
      </c>
      <c r="C701" s="5">
        <f>MIN('Parameter &lt;x, y&gt;'!D701,'Parameter &lt;x, y&gt;'!I701,'Parameter &lt;x, y&gt;'!N701,'Parameter &lt;x, y&gt;'!S701)</f>
        <v>367464</v>
      </c>
      <c r="E701" s="5">
        <f>100*('Parameter &lt;x, y&gt;'!B701-B701)/B701</f>
        <v>0</v>
      </c>
      <c r="F701" s="5">
        <f>100*('Parameter &lt;x, y&gt;'!G701-B701)/B701</f>
        <v>10.397482119365861</v>
      </c>
      <c r="G701" s="5">
        <f>100*('Parameter &lt;x, y&gt;'!L701-B701)/B701</f>
        <v>0.18677573890906804</v>
      </c>
      <c r="H701" s="5">
        <f>100*('Parameter &lt;x, y&gt;'!Q701-B701)/B701</f>
        <v>3.8172291639540785</v>
      </c>
      <c r="J701" s="5">
        <f>100*('Parameter &lt;x, y&gt;'!D701-C701)/C701</f>
        <v>9.375612304878846</v>
      </c>
      <c r="K701" s="5">
        <f>100*('Parameter &lt;x, y&gt;'!I701-C701)/C701</f>
        <v>4.4967670302396971</v>
      </c>
      <c r="L701" s="5">
        <f>100*('Parameter &lt;x, y&gt;'!N701-C701)/C701</f>
        <v>0</v>
      </c>
      <c r="M701" s="5">
        <f>100*('Parameter &lt;x, y&gt;'!S701-C701)/C701</f>
        <v>6.5249929244769556</v>
      </c>
    </row>
    <row r="702" spans="1:13" ht="12.75" customHeight="1">
      <c r="A702" s="40"/>
      <c r="B702" s="5">
        <f>MIN('Parameter &lt;x, y&gt;'!B702,'Parameter &lt;x, y&gt;'!G702,'Parameter &lt;x, y&gt;'!L702,'Parameter &lt;x, y&gt;'!Q702)</f>
        <v>469744</v>
      </c>
      <c r="C702" s="5">
        <f>MIN('Parameter &lt;x, y&gt;'!D702,'Parameter &lt;x, y&gt;'!I702,'Parameter &lt;x, y&gt;'!N702,'Parameter &lt;x, y&gt;'!S702)</f>
        <v>391554</v>
      </c>
      <c r="E702" s="5">
        <f>100*('Parameter &lt;x, y&gt;'!B702-B702)/B702</f>
        <v>16.783396914063829</v>
      </c>
      <c r="F702" s="5">
        <f>100*('Parameter &lt;x, y&gt;'!G702-B702)/B702</f>
        <v>0</v>
      </c>
      <c r="G702" s="5">
        <f>100*('Parameter &lt;x, y&gt;'!L702-B702)/B702</f>
        <v>5.7684611192479309</v>
      </c>
      <c r="H702" s="5">
        <f>100*('Parameter &lt;x, y&gt;'!Q702-B702)/B702</f>
        <v>1.6602660172349195</v>
      </c>
      <c r="J702" s="5">
        <f>100*('Parameter &lt;x, y&gt;'!D702-C702)/C702</f>
        <v>7.2184168722577216</v>
      </c>
      <c r="K702" s="5">
        <f>100*('Parameter &lt;x, y&gt;'!I702-C702)/C702</f>
        <v>7.4446947292072103</v>
      </c>
      <c r="L702" s="5">
        <f>100*('Parameter &lt;x, y&gt;'!N702-C702)/C702</f>
        <v>0</v>
      </c>
      <c r="M702" s="5">
        <f>100*('Parameter &lt;x, y&gt;'!S702-C702)/C702</f>
        <v>9.1619546729186787</v>
      </c>
    </row>
    <row r="703" spans="1:13" ht="12.75" customHeight="1">
      <c r="A703" s="40"/>
      <c r="B703" s="5">
        <f>MIN('Parameter &lt;x, y&gt;'!B703,'Parameter &lt;x, y&gt;'!G703,'Parameter &lt;x, y&gt;'!L703,'Parameter &lt;x, y&gt;'!Q703)</f>
        <v>421117</v>
      </c>
      <c r="C703" s="5">
        <f>MIN('Parameter &lt;x, y&gt;'!D703,'Parameter &lt;x, y&gt;'!I703,'Parameter &lt;x, y&gt;'!N703,'Parameter &lt;x, y&gt;'!S703)</f>
        <v>381081</v>
      </c>
      <c r="E703" s="5">
        <f>100*('Parameter &lt;x, y&gt;'!B703-B703)/B703</f>
        <v>2.5380120014152836</v>
      </c>
      <c r="F703" s="5">
        <f>100*('Parameter &lt;x, y&gt;'!G703-B703)/B703</f>
        <v>0</v>
      </c>
      <c r="G703" s="5">
        <f>100*('Parameter &lt;x, y&gt;'!L703-B703)/B703</f>
        <v>0.75869651427038087</v>
      </c>
      <c r="H703" s="5">
        <f>100*('Parameter &lt;x, y&gt;'!Q703-B703)/B703</f>
        <v>5.7527955413816114</v>
      </c>
      <c r="J703" s="5">
        <f>100*('Parameter &lt;x, y&gt;'!D703-C703)/C703</f>
        <v>0</v>
      </c>
      <c r="K703" s="5">
        <f>100*('Parameter &lt;x, y&gt;'!I703-C703)/C703</f>
        <v>3.8283199634723326</v>
      </c>
      <c r="L703" s="5">
        <f>100*('Parameter &lt;x, y&gt;'!N703-C703)/C703</f>
        <v>1.3658513544364583</v>
      </c>
      <c r="M703" s="5">
        <f>100*('Parameter &lt;x, y&gt;'!S703-C703)/C703</f>
        <v>17.14937244312889</v>
      </c>
    </row>
    <row r="704" spans="1:13" ht="12.75" customHeight="1">
      <c r="A704" s="40"/>
      <c r="B704" s="5">
        <f>MIN('Parameter &lt;x, y&gt;'!B704,'Parameter &lt;x, y&gt;'!G704,'Parameter &lt;x, y&gt;'!L704,'Parameter &lt;x, y&gt;'!Q704)</f>
        <v>433151</v>
      </c>
      <c r="C704" s="5">
        <f>MIN('Parameter &lt;x, y&gt;'!D704,'Parameter &lt;x, y&gt;'!I704,'Parameter &lt;x, y&gt;'!N704,'Parameter &lt;x, y&gt;'!S704)</f>
        <v>395080</v>
      </c>
      <c r="E704" s="5">
        <f>100*('Parameter &lt;x, y&gt;'!B704-B704)/B704</f>
        <v>4.9195315259574608</v>
      </c>
      <c r="F704" s="5">
        <f>100*('Parameter &lt;x, y&gt;'!G704-B704)/B704</f>
        <v>1.1850370886826995</v>
      </c>
      <c r="G704" s="5">
        <f>100*('Parameter &lt;x, y&gt;'!L704-B704)/B704</f>
        <v>0</v>
      </c>
      <c r="H704" s="5">
        <f>100*('Parameter &lt;x, y&gt;'!Q704-B704)/B704</f>
        <v>14.573670613712077</v>
      </c>
      <c r="J704" s="5">
        <f>100*('Parameter &lt;x, y&gt;'!D704-C704)/C704</f>
        <v>5.1736357193479803</v>
      </c>
      <c r="K704" s="5">
        <f>100*('Parameter &lt;x, y&gt;'!I704-C704)/C704</f>
        <v>3.1059532246633594</v>
      </c>
      <c r="L704" s="5">
        <f>100*('Parameter &lt;x, y&gt;'!N704-C704)/C704</f>
        <v>0</v>
      </c>
      <c r="M704" s="5">
        <f>100*('Parameter &lt;x, y&gt;'!S704-C704)/C704</f>
        <v>0.7699706388579528</v>
      </c>
    </row>
    <row r="705" spans="1:13" ht="12.75" customHeight="1">
      <c r="A705" s="40"/>
      <c r="B705" s="5">
        <f>MIN('Parameter &lt;x, y&gt;'!B705,'Parameter &lt;x, y&gt;'!G705,'Parameter &lt;x, y&gt;'!L705,'Parameter &lt;x, y&gt;'!Q705)</f>
        <v>405268</v>
      </c>
      <c r="C705" s="5">
        <f>MIN('Parameter &lt;x, y&gt;'!D705,'Parameter &lt;x, y&gt;'!I705,'Parameter &lt;x, y&gt;'!N705,'Parameter &lt;x, y&gt;'!S705)</f>
        <v>396687</v>
      </c>
      <c r="E705" s="5">
        <f>100*('Parameter &lt;x, y&gt;'!B705-B705)/B705</f>
        <v>0</v>
      </c>
      <c r="F705" s="5">
        <f>100*('Parameter &lt;x, y&gt;'!G705-B705)/B705</f>
        <v>2.1662208711272539</v>
      </c>
      <c r="G705" s="5">
        <f>100*('Parameter &lt;x, y&gt;'!L705-B705)/B705</f>
        <v>15.33405055420117</v>
      </c>
      <c r="H705" s="5">
        <f>100*('Parameter &lt;x, y&gt;'!Q705-B705)/B705</f>
        <v>1.6068379442739125</v>
      </c>
      <c r="J705" s="5">
        <f>100*('Parameter &lt;x, y&gt;'!D705-C705)/C705</f>
        <v>10.958765979222914</v>
      </c>
      <c r="K705" s="5">
        <f>100*('Parameter &lt;x, y&gt;'!I705-C705)/C705</f>
        <v>6.4786594972862738E-2</v>
      </c>
      <c r="L705" s="5">
        <f>100*('Parameter &lt;x, y&gt;'!N705-C705)/C705</f>
        <v>0</v>
      </c>
      <c r="M705" s="5">
        <f>100*('Parameter &lt;x, y&gt;'!S705-C705)/C705</f>
        <v>22.433051751128723</v>
      </c>
    </row>
    <row r="706" spans="1:13" ht="12.75" customHeight="1">
      <c r="A706" s="40"/>
      <c r="B706" s="5">
        <f>MIN('Parameter &lt;x, y&gt;'!B706,'Parameter &lt;x, y&gt;'!G706,'Parameter &lt;x, y&gt;'!L706,'Parameter &lt;x, y&gt;'!Q706)</f>
        <v>438790</v>
      </c>
      <c r="C706" s="5">
        <f>MIN('Parameter &lt;x, y&gt;'!D706,'Parameter &lt;x, y&gt;'!I706,'Parameter &lt;x, y&gt;'!N706,'Parameter &lt;x, y&gt;'!S706)</f>
        <v>381633</v>
      </c>
      <c r="E706" s="5">
        <f>100*('Parameter &lt;x, y&gt;'!B706-B706)/B706</f>
        <v>0</v>
      </c>
      <c r="F706" s="5">
        <f>100*('Parameter &lt;x, y&gt;'!G706-B706)/B706</f>
        <v>3.0791494792497551</v>
      </c>
      <c r="G706" s="5">
        <f>100*('Parameter &lt;x, y&gt;'!L706-B706)/B706</f>
        <v>1.8651291050388568</v>
      </c>
      <c r="H706" s="5">
        <f>100*('Parameter &lt;x, y&gt;'!Q706-B706)/B706</f>
        <v>5.2188974224572116</v>
      </c>
      <c r="J706" s="5">
        <f>100*('Parameter &lt;x, y&gt;'!D706-C706)/C706</f>
        <v>1.0096087078423512</v>
      </c>
      <c r="K706" s="5">
        <f>100*('Parameter &lt;x, y&gt;'!I706-C706)/C706</f>
        <v>13.584517062203741</v>
      </c>
      <c r="L706" s="5">
        <f>100*('Parameter &lt;x, y&gt;'!N706-C706)/C706</f>
        <v>0.92785477146892437</v>
      </c>
      <c r="M706" s="5">
        <f>100*('Parameter &lt;x, y&gt;'!S706-C706)/C706</f>
        <v>0</v>
      </c>
    </row>
    <row r="707" spans="1:13" ht="12.75" customHeight="1">
      <c r="A707" s="40"/>
      <c r="B707" s="5">
        <f>MIN('Parameter &lt;x, y&gt;'!B707,'Parameter &lt;x, y&gt;'!G707,'Parameter &lt;x, y&gt;'!L707,'Parameter &lt;x, y&gt;'!Q707)</f>
        <v>433744</v>
      </c>
      <c r="C707" s="5">
        <f>MIN('Parameter &lt;x, y&gt;'!D707,'Parameter &lt;x, y&gt;'!I707,'Parameter &lt;x, y&gt;'!N707,'Parameter &lt;x, y&gt;'!S707)</f>
        <v>350734</v>
      </c>
      <c r="E707" s="5">
        <f>100*('Parameter &lt;x, y&gt;'!B707-B707)/B707</f>
        <v>26.692242428713712</v>
      </c>
      <c r="F707" s="5">
        <f>100*('Parameter &lt;x, y&gt;'!G707-B707)/B707</f>
        <v>2.8763510273340955</v>
      </c>
      <c r="G707" s="5">
        <f>100*('Parameter &lt;x, y&gt;'!L707-B707)/B707</f>
        <v>3.4280589472131027</v>
      </c>
      <c r="H707" s="5">
        <f>100*('Parameter &lt;x, y&gt;'!Q707-B707)/B707</f>
        <v>0</v>
      </c>
      <c r="J707" s="5">
        <f>100*('Parameter &lt;x, y&gt;'!D707-C707)/C707</f>
        <v>13.03808584283246</v>
      </c>
      <c r="K707" s="5">
        <f>100*('Parameter &lt;x, y&gt;'!I707-C707)/C707</f>
        <v>16.958435737624523</v>
      </c>
      <c r="L707" s="5">
        <f>100*('Parameter &lt;x, y&gt;'!N707-C707)/C707</f>
        <v>0</v>
      </c>
      <c r="M707" s="5">
        <f>100*('Parameter &lt;x, y&gt;'!S707-C707)/C707</f>
        <v>20.106690540409542</v>
      </c>
    </row>
    <row r="708" spans="1:13" ht="12.75" customHeight="1">
      <c r="A708" s="40"/>
      <c r="B708" s="5">
        <f>MIN('Parameter &lt;x, y&gt;'!B708,'Parameter &lt;x, y&gt;'!G708,'Parameter &lt;x, y&gt;'!L708,'Parameter &lt;x, y&gt;'!Q708)</f>
        <v>440881</v>
      </c>
      <c r="C708" s="5">
        <f>MIN('Parameter &lt;x, y&gt;'!D708,'Parameter &lt;x, y&gt;'!I708,'Parameter &lt;x, y&gt;'!N708,'Parameter &lt;x, y&gt;'!S708)</f>
        <v>364522</v>
      </c>
      <c r="E708" s="5">
        <f>100*('Parameter &lt;x, y&gt;'!B708-B708)/B708</f>
        <v>0</v>
      </c>
      <c r="F708" s="5">
        <f>100*('Parameter &lt;x, y&gt;'!G708-B708)/B708</f>
        <v>1.2951340611185331</v>
      </c>
      <c r="G708" s="5">
        <f>100*('Parameter &lt;x, y&gt;'!L708-B708)/B708</f>
        <v>4.9802554430787449</v>
      </c>
      <c r="H708" s="5">
        <f>100*('Parameter &lt;x, y&gt;'!Q708-B708)/B708</f>
        <v>10.138109830090206</v>
      </c>
      <c r="J708" s="5">
        <f>100*('Parameter &lt;x, y&gt;'!D708-C708)/C708</f>
        <v>3.8680792928821854</v>
      </c>
      <c r="K708" s="5">
        <f>100*('Parameter &lt;x, y&gt;'!I708-C708)/C708</f>
        <v>0</v>
      </c>
      <c r="L708" s="5">
        <f>100*('Parameter &lt;x, y&gt;'!N708-C708)/C708</f>
        <v>0.2521109836992006</v>
      </c>
      <c r="M708" s="5">
        <f>100*('Parameter &lt;x, y&gt;'!S708-C708)/C708</f>
        <v>6.8892961193014415</v>
      </c>
    </row>
    <row r="709" spans="1:13" ht="12.75" customHeight="1">
      <c r="A709" s="40"/>
      <c r="B709" s="5">
        <f>MIN('Parameter &lt;x, y&gt;'!B709,'Parameter &lt;x, y&gt;'!G709,'Parameter &lt;x, y&gt;'!L709,'Parameter &lt;x, y&gt;'!Q709)</f>
        <v>443037</v>
      </c>
      <c r="C709" s="5">
        <f>MIN('Parameter &lt;x, y&gt;'!D709,'Parameter &lt;x, y&gt;'!I709,'Parameter &lt;x, y&gt;'!N709,'Parameter &lt;x, y&gt;'!S709)</f>
        <v>350985</v>
      </c>
      <c r="E709" s="5">
        <f>100*('Parameter &lt;x, y&gt;'!B709-B709)/B709</f>
        <v>1.9350528285447943</v>
      </c>
      <c r="F709" s="5">
        <f>100*('Parameter &lt;x, y&gt;'!G709-B709)/B709</f>
        <v>1.2470741721346073</v>
      </c>
      <c r="G709" s="5">
        <f>100*('Parameter &lt;x, y&gt;'!L709-B709)/B709</f>
        <v>0</v>
      </c>
      <c r="H709" s="5">
        <f>100*('Parameter &lt;x, y&gt;'!Q709-B709)/B709</f>
        <v>1.0335479880912881</v>
      </c>
      <c r="J709" s="5">
        <f>100*('Parameter &lt;x, y&gt;'!D709-C709)/C709</f>
        <v>4.7751328404347761</v>
      </c>
      <c r="K709" s="5">
        <f>100*('Parameter &lt;x, y&gt;'!I709-C709)/C709</f>
        <v>16.794734817727253</v>
      </c>
      <c r="L709" s="5">
        <f>100*('Parameter &lt;x, y&gt;'!N709-C709)/C709</f>
        <v>0</v>
      </c>
      <c r="M709" s="5">
        <f>100*('Parameter &lt;x, y&gt;'!S709-C709)/C709</f>
        <v>13.068934569853413</v>
      </c>
    </row>
    <row r="710" spans="1:13" ht="12.75" customHeight="1">
      <c r="A710" s="40"/>
      <c r="B710" s="5">
        <f>MIN('Parameter &lt;x, y&gt;'!B710,'Parameter &lt;x, y&gt;'!G710,'Parameter &lt;x, y&gt;'!L710,'Parameter &lt;x, y&gt;'!Q710)</f>
        <v>427339</v>
      </c>
      <c r="C710" s="5">
        <f>MIN('Parameter &lt;x, y&gt;'!D710,'Parameter &lt;x, y&gt;'!I710,'Parameter &lt;x, y&gt;'!N710,'Parameter &lt;x, y&gt;'!S710)</f>
        <v>368335</v>
      </c>
      <c r="E710" s="5">
        <f>100*('Parameter &lt;x, y&gt;'!B710-B710)/B710</f>
        <v>2.6072977191410098</v>
      </c>
      <c r="F710" s="5">
        <f>100*('Parameter &lt;x, y&gt;'!G710-B710)/B710</f>
        <v>1.0343076573867585</v>
      </c>
      <c r="G710" s="5">
        <f>100*('Parameter &lt;x, y&gt;'!L710-B710)/B710</f>
        <v>5.7450876236430561</v>
      </c>
      <c r="H710" s="5">
        <f>100*('Parameter &lt;x, y&gt;'!Q710-B710)/B710</f>
        <v>0</v>
      </c>
      <c r="J710" s="5">
        <f>100*('Parameter &lt;x, y&gt;'!D710-C710)/C710</f>
        <v>3.9187152999307697</v>
      </c>
      <c r="K710" s="5">
        <f>100*('Parameter &lt;x, y&gt;'!I710-C710)/C710</f>
        <v>13.829530183121344</v>
      </c>
      <c r="L710" s="5">
        <f>100*('Parameter &lt;x, y&gt;'!N710-C710)/C710</f>
        <v>0</v>
      </c>
      <c r="M710" s="5">
        <f>100*('Parameter &lt;x, y&gt;'!S710-C710)/C710</f>
        <v>25.5702010398143</v>
      </c>
    </row>
    <row r="711" spans="1:13" ht="12.75" customHeight="1">
      <c r="A711" s="40"/>
      <c r="B711" s="5">
        <f>MIN('Parameter &lt;x, y&gt;'!B711,'Parameter &lt;x, y&gt;'!G711,'Parameter &lt;x, y&gt;'!L711,'Parameter &lt;x, y&gt;'!Q711)</f>
        <v>484345</v>
      </c>
      <c r="C711" s="5">
        <f>MIN('Parameter &lt;x, y&gt;'!D711,'Parameter &lt;x, y&gt;'!I711,'Parameter &lt;x, y&gt;'!N711,'Parameter &lt;x, y&gt;'!S711)</f>
        <v>408854</v>
      </c>
      <c r="E711" s="5">
        <f>100*('Parameter &lt;x, y&gt;'!B711-B711)/B711</f>
        <v>0</v>
      </c>
      <c r="F711" s="5">
        <f>100*('Parameter &lt;x, y&gt;'!G711-B711)/B711</f>
        <v>3.8375538097843478</v>
      </c>
      <c r="G711" s="5">
        <f>100*('Parameter &lt;x, y&gt;'!L711-B711)/B711</f>
        <v>10.733464782334906</v>
      </c>
      <c r="H711" s="5">
        <f>100*('Parameter &lt;x, y&gt;'!Q711-B711)/B711</f>
        <v>0.83308385551621267</v>
      </c>
      <c r="J711" s="5">
        <f>100*('Parameter &lt;x, y&gt;'!D711-C711)/C711</f>
        <v>0.78267547828809303</v>
      </c>
      <c r="K711" s="5">
        <f>100*('Parameter &lt;x, y&gt;'!I711-C711)/C711</f>
        <v>6.3039618054366597</v>
      </c>
      <c r="L711" s="5">
        <f>100*('Parameter &lt;x, y&gt;'!N711-C711)/C711</f>
        <v>0</v>
      </c>
      <c r="M711" s="5">
        <f>100*('Parameter &lt;x, y&gt;'!S711-C711)/C711</f>
        <v>3.7010766679548199</v>
      </c>
    </row>
    <row r="712" spans="1:13" ht="12.75" customHeight="1">
      <c r="A712" s="40"/>
      <c r="B712" s="5">
        <f>MIN('Parameter &lt;x, y&gt;'!B712,'Parameter &lt;x, y&gt;'!G712,'Parameter &lt;x, y&gt;'!L712,'Parameter &lt;x, y&gt;'!Q712)</f>
        <v>457119</v>
      </c>
      <c r="C712" s="5">
        <f>MIN('Parameter &lt;x, y&gt;'!D712,'Parameter &lt;x, y&gt;'!I712,'Parameter &lt;x, y&gt;'!N712,'Parameter &lt;x, y&gt;'!S712)</f>
        <v>364327</v>
      </c>
      <c r="E712" s="5">
        <f>100*('Parameter &lt;x, y&gt;'!B712-B712)/B712</f>
        <v>1.0736810327288955</v>
      </c>
      <c r="F712" s="5">
        <f>100*('Parameter &lt;x, y&gt;'!G712-B712)/B712</f>
        <v>4.1039641756304155</v>
      </c>
      <c r="G712" s="5">
        <f>100*('Parameter &lt;x, y&gt;'!L712-B712)/B712</f>
        <v>1.0743373169787298</v>
      </c>
      <c r="H712" s="5">
        <f>100*('Parameter &lt;x, y&gt;'!Q712-B712)/B712</f>
        <v>0</v>
      </c>
      <c r="J712" s="5">
        <f>100*('Parameter &lt;x, y&gt;'!D712-C712)/C712</f>
        <v>6.5139284214455699</v>
      </c>
      <c r="K712" s="5">
        <f>100*('Parameter &lt;x, y&gt;'!I712-C712)/C712</f>
        <v>12.524188435114608</v>
      </c>
      <c r="L712" s="5">
        <f>100*('Parameter &lt;x, y&gt;'!N712-C712)/C712</f>
        <v>0</v>
      </c>
      <c r="M712" s="5">
        <f>100*('Parameter &lt;x, y&gt;'!S712-C712)/C712</f>
        <v>11.443016850247169</v>
      </c>
    </row>
    <row r="713" spans="1:13" ht="12.75" customHeight="1">
      <c r="A713" s="40"/>
      <c r="B713" s="5">
        <f>MIN('Parameter &lt;x, y&gt;'!B713,'Parameter &lt;x, y&gt;'!G713,'Parameter &lt;x, y&gt;'!L713,'Parameter &lt;x, y&gt;'!Q713)</f>
        <v>446049</v>
      </c>
      <c r="C713" s="5">
        <f>MIN('Parameter &lt;x, y&gt;'!D713,'Parameter &lt;x, y&gt;'!I713,'Parameter &lt;x, y&gt;'!N713,'Parameter &lt;x, y&gt;'!S713)</f>
        <v>354112</v>
      </c>
      <c r="E713" s="5">
        <f>100*('Parameter &lt;x, y&gt;'!B713-B713)/B713</f>
        <v>1.8417259090368996</v>
      </c>
      <c r="F713" s="5">
        <f>100*('Parameter &lt;x, y&gt;'!G713-B713)/B713</f>
        <v>0</v>
      </c>
      <c r="G713" s="5">
        <f>100*('Parameter &lt;x, y&gt;'!L713-B713)/B713</f>
        <v>1.8123569383632741</v>
      </c>
      <c r="H713" s="5">
        <f>100*('Parameter &lt;x, y&gt;'!Q713-B713)/B713</f>
        <v>16.51253561828409</v>
      </c>
      <c r="J713" s="5">
        <f>100*('Parameter &lt;x, y&gt;'!D713-C713)/C713</f>
        <v>11.143649466835351</v>
      </c>
      <c r="K713" s="5">
        <f>100*('Parameter &lt;x, y&gt;'!I713-C713)/C713</f>
        <v>20.047329658413158</v>
      </c>
      <c r="L713" s="5">
        <f>100*('Parameter &lt;x, y&gt;'!N713-C713)/C713</f>
        <v>0</v>
      </c>
      <c r="M713" s="5">
        <f>100*('Parameter &lt;x, y&gt;'!S713-C713)/C713</f>
        <v>20.980367793240557</v>
      </c>
    </row>
    <row r="714" spans="1:13" ht="12.75" customHeight="1">
      <c r="A714" s="40"/>
      <c r="B714" s="5">
        <f>MIN('Parameter &lt;x, y&gt;'!B714,'Parameter &lt;x, y&gt;'!G714,'Parameter &lt;x, y&gt;'!L714,'Parameter &lt;x, y&gt;'!Q714)</f>
        <v>422588</v>
      </c>
      <c r="C714" s="5">
        <f>MIN('Parameter &lt;x, y&gt;'!D714,'Parameter &lt;x, y&gt;'!I714,'Parameter &lt;x, y&gt;'!N714,'Parameter &lt;x, y&gt;'!S714)</f>
        <v>343164</v>
      </c>
      <c r="E714" s="5">
        <f>100*('Parameter &lt;x, y&gt;'!B714-B714)/B714</f>
        <v>3.7267977320700068</v>
      </c>
      <c r="F714" s="5">
        <f>100*('Parameter &lt;x, y&gt;'!G714-B714)/B714</f>
        <v>10.450604371160564</v>
      </c>
      <c r="G714" s="5">
        <f>100*('Parameter &lt;x, y&gt;'!L714-B714)/B714</f>
        <v>4.6745293288025218</v>
      </c>
      <c r="H714" s="5">
        <f>100*('Parameter &lt;x, y&gt;'!Q714-B714)/B714</f>
        <v>0</v>
      </c>
      <c r="J714" s="5">
        <f>100*('Parameter &lt;x, y&gt;'!D714-C714)/C714</f>
        <v>4.871723141122029</v>
      </c>
      <c r="K714" s="5">
        <f>100*('Parameter &lt;x, y&gt;'!I714-C714)/C714</f>
        <v>24.075952022939468</v>
      </c>
      <c r="L714" s="5">
        <f>100*('Parameter &lt;x, y&gt;'!N714-C714)/C714</f>
        <v>0</v>
      </c>
      <c r="M714" s="5">
        <f>100*('Parameter &lt;x, y&gt;'!S714-C714)/C714</f>
        <v>29.600715692788288</v>
      </c>
    </row>
    <row r="715" spans="1:13" ht="12.75" customHeight="1">
      <c r="A715" s="40"/>
      <c r="B715" s="5">
        <f>MIN('Parameter &lt;x, y&gt;'!B715,'Parameter &lt;x, y&gt;'!G715,'Parameter &lt;x, y&gt;'!L715,'Parameter &lt;x, y&gt;'!Q715)</f>
        <v>421965</v>
      </c>
      <c r="C715" s="5">
        <f>MIN('Parameter &lt;x, y&gt;'!D715,'Parameter &lt;x, y&gt;'!I715,'Parameter &lt;x, y&gt;'!N715,'Parameter &lt;x, y&gt;'!S715)</f>
        <v>327673</v>
      </c>
      <c r="E715" s="5">
        <f>100*('Parameter &lt;x, y&gt;'!B715-B715)/B715</f>
        <v>0</v>
      </c>
      <c r="F715" s="5">
        <f>100*('Parameter &lt;x, y&gt;'!G715-B715)/B715</f>
        <v>0.79698553197540078</v>
      </c>
      <c r="G715" s="5">
        <f>100*('Parameter &lt;x, y&gt;'!L715-B715)/B715</f>
        <v>1.850864408185513</v>
      </c>
      <c r="H715" s="5">
        <f>100*('Parameter &lt;x, y&gt;'!Q715-B715)/B715</f>
        <v>3.7242425319635513</v>
      </c>
      <c r="J715" s="5">
        <f>100*('Parameter &lt;x, y&gt;'!D715-C715)/C715</f>
        <v>5.2051893198402066</v>
      </c>
      <c r="K715" s="5">
        <f>100*('Parameter &lt;x, y&gt;'!I715-C715)/C715</f>
        <v>39.23484693581711</v>
      </c>
      <c r="L715" s="5">
        <f>100*('Parameter &lt;x, y&gt;'!N715-C715)/C715</f>
        <v>0</v>
      </c>
      <c r="M715" s="5">
        <f>100*('Parameter &lt;x, y&gt;'!S715-C715)/C715</f>
        <v>13.321207423254281</v>
      </c>
    </row>
    <row r="716" spans="1:13" ht="12.75" customHeight="1">
      <c r="A716" s="40"/>
      <c r="B716" s="5">
        <f>MIN('Parameter &lt;x, y&gt;'!B716,'Parameter &lt;x, y&gt;'!G716,'Parameter &lt;x, y&gt;'!L716,'Parameter &lt;x, y&gt;'!Q716)</f>
        <v>523015</v>
      </c>
      <c r="C716" s="5">
        <f>MIN('Parameter &lt;x, y&gt;'!D716,'Parameter &lt;x, y&gt;'!I716,'Parameter &lt;x, y&gt;'!N716,'Parameter &lt;x, y&gt;'!S716)</f>
        <v>412931</v>
      </c>
      <c r="E716" s="5">
        <f>100*('Parameter &lt;x, y&gt;'!B716-B716)/B716</f>
        <v>0</v>
      </c>
      <c r="F716" s="5">
        <f>100*('Parameter &lt;x, y&gt;'!G716-B716)/B716</f>
        <v>1.9571140407062895</v>
      </c>
      <c r="G716" s="5">
        <f>100*('Parameter &lt;x, y&gt;'!L716-B716)/B716</f>
        <v>1.9261397856658031</v>
      </c>
      <c r="H716" s="5">
        <f>100*('Parameter &lt;x, y&gt;'!Q716-B716)/B716</f>
        <v>1.0837165282066481</v>
      </c>
      <c r="J716" s="5">
        <f>100*('Parameter &lt;x, y&gt;'!D716-C716)/C716</f>
        <v>11.153679428282206</v>
      </c>
      <c r="K716" s="5">
        <f>100*('Parameter &lt;x, y&gt;'!I716-C716)/C716</f>
        <v>14.615759049332697</v>
      </c>
      <c r="L716" s="5">
        <f>100*('Parameter &lt;x, y&gt;'!N716-C716)/C716</f>
        <v>0</v>
      </c>
      <c r="M716" s="5">
        <f>100*('Parameter &lt;x, y&gt;'!S716-C716)/C716</f>
        <v>16.945446091477752</v>
      </c>
    </row>
    <row r="717" spans="1:13" ht="12.75" customHeight="1">
      <c r="A717" s="40"/>
      <c r="B717" s="5">
        <f>MIN('Parameter &lt;x, y&gt;'!B717,'Parameter &lt;x, y&gt;'!G717,'Parameter &lt;x, y&gt;'!L717,'Parameter &lt;x, y&gt;'!Q717)</f>
        <v>498528</v>
      </c>
      <c r="C717" s="5">
        <f>MIN('Parameter &lt;x, y&gt;'!D717,'Parameter &lt;x, y&gt;'!I717,'Parameter &lt;x, y&gt;'!N717,'Parameter &lt;x, y&gt;'!S717)</f>
        <v>407704</v>
      </c>
      <c r="E717" s="5">
        <f>100*('Parameter &lt;x, y&gt;'!B717-B717)/B717</f>
        <v>1.9120290134154951</v>
      </c>
      <c r="F717" s="5">
        <f>100*('Parameter &lt;x, y&gt;'!G717-B717)/B717</f>
        <v>1.3483696001027023</v>
      </c>
      <c r="G717" s="5">
        <f>100*('Parameter &lt;x, y&gt;'!L717-B717)/B717</f>
        <v>1.1993308299634122</v>
      </c>
      <c r="H717" s="5">
        <f>100*('Parameter &lt;x, y&gt;'!Q717-B717)/B717</f>
        <v>0</v>
      </c>
      <c r="J717" s="5">
        <f>100*('Parameter &lt;x, y&gt;'!D717-C717)/C717</f>
        <v>0</v>
      </c>
      <c r="K717" s="5">
        <f>100*('Parameter &lt;x, y&gt;'!I717-C717)/C717</f>
        <v>14.999362282440202</v>
      </c>
      <c r="L717" s="5">
        <f>100*('Parameter &lt;x, y&gt;'!N717-C717)/C717</f>
        <v>0.56168200459156647</v>
      </c>
      <c r="M717" s="5">
        <f>100*('Parameter &lt;x, y&gt;'!S717-C717)/C717</f>
        <v>10.144859996468027</v>
      </c>
    </row>
    <row r="718" spans="1:13" ht="12.75" customHeight="1">
      <c r="A718" s="40"/>
      <c r="B718" s="5">
        <f>MIN('Parameter &lt;x, y&gt;'!B718,'Parameter &lt;x, y&gt;'!G718,'Parameter &lt;x, y&gt;'!L718,'Parameter &lt;x, y&gt;'!Q718)</f>
        <v>440740</v>
      </c>
      <c r="C718" s="5">
        <f>MIN('Parameter &lt;x, y&gt;'!D718,'Parameter &lt;x, y&gt;'!I718,'Parameter &lt;x, y&gt;'!N718,'Parameter &lt;x, y&gt;'!S718)</f>
        <v>362877</v>
      </c>
      <c r="E718" s="5">
        <f>100*('Parameter &lt;x, y&gt;'!B718-B718)/B718</f>
        <v>0</v>
      </c>
      <c r="F718" s="5">
        <f>100*('Parameter &lt;x, y&gt;'!G718-B718)/B718</f>
        <v>2.8917275491219314</v>
      </c>
      <c r="G718" s="5">
        <f>100*('Parameter &lt;x, y&gt;'!L718-B718)/B718</f>
        <v>4.8525207605390932</v>
      </c>
      <c r="H718" s="5">
        <f>100*('Parameter &lt;x, y&gt;'!Q718-B718)/B718</f>
        <v>30.637110314471116</v>
      </c>
      <c r="J718" s="5">
        <f>100*('Parameter &lt;x, y&gt;'!D718-C718)/C718</f>
        <v>8.6475582635438446</v>
      </c>
      <c r="K718" s="5">
        <f>100*('Parameter &lt;x, y&gt;'!I718-C718)/C718</f>
        <v>8.9275429415476868</v>
      </c>
      <c r="L718" s="5">
        <f>100*('Parameter &lt;x, y&gt;'!N718-C718)/C718</f>
        <v>0</v>
      </c>
      <c r="M718" s="5">
        <f>100*('Parameter &lt;x, y&gt;'!S718-C718)/C718</f>
        <v>11.978714550660417</v>
      </c>
    </row>
    <row r="719" spans="1:13" ht="12.75" customHeight="1">
      <c r="A719" s="40"/>
      <c r="B719" s="5">
        <f>MIN('Parameter &lt;x, y&gt;'!B719,'Parameter &lt;x, y&gt;'!G719,'Parameter &lt;x, y&gt;'!L719,'Parameter &lt;x, y&gt;'!Q719)</f>
        <v>403727</v>
      </c>
      <c r="C719" s="5">
        <f>MIN('Parameter &lt;x, y&gt;'!D719,'Parameter &lt;x, y&gt;'!I719,'Parameter &lt;x, y&gt;'!N719,'Parameter &lt;x, y&gt;'!S719)</f>
        <v>342398</v>
      </c>
      <c r="E719" s="5">
        <f>100*('Parameter &lt;x, y&gt;'!B719-B719)/B719</f>
        <v>4.7165535126459215</v>
      </c>
      <c r="F719" s="5">
        <f>100*('Parameter &lt;x, y&gt;'!G719-B719)/B719</f>
        <v>0.98234698199525916</v>
      </c>
      <c r="G719" s="5">
        <f>100*('Parameter &lt;x, y&gt;'!L719-B719)/B719</f>
        <v>2.1995061018955879</v>
      </c>
      <c r="H719" s="5">
        <f>100*('Parameter &lt;x, y&gt;'!Q719-B719)/B719</f>
        <v>0</v>
      </c>
      <c r="J719" s="5">
        <f>100*('Parameter &lt;x, y&gt;'!D719-C719)/C719</f>
        <v>0.46846068026098281</v>
      </c>
      <c r="K719" s="5">
        <f>100*('Parameter &lt;x, y&gt;'!I719-C719)/C719</f>
        <v>11.898433986179827</v>
      </c>
      <c r="L719" s="5">
        <f>100*('Parameter &lt;x, y&gt;'!N719-C719)/C719</f>
        <v>0</v>
      </c>
      <c r="M719" s="5">
        <f>100*('Parameter &lt;x, y&gt;'!S719-C719)/C719</f>
        <v>33.173675079877803</v>
      </c>
    </row>
    <row r="720" spans="1:13" ht="12.75" customHeight="1">
      <c r="A720" s="40"/>
      <c r="B720" s="5">
        <f>MIN('Parameter &lt;x, y&gt;'!B720,'Parameter &lt;x, y&gt;'!G720,'Parameter &lt;x, y&gt;'!L720,'Parameter &lt;x, y&gt;'!Q720)</f>
        <v>437957</v>
      </c>
      <c r="C720" s="5">
        <f>MIN('Parameter &lt;x, y&gt;'!D720,'Parameter &lt;x, y&gt;'!I720,'Parameter &lt;x, y&gt;'!N720,'Parameter &lt;x, y&gt;'!S720)</f>
        <v>338638</v>
      </c>
      <c r="E720" s="5">
        <f>100*('Parameter &lt;x, y&gt;'!B720-B720)/B720</f>
        <v>0</v>
      </c>
      <c r="F720" s="5">
        <f>100*('Parameter &lt;x, y&gt;'!G720-B720)/B720</f>
        <v>15.377080398303944</v>
      </c>
      <c r="G720" s="5">
        <f>100*('Parameter &lt;x, y&gt;'!L720-B720)/B720</f>
        <v>2.0159513376884033</v>
      </c>
      <c r="H720" s="5">
        <f>100*('Parameter &lt;x, y&gt;'!Q720-B720)/B720</f>
        <v>0.15709304794762957</v>
      </c>
      <c r="J720" s="5">
        <f>100*('Parameter &lt;x, y&gt;'!D720-C720)/C720</f>
        <v>25.334723214760306</v>
      </c>
      <c r="K720" s="5">
        <f>100*('Parameter &lt;x, y&gt;'!I720-C720)/C720</f>
        <v>17.414170884543378</v>
      </c>
      <c r="L720" s="5">
        <f>100*('Parameter &lt;x, y&gt;'!N720-C720)/C720</f>
        <v>0</v>
      </c>
      <c r="M720" s="5">
        <f>100*('Parameter &lt;x, y&gt;'!S720-C720)/C720</f>
        <v>18.513279667373418</v>
      </c>
    </row>
    <row r="721" spans="1:13" ht="12.75" customHeight="1">
      <c r="A721" s="40"/>
      <c r="B721" s="5">
        <f>MIN('Parameter &lt;x, y&gt;'!B721,'Parameter &lt;x, y&gt;'!G721,'Parameter &lt;x, y&gt;'!L721,'Parameter &lt;x, y&gt;'!Q721)</f>
        <v>423997</v>
      </c>
      <c r="C721" s="5">
        <f>MIN('Parameter &lt;x, y&gt;'!D721,'Parameter &lt;x, y&gt;'!I721,'Parameter &lt;x, y&gt;'!N721,'Parameter &lt;x, y&gt;'!S721)</f>
        <v>360586</v>
      </c>
      <c r="E721" s="5">
        <f>100*('Parameter &lt;x, y&gt;'!B721-B721)/B721</f>
        <v>0</v>
      </c>
      <c r="F721" s="5">
        <f>100*('Parameter &lt;x, y&gt;'!G721-B721)/B721</f>
        <v>4.2431903999320753</v>
      </c>
      <c r="G721" s="5">
        <f>100*('Parameter &lt;x, y&gt;'!L721-B721)/B721</f>
        <v>18.888341191093332</v>
      </c>
      <c r="H721" s="5">
        <f>100*('Parameter &lt;x, y&gt;'!Q721-B721)/B721</f>
        <v>7.7116111670601439</v>
      </c>
      <c r="J721" s="5">
        <f>100*('Parameter &lt;x, y&gt;'!D721-C721)/C721</f>
        <v>7.6625271086509184</v>
      </c>
      <c r="K721" s="5">
        <f>100*('Parameter &lt;x, y&gt;'!I721-C721)/C721</f>
        <v>7.0097008757966197</v>
      </c>
      <c r="L721" s="5">
        <f>100*('Parameter &lt;x, y&gt;'!N721-C721)/C721</f>
        <v>0</v>
      </c>
      <c r="M721" s="5">
        <f>100*('Parameter &lt;x, y&gt;'!S721-C721)/C721</f>
        <v>10.813786447615826</v>
      </c>
    </row>
    <row r="722" spans="1:13" ht="12.75" customHeight="1">
      <c r="A722" s="40"/>
      <c r="B722" s="5">
        <f>MIN('Parameter &lt;x, y&gt;'!B722,'Parameter &lt;x, y&gt;'!G722,'Parameter &lt;x, y&gt;'!L722,'Parameter &lt;x, y&gt;'!Q722)</f>
        <v>480517</v>
      </c>
      <c r="C722" s="5">
        <f>MIN('Parameter &lt;x, y&gt;'!D722,'Parameter &lt;x, y&gt;'!I722,'Parameter &lt;x, y&gt;'!N722,'Parameter &lt;x, y&gt;'!S722)</f>
        <v>423814</v>
      </c>
      <c r="E722" s="5">
        <f>100*('Parameter &lt;x, y&gt;'!B722-B722)/B722</f>
        <v>1.2249306476149646</v>
      </c>
      <c r="F722" s="5">
        <f>100*('Parameter &lt;x, y&gt;'!G722-B722)/B722</f>
        <v>0</v>
      </c>
      <c r="G722" s="5">
        <f>100*('Parameter &lt;x, y&gt;'!L722-B722)/B722</f>
        <v>9.1495202042799733</v>
      </c>
      <c r="H722" s="5">
        <f>100*('Parameter &lt;x, y&gt;'!Q722-B722)/B722</f>
        <v>6.408097944505605</v>
      </c>
      <c r="J722" s="5">
        <f>100*('Parameter &lt;x, y&gt;'!D722-C722)/C722</f>
        <v>0</v>
      </c>
      <c r="K722" s="5">
        <f>100*('Parameter &lt;x, y&gt;'!I722-C722)/C722</f>
        <v>3.8479144152859508</v>
      </c>
      <c r="L722" s="5">
        <f>100*('Parameter &lt;x, y&gt;'!N722-C722)/C722</f>
        <v>0.28290712435172033</v>
      </c>
      <c r="M722" s="5">
        <f>100*('Parameter &lt;x, y&gt;'!S722-C722)/C722</f>
        <v>2.3746266050673173</v>
      </c>
    </row>
    <row r="723" spans="1:13" ht="12.75" customHeight="1">
      <c r="A723" s="40"/>
      <c r="B723" s="5">
        <f>MIN('Parameter &lt;x, y&gt;'!B723,'Parameter &lt;x, y&gt;'!G723,'Parameter &lt;x, y&gt;'!L723,'Parameter &lt;x, y&gt;'!Q723)</f>
        <v>437245</v>
      </c>
      <c r="C723" s="5">
        <f>MIN('Parameter &lt;x, y&gt;'!D723,'Parameter &lt;x, y&gt;'!I723,'Parameter &lt;x, y&gt;'!N723,'Parameter &lt;x, y&gt;'!S723)</f>
        <v>369316</v>
      </c>
      <c r="E723" s="5">
        <f>100*('Parameter &lt;x, y&gt;'!B723-B723)/B723</f>
        <v>0</v>
      </c>
      <c r="F723" s="5">
        <f>100*('Parameter &lt;x, y&gt;'!G723-B723)/B723</f>
        <v>1.6199156079543506</v>
      </c>
      <c r="G723" s="5">
        <f>100*('Parameter &lt;x, y&gt;'!L723-B723)/B723</f>
        <v>1.6528490891834098</v>
      </c>
      <c r="H723" s="5">
        <f>100*('Parameter &lt;x, y&gt;'!Q723-B723)/B723</f>
        <v>6.7344395018810967</v>
      </c>
      <c r="J723" s="5">
        <f>100*('Parameter &lt;x, y&gt;'!D723-C723)/C723</f>
        <v>0.85726044904634513</v>
      </c>
      <c r="K723" s="5">
        <f>100*('Parameter &lt;x, y&gt;'!I723-C723)/C723</f>
        <v>20.15780523995711</v>
      </c>
      <c r="L723" s="5">
        <f>100*('Parameter &lt;x, y&gt;'!N723-C723)/C723</f>
        <v>0</v>
      </c>
      <c r="M723" s="5">
        <f>100*('Parameter &lt;x, y&gt;'!S723-C723)/C723</f>
        <v>30.482297003108449</v>
      </c>
    </row>
    <row r="724" spans="1:13" ht="12.75" customHeight="1">
      <c r="A724" s="40"/>
      <c r="B724" s="5">
        <f>MIN('Parameter &lt;x, y&gt;'!B724,'Parameter &lt;x, y&gt;'!G724,'Parameter &lt;x, y&gt;'!L724,'Parameter &lt;x, y&gt;'!Q724)</f>
        <v>481980</v>
      </c>
      <c r="C724" s="5">
        <f>MIN('Parameter &lt;x, y&gt;'!D724,'Parameter &lt;x, y&gt;'!I724,'Parameter &lt;x, y&gt;'!N724,'Parameter &lt;x, y&gt;'!S724)</f>
        <v>416921</v>
      </c>
      <c r="E724" s="5">
        <f>100*('Parameter &lt;x, y&gt;'!B724-B724)/B724</f>
        <v>17.834142495539233</v>
      </c>
      <c r="F724" s="5">
        <f>100*('Parameter &lt;x, y&gt;'!G724-B724)/B724</f>
        <v>2.1710444416780779</v>
      </c>
      <c r="G724" s="5">
        <f>100*('Parameter &lt;x, y&gt;'!L724-B724)/B724</f>
        <v>11.911282625835097</v>
      </c>
      <c r="H724" s="5">
        <f>100*('Parameter &lt;x, y&gt;'!Q724-B724)/B724</f>
        <v>0</v>
      </c>
      <c r="J724" s="5">
        <f>100*('Parameter &lt;x, y&gt;'!D724-C724)/C724</f>
        <v>0</v>
      </c>
      <c r="K724" s="5">
        <f>100*('Parameter &lt;x, y&gt;'!I724-C724)/C724</f>
        <v>3.4294266779557758</v>
      </c>
      <c r="L724" s="5">
        <f>100*('Parameter &lt;x, y&gt;'!N724-C724)/C724</f>
        <v>2.1167079614603246</v>
      </c>
      <c r="M724" s="5">
        <f>100*('Parameter &lt;x, y&gt;'!S724-C724)/C724</f>
        <v>4.5003729723376855</v>
      </c>
    </row>
    <row r="725" spans="1:13" ht="12.75" customHeight="1">
      <c r="A725" s="40"/>
      <c r="B725" s="5">
        <f>MIN('Parameter &lt;x, y&gt;'!B725,'Parameter &lt;x, y&gt;'!G725,'Parameter &lt;x, y&gt;'!L725,'Parameter &lt;x, y&gt;'!Q725)</f>
        <v>422811</v>
      </c>
      <c r="C725" s="5">
        <f>MIN('Parameter &lt;x, y&gt;'!D725,'Parameter &lt;x, y&gt;'!I725,'Parameter &lt;x, y&gt;'!N725,'Parameter &lt;x, y&gt;'!S725)</f>
        <v>341110</v>
      </c>
      <c r="E725" s="5">
        <f>100*('Parameter &lt;x, y&gt;'!B725-B725)/B725</f>
        <v>2.4594913566581758</v>
      </c>
      <c r="F725" s="5">
        <f>100*('Parameter &lt;x, y&gt;'!G725-B725)/B725</f>
        <v>3.454498582108791</v>
      </c>
      <c r="G725" s="5">
        <f>100*('Parameter &lt;x, y&gt;'!L725-B725)/B725</f>
        <v>0</v>
      </c>
      <c r="H725" s="5">
        <f>100*('Parameter &lt;x, y&gt;'!Q725-B725)/B725</f>
        <v>1.6007152131803573</v>
      </c>
      <c r="J725" s="5">
        <f>100*('Parameter &lt;x, y&gt;'!D725-C725)/C725</f>
        <v>7.7901556682595059</v>
      </c>
      <c r="K725" s="5">
        <f>100*('Parameter &lt;x, y&gt;'!I725-C725)/C725</f>
        <v>15.68145173111313</v>
      </c>
      <c r="L725" s="5">
        <f>100*('Parameter &lt;x, y&gt;'!N725-C725)/C725</f>
        <v>0</v>
      </c>
      <c r="M725" s="5">
        <f>100*('Parameter &lt;x, y&gt;'!S725-C725)/C725</f>
        <v>17.175691126029726</v>
      </c>
    </row>
    <row r="726" spans="1:13" ht="12.75" customHeight="1">
      <c r="A726" s="40"/>
      <c r="B726" s="5">
        <f>MIN('Parameter &lt;x, y&gt;'!B726,'Parameter &lt;x, y&gt;'!G726,'Parameter &lt;x, y&gt;'!L726,'Parameter &lt;x, y&gt;'!Q726)</f>
        <v>462933</v>
      </c>
      <c r="C726" s="5">
        <f>MIN('Parameter &lt;x, y&gt;'!D726,'Parameter &lt;x, y&gt;'!I726,'Parameter &lt;x, y&gt;'!N726,'Parameter &lt;x, y&gt;'!S726)</f>
        <v>390626</v>
      </c>
      <c r="E726" s="5">
        <f>100*('Parameter &lt;x, y&gt;'!B726-B726)/B726</f>
        <v>0</v>
      </c>
      <c r="F726" s="5">
        <f>100*('Parameter &lt;x, y&gt;'!G726-B726)/B726</f>
        <v>13.40798776496815</v>
      </c>
      <c r="G726" s="5">
        <f>100*('Parameter &lt;x, y&gt;'!L726-B726)/B726</f>
        <v>5.0782726658069306</v>
      </c>
      <c r="H726" s="5">
        <f>100*('Parameter &lt;x, y&gt;'!Q726-B726)/B726</f>
        <v>4.6408443554466849</v>
      </c>
      <c r="J726" s="5">
        <f>100*('Parameter &lt;x, y&gt;'!D726-C726)/C726</f>
        <v>0.47385478693174543</v>
      </c>
      <c r="K726" s="5">
        <f>100*('Parameter &lt;x, y&gt;'!I726-C726)/C726</f>
        <v>9.6248073604931577</v>
      </c>
      <c r="L726" s="5">
        <f>100*('Parameter &lt;x, y&gt;'!N726-C726)/C726</f>
        <v>0</v>
      </c>
      <c r="M726" s="5">
        <f>100*('Parameter &lt;x, y&gt;'!S726-C726)/C726</f>
        <v>21.691592469523279</v>
      </c>
    </row>
    <row r="727" spans="1:13" ht="12.75" customHeight="1">
      <c r="A727" s="40"/>
      <c r="B727" s="5">
        <f>MIN('Parameter &lt;x, y&gt;'!B727,'Parameter &lt;x, y&gt;'!G727,'Parameter &lt;x, y&gt;'!L727,'Parameter &lt;x, y&gt;'!Q727)</f>
        <v>457391</v>
      </c>
      <c r="C727" s="5">
        <f>MIN('Parameter &lt;x, y&gt;'!D727,'Parameter &lt;x, y&gt;'!I727,'Parameter &lt;x, y&gt;'!N727,'Parameter &lt;x, y&gt;'!S727)</f>
        <v>385654</v>
      </c>
      <c r="E727" s="5">
        <f>100*('Parameter &lt;x, y&gt;'!B727-B727)/B727</f>
        <v>6.5912971615095177</v>
      </c>
      <c r="F727" s="5">
        <f>100*('Parameter &lt;x, y&gt;'!G727-B727)/B727</f>
        <v>3.2265610823125073</v>
      </c>
      <c r="G727" s="5">
        <f>100*('Parameter &lt;x, y&gt;'!L727-B727)/B727</f>
        <v>0</v>
      </c>
      <c r="H727" s="5">
        <f>100*('Parameter &lt;x, y&gt;'!Q727-B727)/B727</f>
        <v>3.1810857668821644</v>
      </c>
      <c r="J727" s="5">
        <f>100*('Parameter &lt;x, y&gt;'!D727-C727)/C727</f>
        <v>7.0607331960773125</v>
      </c>
      <c r="K727" s="5">
        <f>100*('Parameter &lt;x, y&gt;'!I727-C727)/C727</f>
        <v>24.198115409149132</v>
      </c>
      <c r="L727" s="5">
        <f>100*('Parameter &lt;x, y&gt;'!N727-C727)/C727</f>
        <v>0</v>
      </c>
      <c r="M727" s="5">
        <f>100*('Parameter &lt;x, y&gt;'!S727-C727)/C727</f>
        <v>9.3700570978130653</v>
      </c>
    </row>
    <row r="728" spans="1:13" ht="12.75" customHeight="1">
      <c r="A728" s="40"/>
      <c r="B728" s="5">
        <f>MIN('Parameter &lt;x, y&gt;'!B728,'Parameter &lt;x, y&gt;'!G728,'Parameter &lt;x, y&gt;'!L728,'Parameter &lt;x, y&gt;'!Q728)</f>
        <v>470917</v>
      </c>
      <c r="C728" s="5">
        <f>MIN('Parameter &lt;x, y&gt;'!D728,'Parameter &lt;x, y&gt;'!I728,'Parameter &lt;x, y&gt;'!N728,'Parameter &lt;x, y&gt;'!S728)</f>
        <v>376429</v>
      </c>
      <c r="E728" s="5">
        <f>100*('Parameter &lt;x, y&gt;'!B728-B728)/B728</f>
        <v>1.7066701775472111</v>
      </c>
      <c r="F728" s="5">
        <f>100*('Parameter &lt;x, y&gt;'!G728-B728)/B728</f>
        <v>0.41408570937129047</v>
      </c>
      <c r="G728" s="5">
        <f>100*('Parameter &lt;x, y&gt;'!L728-B728)/B728</f>
        <v>2.1436898646682963</v>
      </c>
      <c r="H728" s="5">
        <f>100*('Parameter &lt;x, y&gt;'!Q728-B728)/B728</f>
        <v>0</v>
      </c>
      <c r="J728" s="5">
        <f>100*('Parameter &lt;x, y&gt;'!D728-C728)/C728</f>
        <v>10.620860773213542</v>
      </c>
      <c r="K728" s="5">
        <f>100*('Parameter &lt;x, y&gt;'!I728-C728)/C728</f>
        <v>12.068942616004612</v>
      </c>
      <c r="L728" s="5">
        <f>100*('Parameter &lt;x, y&gt;'!N728-C728)/C728</f>
        <v>0</v>
      </c>
      <c r="M728" s="5">
        <f>100*('Parameter &lt;x, y&gt;'!S728-C728)/C728</f>
        <v>9.5330062242813387</v>
      </c>
    </row>
    <row r="729" spans="1:13" ht="12.75" customHeight="1">
      <c r="A729" s="40"/>
      <c r="B729" s="5">
        <f>MIN('Parameter &lt;x, y&gt;'!B729,'Parameter &lt;x, y&gt;'!G729,'Parameter &lt;x, y&gt;'!L729,'Parameter &lt;x, y&gt;'!Q729)</f>
        <v>447872</v>
      </c>
      <c r="C729" s="5">
        <f>MIN('Parameter &lt;x, y&gt;'!D729,'Parameter &lt;x, y&gt;'!I729,'Parameter &lt;x, y&gt;'!N729,'Parameter &lt;x, y&gt;'!S729)</f>
        <v>351524</v>
      </c>
      <c r="E729" s="5">
        <f>100*('Parameter &lt;x, y&gt;'!B729-B729)/B729</f>
        <v>0.16611889111174621</v>
      </c>
      <c r="F729" s="5">
        <f>100*('Parameter &lt;x, y&gt;'!G729-B729)/B729</f>
        <v>2.7344866390397256</v>
      </c>
      <c r="G729" s="5">
        <f>100*('Parameter &lt;x, y&gt;'!L729-B729)/B729</f>
        <v>0</v>
      </c>
      <c r="H729" s="5">
        <f>100*('Parameter &lt;x, y&gt;'!Q729-B729)/B729</f>
        <v>0.59793869677050582</v>
      </c>
      <c r="J729" s="5">
        <f>100*('Parameter &lt;x, y&gt;'!D729-C729)/C729</f>
        <v>15.856100863667914</v>
      </c>
      <c r="K729" s="5">
        <f>100*('Parameter &lt;x, y&gt;'!I729-C729)/C729</f>
        <v>8.5501985639671823</v>
      </c>
      <c r="L729" s="5">
        <f>100*('Parameter &lt;x, y&gt;'!N729-C729)/C729</f>
        <v>0</v>
      </c>
      <c r="M729" s="5">
        <f>100*('Parameter &lt;x, y&gt;'!S729-C729)/C729</f>
        <v>20.090804610780488</v>
      </c>
    </row>
    <row r="730" spans="1:13" ht="12.75" customHeight="1">
      <c r="A730" s="40"/>
      <c r="B730" s="5">
        <f>MIN('Parameter &lt;x, y&gt;'!B730,'Parameter &lt;x, y&gt;'!G730,'Parameter &lt;x, y&gt;'!L730,'Parameter &lt;x, y&gt;'!Q730)</f>
        <v>461445</v>
      </c>
      <c r="C730" s="5">
        <f>MIN('Parameter &lt;x, y&gt;'!D730,'Parameter &lt;x, y&gt;'!I730,'Parameter &lt;x, y&gt;'!N730,'Parameter &lt;x, y&gt;'!S730)</f>
        <v>406180</v>
      </c>
      <c r="E730" s="5">
        <f>100*('Parameter &lt;x, y&gt;'!B730-B730)/B730</f>
        <v>4.9906272686885762</v>
      </c>
      <c r="F730" s="5">
        <f>100*('Parameter &lt;x, y&gt;'!G730-B730)/B730</f>
        <v>0</v>
      </c>
      <c r="G730" s="5">
        <f>100*('Parameter &lt;x, y&gt;'!L730-B730)/B730</f>
        <v>12.897311705620389</v>
      </c>
      <c r="H730" s="5">
        <f>100*('Parameter &lt;x, y&gt;'!Q730-B730)/B730</f>
        <v>21.062965250463218</v>
      </c>
      <c r="J730" s="5">
        <f>100*('Parameter &lt;x, y&gt;'!D730-C730)/C730</f>
        <v>5.7149539612979465</v>
      </c>
      <c r="K730" s="5">
        <f>100*('Parameter &lt;x, y&gt;'!I730-C730)/C730</f>
        <v>16.937564626520263</v>
      </c>
      <c r="L730" s="5">
        <f>100*('Parameter &lt;x, y&gt;'!N730-C730)/C730</f>
        <v>0</v>
      </c>
      <c r="M730" s="5">
        <f>100*('Parameter &lt;x, y&gt;'!S730-C730)/C730</f>
        <v>7.8822197055492635</v>
      </c>
    </row>
    <row r="731" spans="1:13" ht="12.75" customHeight="1">
      <c r="A731" s="40"/>
      <c r="B731" s="5">
        <f>MIN('Parameter &lt;x, y&gt;'!B731,'Parameter &lt;x, y&gt;'!G731,'Parameter &lt;x, y&gt;'!L731,'Parameter &lt;x, y&gt;'!Q731)</f>
        <v>450887</v>
      </c>
      <c r="C731" s="5">
        <f>MIN('Parameter &lt;x, y&gt;'!D731,'Parameter &lt;x, y&gt;'!I731,'Parameter &lt;x, y&gt;'!N731,'Parameter &lt;x, y&gt;'!S731)</f>
        <v>409206</v>
      </c>
      <c r="E731" s="5">
        <f>100*('Parameter &lt;x, y&gt;'!B731-B731)/B731</f>
        <v>0</v>
      </c>
      <c r="F731" s="5">
        <f>100*('Parameter &lt;x, y&gt;'!G731-B731)/B731</f>
        <v>16.71327849328102</v>
      </c>
      <c r="G731" s="5">
        <f>100*('Parameter &lt;x, y&gt;'!L731-B731)/B731</f>
        <v>5.171362226012282</v>
      </c>
      <c r="H731" s="5">
        <f>100*('Parameter &lt;x, y&gt;'!Q731-B731)/B731</f>
        <v>12.849782761534486</v>
      </c>
      <c r="J731" s="5">
        <f>100*('Parameter &lt;x, y&gt;'!D731-C731)/C731</f>
        <v>0</v>
      </c>
      <c r="K731" s="5">
        <f>100*('Parameter &lt;x, y&gt;'!I731-C731)/C731</f>
        <v>0.2372887983069652</v>
      </c>
      <c r="L731" s="5">
        <f>100*('Parameter &lt;x, y&gt;'!N731-C731)/C731</f>
        <v>2.5784079412325331</v>
      </c>
      <c r="M731" s="5">
        <f>100*('Parameter &lt;x, y&gt;'!S731-C731)/C731</f>
        <v>4.2030175510623016</v>
      </c>
    </row>
    <row r="732" spans="1:13" ht="12.75" customHeight="1">
      <c r="A732" s="40"/>
      <c r="B732" s="5">
        <f>MIN('Parameter &lt;x, y&gt;'!B732,'Parameter &lt;x, y&gt;'!G732,'Parameter &lt;x, y&gt;'!L732,'Parameter &lt;x, y&gt;'!Q732)</f>
        <v>397029</v>
      </c>
      <c r="C732" s="5">
        <f>MIN('Parameter &lt;x, y&gt;'!D732,'Parameter &lt;x, y&gt;'!I732,'Parameter &lt;x, y&gt;'!N732,'Parameter &lt;x, y&gt;'!S732)</f>
        <v>303632</v>
      </c>
      <c r="E732" s="5">
        <f>100*('Parameter &lt;x, y&gt;'!B732-B732)/B732</f>
        <v>0</v>
      </c>
      <c r="F732" s="5">
        <f>100*('Parameter &lt;x, y&gt;'!G732-B732)/B732</f>
        <v>3.6747945364192538</v>
      </c>
      <c r="G732" s="5">
        <f>100*('Parameter &lt;x, y&gt;'!L732-B732)/B732</f>
        <v>1.3102317462956106</v>
      </c>
      <c r="H732" s="5">
        <f>100*('Parameter &lt;x, y&gt;'!Q732-B732)/B732</f>
        <v>1.2905858262242809</v>
      </c>
      <c r="J732" s="5">
        <f>100*('Parameter &lt;x, y&gt;'!D732-C732)/C732</f>
        <v>15.473336143752965</v>
      </c>
      <c r="K732" s="5">
        <f>100*('Parameter &lt;x, y&gt;'!I732-C732)/C732</f>
        <v>21.091321072877694</v>
      </c>
      <c r="L732" s="5">
        <f>100*('Parameter &lt;x, y&gt;'!N732-C732)/C732</f>
        <v>0</v>
      </c>
      <c r="M732" s="5">
        <f>100*('Parameter &lt;x, y&gt;'!S732-C732)/C732</f>
        <v>18.685118828055014</v>
      </c>
    </row>
    <row r="733" spans="1:13" ht="12.75" customHeight="1">
      <c r="A733" s="40"/>
      <c r="B733" s="5">
        <f>MIN('Parameter &lt;x, y&gt;'!B733,'Parameter &lt;x, y&gt;'!G733,'Parameter &lt;x, y&gt;'!L733,'Parameter &lt;x, y&gt;'!Q733)</f>
        <v>467543</v>
      </c>
      <c r="C733" s="5">
        <f>MIN('Parameter &lt;x, y&gt;'!D733,'Parameter &lt;x, y&gt;'!I733,'Parameter &lt;x, y&gt;'!N733,'Parameter &lt;x, y&gt;'!S733)</f>
        <v>407525</v>
      </c>
      <c r="E733" s="5">
        <f>100*('Parameter &lt;x, y&gt;'!B733-B733)/B733</f>
        <v>2.6515208226836888</v>
      </c>
      <c r="F733" s="5">
        <f>100*('Parameter &lt;x, y&gt;'!G733-B733)/B733</f>
        <v>0.49321666670231401</v>
      </c>
      <c r="G733" s="5">
        <f>100*('Parameter &lt;x, y&gt;'!L733-B733)/B733</f>
        <v>2.2213999567954179</v>
      </c>
      <c r="H733" s="5">
        <f>100*('Parameter &lt;x, y&gt;'!Q733-B733)/B733</f>
        <v>0</v>
      </c>
      <c r="J733" s="5">
        <f>100*('Parameter &lt;x, y&gt;'!D733-C733)/C733</f>
        <v>0</v>
      </c>
      <c r="K733" s="5">
        <f>100*('Parameter &lt;x, y&gt;'!I733-C733)/C733</f>
        <v>1.7309367523464818</v>
      </c>
      <c r="L733" s="5">
        <f>100*('Parameter &lt;x, y&gt;'!N733-C733)/C733</f>
        <v>0.66057297098337531</v>
      </c>
      <c r="M733" s="5">
        <f>100*('Parameter &lt;x, y&gt;'!S733-C733)/C733</f>
        <v>1.6367094043310226</v>
      </c>
    </row>
    <row r="734" spans="1:13" ht="12.75" customHeight="1">
      <c r="A734" s="40"/>
      <c r="B734" s="5">
        <f>MIN('Parameter &lt;x, y&gt;'!B734,'Parameter &lt;x, y&gt;'!G734,'Parameter &lt;x, y&gt;'!L734,'Parameter &lt;x, y&gt;'!Q734)</f>
        <v>453092</v>
      </c>
      <c r="C734" s="5">
        <f>MIN('Parameter &lt;x, y&gt;'!D734,'Parameter &lt;x, y&gt;'!I734,'Parameter &lt;x, y&gt;'!N734,'Parameter &lt;x, y&gt;'!S734)</f>
        <v>385911</v>
      </c>
      <c r="E734" s="5">
        <f>100*('Parameter &lt;x, y&gt;'!B734-B734)/B734</f>
        <v>0</v>
      </c>
      <c r="F734" s="5">
        <f>100*('Parameter &lt;x, y&gt;'!G734-B734)/B734</f>
        <v>3.2452570338915718</v>
      </c>
      <c r="G734" s="5">
        <f>100*('Parameter &lt;x, y&gt;'!L734-B734)/B734</f>
        <v>5.6050426844879189</v>
      </c>
      <c r="H734" s="5">
        <f>100*('Parameter &lt;x, y&gt;'!Q734-B734)/B734</f>
        <v>2.9883555657570646</v>
      </c>
      <c r="J734" s="5">
        <f>100*('Parameter &lt;x, y&gt;'!D734-C734)/C734</f>
        <v>0.9569563966821365</v>
      </c>
      <c r="K734" s="5">
        <f>100*('Parameter &lt;x, y&gt;'!I734-C734)/C734</f>
        <v>5.5885942613711448</v>
      </c>
      <c r="L734" s="5">
        <f>100*('Parameter &lt;x, y&gt;'!N734-C734)/C734</f>
        <v>0</v>
      </c>
      <c r="M734" s="5">
        <f>100*('Parameter &lt;x, y&gt;'!S734-C734)/C734</f>
        <v>9.7880081158609116</v>
      </c>
    </row>
    <row r="735" spans="1:13" ht="12.75" customHeight="1">
      <c r="A735" s="40"/>
      <c r="B735" s="5">
        <f>MIN('Parameter &lt;x, y&gt;'!B735,'Parameter &lt;x, y&gt;'!G735,'Parameter &lt;x, y&gt;'!L735,'Parameter &lt;x, y&gt;'!Q735)</f>
        <v>460824</v>
      </c>
      <c r="C735" s="5">
        <f>MIN('Parameter &lt;x, y&gt;'!D735,'Parameter &lt;x, y&gt;'!I735,'Parameter &lt;x, y&gt;'!N735,'Parameter &lt;x, y&gt;'!S735)</f>
        <v>393495</v>
      </c>
      <c r="E735" s="5">
        <f>100*('Parameter &lt;x, y&gt;'!B735-B735)/B735</f>
        <v>2.6858410152249013</v>
      </c>
      <c r="F735" s="5">
        <f>100*('Parameter &lt;x, y&gt;'!G735-B735)/B735</f>
        <v>5.9660521153412152</v>
      </c>
      <c r="G735" s="5">
        <f>100*('Parameter &lt;x, y&gt;'!L735-B735)/B735</f>
        <v>0</v>
      </c>
      <c r="H735" s="5">
        <f>100*('Parameter &lt;x, y&gt;'!Q735-B735)/B735</f>
        <v>5.0492161866569454</v>
      </c>
      <c r="J735" s="5">
        <f>100*('Parameter &lt;x, y&gt;'!D735-C735)/C735</f>
        <v>5.3101055921930396</v>
      </c>
      <c r="K735" s="5">
        <f>100*('Parameter &lt;x, y&gt;'!I735-C735)/C735</f>
        <v>7.3759514098019032</v>
      </c>
      <c r="L735" s="5">
        <f>100*('Parameter &lt;x, y&gt;'!N735-C735)/C735</f>
        <v>0</v>
      </c>
      <c r="M735" s="5">
        <f>100*('Parameter &lt;x, y&gt;'!S735-C735)/C735</f>
        <v>3.6666285467413817</v>
      </c>
    </row>
    <row r="736" spans="1:13" ht="12.75" customHeight="1">
      <c r="A736" s="40"/>
      <c r="B736" s="5">
        <f>MIN('Parameter &lt;x, y&gt;'!B736,'Parameter &lt;x, y&gt;'!G736,'Parameter &lt;x, y&gt;'!L736,'Parameter &lt;x, y&gt;'!Q736)</f>
        <v>459451</v>
      </c>
      <c r="C736" s="5">
        <f>MIN('Parameter &lt;x, y&gt;'!D736,'Parameter &lt;x, y&gt;'!I736,'Parameter &lt;x, y&gt;'!N736,'Parameter &lt;x, y&gt;'!S736)</f>
        <v>385331</v>
      </c>
      <c r="E736" s="5">
        <f>100*('Parameter &lt;x, y&gt;'!B736-B736)/B736</f>
        <v>2.4413920091587569</v>
      </c>
      <c r="F736" s="5">
        <f>100*('Parameter &lt;x, y&gt;'!G736-B736)/B736</f>
        <v>2.778533510646402</v>
      </c>
      <c r="G736" s="5">
        <f>100*('Parameter &lt;x, y&gt;'!L736-B736)/B736</f>
        <v>0</v>
      </c>
      <c r="H736" s="5">
        <f>100*('Parameter &lt;x, y&gt;'!Q736-B736)/B736</f>
        <v>1.3661957423098436</v>
      </c>
      <c r="J736" s="5">
        <f>100*('Parameter &lt;x, y&gt;'!D736-C736)/C736</f>
        <v>9.8058552257669387</v>
      </c>
      <c r="K736" s="5">
        <f>100*('Parameter &lt;x, y&gt;'!I736-C736)/C736</f>
        <v>6.4425130602001914</v>
      </c>
      <c r="L736" s="5">
        <f>100*('Parameter &lt;x, y&gt;'!N736-C736)/C736</f>
        <v>0</v>
      </c>
      <c r="M736" s="5">
        <f>100*('Parameter &lt;x, y&gt;'!S736-C736)/C736</f>
        <v>17.65495119780137</v>
      </c>
    </row>
    <row r="737" spans="1:13" ht="12.75" customHeight="1">
      <c r="A737" s="40"/>
      <c r="B737" s="5">
        <f>MIN('Parameter &lt;x, y&gt;'!B737,'Parameter &lt;x, y&gt;'!G737,'Parameter &lt;x, y&gt;'!L737,'Parameter &lt;x, y&gt;'!Q737)</f>
        <v>423646</v>
      </c>
      <c r="C737" s="5">
        <f>MIN('Parameter &lt;x, y&gt;'!D737,'Parameter &lt;x, y&gt;'!I737,'Parameter &lt;x, y&gt;'!N737,'Parameter &lt;x, y&gt;'!S737)</f>
        <v>299648</v>
      </c>
      <c r="E737" s="5">
        <f>100*('Parameter &lt;x, y&gt;'!B737-B737)/B737</f>
        <v>3.233832020130014E-2</v>
      </c>
      <c r="F737" s="5">
        <f>100*('Parameter &lt;x, y&gt;'!G737-B737)/B737</f>
        <v>0</v>
      </c>
      <c r="G737" s="5">
        <f>100*('Parameter &lt;x, y&gt;'!L737-B737)/B737</f>
        <v>0.38924007307988273</v>
      </c>
      <c r="H737" s="5">
        <f>100*('Parameter &lt;x, y&gt;'!Q737-B737)/B737</f>
        <v>16.032253343593471</v>
      </c>
      <c r="J737" s="5">
        <f>100*('Parameter &lt;x, y&gt;'!D737-C737)/C737</f>
        <v>19.210874092268263</v>
      </c>
      <c r="K737" s="5">
        <f>100*('Parameter &lt;x, y&gt;'!I737-C737)/C737</f>
        <v>25.945776377616404</v>
      </c>
      <c r="L737" s="5">
        <f>100*('Parameter &lt;x, y&gt;'!N737-C737)/C737</f>
        <v>0</v>
      </c>
      <c r="M737" s="5">
        <f>100*('Parameter &lt;x, y&gt;'!S737-C737)/C737</f>
        <v>29.105483767620676</v>
      </c>
    </row>
    <row r="738" spans="1:13" ht="12.75" customHeight="1">
      <c r="A738" s="40"/>
      <c r="B738" s="5">
        <f>MIN('Parameter &lt;x, y&gt;'!B738,'Parameter &lt;x, y&gt;'!G738,'Parameter &lt;x, y&gt;'!L738,'Parameter &lt;x, y&gt;'!Q738)</f>
        <v>406621</v>
      </c>
      <c r="C738" s="5">
        <f>MIN('Parameter &lt;x, y&gt;'!D738,'Parameter &lt;x, y&gt;'!I738,'Parameter &lt;x, y&gt;'!N738,'Parameter &lt;x, y&gt;'!S738)</f>
        <v>338910</v>
      </c>
      <c r="E738" s="5">
        <f>100*('Parameter &lt;x, y&gt;'!B738-B738)/B738</f>
        <v>0.68688041198068961</v>
      </c>
      <c r="F738" s="5">
        <f>100*('Parameter &lt;x, y&gt;'!G738-B738)/B738</f>
        <v>10.3747715932035</v>
      </c>
      <c r="G738" s="5">
        <f>100*('Parameter &lt;x, y&gt;'!L738-B738)/B738</f>
        <v>0</v>
      </c>
      <c r="H738" s="5">
        <f>100*('Parameter &lt;x, y&gt;'!Q738-B738)/B738</f>
        <v>4.0588164408626213</v>
      </c>
      <c r="J738" s="5">
        <f>100*('Parameter &lt;x, y&gt;'!D738-C738)/C738</f>
        <v>40.428432327166504</v>
      </c>
      <c r="K738" s="5">
        <f>100*('Parameter &lt;x, y&gt;'!I738-C738)/C738</f>
        <v>12.683898380100912</v>
      </c>
      <c r="L738" s="5">
        <f>100*('Parameter &lt;x, y&gt;'!N738-C738)/C738</f>
        <v>0</v>
      </c>
      <c r="M738" s="5">
        <f>100*('Parameter &lt;x, y&gt;'!S738-C738)/C738</f>
        <v>23.885102239532618</v>
      </c>
    </row>
    <row r="739" spans="1:13" ht="12.75" customHeight="1">
      <c r="A739" s="40"/>
      <c r="B739" s="5">
        <f>MIN('Parameter &lt;x, y&gt;'!B739,'Parameter &lt;x, y&gt;'!G739,'Parameter &lt;x, y&gt;'!L739,'Parameter &lt;x, y&gt;'!Q739)</f>
        <v>409274</v>
      </c>
      <c r="C739" s="5">
        <f>MIN('Parameter &lt;x, y&gt;'!D739,'Parameter &lt;x, y&gt;'!I739,'Parameter &lt;x, y&gt;'!N739,'Parameter &lt;x, y&gt;'!S739)</f>
        <v>325097</v>
      </c>
      <c r="E739" s="5">
        <f>100*('Parameter &lt;x, y&gt;'!B739-B739)/B739</f>
        <v>3.774732819578082</v>
      </c>
      <c r="F739" s="5">
        <f>100*('Parameter &lt;x, y&gt;'!G739-B739)/B739</f>
        <v>2.8384407511838035</v>
      </c>
      <c r="G739" s="5">
        <f>100*('Parameter &lt;x, y&gt;'!L739-B739)/B739</f>
        <v>0</v>
      </c>
      <c r="H739" s="5">
        <f>100*('Parameter &lt;x, y&gt;'!Q739-B739)/B739</f>
        <v>2.8521235162751606</v>
      </c>
      <c r="J739" s="5">
        <f>100*('Parameter &lt;x, y&gt;'!D739-C739)/C739</f>
        <v>16.475390421935607</v>
      </c>
      <c r="K739" s="5">
        <f>100*('Parameter &lt;x, y&gt;'!I739-C739)/C739</f>
        <v>9.3873520826091905</v>
      </c>
      <c r="L739" s="5">
        <f>100*('Parameter &lt;x, y&gt;'!N739-C739)/C739</f>
        <v>0</v>
      </c>
      <c r="M739" s="5">
        <f>100*('Parameter &lt;x, y&gt;'!S739-C739)/C739</f>
        <v>14.32987692903964</v>
      </c>
    </row>
    <row r="740" spans="1:13" ht="12.75" customHeight="1">
      <c r="A740" s="40"/>
      <c r="B740" s="5">
        <f>MIN('Parameter &lt;x, y&gt;'!B740,'Parameter &lt;x, y&gt;'!G740,'Parameter &lt;x, y&gt;'!L740,'Parameter &lt;x, y&gt;'!Q740)</f>
        <v>391619</v>
      </c>
      <c r="C740" s="5">
        <f>MIN('Parameter &lt;x, y&gt;'!D740,'Parameter &lt;x, y&gt;'!I740,'Parameter &lt;x, y&gt;'!N740,'Parameter &lt;x, y&gt;'!S740)</f>
        <v>357351</v>
      </c>
      <c r="E740" s="5">
        <f>100*('Parameter &lt;x, y&gt;'!B740-B740)/B740</f>
        <v>2.3147497950814437</v>
      </c>
      <c r="F740" s="5">
        <f>100*('Parameter &lt;x, y&gt;'!G740-B740)/B740</f>
        <v>32.97209788084848</v>
      </c>
      <c r="G740" s="5">
        <f>100*('Parameter &lt;x, y&gt;'!L740-B740)/B740</f>
        <v>9.6839019557273787</v>
      </c>
      <c r="H740" s="5">
        <f>100*('Parameter &lt;x, y&gt;'!Q740-B740)/B740</f>
        <v>0</v>
      </c>
      <c r="J740" s="5">
        <f>100*('Parameter &lt;x, y&gt;'!D740-C740)/C740</f>
        <v>8.2798145240953573</v>
      </c>
      <c r="K740" s="5">
        <f>100*('Parameter &lt;x, y&gt;'!I740-C740)/C740</f>
        <v>1.4744606843131822</v>
      </c>
      <c r="L740" s="5">
        <f>100*('Parameter &lt;x, y&gt;'!N740-C740)/C740</f>
        <v>0</v>
      </c>
      <c r="M740" s="5">
        <f>100*('Parameter &lt;x, y&gt;'!S740-C740)/C740</f>
        <v>10.472616559069374</v>
      </c>
    </row>
    <row r="741" spans="1:13" ht="12.75" customHeight="1">
      <c r="A741" s="40"/>
      <c r="B741" s="5">
        <f>MIN('Parameter &lt;x, y&gt;'!B741,'Parameter &lt;x, y&gt;'!G741,'Parameter &lt;x, y&gt;'!L741,'Parameter &lt;x, y&gt;'!Q741)</f>
        <v>471733</v>
      </c>
      <c r="C741" s="5">
        <f>MIN('Parameter &lt;x, y&gt;'!D741,'Parameter &lt;x, y&gt;'!I741,'Parameter &lt;x, y&gt;'!N741,'Parameter &lt;x, y&gt;'!S741)</f>
        <v>428759</v>
      </c>
      <c r="E741" s="5">
        <f>100*('Parameter &lt;x, y&gt;'!B741-B741)/B741</f>
        <v>0.87867501319602404</v>
      </c>
      <c r="F741" s="5">
        <f>100*('Parameter &lt;x, y&gt;'!G741-B741)/B741</f>
        <v>2.9376787292811826</v>
      </c>
      <c r="G741" s="5">
        <f>100*('Parameter &lt;x, y&gt;'!L741-B741)/B741</f>
        <v>0</v>
      </c>
      <c r="H741" s="5">
        <f>100*('Parameter &lt;x, y&gt;'!Q741-B741)/B741</f>
        <v>13.176945433115767</v>
      </c>
      <c r="J741" s="5">
        <f>100*('Parameter &lt;x, y&gt;'!D741-C741)/C741</f>
        <v>13.682045158235745</v>
      </c>
      <c r="K741" s="5">
        <f>100*('Parameter &lt;x, y&gt;'!I741-C741)/C741</f>
        <v>4.4824715049713246</v>
      </c>
      <c r="L741" s="5">
        <f>100*('Parameter &lt;x, y&gt;'!N741-C741)/C741</f>
        <v>4.5363479250581324</v>
      </c>
      <c r="M741" s="5">
        <f>100*('Parameter &lt;x, y&gt;'!S741-C741)/C741</f>
        <v>0</v>
      </c>
    </row>
    <row r="742" spans="1:13" ht="12.75" customHeight="1">
      <c r="A742" s="40"/>
      <c r="B742" s="5">
        <f>MIN('Parameter &lt;x, y&gt;'!B742,'Parameter &lt;x, y&gt;'!G742,'Parameter &lt;x, y&gt;'!L742,'Parameter &lt;x, y&gt;'!Q742)</f>
        <v>427634</v>
      </c>
      <c r="C742" s="5">
        <f>MIN('Parameter &lt;x, y&gt;'!D742,'Parameter &lt;x, y&gt;'!I742,'Parameter &lt;x, y&gt;'!N742,'Parameter &lt;x, y&gt;'!S742)</f>
        <v>353501</v>
      </c>
      <c r="E742" s="5">
        <f>100*('Parameter &lt;x, y&gt;'!B742-B742)/B742</f>
        <v>4.8553202037256158</v>
      </c>
      <c r="F742" s="5">
        <f>100*('Parameter &lt;x, y&gt;'!G742-B742)/B742</f>
        <v>0.38631165903553039</v>
      </c>
      <c r="G742" s="5">
        <f>100*('Parameter &lt;x, y&gt;'!L742-B742)/B742</f>
        <v>0</v>
      </c>
      <c r="H742" s="5">
        <f>100*('Parameter &lt;x, y&gt;'!Q742-B742)/B742</f>
        <v>6.0827717160001313</v>
      </c>
      <c r="J742" s="5">
        <f>100*('Parameter &lt;x, y&gt;'!D742-C742)/C742</f>
        <v>0</v>
      </c>
      <c r="K742" s="5">
        <f>100*('Parameter &lt;x, y&gt;'!I742-C742)/C742</f>
        <v>13.937725777296246</v>
      </c>
      <c r="L742" s="5">
        <f>100*('Parameter &lt;x, y&gt;'!N742-C742)/C742</f>
        <v>9.3586722526951824</v>
      </c>
      <c r="M742" s="5">
        <f>100*('Parameter &lt;x, y&gt;'!S742-C742)/C742</f>
        <v>8.3032296938339645</v>
      </c>
    </row>
    <row r="743" spans="1:13" ht="12.75" customHeight="1">
      <c r="A743" s="40"/>
      <c r="B743" s="5">
        <f>MIN('Parameter &lt;x, y&gt;'!B743,'Parameter &lt;x, y&gt;'!G743,'Parameter &lt;x, y&gt;'!L743,'Parameter &lt;x, y&gt;'!Q743)</f>
        <v>400663</v>
      </c>
      <c r="C743" s="5">
        <f>MIN('Parameter &lt;x, y&gt;'!D743,'Parameter &lt;x, y&gt;'!I743,'Parameter &lt;x, y&gt;'!N743,'Parameter &lt;x, y&gt;'!S743)</f>
        <v>352492</v>
      </c>
      <c r="E743" s="5">
        <f>100*('Parameter &lt;x, y&gt;'!B743-B743)/B743</f>
        <v>0</v>
      </c>
      <c r="F743" s="5">
        <f>100*('Parameter &lt;x, y&gt;'!G743-B743)/B743</f>
        <v>5.6289200649922755</v>
      </c>
      <c r="G743" s="5">
        <f>100*('Parameter &lt;x, y&gt;'!L743-B743)/B743</f>
        <v>4.5556989290251408</v>
      </c>
      <c r="H743" s="5">
        <f>100*('Parameter &lt;x, y&gt;'!Q743-B743)/B743</f>
        <v>14.52991666313086</v>
      </c>
      <c r="J743" s="5">
        <f>100*('Parameter &lt;x, y&gt;'!D743-C743)/C743</f>
        <v>21.42204645779195</v>
      </c>
      <c r="K743" s="5">
        <f>100*('Parameter &lt;x, y&gt;'!I743-C743)/C743</f>
        <v>0</v>
      </c>
      <c r="L743" s="5">
        <f>100*('Parameter &lt;x, y&gt;'!N743-C743)/C743</f>
        <v>28.266457111083373</v>
      </c>
      <c r="M743" s="5">
        <f>100*('Parameter &lt;x, y&gt;'!S743-C743)/C743</f>
        <v>0.76966285759676811</v>
      </c>
    </row>
    <row r="744" spans="1:13" ht="12.75" customHeight="1">
      <c r="A744" s="40"/>
      <c r="B744" s="5">
        <f>MIN('Parameter &lt;x, y&gt;'!B744,'Parameter &lt;x, y&gt;'!G744,'Parameter &lt;x, y&gt;'!L744,'Parameter &lt;x, y&gt;'!Q744)</f>
        <v>415729</v>
      </c>
      <c r="C744" s="5">
        <f>MIN('Parameter &lt;x, y&gt;'!D744,'Parameter &lt;x, y&gt;'!I744,'Parameter &lt;x, y&gt;'!N744,'Parameter &lt;x, y&gt;'!S744)</f>
        <v>372688</v>
      </c>
      <c r="E744" s="5">
        <f>100*('Parameter &lt;x, y&gt;'!B744-B744)/B744</f>
        <v>0</v>
      </c>
      <c r="F744" s="5">
        <f>100*('Parameter &lt;x, y&gt;'!G744-B744)/B744</f>
        <v>11.94937086419278</v>
      </c>
      <c r="G744" s="5">
        <f>100*('Parameter &lt;x, y&gt;'!L744-B744)/B744</f>
        <v>6.4477099264184119</v>
      </c>
      <c r="H744" s="5">
        <f>100*('Parameter &lt;x, y&gt;'!Q744-B744)/B744</f>
        <v>5.8605485785211036</v>
      </c>
      <c r="J744" s="5">
        <f>100*('Parameter &lt;x, y&gt;'!D744-C744)/C744</f>
        <v>2.440379083844932</v>
      </c>
      <c r="K744" s="5">
        <f>100*('Parameter &lt;x, y&gt;'!I744-C744)/C744</f>
        <v>7.1545099386081654</v>
      </c>
      <c r="L744" s="5">
        <f>100*('Parameter &lt;x, y&gt;'!N744-C744)/C744</f>
        <v>0</v>
      </c>
      <c r="M744" s="5">
        <f>100*('Parameter &lt;x, y&gt;'!S744-C744)/C744</f>
        <v>11.966309620916155</v>
      </c>
    </row>
    <row r="745" spans="1:13" ht="12.75" customHeight="1">
      <c r="A745" s="40"/>
      <c r="B745" s="5">
        <f>MIN('Parameter &lt;x, y&gt;'!B745,'Parameter &lt;x, y&gt;'!G745,'Parameter &lt;x, y&gt;'!L745,'Parameter &lt;x, y&gt;'!Q745)</f>
        <v>401753</v>
      </c>
      <c r="C745" s="5">
        <f>MIN('Parameter &lt;x, y&gt;'!D745,'Parameter &lt;x, y&gt;'!I745,'Parameter &lt;x, y&gt;'!N745,'Parameter &lt;x, y&gt;'!S745)</f>
        <v>333231</v>
      </c>
      <c r="E745" s="5">
        <f>100*('Parameter &lt;x, y&gt;'!B745-B745)/B745</f>
        <v>12.303081744255799</v>
      </c>
      <c r="F745" s="5">
        <f>100*('Parameter &lt;x, y&gt;'!G745-B745)/B745</f>
        <v>4.1162107065784204</v>
      </c>
      <c r="G745" s="5">
        <f>100*('Parameter &lt;x, y&gt;'!L745-B745)/B745</f>
        <v>9.2218353067680887</v>
      </c>
      <c r="H745" s="5">
        <f>100*('Parameter &lt;x, y&gt;'!Q745-B745)/B745</f>
        <v>0</v>
      </c>
      <c r="J745" s="5">
        <f>100*('Parameter &lt;x, y&gt;'!D745-C745)/C745</f>
        <v>0.7094177912619174</v>
      </c>
      <c r="K745" s="5">
        <f>100*('Parameter &lt;x, y&gt;'!I745-C745)/C745</f>
        <v>9.5639361283914166</v>
      </c>
      <c r="L745" s="5">
        <f>100*('Parameter &lt;x, y&gt;'!N745-C745)/C745</f>
        <v>0</v>
      </c>
      <c r="M745" s="5">
        <f>100*('Parameter &lt;x, y&gt;'!S745-C745)/C745</f>
        <v>10.314166449099874</v>
      </c>
    </row>
    <row r="746" spans="1:13" ht="12.75" customHeight="1">
      <c r="A746" s="40"/>
      <c r="B746" s="5">
        <f>MIN('Parameter &lt;x, y&gt;'!B746,'Parameter &lt;x, y&gt;'!G746,'Parameter &lt;x, y&gt;'!L746,'Parameter &lt;x, y&gt;'!Q746)</f>
        <v>422675</v>
      </c>
      <c r="C746" s="5">
        <f>MIN('Parameter &lt;x, y&gt;'!D746,'Parameter &lt;x, y&gt;'!I746,'Parameter &lt;x, y&gt;'!N746,'Parameter &lt;x, y&gt;'!S746)</f>
        <v>344263</v>
      </c>
      <c r="E746" s="5">
        <f>100*('Parameter &lt;x, y&gt;'!B746-B746)/B746</f>
        <v>0</v>
      </c>
      <c r="F746" s="5">
        <f>100*('Parameter &lt;x, y&gt;'!G746-B746)/B746</f>
        <v>1.0816821434908617</v>
      </c>
      <c r="G746" s="5">
        <f>100*('Parameter &lt;x, y&gt;'!L746-B746)/B746</f>
        <v>0.40361980244868989</v>
      </c>
      <c r="H746" s="5">
        <f>100*('Parameter &lt;x, y&gt;'!Q746-B746)/B746</f>
        <v>0.27089371266339385</v>
      </c>
      <c r="J746" s="5">
        <f>100*('Parameter &lt;x, y&gt;'!D746-C746)/C746</f>
        <v>14.786950674339096</v>
      </c>
      <c r="K746" s="5">
        <f>100*('Parameter &lt;x, y&gt;'!I746-C746)/C746</f>
        <v>10.635473460697199</v>
      </c>
      <c r="L746" s="5">
        <f>100*('Parameter &lt;x, y&gt;'!N746-C746)/C746</f>
        <v>0</v>
      </c>
      <c r="M746" s="5">
        <f>100*('Parameter &lt;x, y&gt;'!S746-C746)/C746</f>
        <v>1.8750199701972039</v>
      </c>
    </row>
    <row r="747" spans="1:13" ht="12.75" customHeight="1">
      <c r="A747" s="40"/>
      <c r="B747" s="5">
        <f>MIN('Parameter &lt;x, y&gt;'!B747,'Parameter &lt;x, y&gt;'!G747,'Parameter &lt;x, y&gt;'!L747,'Parameter &lt;x, y&gt;'!Q747)</f>
        <v>452687</v>
      </c>
      <c r="C747" s="5">
        <f>MIN('Parameter &lt;x, y&gt;'!D747,'Parameter &lt;x, y&gt;'!I747,'Parameter &lt;x, y&gt;'!N747,'Parameter &lt;x, y&gt;'!S747)</f>
        <v>409507</v>
      </c>
      <c r="E747" s="5">
        <f>100*('Parameter &lt;x, y&gt;'!B747-B747)/B747</f>
        <v>0</v>
      </c>
      <c r="F747" s="5">
        <f>100*('Parameter &lt;x, y&gt;'!G747-B747)/B747</f>
        <v>8.4751715865487629</v>
      </c>
      <c r="G747" s="5">
        <f>100*('Parameter &lt;x, y&gt;'!L747-B747)/B747</f>
        <v>25.300704460256203</v>
      </c>
      <c r="H747" s="5">
        <f>100*('Parameter &lt;x, y&gt;'!Q747-B747)/B747</f>
        <v>6.5670098765813902</v>
      </c>
      <c r="J747" s="5">
        <f>100*('Parameter &lt;x, y&gt;'!D747-C747)/C747</f>
        <v>34.535184990732759</v>
      </c>
      <c r="K747" s="5">
        <f>100*('Parameter &lt;x, y&gt;'!I747-C747)/C747</f>
        <v>0</v>
      </c>
      <c r="L747" s="5">
        <f>100*('Parameter &lt;x, y&gt;'!N747-C747)/C747</f>
        <v>3.6604990879276791</v>
      </c>
      <c r="M747" s="5">
        <f>100*('Parameter &lt;x, y&gt;'!S747-C747)/C747</f>
        <v>9.6313371932592116</v>
      </c>
    </row>
    <row r="748" spans="1:13" ht="12.75" customHeight="1">
      <c r="A748" s="40"/>
      <c r="B748" s="5">
        <f>MIN('Parameter &lt;x, y&gt;'!B748,'Parameter &lt;x, y&gt;'!G748,'Parameter &lt;x, y&gt;'!L748,'Parameter &lt;x, y&gt;'!Q748)</f>
        <v>463965</v>
      </c>
      <c r="C748" s="5">
        <f>MIN('Parameter &lt;x, y&gt;'!D748,'Parameter &lt;x, y&gt;'!I748,'Parameter &lt;x, y&gt;'!N748,'Parameter &lt;x, y&gt;'!S748)</f>
        <v>390520</v>
      </c>
      <c r="E748" s="5">
        <f>100*('Parameter &lt;x, y&gt;'!B748-B748)/B748</f>
        <v>20.646169430883795</v>
      </c>
      <c r="F748" s="5">
        <f>100*('Parameter &lt;x, y&gt;'!G748-B748)/B748</f>
        <v>1.7380621383078465</v>
      </c>
      <c r="G748" s="5">
        <f>100*('Parameter &lt;x, y&gt;'!L748-B748)/B748</f>
        <v>0</v>
      </c>
      <c r="H748" s="5">
        <f>100*('Parameter &lt;x, y&gt;'!Q748-B748)/B748</f>
        <v>1.484163676139364</v>
      </c>
      <c r="J748" s="5">
        <f>100*('Parameter &lt;x, y&gt;'!D748-C748)/C748</f>
        <v>8.1982997029601563</v>
      </c>
      <c r="K748" s="5">
        <f>100*('Parameter &lt;x, y&gt;'!I748-C748)/C748</f>
        <v>11.242958107139199</v>
      </c>
      <c r="L748" s="5">
        <f>100*('Parameter &lt;x, y&gt;'!N748-C748)/C748</f>
        <v>4.916777629826897</v>
      </c>
      <c r="M748" s="5">
        <f>100*('Parameter &lt;x, y&gt;'!S748-C748)/C748</f>
        <v>0</v>
      </c>
    </row>
    <row r="749" spans="1:13" ht="12.75" customHeight="1">
      <c r="A749" s="40"/>
      <c r="B749" s="5">
        <f>MIN('Parameter &lt;x, y&gt;'!B749,'Parameter &lt;x, y&gt;'!G749,'Parameter &lt;x, y&gt;'!L749,'Parameter &lt;x, y&gt;'!Q749)</f>
        <v>444567</v>
      </c>
      <c r="C749" s="5">
        <f>MIN('Parameter &lt;x, y&gt;'!D749,'Parameter &lt;x, y&gt;'!I749,'Parameter &lt;x, y&gt;'!N749,'Parameter &lt;x, y&gt;'!S749)</f>
        <v>341725</v>
      </c>
      <c r="E749" s="5">
        <f>100*('Parameter &lt;x, y&gt;'!B749-B749)/B749</f>
        <v>2.7500916622241416</v>
      </c>
      <c r="F749" s="5">
        <f>100*('Parameter &lt;x, y&gt;'!G749-B749)/B749</f>
        <v>4.1053429516810738</v>
      </c>
      <c r="G749" s="5">
        <f>100*('Parameter &lt;x, y&gt;'!L749-B749)/B749</f>
        <v>1.2778726266232086</v>
      </c>
      <c r="H749" s="5">
        <f>100*('Parameter &lt;x, y&gt;'!Q749-B749)/B749</f>
        <v>0</v>
      </c>
      <c r="J749" s="5">
        <f>100*('Parameter &lt;x, y&gt;'!D749-C749)/C749</f>
        <v>13.547150486502305</v>
      </c>
      <c r="K749" s="5">
        <f>100*('Parameter &lt;x, y&gt;'!I749-C749)/C749</f>
        <v>17.626746653010461</v>
      </c>
      <c r="L749" s="5">
        <f>100*('Parameter &lt;x, y&gt;'!N749-C749)/C749</f>
        <v>0</v>
      </c>
      <c r="M749" s="5">
        <f>100*('Parameter &lt;x, y&gt;'!S749-C749)/C749</f>
        <v>22.517521398785572</v>
      </c>
    </row>
    <row r="750" spans="1:13" ht="12.75" customHeight="1">
      <c r="A750" s="40"/>
      <c r="B750" s="5">
        <f>MIN('Parameter &lt;x, y&gt;'!B750,'Parameter &lt;x, y&gt;'!G750,'Parameter &lt;x, y&gt;'!L750,'Parameter &lt;x, y&gt;'!Q750)</f>
        <v>415624</v>
      </c>
      <c r="C750" s="5">
        <f>MIN('Parameter &lt;x, y&gt;'!D750,'Parameter &lt;x, y&gt;'!I750,'Parameter &lt;x, y&gt;'!N750,'Parameter &lt;x, y&gt;'!S750)</f>
        <v>334142</v>
      </c>
      <c r="E750" s="5">
        <f>100*('Parameter &lt;x, y&gt;'!B750-B750)/B750</f>
        <v>0</v>
      </c>
      <c r="F750" s="5">
        <f>100*('Parameter &lt;x, y&gt;'!G750-B750)/B750</f>
        <v>0.93449848901892096</v>
      </c>
      <c r="G750" s="5">
        <f>100*('Parameter &lt;x, y&gt;'!L750-B750)/B750</f>
        <v>19.084075991761786</v>
      </c>
      <c r="H750" s="5">
        <f>100*('Parameter &lt;x, y&gt;'!Q750-B750)/B750</f>
        <v>7.3864839374049626E-2</v>
      </c>
      <c r="J750" s="5">
        <f>100*('Parameter &lt;x, y&gt;'!D750-C750)/C750</f>
        <v>4.4696566130567241</v>
      </c>
      <c r="K750" s="5">
        <f>100*('Parameter &lt;x, y&gt;'!I750-C750)/C750</f>
        <v>12.291181593454279</v>
      </c>
      <c r="L750" s="5">
        <f>100*('Parameter &lt;x, y&gt;'!N750-C750)/C750</f>
        <v>0</v>
      </c>
      <c r="M750" s="5">
        <f>100*('Parameter &lt;x, y&gt;'!S750-C750)/C750</f>
        <v>14.370537077051074</v>
      </c>
    </row>
    <row r="751" spans="1:13" ht="12.75" customHeight="1">
      <c r="A751" s="40"/>
      <c r="B751" s="5">
        <f>MIN('Parameter &lt;x, y&gt;'!B751,'Parameter &lt;x, y&gt;'!G751,'Parameter &lt;x, y&gt;'!L751,'Parameter &lt;x, y&gt;'!Q751)</f>
        <v>421193</v>
      </c>
      <c r="C751" s="5">
        <f>MIN('Parameter &lt;x, y&gt;'!D751,'Parameter &lt;x, y&gt;'!I751,'Parameter &lt;x, y&gt;'!N751,'Parameter &lt;x, y&gt;'!S751)</f>
        <v>318577</v>
      </c>
      <c r="E751" s="5">
        <f>100*('Parameter &lt;x, y&gt;'!B751-B751)/B751</f>
        <v>1.1092302103786151</v>
      </c>
      <c r="F751" s="5">
        <f>100*('Parameter &lt;x, y&gt;'!G751-B751)/B751</f>
        <v>0.56292483493315415</v>
      </c>
      <c r="G751" s="5">
        <f>100*('Parameter &lt;x, y&gt;'!L751-B751)/B751</f>
        <v>0</v>
      </c>
      <c r="H751" s="5">
        <f>100*('Parameter &lt;x, y&gt;'!Q751-B751)/B751</f>
        <v>1.6920983966970011</v>
      </c>
      <c r="J751" s="5">
        <f>100*('Parameter &lt;x, y&gt;'!D751-C751)/C751</f>
        <v>12.507180367697606</v>
      </c>
      <c r="K751" s="5">
        <f>100*('Parameter &lt;x, y&gt;'!I751-C751)/C751</f>
        <v>31.976570813335552</v>
      </c>
      <c r="L751" s="5">
        <f>100*('Parameter &lt;x, y&gt;'!N751-C751)/C751</f>
        <v>0</v>
      </c>
      <c r="M751" s="5">
        <f>100*('Parameter &lt;x, y&gt;'!S751-C751)/C751</f>
        <v>21.091290331693752</v>
      </c>
    </row>
    <row r="752" spans="1:13" ht="12.75" customHeight="1">
      <c r="A752" s="40"/>
      <c r="B752" s="5">
        <f>MIN('Parameter &lt;x, y&gt;'!B752,'Parameter &lt;x, y&gt;'!G752,'Parameter &lt;x, y&gt;'!L752,'Parameter &lt;x, y&gt;'!Q752)</f>
        <v>422953</v>
      </c>
      <c r="C752" s="5">
        <f>MIN('Parameter &lt;x, y&gt;'!D752,'Parameter &lt;x, y&gt;'!I752,'Parameter &lt;x, y&gt;'!N752,'Parameter &lt;x, y&gt;'!S752)</f>
        <v>336464</v>
      </c>
      <c r="E752" s="5">
        <f>100*('Parameter &lt;x, y&gt;'!B752-B752)/B752</f>
        <v>3.0837941804408526</v>
      </c>
      <c r="F752" s="5">
        <f>100*('Parameter &lt;x, y&gt;'!G752-B752)/B752</f>
        <v>5.6722614569467531</v>
      </c>
      <c r="G752" s="5">
        <f>100*('Parameter &lt;x, y&gt;'!L752-B752)/B752</f>
        <v>0</v>
      </c>
      <c r="H752" s="5">
        <f>100*('Parameter &lt;x, y&gt;'!Q752-B752)/B752</f>
        <v>1.8411029121439024</v>
      </c>
      <c r="J752" s="5">
        <f>100*('Parameter &lt;x, y&gt;'!D752-C752)/C752</f>
        <v>0.80543535118170151</v>
      </c>
      <c r="K752" s="5">
        <f>100*('Parameter &lt;x, y&gt;'!I752-C752)/C752</f>
        <v>28.2571092301108</v>
      </c>
      <c r="L752" s="5">
        <f>100*('Parameter &lt;x, y&gt;'!N752-C752)/C752</f>
        <v>0</v>
      </c>
      <c r="M752" s="5">
        <f>100*('Parameter &lt;x, y&gt;'!S752-C752)/C752</f>
        <v>16.517071662941653</v>
      </c>
    </row>
    <row r="753" spans="1:13" ht="12.75" customHeight="1">
      <c r="A753" s="40"/>
      <c r="B753" s="5">
        <f>MIN('Parameter &lt;x, y&gt;'!B753,'Parameter &lt;x, y&gt;'!G753,'Parameter &lt;x, y&gt;'!L753,'Parameter &lt;x, y&gt;'!Q753)</f>
        <v>432598</v>
      </c>
      <c r="C753" s="5">
        <f>MIN('Parameter &lt;x, y&gt;'!D753,'Parameter &lt;x, y&gt;'!I753,'Parameter &lt;x, y&gt;'!N753,'Parameter &lt;x, y&gt;'!S753)</f>
        <v>380413</v>
      </c>
      <c r="E753" s="5">
        <f>100*('Parameter &lt;x, y&gt;'!B753-B753)/B753</f>
        <v>0</v>
      </c>
      <c r="F753" s="5">
        <f>100*('Parameter &lt;x, y&gt;'!G753-B753)/B753</f>
        <v>5.6299381874164931</v>
      </c>
      <c r="G753" s="5">
        <f>100*('Parameter &lt;x, y&gt;'!L753-B753)/B753</f>
        <v>1.1578879236612283</v>
      </c>
      <c r="H753" s="5">
        <f>100*('Parameter &lt;x, y&gt;'!Q753-B753)/B753</f>
        <v>4.3171720627464758</v>
      </c>
      <c r="J753" s="5">
        <f>100*('Parameter &lt;x, y&gt;'!D753-C753)/C753</f>
        <v>0</v>
      </c>
      <c r="K753" s="5">
        <f>100*('Parameter &lt;x, y&gt;'!I753-C753)/C753</f>
        <v>0.15824906088908633</v>
      </c>
      <c r="L753" s="5">
        <f>100*('Parameter &lt;x, y&gt;'!N753-C753)/C753</f>
        <v>0.29257675210889217</v>
      </c>
      <c r="M753" s="5">
        <f>100*('Parameter &lt;x, y&gt;'!S753-C753)/C753</f>
        <v>6.1002121378606935</v>
      </c>
    </row>
    <row r="754" spans="1:13" ht="12.75" customHeight="1">
      <c r="A754" s="40"/>
      <c r="B754" s="5">
        <f>MIN('Parameter &lt;x, y&gt;'!B754,'Parameter &lt;x, y&gt;'!G754,'Parameter &lt;x, y&gt;'!L754,'Parameter &lt;x, y&gt;'!Q754)</f>
        <v>418670</v>
      </c>
      <c r="C754" s="5">
        <f>MIN('Parameter &lt;x, y&gt;'!D754,'Parameter &lt;x, y&gt;'!I754,'Parameter &lt;x, y&gt;'!N754,'Parameter &lt;x, y&gt;'!S754)</f>
        <v>358822</v>
      </c>
      <c r="E754" s="5">
        <f>100*('Parameter &lt;x, y&gt;'!B754-B754)/B754</f>
        <v>1.6858146033869157</v>
      </c>
      <c r="F754" s="5">
        <f>100*('Parameter &lt;x, y&gt;'!G754-B754)/B754</f>
        <v>0</v>
      </c>
      <c r="G754" s="5">
        <f>100*('Parameter &lt;x, y&gt;'!L754-B754)/B754</f>
        <v>2.282943607136886</v>
      </c>
      <c r="H754" s="5">
        <f>100*('Parameter &lt;x, y&gt;'!Q754-B754)/B754</f>
        <v>5.1166790073327437</v>
      </c>
      <c r="J754" s="5">
        <f>100*('Parameter &lt;x, y&gt;'!D754-C754)/C754</f>
        <v>0</v>
      </c>
      <c r="K754" s="5">
        <f>100*('Parameter &lt;x, y&gt;'!I754-C754)/C754</f>
        <v>3.3186370958302445</v>
      </c>
      <c r="L754" s="5">
        <f>100*('Parameter &lt;x, y&gt;'!N754-C754)/C754</f>
        <v>8.4841509160530855</v>
      </c>
      <c r="M754" s="5">
        <f>100*('Parameter &lt;x, y&gt;'!S754-C754)/C754</f>
        <v>6.7233893128069067</v>
      </c>
    </row>
    <row r="755" spans="1:13" ht="12.75" customHeight="1">
      <c r="A755" s="40"/>
      <c r="B755" s="5">
        <f>MIN('Parameter &lt;x, y&gt;'!B755,'Parameter &lt;x, y&gt;'!G755,'Parameter &lt;x, y&gt;'!L755,'Parameter &lt;x, y&gt;'!Q755)</f>
        <v>432210</v>
      </c>
      <c r="C755" s="5">
        <f>MIN('Parameter &lt;x, y&gt;'!D755,'Parameter &lt;x, y&gt;'!I755,'Parameter &lt;x, y&gt;'!N755,'Parameter &lt;x, y&gt;'!S755)</f>
        <v>344704</v>
      </c>
      <c r="E755" s="5">
        <f>100*('Parameter &lt;x, y&gt;'!B755-B755)/B755</f>
        <v>0</v>
      </c>
      <c r="F755" s="5">
        <f>100*('Parameter &lt;x, y&gt;'!G755-B755)/B755</f>
        <v>1.6859859790379677</v>
      </c>
      <c r="G755" s="5">
        <f>100*('Parameter &lt;x, y&gt;'!L755-B755)/B755</f>
        <v>1.8875083871266283</v>
      </c>
      <c r="H755" s="5">
        <f>100*('Parameter &lt;x, y&gt;'!Q755-B755)/B755</f>
        <v>0.84449688808680967</v>
      </c>
      <c r="J755" s="5">
        <f>100*('Parameter &lt;x, y&gt;'!D755-C755)/C755</f>
        <v>8.077655031563312</v>
      </c>
      <c r="K755" s="5">
        <f>100*('Parameter &lt;x, y&gt;'!I755-C755)/C755</f>
        <v>21.435492480505012</v>
      </c>
      <c r="L755" s="5">
        <f>100*('Parameter &lt;x, y&gt;'!N755-C755)/C755</f>
        <v>0</v>
      </c>
      <c r="M755" s="5">
        <f>100*('Parameter &lt;x, y&gt;'!S755-C755)/C755</f>
        <v>19.953351281099145</v>
      </c>
    </row>
    <row r="756" spans="1:13" ht="12.75" customHeight="1">
      <c r="A756" s="40"/>
      <c r="B756" s="5">
        <f>MIN('Parameter &lt;x, y&gt;'!B756,'Parameter &lt;x, y&gt;'!G756,'Parameter &lt;x, y&gt;'!L756,'Parameter &lt;x, y&gt;'!Q756)</f>
        <v>431792</v>
      </c>
      <c r="C756" s="5">
        <f>MIN('Parameter &lt;x, y&gt;'!D756,'Parameter &lt;x, y&gt;'!I756,'Parameter &lt;x, y&gt;'!N756,'Parameter &lt;x, y&gt;'!S756)</f>
        <v>339474</v>
      </c>
      <c r="E756" s="5">
        <f>100*('Parameter &lt;x, y&gt;'!B756-B756)/B756</f>
        <v>0</v>
      </c>
      <c r="F756" s="5">
        <f>100*('Parameter &lt;x, y&gt;'!G756-B756)/B756</f>
        <v>3.6793178196909624</v>
      </c>
      <c r="G756" s="5">
        <f>100*('Parameter &lt;x, y&gt;'!L756-B756)/B756</f>
        <v>1.6797439507911216</v>
      </c>
      <c r="H756" s="5">
        <f>100*('Parameter &lt;x, y&gt;'!Q756-B756)/B756</f>
        <v>1.5116074406195577</v>
      </c>
      <c r="J756" s="5">
        <f>100*('Parameter &lt;x, y&gt;'!D756-C756)/C756</f>
        <v>12.559724750643642</v>
      </c>
      <c r="K756" s="5">
        <f>100*('Parameter &lt;x, y&gt;'!I756-C756)/C756</f>
        <v>15.564667691781992</v>
      </c>
      <c r="L756" s="5">
        <f>100*('Parameter &lt;x, y&gt;'!N756-C756)/C756</f>
        <v>0</v>
      </c>
      <c r="M756" s="5">
        <f>100*('Parameter &lt;x, y&gt;'!S756-C756)/C756</f>
        <v>24.345310686532695</v>
      </c>
    </row>
    <row r="757" spans="1:13" ht="12.75" customHeight="1">
      <c r="A757" s="40"/>
      <c r="B757" s="5">
        <f>MIN('Parameter &lt;x, y&gt;'!B757,'Parameter &lt;x, y&gt;'!G757,'Parameter &lt;x, y&gt;'!L757,'Parameter &lt;x, y&gt;'!Q757)</f>
        <v>424136</v>
      </c>
      <c r="C757" s="5">
        <f>MIN('Parameter &lt;x, y&gt;'!D757,'Parameter &lt;x, y&gt;'!I757,'Parameter &lt;x, y&gt;'!N757,'Parameter &lt;x, y&gt;'!S757)</f>
        <v>401229</v>
      </c>
      <c r="E757" s="5">
        <f>100*('Parameter &lt;x, y&gt;'!B757-B757)/B757</f>
        <v>0</v>
      </c>
      <c r="F757" s="5">
        <f>100*('Parameter &lt;x, y&gt;'!G757-B757)/B757</f>
        <v>3.8096271007412716</v>
      </c>
      <c r="G757" s="5">
        <f>100*('Parameter &lt;x, y&gt;'!L757-B757)/B757</f>
        <v>5.553171624196013</v>
      </c>
      <c r="H757" s="5">
        <f>100*('Parameter &lt;x, y&gt;'!Q757-B757)/B757</f>
        <v>1.947724314842409</v>
      </c>
      <c r="J757" s="5">
        <f>100*('Parameter &lt;x, y&gt;'!D757-C757)/C757</f>
        <v>6.2889272709599755</v>
      </c>
      <c r="K757" s="5">
        <f>100*('Parameter &lt;x, y&gt;'!I757-C757)/C757</f>
        <v>0</v>
      </c>
      <c r="L757" s="5">
        <f>100*('Parameter &lt;x, y&gt;'!N757-C757)/C757</f>
        <v>2.9252621320991254</v>
      </c>
      <c r="M757" s="5">
        <f>100*('Parameter &lt;x, y&gt;'!S757-C757)/C757</f>
        <v>3.8858108461751271</v>
      </c>
    </row>
    <row r="758" spans="1:13" ht="12.75" customHeight="1">
      <c r="A758" s="40"/>
      <c r="B758" s="5">
        <f>MIN('Parameter &lt;x, y&gt;'!B758,'Parameter &lt;x, y&gt;'!G758,'Parameter &lt;x, y&gt;'!L758,'Parameter &lt;x, y&gt;'!Q758)</f>
        <v>430535</v>
      </c>
      <c r="C758" s="5">
        <f>MIN('Parameter &lt;x, y&gt;'!D758,'Parameter &lt;x, y&gt;'!I758,'Parameter &lt;x, y&gt;'!N758,'Parameter &lt;x, y&gt;'!S758)</f>
        <v>344124</v>
      </c>
      <c r="E758" s="5">
        <f>100*('Parameter &lt;x, y&gt;'!B758-B758)/B758</f>
        <v>2.9414565598615674</v>
      </c>
      <c r="F758" s="5">
        <f>100*('Parameter &lt;x, y&gt;'!G758-B758)/B758</f>
        <v>0.68542627196395178</v>
      </c>
      <c r="G758" s="5">
        <f>100*('Parameter &lt;x, y&gt;'!L758-B758)/B758</f>
        <v>0</v>
      </c>
      <c r="H758" s="5">
        <f>100*('Parameter &lt;x, y&gt;'!Q758-B758)/B758</f>
        <v>4.9254996690164559</v>
      </c>
      <c r="J758" s="5">
        <f>100*('Parameter &lt;x, y&gt;'!D758-C758)/C758</f>
        <v>13.903999721030791</v>
      </c>
      <c r="K758" s="5">
        <f>100*('Parameter &lt;x, y&gt;'!I758-C758)/C758</f>
        <v>27.380246655275425</v>
      </c>
      <c r="L758" s="5">
        <f>100*('Parameter &lt;x, y&gt;'!N758-C758)/C758</f>
        <v>0</v>
      </c>
      <c r="M758" s="5">
        <f>100*('Parameter &lt;x, y&gt;'!S758-C758)/C758</f>
        <v>38.563134219060572</v>
      </c>
    </row>
    <row r="759" spans="1:13" ht="12.75" customHeight="1">
      <c r="A759" s="40"/>
      <c r="B759" s="5">
        <f>MIN('Parameter &lt;x, y&gt;'!B759,'Parameter &lt;x, y&gt;'!G759,'Parameter &lt;x, y&gt;'!L759,'Parameter &lt;x, y&gt;'!Q759)</f>
        <v>436343</v>
      </c>
      <c r="C759" s="5">
        <f>MIN('Parameter &lt;x, y&gt;'!D759,'Parameter &lt;x, y&gt;'!I759,'Parameter &lt;x, y&gt;'!N759,'Parameter &lt;x, y&gt;'!S759)</f>
        <v>359143</v>
      </c>
      <c r="E759" s="5">
        <f>100*('Parameter &lt;x, y&gt;'!B759-B759)/B759</f>
        <v>3.8458277089354018</v>
      </c>
      <c r="F759" s="5">
        <f>100*('Parameter &lt;x, y&gt;'!G759-B759)/B759</f>
        <v>0.24017802508576969</v>
      </c>
      <c r="G759" s="5">
        <f>100*('Parameter &lt;x, y&gt;'!L759-B759)/B759</f>
        <v>0</v>
      </c>
      <c r="H759" s="5">
        <f>100*('Parameter &lt;x, y&gt;'!Q759-B759)/B759</f>
        <v>1.2650598267876418</v>
      </c>
      <c r="J759" s="5">
        <f>100*('Parameter &lt;x, y&gt;'!D759-C759)/C759</f>
        <v>0</v>
      </c>
      <c r="K759" s="5">
        <f>100*('Parameter &lt;x, y&gt;'!I759-C759)/C759</f>
        <v>15.799556165649895</v>
      </c>
      <c r="L759" s="5">
        <f>100*('Parameter &lt;x, y&gt;'!N759-C759)/C759</f>
        <v>5.8475314846732358</v>
      </c>
      <c r="M759" s="5">
        <f>100*('Parameter &lt;x, y&gt;'!S759-C759)/C759</f>
        <v>13.459541185544477</v>
      </c>
    </row>
    <row r="760" spans="1:13" ht="12.75" customHeight="1">
      <c r="A760" s="40"/>
      <c r="B760" s="5">
        <f>MIN('Parameter &lt;x, y&gt;'!B760,'Parameter &lt;x, y&gt;'!G760,'Parameter &lt;x, y&gt;'!L760,'Parameter &lt;x, y&gt;'!Q760)</f>
        <v>392305</v>
      </c>
      <c r="C760" s="5">
        <f>MIN('Parameter &lt;x, y&gt;'!D760,'Parameter &lt;x, y&gt;'!I760,'Parameter &lt;x, y&gt;'!N760,'Parameter &lt;x, y&gt;'!S760)</f>
        <v>293483</v>
      </c>
      <c r="E760" s="5">
        <f>100*('Parameter &lt;x, y&gt;'!B760-B760)/B760</f>
        <v>0.68110271344999429</v>
      </c>
      <c r="F760" s="5">
        <f>100*('Parameter &lt;x, y&gt;'!G760-B760)/B760</f>
        <v>1.2161456009992226</v>
      </c>
      <c r="G760" s="5">
        <f>100*('Parameter &lt;x, y&gt;'!L760-B760)/B760</f>
        <v>1.4063037687513542</v>
      </c>
      <c r="H760" s="5">
        <f>100*('Parameter &lt;x, y&gt;'!Q760-B760)/B760</f>
        <v>0</v>
      </c>
      <c r="J760" s="5">
        <f>100*('Parameter &lt;x, y&gt;'!D760-C760)/C760</f>
        <v>8.5926612444332378</v>
      </c>
      <c r="K760" s="5">
        <f>100*('Parameter &lt;x, y&gt;'!I760-C760)/C760</f>
        <v>25.374553210918521</v>
      </c>
      <c r="L760" s="5">
        <f>100*('Parameter &lt;x, y&gt;'!N760-C760)/C760</f>
        <v>0</v>
      </c>
      <c r="M760" s="5">
        <f>100*('Parameter &lt;x, y&gt;'!S760-C760)/C760</f>
        <v>20.373241380250303</v>
      </c>
    </row>
    <row r="761" spans="1:13" ht="12.75" customHeight="1">
      <c r="A761" s="40"/>
      <c r="B761" s="5">
        <f>MIN('Parameter &lt;x, y&gt;'!B761,'Parameter &lt;x, y&gt;'!G761,'Parameter &lt;x, y&gt;'!L761,'Parameter &lt;x, y&gt;'!Q761)</f>
        <v>420910</v>
      </c>
      <c r="C761" s="5">
        <f>MIN('Parameter &lt;x, y&gt;'!D761,'Parameter &lt;x, y&gt;'!I761,'Parameter &lt;x, y&gt;'!N761,'Parameter &lt;x, y&gt;'!S761)</f>
        <v>377826</v>
      </c>
      <c r="E761" s="5">
        <f>100*('Parameter &lt;x, y&gt;'!B761-B761)/B761</f>
        <v>5.7176118410111423</v>
      </c>
      <c r="F761" s="5">
        <f>100*('Parameter &lt;x, y&gt;'!G761-B761)/B761</f>
        <v>2.3682022285049062</v>
      </c>
      <c r="G761" s="5">
        <f>100*('Parameter &lt;x, y&gt;'!L761-B761)/B761</f>
        <v>2.5763227293245587</v>
      </c>
      <c r="H761" s="5">
        <f>100*('Parameter &lt;x, y&gt;'!Q761-B761)/B761</f>
        <v>0</v>
      </c>
      <c r="J761" s="5">
        <f>100*('Parameter &lt;x, y&gt;'!D761-C761)/C761</f>
        <v>4.3437984680778987</v>
      </c>
      <c r="K761" s="5">
        <f>100*('Parameter &lt;x, y&gt;'!I761-C761)/C761</f>
        <v>11.421924377888235</v>
      </c>
      <c r="L761" s="5">
        <f>100*('Parameter &lt;x, y&gt;'!N761-C761)/C761</f>
        <v>0</v>
      </c>
      <c r="M761" s="5">
        <f>100*('Parameter &lt;x, y&gt;'!S761-C761)/C761</f>
        <v>13.170083583448466</v>
      </c>
    </row>
    <row r="762" spans="1:13" ht="12.75" customHeight="1">
      <c r="A762" s="40"/>
      <c r="B762" s="5">
        <f>MIN('Parameter &lt;x, y&gt;'!B762,'Parameter &lt;x, y&gt;'!G762,'Parameter &lt;x, y&gt;'!L762,'Parameter &lt;x, y&gt;'!Q762)</f>
        <v>395790</v>
      </c>
      <c r="C762" s="5">
        <f>MIN('Parameter &lt;x, y&gt;'!D762,'Parameter &lt;x, y&gt;'!I762,'Parameter &lt;x, y&gt;'!N762,'Parameter &lt;x, y&gt;'!S762)</f>
        <v>370532</v>
      </c>
      <c r="E762" s="5">
        <f>100*('Parameter &lt;x, y&gt;'!B762-B762)/B762</f>
        <v>0</v>
      </c>
      <c r="F762" s="5">
        <f>100*('Parameter &lt;x, y&gt;'!G762-B762)/B762</f>
        <v>3.6471361075317721</v>
      </c>
      <c r="G762" s="5">
        <f>100*('Parameter &lt;x, y&gt;'!L762-B762)/B762</f>
        <v>9.3355062027843054</v>
      </c>
      <c r="H762" s="5">
        <f>100*('Parameter &lt;x, y&gt;'!Q762-B762)/B762</f>
        <v>5.1539958058566411</v>
      </c>
      <c r="J762" s="5">
        <f>100*('Parameter &lt;x, y&gt;'!D762-C762)/C762</f>
        <v>0</v>
      </c>
      <c r="K762" s="5">
        <f>100*('Parameter &lt;x, y&gt;'!I762-C762)/C762</f>
        <v>3.2939125365690414</v>
      </c>
      <c r="L762" s="5">
        <f>100*('Parameter &lt;x, y&gt;'!N762-C762)/C762</f>
        <v>3.0429220688091716</v>
      </c>
      <c r="M762" s="5">
        <f>100*('Parameter &lt;x, y&gt;'!S762-C762)/C762</f>
        <v>4.6187643712283961</v>
      </c>
    </row>
    <row r="763" spans="1:13" ht="12.75" customHeight="1">
      <c r="A763" s="40"/>
      <c r="B763" s="5">
        <f>MIN('Parameter &lt;x, y&gt;'!B763,'Parameter &lt;x, y&gt;'!G763,'Parameter &lt;x, y&gt;'!L763,'Parameter &lt;x, y&gt;'!Q763)</f>
        <v>420876</v>
      </c>
      <c r="C763" s="5">
        <f>MIN('Parameter &lt;x, y&gt;'!D763,'Parameter &lt;x, y&gt;'!I763,'Parameter &lt;x, y&gt;'!N763,'Parameter &lt;x, y&gt;'!S763)</f>
        <v>337045</v>
      </c>
      <c r="E763" s="5">
        <f>100*('Parameter &lt;x, y&gt;'!B763-B763)/B763</f>
        <v>4.0273144584153053</v>
      </c>
      <c r="F763" s="5">
        <f>100*('Parameter &lt;x, y&gt;'!G763-B763)/B763</f>
        <v>0.25969644265769493</v>
      </c>
      <c r="G763" s="5">
        <f>100*('Parameter &lt;x, y&gt;'!L763-B763)/B763</f>
        <v>6.4577215141751969</v>
      </c>
      <c r="H763" s="5">
        <f>100*('Parameter &lt;x, y&gt;'!Q763-B763)/B763</f>
        <v>0</v>
      </c>
      <c r="J763" s="5">
        <f>100*('Parameter &lt;x, y&gt;'!D763-C763)/C763</f>
        <v>6.2866976219792612</v>
      </c>
      <c r="K763" s="5">
        <f>100*('Parameter &lt;x, y&gt;'!I763-C763)/C763</f>
        <v>17.772107582073609</v>
      </c>
      <c r="L763" s="5">
        <f>100*('Parameter &lt;x, y&gt;'!N763-C763)/C763</f>
        <v>0</v>
      </c>
      <c r="M763" s="5">
        <f>100*('Parameter &lt;x, y&gt;'!S763-C763)/C763</f>
        <v>36.69302318681482</v>
      </c>
    </row>
    <row r="764" spans="1:13" ht="12.75" customHeight="1">
      <c r="A764" s="40"/>
      <c r="B764" s="5">
        <f>MIN('Parameter &lt;x, y&gt;'!B764,'Parameter &lt;x, y&gt;'!G764,'Parameter &lt;x, y&gt;'!L764,'Parameter &lt;x, y&gt;'!Q764)</f>
        <v>411914</v>
      </c>
      <c r="C764" s="5">
        <f>MIN('Parameter &lt;x, y&gt;'!D764,'Parameter &lt;x, y&gt;'!I764,'Parameter &lt;x, y&gt;'!N764,'Parameter &lt;x, y&gt;'!S764)</f>
        <v>356919</v>
      </c>
      <c r="E764" s="5">
        <f>100*('Parameter &lt;x, y&gt;'!B764-B764)/B764</f>
        <v>0</v>
      </c>
      <c r="F764" s="5">
        <f>100*('Parameter &lt;x, y&gt;'!G764-B764)/B764</f>
        <v>16.612690998606507</v>
      </c>
      <c r="G764" s="5">
        <f>100*('Parameter &lt;x, y&gt;'!L764-B764)/B764</f>
        <v>0.59963973062338261</v>
      </c>
      <c r="H764" s="5">
        <f>100*('Parameter &lt;x, y&gt;'!Q764-B764)/B764</f>
        <v>3.4648009050432855</v>
      </c>
      <c r="J764" s="5">
        <f>100*('Parameter &lt;x, y&gt;'!D764-C764)/C764</f>
        <v>0</v>
      </c>
      <c r="K764" s="5">
        <f>100*('Parameter &lt;x, y&gt;'!I764-C764)/C764</f>
        <v>7.3022170296341748</v>
      </c>
      <c r="L764" s="5">
        <f>100*('Parameter &lt;x, y&gt;'!N764-C764)/C764</f>
        <v>12.326606316839396</v>
      </c>
      <c r="M764" s="5">
        <f>100*('Parameter &lt;x, y&gt;'!S764-C764)/C764</f>
        <v>4.2225266797228507</v>
      </c>
    </row>
    <row r="765" spans="1:13" ht="12.75" customHeight="1">
      <c r="A765" s="40"/>
      <c r="B765" s="5">
        <f>MIN('Parameter &lt;x, y&gt;'!B765,'Parameter &lt;x, y&gt;'!G765,'Parameter &lt;x, y&gt;'!L765,'Parameter &lt;x, y&gt;'!Q765)</f>
        <v>467321</v>
      </c>
      <c r="C765" s="5">
        <f>MIN('Parameter &lt;x, y&gt;'!D765,'Parameter &lt;x, y&gt;'!I765,'Parameter &lt;x, y&gt;'!N765,'Parameter &lt;x, y&gt;'!S765)</f>
        <v>382085</v>
      </c>
      <c r="E765" s="5">
        <f>100*('Parameter &lt;x, y&gt;'!B765-B765)/B765</f>
        <v>0</v>
      </c>
      <c r="F765" s="5">
        <f>100*('Parameter &lt;x, y&gt;'!G765-B765)/B765</f>
        <v>2.7539956475313541</v>
      </c>
      <c r="G765" s="5">
        <f>100*('Parameter &lt;x, y&gt;'!L765-B765)/B765</f>
        <v>8.5887430695389249</v>
      </c>
      <c r="H765" s="5">
        <f>100*('Parameter &lt;x, y&gt;'!Q765-B765)/B765</f>
        <v>5.1035583678028589</v>
      </c>
      <c r="J765" s="5">
        <f>100*('Parameter &lt;x, y&gt;'!D765-C765)/C765</f>
        <v>8.2670086499077424</v>
      </c>
      <c r="K765" s="5">
        <f>100*('Parameter &lt;x, y&gt;'!I765-C765)/C765</f>
        <v>24.20665558710758</v>
      </c>
      <c r="L765" s="5">
        <f>100*('Parameter &lt;x, y&gt;'!N765-C765)/C765</f>
        <v>0</v>
      </c>
      <c r="M765" s="5">
        <f>100*('Parameter &lt;x, y&gt;'!S765-C765)/C765</f>
        <v>18.686417943651282</v>
      </c>
    </row>
    <row r="766" spans="1:13" ht="12.75" customHeight="1">
      <c r="A766" s="40"/>
      <c r="B766" s="5">
        <f>MIN('Parameter &lt;x, y&gt;'!B766,'Parameter &lt;x, y&gt;'!G766,'Parameter &lt;x, y&gt;'!L766,'Parameter &lt;x, y&gt;'!Q766)</f>
        <v>480886</v>
      </c>
      <c r="C766" s="5">
        <f>MIN('Parameter &lt;x, y&gt;'!D766,'Parameter &lt;x, y&gt;'!I766,'Parameter &lt;x, y&gt;'!N766,'Parameter &lt;x, y&gt;'!S766)</f>
        <v>400989</v>
      </c>
      <c r="E766" s="5">
        <f>100*('Parameter &lt;x, y&gt;'!B766-B766)/B766</f>
        <v>0</v>
      </c>
      <c r="F766" s="5">
        <f>100*('Parameter &lt;x, y&gt;'!G766-B766)/B766</f>
        <v>1.7326351775680722</v>
      </c>
      <c r="G766" s="5">
        <f>100*('Parameter &lt;x, y&gt;'!L766-B766)/B766</f>
        <v>3.0381420960477121</v>
      </c>
      <c r="H766" s="5">
        <f>100*('Parameter &lt;x, y&gt;'!Q766-B766)/B766</f>
        <v>4.4555258418835235</v>
      </c>
      <c r="J766" s="5">
        <f>100*('Parameter &lt;x, y&gt;'!D766-C766)/C766</f>
        <v>6.800934688981493</v>
      </c>
      <c r="K766" s="5">
        <f>100*('Parameter &lt;x, y&gt;'!I766-C766)/C766</f>
        <v>26.152088960046285</v>
      </c>
      <c r="L766" s="5">
        <f>100*('Parameter &lt;x, y&gt;'!N766-C766)/C766</f>
        <v>0</v>
      </c>
      <c r="M766" s="5">
        <f>100*('Parameter &lt;x, y&gt;'!S766-C766)/C766</f>
        <v>13.801625480998231</v>
      </c>
    </row>
    <row r="767" spans="1:13" ht="12.75" customHeight="1">
      <c r="A767" s="40"/>
      <c r="B767" s="5">
        <f>MIN('Parameter &lt;x, y&gt;'!B767,'Parameter &lt;x, y&gt;'!G767,'Parameter &lt;x, y&gt;'!L767,'Parameter &lt;x, y&gt;'!Q767)</f>
        <v>417000</v>
      </c>
      <c r="C767" s="5">
        <f>MIN('Parameter &lt;x, y&gt;'!D767,'Parameter &lt;x, y&gt;'!I767,'Parameter &lt;x, y&gt;'!N767,'Parameter &lt;x, y&gt;'!S767)</f>
        <v>351159</v>
      </c>
      <c r="E767" s="5">
        <f>100*('Parameter &lt;x, y&gt;'!B767-B767)/B767</f>
        <v>6.5477218225419662</v>
      </c>
      <c r="F767" s="5">
        <f>100*('Parameter &lt;x, y&gt;'!G767-B767)/B767</f>
        <v>10.689448441247002</v>
      </c>
      <c r="G767" s="5">
        <f>100*('Parameter &lt;x, y&gt;'!L767-B767)/B767</f>
        <v>0</v>
      </c>
      <c r="H767" s="5">
        <f>100*('Parameter &lt;x, y&gt;'!Q767-B767)/B767</f>
        <v>4.386810551558753</v>
      </c>
      <c r="J767" s="5">
        <f>100*('Parameter &lt;x, y&gt;'!D767-C767)/C767</f>
        <v>20.70543542953477</v>
      </c>
      <c r="K767" s="5">
        <f>100*('Parameter &lt;x, y&gt;'!I767-C767)/C767</f>
        <v>8.7792139742965443</v>
      </c>
      <c r="L767" s="5">
        <f>100*('Parameter &lt;x, y&gt;'!N767-C767)/C767</f>
        <v>0</v>
      </c>
      <c r="M767" s="5">
        <f>100*('Parameter &lt;x, y&gt;'!S767-C767)/C767</f>
        <v>10.215315569300516</v>
      </c>
    </row>
    <row r="768" spans="1:13" ht="12.75" customHeight="1">
      <c r="A768" s="40"/>
      <c r="B768" s="5">
        <f>MIN('Parameter &lt;x, y&gt;'!B768,'Parameter &lt;x, y&gt;'!G768,'Parameter &lt;x, y&gt;'!L768,'Parameter &lt;x, y&gt;'!Q768)</f>
        <v>439318</v>
      </c>
      <c r="C768" s="5">
        <f>MIN('Parameter &lt;x, y&gt;'!D768,'Parameter &lt;x, y&gt;'!I768,'Parameter &lt;x, y&gt;'!N768,'Parameter &lt;x, y&gt;'!S768)</f>
        <v>333008</v>
      </c>
      <c r="E768" s="5">
        <f>100*('Parameter &lt;x, y&gt;'!B768-B768)/B768</f>
        <v>0.26040362561971053</v>
      </c>
      <c r="F768" s="5">
        <f>100*('Parameter &lt;x, y&gt;'!G768-B768)/B768</f>
        <v>4.5547871928762307</v>
      </c>
      <c r="G768" s="5">
        <f>100*('Parameter &lt;x, y&gt;'!L768-B768)/B768</f>
        <v>0</v>
      </c>
      <c r="H768" s="5">
        <f>100*('Parameter &lt;x, y&gt;'!Q768-B768)/B768</f>
        <v>2.9001770926754653</v>
      </c>
      <c r="J768" s="5">
        <f>100*('Parameter &lt;x, y&gt;'!D768-C768)/C768</f>
        <v>15.99451064238697</v>
      </c>
      <c r="K768" s="5">
        <f>100*('Parameter &lt;x, y&gt;'!I768-C768)/C768</f>
        <v>16.712211118051219</v>
      </c>
      <c r="L768" s="5">
        <f>100*('Parameter &lt;x, y&gt;'!N768-C768)/C768</f>
        <v>0</v>
      </c>
      <c r="M768" s="5">
        <f>100*('Parameter &lt;x, y&gt;'!S768-C768)/C768</f>
        <v>20.762564262720414</v>
      </c>
    </row>
    <row r="769" spans="1:13" ht="12.75" customHeight="1">
      <c r="A769" s="40"/>
      <c r="B769" s="5">
        <f>MIN('Parameter &lt;x, y&gt;'!B769,'Parameter &lt;x, y&gt;'!G769,'Parameter &lt;x, y&gt;'!L769,'Parameter &lt;x, y&gt;'!Q769)</f>
        <v>522581</v>
      </c>
      <c r="C769" s="5">
        <f>MIN('Parameter &lt;x, y&gt;'!D769,'Parameter &lt;x, y&gt;'!I769,'Parameter &lt;x, y&gt;'!N769,'Parameter &lt;x, y&gt;'!S769)</f>
        <v>453656</v>
      </c>
      <c r="E769" s="5">
        <f>100*('Parameter &lt;x, y&gt;'!B769-B769)/B769</f>
        <v>0.58708602111443009</v>
      </c>
      <c r="F769" s="5">
        <f>100*('Parameter &lt;x, y&gt;'!G769-B769)/B769</f>
        <v>0</v>
      </c>
      <c r="G769" s="5">
        <f>100*('Parameter &lt;x, y&gt;'!L769-B769)/B769</f>
        <v>1.3530916738266412</v>
      </c>
      <c r="H769" s="5">
        <f>100*('Parameter &lt;x, y&gt;'!Q769-B769)/B769</f>
        <v>11.208788685390399</v>
      </c>
      <c r="J769" s="5">
        <f>100*('Parameter &lt;x, y&gt;'!D769-C769)/C769</f>
        <v>0</v>
      </c>
      <c r="K769" s="5">
        <f>100*('Parameter &lt;x, y&gt;'!I769-C769)/C769</f>
        <v>6.8025111538258063</v>
      </c>
      <c r="L769" s="5">
        <f>100*('Parameter &lt;x, y&gt;'!N769-C769)/C769</f>
        <v>3.8551237060680341</v>
      </c>
      <c r="M769" s="5">
        <f>100*('Parameter &lt;x, y&gt;'!S769-C769)/C769</f>
        <v>2.1992434796409612</v>
      </c>
    </row>
    <row r="770" spans="1:13" ht="12.75" customHeight="1">
      <c r="A770" s="40"/>
      <c r="B770" s="5">
        <f>MIN('Parameter &lt;x, y&gt;'!B770,'Parameter &lt;x, y&gt;'!G770,'Parameter &lt;x, y&gt;'!L770,'Parameter &lt;x, y&gt;'!Q770)</f>
        <v>479410</v>
      </c>
      <c r="C770" s="5">
        <f>MIN('Parameter &lt;x, y&gt;'!D770,'Parameter &lt;x, y&gt;'!I770,'Parameter &lt;x, y&gt;'!N770,'Parameter &lt;x, y&gt;'!S770)</f>
        <v>358477</v>
      </c>
      <c r="E770" s="5">
        <f>100*('Parameter &lt;x, y&gt;'!B770-B770)/B770</f>
        <v>2.7773721866460859</v>
      </c>
      <c r="F770" s="5">
        <f>100*('Parameter &lt;x, y&gt;'!G770-B770)/B770</f>
        <v>1.2179554035168227</v>
      </c>
      <c r="G770" s="5">
        <f>100*('Parameter &lt;x, y&gt;'!L770-B770)/B770</f>
        <v>0.40028368202582343</v>
      </c>
      <c r="H770" s="5">
        <f>100*('Parameter &lt;x, y&gt;'!Q770-B770)/B770</f>
        <v>0</v>
      </c>
      <c r="J770" s="5">
        <f>100*('Parameter &lt;x, y&gt;'!D770-C770)/C770</f>
        <v>10.713100143105416</v>
      </c>
      <c r="K770" s="5">
        <f>100*('Parameter &lt;x, y&gt;'!I770-C770)/C770</f>
        <v>23.034950638395213</v>
      </c>
      <c r="L770" s="5">
        <f>100*('Parameter &lt;x, y&gt;'!N770-C770)/C770</f>
        <v>0</v>
      </c>
      <c r="M770" s="5">
        <f>100*('Parameter &lt;x, y&gt;'!S770-C770)/C770</f>
        <v>25.34806975063951</v>
      </c>
    </row>
    <row r="771" spans="1:13" ht="12.75" customHeight="1">
      <c r="A771" s="40"/>
      <c r="B771" s="5">
        <f>MIN('Parameter &lt;x, y&gt;'!B771,'Parameter &lt;x, y&gt;'!G771,'Parameter &lt;x, y&gt;'!L771,'Parameter &lt;x, y&gt;'!Q771)</f>
        <v>464445</v>
      </c>
      <c r="C771" s="5">
        <f>MIN('Parameter &lt;x, y&gt;'!D771,'Parameter &lt;x, y&gt;'!I771,'Parameter &lt;x, y&gt;'!N771,'Parameter &lt;x, y&gt;'!S771)</f>
        <v>396737</v>
      </c>
      <c r="E771" s="5">
        <f>100*('Parameter &lt;x, y&gt;'!B771-B771)/B771</f>
        <v>1.0177739021843275</v>
      </c>
      <c r="F771" s="5">
        <f>100*('Parameter &lt;x, y&gt;'!G771-B771)/B771</f>
        <v>9.0663049446113106</v>
      </c>
      <c r="G771" s="5">
        <f>100*('Parameter &lt;x, y&gt;'!L771-B771)/B771</f>
        <v>1.236529621376051</v>
      </c>
      <c r="H771" s="5">
        <f>100*('Parameter &lt;x, y&gt;'!Q771-B771)/B771</f>
        <v>0</v>
      </c>
      <c r="J771" s="5">
        <f>100*('Parameter &lt;x, y&gt;'!D771-C771)/C771</f>
        <v>0</v>
      </c>
      <c r="K771" s="5">
        <f>100*('Parameter &lt;x, y&gt;'!I771-C771)/C771</f>
        <v>6.298379026912035</v>
      </c>
      <c r="L771" s="5">
        <f>100*('Parameter &lt;x, y&gt;'!N771-C771)/C771</f>
        <v>0.98957243715610088</v>
      </c>
      <c r="M771" s="5">
        <f>100*('Parameter &lt;x, y&gt;'!S771-C771)/C771</f>
        <v>6.7359484998878347</v>
      </c>
    </row>
    <row r="772" spans="1:13" ht="12.75" customHeight="1">
      <c r="A772" s="40"/>
      <c r="B772" s="5">
        <f>MIN('Parameter &lt;x, y&gt;'!B772,'Parameter &lt;x, y&gt;'!G772,'Parameter &lt;x, y&gt;'!L772,'Parameter &lt;x, y&gt;'!Q772)</f>
        <v>460682</v>
      </c>
      <c r="C772" s="5">
        <f>MIN('Parameter &lt;x, y&gt;'!D772,'Parameter &lt;x, y&gt;'!I772,'Parameter &lt;x, y&gt;'!N772,'Parameter &lt;x, y&gt;'!S772)</f>
        <v>376664</v>
      </c>
      <c r="E772" s="5">
        <f>100*('Parameter &lt;x, y&gt;'!B772-B772)/B772</f>
        <v>2.130753969115355</v>
      </c>
      <c r="F772" s="5">
        <f>100*('Parameter &lt;x, y&gt;'!G772-B772)/B772</f>
        <v>13.073877425208712</v>
      </c>
      <c r="G772" s="5">
        <f>100*('Parameter &lt;x, y&gt;'!L772-B772)/B772</f>
        <v>0</v>
      </c>
      <c r="H772" s="5">
        <f>100*('Parameter &lt;x, y&gt;'!Q772-B772)/B772</f>
        <v>2.9113358021368319</v>
      </c>
      <c r="J772" s="5">
        <f>100*('Parameter &lt;x, y&gt;'!D772-C772)/C772</f>
        <v>9.4426332221821045</v>
      </c>
      <c r="K772" s="5">
        <f>100*('Parameter &lt;x, y&gt;'!I772-C772)/C772</f>
        <v>15.247010598305121</v>
      </c>
      <c r="L772" s="5">
        <f>100*('Parameter &lt;x, y&gt;'!N772-C772)/C772</f>
        <v>0</v>
      </c>
      <c r="M772" s="5">
        <f>100*('Parameter &lt;x, y&gt;'!S772-C772)/C772</f>
        <v>36.936633179703925</v>
      </c>
    </row>
    <row r="773" spans="1:13" ht="12.75" customHeight="1">
      <c r="A773" s="40"/>
      <c r="B773" s="5">
        <f>MIN('Parameter &lt;x, y&gt;'!B773,'Parameter &lt;x, y&gt;'!G773,'Parameter &lt;x, y&gt;'!L773,'Parameter &lt;x, y&gt;'!Q773)</f>
        <v>477646</v>
      </c>
      <c r="C773" s="5">
        <f>MIN('Parameter &lt;x, y&gt;'!D773,'Parameter &lt;x, y&gt;'!I773,'Parameter &lt;x, y&gt;'!N773,'Parameter &lt;x, y&gt;'!S773)</f>
        <v>412681</v>
      </c>
      <c r="E773" s="5">
        <f>100*('Parameter &lt;x, y&gt;'!B773-B773)/B773</f>
        <v>0</v>
      </c>
      <c r="F773" s="5">
        <f>100*('Parameter &lt;x, y&gt;'!G773-B773)/B773</f>
        <v>2.1145367071010748E-2</v>
      </c>
      <c r="G773" s="5">
        <f>100*('Parameter &lt;x, y&gt;'!L773-B773)/B773</f>
        <v>1.4037592694170997</v>
      </c>
      <c r="H773" s="5">
        <f>100*('Parameter &lt;x, y&gt;'!Q773-B773)/B773</f>
        <v>2.0986253417803145</v>
      </c>
      <c r="J773" s="5">
        <f>100*('Parameter &lt;x, y&gt;'!D773-C773)/C773</f>
        <v>2.3395794814881228</v>
      </c>
      <c r="K773" s="5">
        <f>100*('Parameter &lt;x, y&gt;'!I773-C773)/C773</f>
        <v>5.2876192507045392</v>
      </c>
      <c r="L773" s="5">
        <f>100*('Parameter &lt;x, y&gt;'!N773-C773)/C773</f>
        <v>0</v>
      </c>
      <c r="M773" s="5">
        <f>100*('Parameter &lt;x, y&gt;'!S773-C773)/C773</f>
        <v>10.367087411341933</v>
      </c>
    </row>
    <row r="774" spans="1:13" ht="12.75" customHeight="1">
      <c r="A774" s="40"/>
      <c r="B774" s="5">
        <f>MIN('Parameter &lt;x, y&gt;'!B774,'Parameter &lt;x, y&gt;'!G774,'Parameter &lt;x, y&gt;'!L774,'Parameter &lt;x, y&gt;'!Q774)</f>
        <v>453715</v>
      </c>
      <c r="C774" s="5">
        <f>MIN('Parameter &lt;x, y&gt;'!D774,'Parameter &lt;x, y&gt;'!I774,'Parameter &lt;x, y&gt;'!N774,'Parameter &lt;x, y&gt;'!S774)</f>
        <v>384959</v>
      </c>
      <c r="E774" s="5">
        <f>100*('Parameter &lt;x, y&gt;'!B774-B774)/B774</f>
        <v>0.52081152265188502</v>
      </c>
      <c r="F774" s="5">
        <f>100*('Parameter &lt;x, y&gt;'!G774-B774)/B774</f>
        <v>0</v>
      </c>
      <c r="G774" s="5">
        <f>100*('Parameter &lt;x, y&gt;'!L774-B774)/B774</f>
        <v>1.0923156607121209</v>
      </c>
      <c r="H774" s="5">
        <f>100*('Parameter &lt;x, y&gt;'!Q774-B774)/B774</f>
        <v>2.1535545441521662</v>
      </c>
      <c r="J774" s="5">
        <f>100*('Parameter &lt;x, y&gt;'!D774-C774)/C774</f>
        <v>0</v>
      </c>
      <c r="K774" s="5">
        <f>100*('Parameter &lt;x, y&gt;'!I774-C774)/C774</f>
        <v>5.4208370242025774</v>
      </c>
      <c r="L774" s="5">
        <f>100*('Parameter &lt;x, y&gt;'!N774-C774)/C774</f>
        <v>16.829324681329702</v>
      </c>
      <c r="M774" s="5">
        <f>100*('Parameter &lt;x, y&gt;'!S774-C774)/C774</f>
        <v>10.791279071277721</v>
      </c>
    </row>
    <row r="775" spans="1:13" ht="12.75" customHeight="1">
      <c r="A775" s="40"/>
      <c r="B775" s="5">
        <f>MIN('Parameter &lt;x, y&gt;'!B775,'Parameter &lt;x, y&gt;'!G775,'Parameter &lt;x, y&gt;'!L775,'Parameter &lt;x, y&gt;'!Q775)</f>
        <v>475282</v>
      </c>
      <c r="C775" s="5">
        <f>MIN('Parameter &lt;x, y&gt;'!D775,'Parameter &lt;x, y&gt;'!I775,'Parameter &lt;x, y&gt;'!N775,'Parameter &lt;x, y&gt;'!S775)</f>
        <v>406297</v>
      </c>
      <c r="E775" s="5">
        <f>100*('Parameter &lt;x, y&gt;'!B775-B775)/B775</f>
        <v>2.7737217062712243</v>
      </c>
      <c r="F775" s="5">
        <f>100*('Parameter &lt;x, y&gt;'!G775-B775)/B775</f>
        <v>0</v>
      </c>
      <c r="G775" s="5">
        <f>100*('Parameter &lt;x, y&gt;'!L775-B775)/B775</f>
        <v>3.3060372578805848</v>
      </c>
      <c r="H775" s="5">
        <f>100*('Parameter &lt;x, y&gt;'!Q775-B775)/B775</f>
        <v>2.8019154943801783</v>
      </c>
      <c r="J775" s="5">
        <f>100*('Parameter &lt;x, y&gt;'!D775-C775)/C775</f>
        <v>0</v>
      </c>
      <c r="K775" s="5">
        <f>100*('Parameter &lt;x, y&gt;'!I775-C775)/C775</f>
        <v>9.7866831406581891</v>
      </c>
      <c r="L775" s="5">
        <f>100*('Parameter &lt;x, y&gt;'!N775-C775)/C775</f>
        <v>1.114701806806351</v>
      </c>
      <c r="M775" s="5">
        <f>100*('Parameter &lt;x, y&gt;'!S775-C775)/C775</f>
        <v>7.0921025752097604</v>
      </c>
    </row>
    <row r="776" spans="1:13" ht="12.75" customHeight="1">
      <c r="A776" s="40"/>
      <c r="B776" s="5">
        <f>MIN('Parameter &lt;x, y&gt;'!B776,'Parameter &lt;x, y&gt;'!G776,'Parameter &lt;x, y&gt;'!L776,'Parameter &lt;x, y&gt;'!Q776)</f>
        <v>409320</v>
      </c>
      <c r="C776" s="5">
        <f>MIN('Parameter &lt;x, y&gt;'!D776,'Parameter &lt;x, y&gt;'!I776,'Parameter &lt;x, y&gt;'!N776,'Parameter &lt;x, y&gt;'!S776)</f>
        <v>345838</v>
      </c>
      <c r="E776" s="5">
        <f>100*('Parameter &lt;x, y&gt;'!B776-B776)/B776</f>
        <v>1.355907358545881</v>
      </c>
      <c r="F776" s="5">
        <f>100*('Parameter &lt;x, y&gt;'!G776-B776)/B776</f>
        <v>1.3695885859474251</v>
      </c>
      <c r="G776" s="5">
        <f>100*('Parameter &lt;x, y&gt;'!L776-B776)/B776</f>
        <v>0</v>
      </c>
      <c r="H776" s="5">
        <f>100*('Parameter &lt;x, y&gt;'!Q776-B776)/B776</f>
        <v>1.8887423043095866</v>
      </c>
      <c r="J776" s="5">
        <f>100*('Parameter &lt;x, y&gt;'!D776-C776)/C776</f>
        <v>3.5481930846234362</v>
      </c>
      <c r="K776" s="5">
        <f>100*('Parameter &lt;x, y&gt;'!I776-C776)/C776</f>
        <v>0.69627976104418832</v>
      </c>
      <c r="L776" s="5">
        <f>100*('Parameter &lt;x, y&gt;'!N776-C776)/C776</f>
        <v>0</v>
      </c>
      <c r="M776" s="5">
        <f>100*('Parameter &lt;x, y&gt;'!S776-C776)/C776</f>
        <v>4.9676438101076226</v>
      </c>
    </row>
    <row r="777" spans="1:13" ht="12.75" customHeight="1">
      <c r="A777" s="40"/>
      <c r="B777" s="5">
        <f>MIN('Parameter &lt;x, y&gt;'!B777,'Parameter &lt;x, y&gt;'!G777,'Parameter &lt;x, y&gt;'!L777,'Parameter &lt;x, y&gt;'!Q777)</f>
        <v>523126</v>
      </c>
      <c r="C777" s="5">
        <f>MIN('Parameter &lt;x, y&gt;'!D777,'Parameter &lt;x, y&gt;'!I777,'Parameter &lt;x, y&gt;'!N777,'Parameter &lt;x, y&gt;'!S777)</f>
        <v>452915</v>
      </c>
      <c r="E777" s="5">
        <f>100*('Parameter &lt;x, y&gt;'!B777-B777)/B777</f>
        <v>0.2962957299006358</v>
      </c>
      <c r="F777" s="5">
        <f>100*('Parameter &lt;x, y&gt;'!G777-B777)/B777</f>
        <v>1.5061381005723287</v>
      </c>
      <c r="G777" s="5">
        <f>100*('Parameter &lt;x, y&gt;'!L777-B777)/B777</f>
        <v>0</v>
      </c>
      <c r="H777" s="5">
        <f>100*('Parameter &lt;x, y&gt;'!Q777-B777)/B777</f>
        <v>10.043278292419036</v>
      </c>
      <c r="J777" s="5">
        <f>100*('Parameter &lt;x, y&gt;'!D777-C777)/C777</f>
        <v>0</v>
      </c>
      <c r="K777" s="5">
        <f>100*('Parameter &lt;x, y&gt;'!I777-C777)/C777</f>
        <v>3.7534636741993532</v>
      </c>
      <c r="L777" s="5">
        <f>100*('Parameter &lt;x, y&gt;'!N777-C777)/C777</f>
        <v>3.129063952397249</v>
      </c>
      <c r="M777" s="5">
        <f>100*('Parameter &lt;x, y&gt;'!S777-C777)/C777</f>
        <v>16.744201450603313</v>
      </c>
    </row>
    <row r="778" spans="1:13" ht="12.75" customHeight="1">
      <c r="A778" s="40"/>
      <c r="B778" s="5">
        <f>MIN('Parameter &lt;x, y&gt;'!B778,'Parameter &lt;x, y&gt;'!G778,'Parameter &lt;x, y&gt;'!L778,'Parameter &lt;x, y&gt;'!Q778)</f>
        <v>401365</v>
      </c>
      <c r="C778" s="5">
        <f>MIN('Parameter &lt;x, y&gt;'!D778,'Parameter &lt;x, y&gt;'!I778,'Parameter &lt;x, y&gt;'!N778,'Parameter &lt;x, y&gt;'!S778)</f>
        <v>342847</v>
      </c>
      <c r="E778" s="5">
        <f>100*('Parameter &lt;x, y&gt;'!B778-B778)/B778</f>
        <v>0</v>
      </c>
      <c r="F778" s="5">
        <f>100*('Parameter &lt;x, y&gt;'!G778-B778)/B778</f>
        <v>4.6762921530277923</v>
      </c>
      <c r="G778" s="5">
        <f>100*('Parameter &lt;x, y&gt;'!L778-B778)/B778</f>
        <v>3.1572259663896953</v>
      </c>
      <c r="H778" s="5">
        <f>100*('Parameter &lt;x, y&gt;'!Q778-B778)/B778</f>
        <v>1.7472873818095749</v>
      </c>
      <c r="J778" s="5">
        <f>100*('Parameter &lt;x, y&gt;'!D778-C778)/C778</f>
        <v>4.8117673481173817</v>
      </c>
      <c r="K778" s="5">
        <f>100*('Parameter &lt;x, y&gt;'!I778-C778)/C778</f>
        <v>9.2067306991165161</v>
      </c>
      <c r="L778" s="5">
        <f>100*('Parameter &lt;x, y&gt;'!N778-C778)/C778</f>
        <v>0</v>
      </c>
      <c r="M778" s="5">
        <f>100*('Parameter &lt;x, y&gt;'!S778-C778)/C778</f>
        <v>8.5344191432329879</v>
      </c>
    </row>
    <row r="779" spans="1:13" ht="12.75" customHeight="1">
      <c r="A779" s="40"/>
      <c r="B779" s="5">
        <f>MIN('Parameter &lt;x, y&gt;'!B779,'Parameter &lt;x, y&gt;'!G779,'Parameter &lt;x, y&gt;'!L779,'Parameter &lt;x, y&gt;'!Q779)</f>
        <v>421197</v>
      </c>
      <c r="C779" s="5">
        <f>MIN('Parameter &lt;x, y&gt;'!D779,'Parameter &lt;x, y&gt;'!I779,'Parameter &lt;x, y&gt;'!N779,'Parameter &lt;x, y&gt;'!S779)</f>
        <v>369636</v>
      </c>
      <c r="E779" s="5">
        <f>100*('Parameter &lt;x, y&gt;'!B779-B779)/B779</f>
        <v>0</v>
      </c>
      <c r="F779" s="5">
        <f>100*('Parameter &lt;x, y&gt;'!G779-B779)/B779</f>
        <v>4.4245329382687908</v>
      </c>
      <c r="G779" s="5">
        <f>100*('Parameter &lt;x, y&gt;'!L779-B779)/B779</f>
        <v>3.5042984636642713</v>
      </c>
      <c r="H779" s="5">
        <f>100*('Parameter &lt;x, y&gt;'!Q779-B779)/B779</f>
        <v>4.4663186110062512</v>
      </c>
      <c r="J779" s="5">
        <f>100*('Parameter &lt;x, y&gt;'!D779-C779)/C779</f>
        <v>2.8771548225822161</v>
      </c>
      <c r="K779" s="5">
        <f>100*('Parameter &lt;x, y&gt;'!I779-C779)/C779</f>
        <v>0</v>
      </c>
      <c r="L779" s="5">
        <f>100*('Parameter &lt;x, y&gt;'!N779-C779)/C779</f>
        <v>11.226720341092317</v>
      </c>
      <c r="M779" s="5">
        <f>100*('Parameter &lt;x, y&gt;'!S779-C779)/C779</f>
        <v>3.0145873237455225</v>
      </c>
    </row>
    <row r="780" spans="1:13" ht="12.75" customHeight="1">
      <c r="A780" s="40"/>
      <c r="B780" s="5">
        <f>MIN('Parameter &lt;x, y&gt;'!B780,'Parameter &lt;x, y&gt;'!G780,'Parameter &lt;x, y&gt;'!L780,'Parameter &lt;x, y&gt;'!Q780)</f>
        <v>436496</v>
      </c>
      <c r="C780" s="5">
        <f>MIN('Parameter &lt;x, y&gt;'!D780,'Parameter &lt;x, y&gt;'!I780,'Parameter &lt;x, y&gt;'!N780,'Parameter &lt;x, y&gt;'!S780)</f>
        <v>328269</v>
      </c>
      <c r="E780" s="5">
        <f>100*('Parameter &lt;x, y&gt;'!B780-B780)/B780</f>
        <v>0.23642828342069572</v>
      </c>
      <c r="F780" s="5">
        <f>100*('Parameter &lt;x, y&gt;'!G780-B780)/B780</f>
        <v>0</v>
      </c>
      <c r="G780" s="5">
        <f>100*('Parameter &lt;x, y&gt;'!L780-B780)/B780</f>
        <v>0.90355925369304646</v>
      </c>
      <c r="H780" s="5">
        <f>100*('Parameter &lt;x, y&gt;'!Q780-B780)/B780</f>
        <v>12.768730984934569</v>
      </c>
      <c r="J780" s="5">
        <f>100*('Parameter &lt;x, y&gt;'!D780-C780)/C780</f>
        <v>12.950963995991092</v>
      </c>
      <c r="K780" s="5">
        <f>100*('Parameter &lt;x, y&gt;'!I780-C780)/C780</f>
        <v>23.191346121625863</v>
      </c>
      <c r="L780" s="5">
        <f>100*('Parameter &lt;x, y&gt;'!N780-C780)/C780</f>
        <v>0</v>
      </c>
      <c r="M780" s="5">
        <f>100*('Parameter &lt;x, y&gt;'!S780-C780)/C780</f>
        <v>28.116575125887611</v>
      </c>
    </row>
    <row r="781" spans="1:13" ht="12.75" customHeight="1">
      <c r="A781" s="40"/>
      <c r="B781" s="5">
        <f>MIN('Parameter &lt;x, y&gt;'!B781,'Parameter &lt;x, y&gt;'!G781,'Parameter &lt;x, y&gt;'!L781,'Parameter &lt;x, y&gt;'!Q781)</f>
        <v>414905</v>
      </c>
      <c r="C781" s="5">
        <f>MIN('Parameter &lt;x, y&gt;'!D781,'Parameter &lt;x, y&gt;'!I781,'Parameter &lt;x, y&gt;'!N781,'Parameter &lt;x, y&gt;'!S781)</f>
        <v>331975</v>
      </c>
      <c r="E781" s="5">
        <f>100*('Parameter &lt;x, y&gt;'!B781-B781)/B781</f>
        <v>4.5702028175124427</v>
      </c>
      <c r="F781" s="5">
        <f>100*('Parameter &lt;x, y&gt;'!G781-B781)/B781</f>
        <v>2.7555705522951035</v>
      </c>
      <c r="G781" s="5">
        <f>100*('Parameter &lt;x, y&gt;'!L781-B781)/B781</f>
        <v>0</v>
      </c>
      <c r="H781" s="5">
        <f>100*('Parameter &lt;x, y&gt;'!Q781-B781)/B781</f>
        <v>15.176486183584194</v>
      </c>
      <c r="J781" s="5">
        <f>100*('Parameter &lt;x, y&gt;'!D781-C781)/C781</f>
        <v>14.388131636418406</v>
      </c>
      <c r="K781" s="5">
        <f>100*('Parameter &lt;x, y&gt;'!I781-C781)/C781</f>
        <v>18.000753068755177</v>
      </c>
      <c r="L781" s="5">
        <f>100*('Parameter &lt;x, y&gt;'!N781-C781)/C781</f>
        <v>0</v>
      </c>
      <c r="M781" s="5">
        <f>100*('Parameter &lt;x, y&gt;'!S781-C781)/C781</f>
        <v>31.062278786053167</v>
      </c>
    </row>
    <row r="782" spans="1:13" ht="12.75" customHeight="1">
      <c r="A782" s="40"/>
      <c r="B782" s="5">
        <f>MIN('Parameter &lt;x, y&gt;'!B782,'Parameter &lt;x, y&gt;'!G782,'Parameter &lt;x, y&gt;'!L782,'Parameter &lt;x, y&gt;'!Q782)</f>
        <v>364290</v>
      </c>
      <c r="C782" s="5">
        <f>MIN('Parameter &lt;x, y&gt;'!D782,'Parameter &lt;x, y&gt;'!I782,'Parameter &lt;x, y&gt;'!N782,'Parameter &lt;x, y&gt;'!S782)</f>
        <v>299348</v>
      </c>
      <c r="E782" s="5">
        <f>100*('Parameter &lt;x, y&gt;'!B782-B782)/B782</f>
        <v>2.8639270910538306</v>
      </c>
      <c r="F782" s="5">
        <f>100*('Parameter &lt;x, y&gt;'!G782-B782)/B782</f>
        <v>4.6504158774602651</v>
      </c>
      <c r="G782" s="5">
        <f>100*('Parameter &lt;x, y&gt;'!L782-B782)/B782</f>
        <v>0</v>
      </c>
      <c r="H782" s="5">
        <f>100*('Parameter &lt;x, y&gt;'!Q782-B782)/B782</f>
        <v>9.5552993494194194</v>
      </c>
      <c r="J782" s="5">
        <f>100*('Parameter &lt;x, y&gt;'!D782-C782)/C782</f>
        <v>11.081416946162994</v>
      </c>
      <c r="K782" s="5">
        <f>100*('Parameter &lt;x, y&gt;'!I782-C782)/C782</f>
        <v>12.578670978259417</v>
      </c>
      <c r="L782" s="5">
        <f>100*('Parameter &lt;x, y&gt;'!N782-C782)/C782</f>
        <v>0</v>
      </c>
      <c r="M782" s="5">
        <f>100*('Parameter &lt;x, y&gt;'!S782-C782)/C782</f>
        <v>15.615270521266218</v>
      </c>
    </row>
    <row r="783" spans="1:13" ht="12.75" customHeight="1">
      <c r="A783" s="41" t="s">
        <v>25</v>
      </c>
      <c r="B783" s="5">
        <f>MIN('Parameter &lt;x, y&gt;'!B783,'Parameter &lt;x, y&gt;'!G783,'Parameter &lt;x, y&gt;'!L783,'Parameter &lt;x, y&gt;'!Q783)</f>
        <v>2052730</v>
      </c>
      <c r="C783" s="5">
        <f>MIN('Parameter &lt;x, y&gt;'!D783,'Parameter &lt;x, y&gt;'!I783,'Parameter &lt;x, y&gt;'!N783,'Parameter &lt;x, y&gt;'!S783)</f>
        <v>1557010</v>
      </c>
      <c r="E783" s="5">
        <f>100*('Parameter &lt;x, y&gt;'!B783-B783)/B783</f>
        <v>3.5791360773214209</v>
      </c>
      <c r="F783" s="5">
        <f>100*('Parameter &lt;x, y&gt;'!G783-B783)/B783</f>
        <v>3.1358240002338351</v>
      </c>
      <c r="G783" s="5">
        <f>100*('Parameter &lt;x, y&gt;'!L783-B783)/B783</f>
        <v>0</v>
      </c>
      <c r="H783" s="5">
        <f>100*('Parameter &lt;x, y&gt;'!Q783-B783)/B783</f>
        <v>9.2311214821238057</v>
      </c>
      <c r="J783" s="5">
        <f>100*('Parameter &lt;x, y&gt;'!D783-C783)/C783</f>
        <v>0</v>
      </c>
      <c r="K783" s="5">
        <f>100*('Parameter &lt;x, y&gt;'!I783-C783)/C783</f>
        <v>13.552899467569251</v>
      </c>
      <c r="L783" s="5">
        <f>100*('Parameter &lt;x, y&gt;'!N783-C783)/C783</f>
        <v>0.69171039363909026</v>
      </c>
      <c r="M783" s="5">
        <f>100*('Parameter &lt;x, y&gt;'!S783-C783)/C783</f>
        <v>0.72703450844888595</v>
      </c>
    </row>
    <row r="784" spans="1:13" ht="12.75" customHeight="1">
      <c r="A784" s="42"/>
      <c r="B784" s="5">
        <f>MIN('Parameter &lt;x, y&gt;'!B784,'Parameter &lt;x, y&gt;'!G784,'Parameter &lt;x, y&gt;'!L784,'Parameter &lt;x, y&gt;'!Q784)</f>
        <v>1973140</v>
      </c>
      <c r="C784" s="5">
        <f>MIN('Parameter &lt;x, y&gt;'!D784,'Parameter &lt;x, y&gt;'!I784,'Parameter &lt;x, y&gt;'!N784,'Parameter &lt;x, y&gt;'!S784)</f>
        <v>1488600</v>
      </c>
      <c r="E784" s="5">
        <f>100*('Parameter &lt;x, y&gt;'!B784-B784)/B784</f>
        <v>0.56407553442735947</v>
      </c>
      <c r="F784" s="5">
        <f>100*('Parameter &lt;x, y&gt;'!G784-B784)/B784</f>
        <v>0</v>
      </c>
      <c r="G784" s="5">
        <f>100*('Parameter &lt;x, y&gt;'!L784-B784)/B784</f>
        <v>0.40189748319936752</v>
      </c>
      <c r="H784" s="5">
        <f>100*('Parameter &lt;x, y&gt;'!Q784-B784)/B784</f>
        <v>0.7607164215412997</v>
      </c>
      <c r="J784" s="5">
        <f>100*('Parameter &lt;x, y&gt;'!D784-C784)/C784</f>
        <v>9.8307134220072552</v>
      </c>
      <c r="K784" s="5">
        <f>100*('Parameter &lt;x, y&gt;'!I784-C784)/C784</f>
        <v>20.36477226924627</v>
      </c>
      <c r="L784" s="5">
        <f>100*('Parameter &lt;x, y&gt;'!N784-C784)/C784</f>
        <v>12.472121456401988</v>
      </c>
      <c r="M784" s="5">
        <f>100*('Parameter &lt;x, y&gt;'!S784-C784)/C784</f>
        <v>0</v>
      </c>
    </row>
    <row r="785" spans="1:13" ht="12.75" customHeight="1">
      <c r="A785" s="42"/>
      <c r="B785" s="5">
        <f>MIN('Parameter &lt;x, y&gt;'!B785,'Parameter &lt;x, y&gt;'!G785,'Parameter &lt;x, y&gt;'!L785,'Parameter &lt;x, y&gt;'!Q785)</f>
        <v>2380670</v>
      </c>
      <c r="C785" s="5">
        <f>MIN('Parameter &lt;x, y&gt;'!D785,'Parameter &lt;x, y&gt;'!I785,'Parameter &lt;x, y&gt;'!N785,'Parameter &lt;x, y&gt;'!S785)</f>
        <v>1826090</v>
      </c>
      <c r="E785" s="5">
        <f>100*('Parameter &lt;x, y&gt;'!B785-B785)/B785</f>
        <v>2.3258158417588324</v>
      </c>
      <c r="F785" s="5">
        <f>100*('Parameter &lt;x, y&gt;'!G785-B785)/B785</f>
        <v>4.6327294417117866</v>
      </c>
      <c r="G785" s="5">
        <f>100*('Parameter &lt;x, y&gt;'!L785-B785)/B785</f>
        <v>0</v>
      </c>
      <c r="H785" s="5">
        <f>100*('Parameter &lt;x, y&gt;'!Q785-B785)/B785</f>
        <v>1.3332381220412741</v>
      </c>
      <c r="J785" s="5">
        <f>100*('Parameter &lt;x, y&gt;'!D785-C785)/C785</f>
        <v>21.725106648631776</v>
      </c>
      <c r="K785" s="5">
        <f>100*('Parameter &lt;x, y&gt;'!I785-C785)/C785</f>
        <v>9.3357939641529164</v>
      </c>
      <c r="L785" s="5">
        <f>100*('Parameter &lt;x, y&gt;'!N785-C785)/C785</f>
        <v>0</v>
      </c>
      <c r="M785" s="5">
        <f>100*('Parameter &lt;x, y&gt;'!S785-C785)/C785</f>
        <v>16.892924226078669</v>
      </c>
    </row>
    <row r="786" spans="1:13" ht="12.75" customHeight="1">
      <c r="A786" s="42"/>
      <c r="B786" s="5">
        <f>MIN('Parameter &lt;x, y&gt;'!B786,'Parameter &lt;x, y&gt;'!G786,'Parameter &lt;x, y&gt;'!L786,'Parameter &lt;x, y&gt;'!Q786)</f>
        <v>2242250</v>
      </c>
      <c r="C786" s="5">
        <f>MIN('Parameter &lt;x, y&gt;'!D786,'Parameter &lt;x, y&gt;'!I786,'Parameter &lt;x, y&gt;'!N786,'Parameter &lt;x, y&gt;'!S786)</f>
        <v>1800310</v>
      </c>
      <c r="E786" s="5">
        <f>100*('Parameter &lt;x, y&gt;'!B786-B786)/B786</f>
        <v>3.5241386999665516</v>
      </c>
      <c r="F786" s="5">
        <f>100*('Parameter &lt;x, y&gt;'!G786-B786)/B786</f>
        <v>3.2806332924517783</v>
      </c>
      <c r="G786" s="5">
        <f>100*('Parameter &lt;x, y&gt;'!L786-B786)/B786</f>
        <v>4.1775002787378748</v>
      </c>
      <c r="H786" s="5">
        <f>100*('Parameter &lt;x, y&gt;'!Q786-B786)/B786</f>
        <v>0</v>
      </c>
      <c r="J786" s="5">
        <f>100*('Parameter &lt;x, y&gt;'!D786-C786)/C786</f>
        <v>9.3122851064538885</v>
      </c>
      <c r="K786" s="5">
        <f>100*('Parameter &lt;x, y&gt;'!I786-C786)/C786</f>
        <v>8.4346584754847775</v>
      </c>
      <c r="L786" s="5">
        <f>100*('Parameter &lt;x, y&gt;'!N786-C786)/C786</f>
        <v>0</v>
      </c>
      <c r="M786" s="5">
        <f>100*('Parameter &lt;x, y&gt;'!S786-C786)/C786</f>
        <v>6.5644250156917421</v>
      </c>
    </row>
    <row r="787" spans="1:13" ht="12.75" customHeight="1">
      <c r="A787" s="42"/>
      <c r="B787" s="5">
        <f>MIN('Parameter &lt;x, y&gt;'!B787,'Parameter &lt;x, y&gt;'!G787,'Parameter &lt;x, y&gt;'!L787,'Parameter &lt;x, y&gt;'!Q787)</f>
        <v>2239000</v>
      </c>
      <c r="C787" s="5">
        <f>MIN('Parameter &lt;x, y&gt;'!D787,'Parameter &lt;x, y&gt;'!I787,'Parameter &lt;x, y&gt;'!N787,'Parameter &lt;x, y&gt;'!S787)</f>
        <v>1759940</v>
      </c>
      <c r="E787" s="5">
        <f>100*('Parameter &lt;x, y&gt;'!B787-B787)/B787</f>
        <v>1.9544439481911569</v>
      </c>
      <c r="F787" s="5">
        <f>100*('Parameter &lt;x, y&gt;'!G787-B787)/B787</f>
        <v>5.4256364448414471</v>
      </c>
      <c r="G787" s="5">
        <f>100*('Parameter &lt;x, y&gt;'!L787-B787)/B787</f>
        <v>4.6199196069673958</v>
      </c>
      <c r="H787" s="5">
        <f>100*('Parameter &lt;x, y&gt;'!Q787-B787)/B787</f>
        <v>0</v>
      </c>
      <c r="J787" s="5">
        <f>100*('Parameter &lt;x, y&gt;'!D787-C787)/C787</f>
        <v>10.939009284407422</v>
      </c>
      <c r="K787" s="5">
        <f>100*('Parameter &lt;x, y&gt;'!I787-C787)/C787</f>
        <v>0</v>
      </c>
      <c r="L787" s="5">
        <f>100*('Parameter &lt;x, y&gt;'!N787-C787)/C787</f>
        <v>4.3825357682648276</v>
      </c>
      <c r="M787" s="5">
        <f>100*('Parameter &lt;x, y&gt;'!S787-C787)/C787</f>
        <v>3.7325136084184689</v>
      </c>
    </row>
    <row r="788" spans="1:13" ht="12.75" customHeight="1">
      <c r="A788" s="42"/>
      <c r="B788" s="5">
        <f>MIN('Parameter &lt;x, y&gt;'!B788,'Parameter &lt;x, y&gt;'!G788,'Parameter &lt;x, y&gt;'!L788,'Parameter &lt;x, y&gt;'!Q788)</f>
        <v>2071820</v>
      </c>
      <c r="C788" s="5">
        <f>MIN('Parameter &lt;x, y&gt;'!D788,'Parameter &lt;x, y&gt;'!I788,'Parameter &lt;x, y&gt;'!N788,'Parameter &lt;x, y&gt;'!S788)</f>
        <v>1616470</v>
      </c>
      <c r="E788" s="5">
        <f>100*('Parameter &lt;x, y&gt;'!B788-B788)/B788</f>
        <v>1.9774883918487127</v>
      </c>
      <c r="F788" s="5">
        <f>100*('Parameter &lt;x, y&gt;'!G788-B788)/B788</f>
        <v>2.0228591286887858</v>
      </c>
      <c r="G788" s="5">
        <f>100*('Parameter &lt;x, y&gt;'!L788-B788)/B788</f>
        <v>0</v>
      </c>
      <c r="H788" s="5">
        <f>100*('Parameter &lt;x, y&gt;'!Q788-B788)/B788</f>
        <v>0.23892036953017154</v>
      </c>
      <c r="J788" s="5">
        <f>100*('Parameter &lt;x, y&gt;'!D788-C788)/C788</f>
        <v>7.9407598037699429</v>
      </c>
      <c r="K788" s="5">
        <f>100*('Parameter &lt;x, y&gt;'!I788-C788)/C788</f>
        <v>9.7743849251764647</v>
      </c>
      <c r="L788" s="5">
        <f>100*('Parameter &lt;x, y&gt;'!N788-C788)/C788</f>
        <v>8.0879942096048794</v>
      </c>
      <c r="M788" s="5">
        <f>100*('Parameter &lt;x, y&gt;'!S788-C788)/C788</f>
        <v>0</v>
      </c>
    </row>
    <row r="789" spans="1:13" ht="12.75" customHeight="1">
      <c r="A789" s="42"/>
      <c r="B789" s="5">
        <f>MIN('Parameter &lt;x, y&gt;'!B789,'Parameter &lt;x, y&gt;'!G789,'Parameter &lt;x, y&gt;'!L789,'Parameter &lt;x, y&gt;'!Q789)</f>
        <v>2158320</v>
      </c>
      <c r="C789" s="5">
        <f>MIN('Parameter &lt;x, y&gt;'!D789,'Parameter &lt;x, y&gt;'!I789,'Parameter &lt;x, y&gt;'!N789,'Parameter &lt;x, y&gt;'!S789)</f>
        <v>1658580</v>
      </c>
      <c r="E789" s="5">
        <f>100*('Parameter &lt;x, y&gt;'!B789-B789)/B789</f>
        <v>1.3501241706512472</v>
      </c>
      <c r="F789" s="5">
        <f>100*('Parameter &lt;x, y&gt;'!G789-B789)/B789</f>
        <v>0</v>
      </c>
      <c r="G789" s="5">
        <f>100*('Parameter &lt;x, y&gt;'!L789-B789)/B789</f>
        <v>1.8963823714741095</v>
      </c>
      <c r="H789" s="5">
        <f>100*('Parameter &lt;x, y&gt;'!Q789-B789)/B789</f>
        <v>1.2301234293339265</v>
      </c>
      <c r="J789" s="5">
        <f>100*('Parameter &lt;x, y&gt;'!D789-C789)/C789</f>
        <v>13.011130002773458</v>
      </c>
      <c r="K789" s="5">
        <f>100*('Parameter &lt;x, y&gt;'!I789-C789)/C789</f>
        <v>5.225554389899794</v>
      </c>
      <c r="L789" s="5">
        <f>100*('Parameter &lt;x, y&gt;'!N789-C789)/C789</f>
        <v>0</v>
      </c>
      <c r="M789" s="5">
        <f>100*('Parameter &lt;x, y&gt;'!S789-C789)/C789</f>
        <v>2.0614019221261559</v>
      </c>
    </row>
    <row r="790" spans="1:13" ht="12.75" customHeight="1">
      <c r="A790" s="42"/>
      <c r="B790" s="5">
        <f>MIN('Parameter &lt;x, y&gt;'!B790,'Parameter &lt;x, y&gt;'!G790,'Parameter &lt;x, y&gt;'!L790,'Parameter &lt;x, y&gt;'!Q790)</f>
        <v>2072500</v>
      </c>
      <c r="C790" s="5">
        <f>MIN('Parameter &lt;x, y&gt;'!D790,'Parameter &lt;x, y&gt;'!I790,'Parameter &lt;x, y&gt;'!N790,'Parameter &lt;x, y&gt;'!S790)</f>
        <v>1583890</v>
      </c>
      <c r="E790" s="5">
        <f>100*('Parameter &lt;x, y&gt;'!B790-B790)/B790</f>
        <v>0.33244873341375153</v>
      </c>
      <c r="F790" s="5">
        <f>100*('Parameter &lt;x, y&gt;'!G790-B790)/B790</f>
        <v>0</v>
      </c>
      <c r="G790" s="5">
        <f>100*('Parameter &lt;x, y&gt;'!L790-B790)/B790</f>
        <v>8.7565741857659827</v>
      </c>
      <c r="H790" s="5">
        <f>100*('Parameter &lt;x, y&gt;'!Q790-B790)/B790</f>
        <v>5.8301568154402892</v>
      </c>
      <c r="J790" s="5">
        <f>100*('Parameter &lt;x, y&gt;'!D790-C790)/C790</f>
        <v>24.100158470600864</v>
      </c>
      <c r="K790" s="5">
        <f>100*('Parameter &lt;x, y&gt;'!I790-C790)/C790</f>
        <v>13.37971702580356</v>
      </c>
      <c r="L790" s="5">
        <f>100*('Parameter &lt;x, y&gt;'!N790-C790)/C790</f>
        <v>0</v>
      </c>
      <c r="M790" s="5">
        <f>100*('Parameter &lt;x, y&gt;'!S790-C790)/C790</f>
        <v>8.8225823763013853</v>
      </c>
    </row>
    <row r="791" spans="1:13" ht="12.75" customHeight="1">
      <c r="A791" s="42"/>
      <c r="B791" s="5">
        <f>MIN('Parameter &lt;x, y&gt;'!B791,'Parameter &lt;x, y&gt;'!G791,'Parameter &lt;x, y&gt;'!L791,'Parameter &lt;x, y&gt;'!Q791)</f>
        <v>2362560</v>
      </c>
      <c r="C791" s="5">
        <f>MIN('Parameter &lt;x, y&gt;'!D791,'Parameter &lt;x, y&gt;'!I791,'Parameter &lt;x, y&gt;'!N791,'Parameter &lt;x, y&gt;'!S791)</f>
        <v>1794400</v>
      </c>
      <c r="E791" s="5">
        <f>100*('Parameter &lt;x, y&gt;'!B791-B791)/B791</f>
        <v>1.5910707029662738</v>
      </c>
      <c r="F791" s="5">
        <f>100*('Parameter &lt;x, y&gt;'!G791-B791)/B791</f>
        <v>0</v>
      </c>
      <c r="G791" s="5">
        <f>100*('Parameter &lt;x, y&gt;'!L791-B791)/B791</f>
        <v>0.36655153731545442</v>
      </c>
      <c r="H791" s="5">
        <f>100*('Parameter &lt;x, y&gt;'!Q791-B791)/B791</f>
        <v>1.9351889475822837</v>
      </c>
      <c r="J791" s="5">
        <f>100*('Parameter &lt;x, y&gt;'!D791-C791)/C791</f>
        <v>12.979268836379848</v>
      </c>
      <c r="K791" s="5">
        <f>100*('Parameter &lt;x, y&gt;'!I791-C791)/C791</f>
        <v>11.194828354881855</v>
      </c>
      <c r="L791" s="5">
        <f>100*('Parameter &lt;x, y&gt;'!N791-C791)/C791</f>
        <v>11.312416406598306</v>
      </c>
      <c r="M791" s="5">
        <f>100*('Parameter &lt;x, y&gt;'!S791-C791)/C791</f>
        <v>0</v>
      </c>
    </row>
    <row r="792" spans="1:13" ht="12.75" customHeight="1">
      <c r="A792" s="42"/>
      <c r="B792" s="5">
        <f>MIN('Parameter &lt;x, y&gt;'!B792,'Parameter &lt;x, y&gt;'!G792,'Parameter &lt;x, y&gt;'!L792,'Parameter &lt;x, y&gt;'!Q792)</f>
        <v>2148780</v>
      </c>
      <c r="C792" s="5">
        <f>MIN('Parameter &lt;x, y&gt;'!D792,'Parameter &lt;x, y&gt;'!I792,'Parameter &lt;x, y&gt;'!N792,'Parameter &lt;x, y&gt;'!S792)</f>
        <v>1653660</v>
      </c>
      <c r="E792" s="5">
        <f>100*('Parameter &lt;x, y&gt;'!B792-B792)/B792</f>
        <v>2.1905453327004158</v>
      </c>
      <c r="F792" s="5">
        <f>100*('Parameter &lt;x, y&gt;'!G792-B792)/B792</f>
        <v>0</v>
      </c>
      <c r="G792" s="5">
        <f>100*('Parameter &lt;x, y&gt;'!L792-B792)/B792</f>
        <v>1.41941008386154</v>
      </c>
      <c r="H792" s="5">
        <f>100*('Parameter &lt;x, y&gt;'!Q792-B792)/B792</f>
        <v>4.0851087593890485</v>
      </c>
      <c r="J792" s="5">
        <f>100*('Parameter &lt;x, y&gt;'!D792-C792)/C792</f>
        <v>3.9971941027780802</v>
      </c>
      <c r="K792" s="5">
        <f>100*('Parameter &lt;x, y&gt;'!I792-C792)/C792</f>
        <v>10.687202931678822</v>
      </c>
      <c r="L792" s="5">
        <f>100*('Parameter &lt;x, y&gt;'!N792-C792)/C792</f>
        <v>0</v>
      </c>
      <c r="M792" s="5">
        <f>100*('Parameter &lt;x, y&gt;'!S792-C792)/C792</f>
        <v>6.4837995718587855</v>
      </c>
    </row>
    <row r="793" spans="1:13" ht="12.75" customHeight="1">
      <c r="A793" s="42"/>
      <c r="B793" s="5">
        <f>MIN('Parameter &lt;x, y&gt;'!B793,'Parameter &lt;x, y&gt;'!G793,'Parameter &lt;x, y&gt;'!L793,'Parameter &lt;x, y&gt;'!Q793)</f>
        <v>2203100</v>
      </c>
      <c r="C793" s="5">
        <f>MIN('Parameter &lt;x, y&gt;'!D793,'Parameter &lt;x, y&gt;'!I793,'Parameter &lt;x, y&gt;'!N793,'Parameter &lt;x, y&gt;'!S793)</f>
        <v>1791340</v>
      </c>
      <c r="E793" s="5">
        <f>100*('Parameter &lt;x, y&gt;'!B793-B793)/B793</f>
        <v>0</v>
      </c>
      <c r="F793" s="5">
        <f>100*('Parameter &lt;x, y&gt;'!G793-B793)/B793</f>
        <v>1.2468793972130181</v>
      </c>
      <c r="G793" s="5">
        <f>100*('Parameter &lt;x, y&gt;'!L793-B793)/B793</f>
        <v>3.568607870727611</v>
      </c>
      <c r="H793" s="5">
        <f>100*('Parameter &lt;x, y&gt;'!Q793-B793)/B793</f>
        <v>1.2641278198901549</v>
      </c>
      <c r="J793" s="5">
        <f>100*('Parameter &lt;x, y&gt;'!D793-C793)/C793</f>
        <v>10.739446447910503</v>
      </c>
      <c r="K793" s="5">
        <f>100*('Parameter &lt;x, y&gt;'!I793-C793)/C793</f>
        <v>4.2292362142306876</v>
      </c>
      <c r="L793" s="5">
        <f>100*('Parameter &lt;x, y&gt;'!N793-C793)/C793</f>
        <v>5.9491777105407122</v>
      </c>
      <c r="M793" s="5">
        <f>100*('Parameter &lt;x, y&gt;'!S793-C793)/C793</f>
        <v>0</v>
      </c>
    </row>
    <row r="794" spans="1:13" ht="12.75" customHeight="1">
      <c r="A794" s="42"/>
      <c r="B794" s="5">
        <f>MIN('Parameter &lt;x, y&gt;'!B794,'Parameter &lt;x, y&gt;'!G794,'Parameter &lt;x, y&gt;'!L794,'Parameter &lt;x, y&gt;'!Q794)</f>
        <v>2236310</v>
      </c>
      <c r="C794" s="5">
        <f>MIN('Parameter &lt;x, y&gt;'!D794,'Parameter &lt;x, y&gt;'!I794,'Parameter &lt;x, y&gt;'!N794,'Parameter &lt;x, y&gt;'!S794)</f>
        <v>1660430</v>
      </c>
      <c r="E794" s="5">
        <f>100*('Parameter &lt;x, y&gt;'!B794-B794)/B794</f>
        <v>0</v>
      </c>
      <c r="F794" s="5">
        <f>100*('Parameter &lt;x, y&gt;'!G794-B794)/B794</f>
        <v>1.100920713139055</v>
      </c>
      <c r="G794" s="5">
        <f>100*('Parameter &lt;x, y&gt;'!L794-B794)/B794</f>
        <v>2.7241303754846151</v>
      </c>
      <c r="H794" s="5">
        <f>100*('Parameter &lt;x, y&gt;'!Q794-B794)/B794</f>
        <v>3.3161770953043184</v>
      </c>
      <c r="J794" s="5">
        <f>100*('Parameter &lt;x, y&gt;'!D794-C794)/C794</f>
        <v>14.405906903633396</v>
      </c>
      <c r="K794" s="5">
        <f>100*('Parameter &lt;x, y&gt;'!I794-C794)/C794</f>
        <v>16.103057641695223</v>
      </c>
      <c r="L794" s="5">
        <f>100*('Parameter &lt;x, y&gt;'!N794-C794)/C794</f>
        <v>11.307311961359407</v>
      </c>
      <c r="M794" s="5">
        <f>100*('Parameter &lt;x, y&gt;'!S794-C794)/C794</f>
        <v>0</v>
      </c>
    </row>
    <row r="795" spans="1:13" ht="12.75" customHeight="1">
      <c r="A795" s="42"/>
      <c r="B795" s="5">
        <f>MIN('Parameter &lt;x, y&gt;'!B795,'Parameter &lt;x, y&gt;'!G795,'Parameter &lt;x, y&gt;'!L795,'Parameter &lt;x, y&gt;'!Q795)</f>
        <v>2056120</v>
      </c>
      <c r="C795" s="5">
        <f>MIN('Parameter &lt;x, y&gt;'!D795,'Parameter &lt;x, y&gt;'!I795,'Parameter &lt;x, y&gt;'!N795,'Parameter &lt;x, y&gt;'!S795)</f>
        <v>1584660</v>
      </c>
      <c r="E795" s="5">
        <f>100*('Parameter &lt;x, y&gt;'!B795-B795)/B795</f>
        <v>0</v>
      </c>
      <c r="F795" s="5">
        <f>100*('Parameter &lt;x, y&gt;'!G795-B795)/B795</f>
        <v>2.6097698577904014</v>
      </c>
      <c r="G795" s="5">
        <f>100*('Parameter &lt;x, y&gt;'!L795-B795)/B795</f>
        <v>1.7197439838141744</v>
      </c>
      <c r="H795" s="5">
        <f>100*('Parameter &lt;x, y&gt;'!Q795-B795)/B795</f>
        <v>4.9024376009182342</v>
      </c>
      <c r="J795" s="5">
        <f>100*('Parameter &lt;x, y&gt;'!D795-C795)/C795</f>
        <v>16.6672977168604</v>
      </c>
      <c r="K795" s="5">
        <f>100*('Parameter &lt;x, y&gt;'!I795-C795)/C795</f>
        <v>10.007825022402281</v>
      </c>
      <c r="L795" s="5">
        <f>100*('Parameter &lt;x, y&gt;'!N795-C795)/C795</f>
        <v>0</v>
      </c>
      <c r="M795" s="5">
        <f>100*('Parameter &lt;x, y&gt;'!S795-C795)/C795</f>
        <v>3.0467103353400731</v>
      </c>
    </row>
    <row r="796" spans="1:13" ht="12.75" customHeight="1">
      <c r="A796" s="42"/>
      <c r="B796" s="5">
        <f>MIN('Parameter &lt;x, y&gt;'!B796,'Parameter &lt;x, y&gt;'!G796,'Parameter &lt;x, y&gt;'!L796,'Parameter &lt;x, y&gt;'!Q796)</f>
        <v>2167130</v>
      </c>
      <c r="C796" s="5">
        <f>MIN('Parameter &lt;x, y&gt;'!D796,'Parameter &lt;x, y&gt;'!I796,'Parameter &lt;x, y&gt;'!N796,'Parameter &lt;x, y&gt;'!S796)</f>
        <v>1553950</v>
      </c>
      <c r="E796" s="5">
        <f>100*('Parameter &lt;x, y&gt;'!B796-B796)/B796</f>
        <v>1.2195853502097245</v>
      </c>
      <c r="F796" s="5">
        <f>100*('Parameter &lt;x, y&gt;'!G796-B796)/B796</f>
        <v>0</v>
      </c>
      <c r="G796" s="5">
        <f>100*('Parameter &lt;x, y&gt;'!L796-B796)/B796</f>
        <v>2.5531463271700359</v>
      </c>
      <c r="H796" s="5">
        <f>100*('Parameter &lt;x, y&gt;'!Q796-B796)/B796</f>
        <v>1.2477331770590596</v>
      </c>
      <c r="J796" s="5">
        <f>100*('Parameter &lt;x, y&gt;'!D796-C796)/C796</f>
        <v>24.898484507223529</v>
      </c>
      <c r="K796" s="5">
        <f>100*('Parameter &lt;x, y&gt;'!I796-C796)/C796</f>
        <v>26.585153962482707</v>
      </c>
      <c r="L796" s="5">
        <f>100*('Parameter &lt;x, y&gt;'!N796-C796)/C796</f>
        <v>0</v>
      </c>
      <c r="M796" s="5">
        <f>100*('Parameter &lt;x, y&gt;'!S796-C796)/C796</f>
        <v>12.459860355867306</v>
      </c>
    </row>
    <row r="797" spans="1:13" ht="12.75" customHeight="1">
      <c r="A797" s="42"/>
      <c r="B797" s="5">
        <f>MIN('Parameter &lt;x, y&gt;'!B797,'Parameter &lt;x, y&gt;'!G797,'Parameter &lt;x, y&gt;'!L797,'Parameter &lt;x, y&gt;'!Q797)</f>
        <v>2238500</v>
      </c>
      <c r="C797" s="5">
        <f>MIN('Parameter &lt;x, y&gt;'!D797,'Parameter &lt;x, y&gt;'!I797,'Parameter &lt;x, y&gt;'!N797,'Parameter &lt;x, y&gt;'!S797)</f>
        <v>1674570</v>
      </c>
      <c r="E797" s="5">
        <f>100*('Parameter &lt;x, y&gt;'!B797-B797)/B797</f>
        <v>1.7985257985257985</v>
      </c>
      <c r="F797" s="5">
        <f>100*('Parameter &lt;x, y&gt;'!G797-B797)/B797</f>
        <v>0.53830690194326558</v>
      </c>
      <c r="G797" s="5">
        <f>100*('Parameter &lt;x, y&gt;'!L797-B797)/B797</f>
        <v>5.9798972526245251</v>
      </c>
      <c r="H797" s="5">
        <f>100*('Parameter &lt;x, y&gt;'!Q797-B797)/B797</f>
        <v>0</v>
      </c>
      <c r="J797" s="5">
        <f>100*('Parameter &lt;x, y&gt;'!D797-C797)/C797</f>
        <v>13.100079423374359</v>
      </c>
      <c r="K797" s="5">
        <f>100*('Parameter &lt;x, y&gt;'!I797-C797)/C797</f>
        <v>9.1426455746848436</v>
      </c>
      <c r="L797" s="5">
        <f>100*('Parameter &lt;x, y&gt;'!N797-C797)/C797</f>
        <v>9.0399326394238528</v>
      </c>
      <c r="M797" s="5">
        <f>100*('Parameter &lt;x, y&gt;'!S797-C797)/C797</f>
        <v>0</v>
      </c>
    </row>
    <row r="798" spans="1:13" ht="12.75" customHeight="1">
      <c r="A798" s="42"/>
      <c r="B798" s="5">
        <f>MIN('Parameter &lt;x, y&gt;'!B798,'Parameter &lt;x, y&gt;'!G798,'Parameter &lt;x, y&gt;'!L798,'Parameter &lt;x, y&gt;'!Q798)</f>
        <v>2024400</v>
      </c>
      <c r="C798" s="5">
        <f>MIN('Parameter &lt;x, y&gt;'!D798,'Parameter &lt;x, y&gt;'!I798,'Parameter &lt;x, y&gt;'!N798,'Parameter &lt;x, y&gt;'!S798)</f>
        <v>1504800</v>
      </c>
      <c r="E798" s="5">
        <f>100*('Parameter &lt;x, y&gt;'!B798-B798)/B798</f>
        <v>3.3728512151748666</v>
      </c>
      <c r="F798" s="5">
        <f>100*('Parameter &lt;x, y&gt;'!G798-B798)/B798</f>
        <v>0</v>
      </c>
      <c r="G798" s="5">
        <f>100*('Parameter &lt;x, y&gt;'!L798-B798)/B798</f>
        <v>2.2762299940723176</v>
      </c>
      <c r="H798" s="5">
        <f>100*('Parameter &lt;x, y&gt;'!Q798-B798)/B798</f>
        <v>1.6676546137127051</v>
      </c>
      <c r="J798" s="5">
        <f>100*('Parameter &lt;x, y&gt;'!D798-C798)/C798</f>
        <v>16.482589048378522</v>
      </c>
      <c r="K798" s="5">
        <f>100*('Parameter &lt;x, y&gt;'!I798-C798)/C798</f>
        <v>8.61709197235513</v>
      </c>
      <c r="L798" s="5">
        <f>100*('Parameter &lt;x, y&gt;'!N798-C798)/C798</f>
        <v>5.9110845295055823</v>
      </c>
      <c r="M798" s="5">
        <f>100*('Parameter &lt;x, y&gt;'!S798-C798)/C798</f>
        <v>0</v>
      </c>
    </row>
    <row r="799" spans="1:13" ht="12.75" customHeight="1">
      <c r="A799" s="42"/>
      <c r="B799" s="5">
        <f>MIN('Parameter &lt;x, y&gt;'!B799,'Parameter &lt;x, y&gt;'!G799,'Parameter &lt;x, y&gt;'!L799,'Parameter &lt;x, y&gt;'!Q799)</f>
        <v>2193800</v>
      </c>
      <c r="C799" s="5">
        <f>MIN('Parameter &lt;x, y&gt;'!D799,'Parameter &lt;x, y&gt;'!I799,'Parameter &lt;x, y&gt;'!N799,'Parameter &lt;x, y&gt;'!S799)</f>
        <v>1735460</v>
      </c>
      <c r="E799" s="5">
        <f>100*('Parameter &lt;x, y&gt;'!B799-B799)/B799</f>
        <v>1.6209317166560306</v>
      </c>
      <c r="F799" s="5">
        <f>100*('Parameter &lt;x, y&gt;'!G799-B799)/B799</f>
        <v>0</v>
      </c>
      <c r="G799" s="5">
        <f>100*('Parameter &lt;x, y&gt;'!L799-B799)/B799</f>
        <v>4.6845655939465765</v>
      </c>
      <c r="H799" s="5">
        <f>100*('Parameter &lt;x, y&gt;'!Q799-B799)/B799</f>
        <v>2.1278147506609537</v>
      </c>
      <c r="J799" s="5">
        <f>100*('Parameter &lt;x, y&gt;'!D799-C799)/C799</f>
        <v>10.451983912046375</v>
      </c>
      <c r="K799" s="5">
        <f>100*('Parameter &lt;x, y&gt;'!I799-C799)/C799</f>
        <v>7.5196201583441855</v>
      </c>
      <c r="L799" s="5">
        <f>100*('Parameter &lt;x, y&gt;'!N799-C799)/C799</f>
        <v>7.3893953188203705</v>
      </c>
      <c r="M799" s="5">
        <f>100*('Parameter &lt;x, y&gt;'!S799-C799)/C799</f>
        <v>0</v>
      </c>
    </row>
    <row r="800" spans="1:13" ht="12.75" customHeight="1">
      <c r="A800" s="42"/>
      <c r="B800" s="5">
        <f>MIN('Parameter &lt;x, y&gt;'!B800,'Parameter &lt;x, y&gt;'!G800,'Parameter &lt;x, y&gt;'!L800,'Parameter &lt;x, y&gt;'!Q800)</f>
        <v>2254560</v>
      </c>
      <c r="C800" s="5">
        <f>MIN('Parameter &lt;x, y&gt;'!D800,'Parameter &lt;x, y&gt;'!I800,'Parameter &lt;x, y&gt;'!N800,'Parameter &lt;x, y&gt;'!S800)</f>
        <v>1784210</v>
      </c>
      <c r="E800" s="5">
        <f>100*('Parameter &lt;x, y&gt;'!B800-B800)/B800</f>
        <v>2.4847420339223616</v>
      </c>
      <c r="F800" s="5">
        <f>100*('Parameter &lt;x, y&gt;'!G800-B800)/B800</f>
        <v>3.253406429635938</v>
      </c>
      <c r="G800" s="5">
        <f>100*('Parameter &lt;x, y&gt;'!L800-B800)/B800</f>
        <v>4.6035590092967142</v>
      </c>
      <c r="H800" s="5">
        <f>100*('Parameter &lt;x, y&gt;'!Q800-B800)/B800</f>
        <v>0</v>
      </c>
      <c r="J800" s="5">
        <f>100*('Parameter &lt;x, y&gt;'!D800-C800)/C800</f>
        <v>13.753986358108071</v>
      </c>
      <c r="K800" s="5">
        <f>100*('Parameter &lt;x, y&gt;'!I800-C800)/C800</f>
        <v>5.3895001148967889</v>
      </c>
      <c r="L800" s="5">
        <f>100*('Parameter &lt;x, y&gt;'!N800-C800)/C800</f>
        <v>6.5457541432903081</v>
      </c>
      <c r="M800" s="5">
        <f>100*('Parameter &lt;x, y&gt;'!S800-C800)/C800</f>
        <v>0</v>
      </c>
    </row>
    <row r="801" spans="1:13" ht="12.75" customHeight="1">
      <c r="A801" s="42"/>
      <c r="B801" s="5">
        <f>MIN('Parameter &lt;x, y&gt;'!B801,'Parameter &lt;x, y&gt;'!G801,'Parameter &lt;x, y&gt;'!L801,'Parameter &lt;x, y&gt;'!Q801)</f>
        <v>2084890</v>
      </c>
      <c r="C801" s="5">
        <f>MIN('Parameter &lt;x, y&gt;'!D801,'Parameter &lt;x, y&gt;'!I801,'Parameter &lt;x, y&gt;'!N801,'Parameter &lt;x, y&gt;'!S801)</f>
        <v>1581040</v>
      </c>
      <c r="E801" s="5">
        <f>100*('Parameter &lt;x, y&gt;'!B801-B801)/B801</f>
        <v>0.77510084464887841</v>
      </c>
      <c r="F801" s="5">
        <f>100*('Parameter &lt;x, y&gt;'!G801-B801)/B801</f>
        <v>0</v>
      </c>
      <c r="G801" s="5">
        <f>100*('Parameter &lt;x, y&gt;'!L801-B801)/B801</f>
        <v>1.4043906393143044</v>
      </c>
      <c r="H801" s="5">
        <f>100*('Parameter &lt;x, y&gt;'!Q801-B801)/B801</f>
        <v>7.0027675321000155E-2</v>
      </c>
      <c r="J801" s="5">
        <f>100*('Parameter &lt;x, y&gt;'!D801-C801)/C801</f>
        <v>13.038253301624247</v>
      </c>
      <c r="K801" s="5">
        <f>100*('Parameter &lt;x, y&gt;'!I801-C801)/C801</f>
        <v>13.452537570206953</v>
      </c>
      <c r="L801" s="5">
        <f>100*('Parameter &lt;x, y&gt;'!N801-C801)/C801</f>
        <v>13.095177857612711</v>
      </c>
      <c r="M801" s="5">
        <f>100*('Parameter &lt;x, y&gt;'!S801-C801)/C801</f>
        <v>0</v>
      </c>
    </row>
    <row r="802" spans="1:13" ht="12.75" customHeight="1">
      <c r="A802" s="42"/>
      <c r="B802" s="5">
        <f>MIN('Parameter &lt;x, y&gt;'!B802,'Parameter &lt;x, y&gt;'!G802,'Parameter &lt;x, y&gt;'!L802,'Parameter &lt;x, y&gt;'!Q802)</f>
        <v>2223040</v>
      </c>
      <c r="C802" s="5">
        <f>MIN('Parameter &lt;x, y&gt;'!D802,'Parameter &lt;x, y&gt;'!I802,'Parameter &lt;x, y&gt;'!N802,'Parameter &lt;x, y&gt;'!S802)</f>
        <v>1727870</v>
      </c>
      <c r="E802" s="5">
        <f>100*('Parameter &lt;x, y&gt;'!B802-B802)/B802</f>
        <v>2.683712393839067</v>
      </c>
      <c r="F802" s="5">
        <f>100*('Parameter &lt;x, y&gt;'!G802-B802)/B802</f>
        <v>0</v>
      </c>
      <c r="G802" s="5">
        <f>100*('Parameter &lt;x, y&gt;'!L802-B802)/B802</f>
        <v>2.8964840938534619</v>
      </c>
      <c r="H802" s="5">
        <f>100*('Parameter &lt;x, y&gt;'!Q802-B802)/B802</f>
        <v>3.2262127537066361</v>
      </c>
      <c r="J802" s="5">
        <f>100*('Parameter &lt;x, y&gt;'!D802-C802)/C802</f>
        <v>17.76001666792062</v>
      </c>
      <c r="K802" s="5">
        <f>100*('Parameter &lt;x, y&gt;'!I802-C802)/C802</f>
        <v>19.535034464398365</v>
      </c>
      <c r="L802" s="5">
        <f>100*('Parameter &lt;x, y&gt;'!N802-C802)/C802</f>
        <v>0.29979107224501844</v>
      </c>
      <c r="M802" s="5">
        <f>100*('Parameter &lt;x, y&gt;'!S802-C802)/C802</f>
        <v>0</v>
      </c>
    </row>
    <row r="803" spans="1:13" ht="12.75" customHeight="1">
      <c r="A803" s="42"/>
      <c r="B803" s="5">
        <f>MIN('Parameter &lt;x, y&gt;'!B803,'Parameter &lt;x, y&gt;'!G803,'Parameter &lt;x, y&gt;'!L803,'Parameter &lt;x, y&gt;'!Q803)</f>
        <v>2081340</v>
      </c>
      <c r="C803" s="5">
        <f>MIN('Parameter &lt;x, y&gt;'!D803,'Parameter &lt;x, y&gt;'!I803,'Parameter &lt;x, y&gt;'!N803,'Parameter &lt;x, y&gt;'!S803)</f>
        <v>1606000</v>
      </c>
      <c r="E803" s="5">
        <f>100*('Parameter &lt;x, y&gt;'!B803-B803)/B803</f>
        <v>1.5413147299336005</v>
      </c>
      <c r="F803" s="5">
        <f>100*('Parameter &lt;x, y&gt;'!G803-B803)/B803</f>
        <v>0</v>
      </c>
      <c r="G803" s="5">
        <f>100*('Parameter &lt;x, y&gt;'!L803-B803)/B803</f>
        <v>1.1833722505693447</v>
      </c>
      <c r="H803" s="5">
        <f>100*('Parameter &lt;x, y&gt;'!Q803-B803)/B803</f>
        <v>2.2485514139929084</v>
      </c>
      <c r="J803" s="5">
        <f>100*('Parameter &lt;x, y&gt;'!D803-C803)/C803</f>
        <v>3.923412204234122</v>
      </c>
      <c r="K803" s="5">
        <f>100*('Parameter &lt;x, y&gt;'!I803-C803)/C803</f>
        <v>6.7584059775840597</v>
      </c>
      <c r="L803" s="5">
        <f>100*('Parameter &lt;x, y&gt;'!N803-C803)/C803</f>
        <v>0</v>
      </c>
      <c r="M803" s="5">
        <f>100*('Parameter &lt;x, y&gt;'!S803-C803)/C803</f>
        <v>0.92652552926525533</v>
      </c>
    </row>
    <row r="804" spans="1:13" ht="12.75" customHeight="1">
      <c r="A804" s="42"/>
      <c r="B804" s="5">
        <f>MIN('Parameter &lt;x, y&gt;'!B804,'Parameter &lt;x, y&gt;'!G804,'Parameter &lt;x, y&gt;'!L804,'Parameter &lt;x, y&gt;'!Q804)</f>
        <v>2311150</v>
      </c>
      <c r="C804" s="5">
        <f>MIN('Parameter &lt;x, y&gt;'!D804,'Parameter &lt;x, y&gt;'!I804,'Parameter &lt;x, y&gt;'!N804,'Parameter &lt;x, y&gt;'!S804)</f>
        <v>1798050</v>
      </c>
      <c r="E804" s="5">
        <f>100*('Parameter &lt;x, y&gt;'!B804-B804)/B804</f>
        <v>0</v>
      </c>
      <c r="F804" s="5">
        <f>100*('Parameter &lt;x, y&gt;'!G804-B804)/B804</f>
        <v>0.18951604179737361</v>
      </c>
      <c r="G804" s="5">
        <f>100*('Parameter &lt;x, y&gt;'!L804-B804)/B804</f>
        <v>0.12115180754170002</v>
      </c>
      <c r="H804" s="5">
        <f>100*('Parameter &lt;x, y&gt;'!Q804-B804)/B804</f>
        <v>2.4178439305107848</v>
      </c>
      <c r="J804" s="5">
        <f>100*('Parameter &lt;x, y&gt;'!D804-C804)/C804</f>
        <v>9.9858179694669218</v>
      </c>
      <c r="K804" s="5">
        <f>100*('Parameter &lt;x, y&gt;'!I804-C804)/C804</f>
        <v>5.8908261727983096</v>
      </c>
      <c r="L804" s="5">
        <f>100*('Parameter &lt;x, y&gt;'!N804-C804)/C804</f>
        <v>5.3113094741525542</v>
      </c>
      <c r="M804" s="5">
        <f>100*('Parameter &lt;x, y&gt;'!S804-C804)/C804</f>
        <v>0</v>
      </c>
    </row>
    <row r="805" spans="1:13" ht="12.75" customHeight="1">
      <c r="A805" s="42"/>
      <c r="B805" s="5">
        <f>MIN('Parameter &lt;x, y&gt;'!B805,'Parameter &lt;x, y&gt;'!G805,'Parameter &lt;x, y&gt;'!L805,'Parameter &lt;x, y&gt;'!Q805)</f>
        <v>2121570</v>
      </c>
      <c r="C805" s="5">
        <f>MIN('Parameter &lt;x, y&gt;'!D805,'Parameter &lt;x, y&gt;'!I805,'Parameter &lt;x, y&gt;'!N805,'Parameter &lt;x, y&gt;'!S805)</f>
        <v>1563830</v>
      </c>
      <c r="E805" s="5">
        <f>100*('Parameter &lt;x, y&gt;'!B805-B805)/B805</f>
        <v>1.8344904952464449</v>
      </c>
      <c r="F805" s="5">
        <f>100*('Parameter &lt;x, y&gt;'!G805-B805)/B805</f>
        <v>0.83617321134819966</v>
      </c>
      <c r="G805" s="5">
        <f>100*('Parameter &lt;x, y&gt;'!L805-B805)/B805</f>
        <v>2.5829927836460733</v>
      </c>
      <c r="H805" s="5">
        <f>100*('Parameter &lt;x, y&gt;'!Q805-B805)/B805</f>
        <v>0</v>
      </c>
      <c r="J805" s="5">
        <f>100*('Parameter &lt;x, y&gt;'!D805-C805)/C805</f>
        <v>21.817588868355255</v>
      </c>
      <c r="K805" s="5">
        <f>100*('Parameter &lt;x, y&gt;'!I805-C805)/C805</f>
        <v>22.538894892667361</v>
      </c>
      <c r="L805" s="5">
        <f>100*('Parameter &lt;x, y&gt;'!N805-C805)/C805</f>
        <v>0</v>
      </c>
      <c r="M805" s="5">
        <f>100*('Parameter &lt;x, y&gt;'!S805-C805)/C805</f>
        <v>6.617087535090131</v>
      </c>
    </row>
    <row r="806" spans="1:13" ht="12.75" customHeight="1">
      <c r="A806" s="42"/>
      <c r="B806" s="5">
        <f>MIN('Parameter &lt;x, y&gt;'!B806,'Parameter &lt;x, y&gt;'!G806,'Parameter &lt;x, y&gt;'!L806,'Parameter &lt;x, y&gt;'!Q806)</f>
        <v>2309330</v>
      </c>
      <c r="C806" s="5">
        <f>MIN('Parameter &lt;x, y&gt;'!D806,'Parameter &lt;x, y&gt;'!I806,'Parameter &lt;x, y&gt;'!N806,'Parameter &lt;x, y&gt;'!S806)</f>
        <v>1830270</v>
      </c>
      <c r="E806" s="5">
        <f>100*('Parameter &lt;x, y&gt;'!B806-B806)/B806</f>
        <v>0.72185439066742307</v>
      </c>
      <c r="F806" s="5">
        <f>100*('Parameter &lt;x, y&gt;'!G806-B806)/B806</f>
        <v>0</v>
      </c>
      <c r="G806" s="5">
        <f>100*('Parameter &lt;x, y&gt;'!L806-B806)/B806</f>
        <v>0.90632347910432898</v>
      </c>
      <c r="H806" s="5">
        <f>100*('Parameter &lt;x, y&gt;'!Q806-B806)/B806</f>
        <v>7.5026089818258974</v>
      </c>
      <c r="J806" s="5">
        <f>100*('Parameter &lt;x, y&gt;'!D806-C806)/C806</f>
        <v>6.4760936910947562</v>
      </c>
      <c r="K806" s="5">
        <f>100*('Parameter &lt;x, y&gt;'!I806-C806)/C806</f>
        <v>8.5872576177285325</v>
      </c>
      <c r="L806" s="5">
        <f>100*('Parameter &lt;x, y&gt;'!N806-C806)/C806</f>
        <v>9.9488053675140833</v>
      </c>
      <c r="M806" s="5">
        <f>100*('Parameter &lt;x, y&gt;'!S806-C806)/C806</f>
        <v>0</v>
      </c>
    </row>
    <row r="807" spans="1:13" ht="12.75" customHeight="1">
      <c r="A807" s="42"/>
      <c r="B807" s="5">
        <f>MIN('Parameter &lt;x, y&gt;'!B807,'Parameter &lt;x, y&gt;'!G807,'Parameter &lt;x, y&gt;'!L807,'Parameter &lt;x, y&gt;'!Q807)</f>
        <v>2350460</v>
      </c>
      <c r="C807" s="5">
        <f>MIN('Parameter &lt;x, y&gt;'!D807,'Parameter &lt;x, y&gt;'!I807,'Parameter &lt;x, y&gt;'!N807,'Parameter &lt;x, y&gt;'!S807)</f>
        <v>1700540</v>
      </c>
      <c r="E807" s="5">
        <f>100*('Parameter &lt;x, y&gt;'!B807-B807)/B807</f>
        <v>1.391217038366958</v>
      </c>
      <c r="F807" s="5">
        <f>100*('Parameter &lt;x, y&gt;'!G807-B807)/B807</f>
        <v>1.8762284829352551</v>
      </c>
      <c r="G807" s="5">
        <f>100*('Parameter &lt;x, y&gt;'!L807-B807)/B807</f>
        <v>0</v>
      </c>
      <c r="H807" s="5">
        <f>100*('Parameter &lt;x, y&gt;'!Q807-B807)/B807</f>
        <v>2.4510095896122461</v>
      </c>
      <c r="J807" s="5">
        <f>100*('Parameter &lt;x, y&gt;'!D807-C807)/C807</f>
        <v>24.759782186834769</v>
      </c>
      <c r="K807" s="5">
        <f>100*('Parameter &lt;x, y&gt;'!I807-C807)/C807</f>
        <v>14.085525774165854</v>
      </c>
      <c r="L807" s="5">
        <f>100*('Parameter &lt;x, y&gt;'!N807-C807)/C807</f>
        <v>6.8484128570924527</v>
      </c>
      <c r="M807" s="5">
        <f>100*('Parameter &lt;x, y&gt;'!S807-C807)/C807</f>
        <v>0</v>
      </c>
    </row>
    <row r="808" spans="1:13" ht="12.75" customHeight="1">
      <c r="A808" s="42"/>
      <c r="B808" s="5">
        <f>MIN('Parameter &lt;x, y&gt;'!B808,'Parameter &lt;x, y&gt;'!G808,'Parameter &lt;x, y&gt;'!L808,'Parameter &lt;x, y&gt;'!Q808)</f>
        <v>2175190</v>
      </c>
      <c r="C808" s="5">
        <f>MIN('Parameter &lt;x, y&gt;'!D808,'Parameter &lt;x, y&gt;'!I808,'Parameter &lt;x, y&gt;'!N808,'Parameter &lt;x, y&gt;'!S808)</f>
        <v>1504890</v>
      </c>
      <c r="E808" s="5">
        <f>100*('Parameter &lt;x, y&gt;'!B808-B808)/B808</f>
        <v>0</v>
      </c>
      <c r="F808" s="5">
        <f>100*('Parameter &lt;x, y&gt;'!G808-B808)/B808</f>
        <v>0.32548880787425466</v>
      </c>
      <c r="G808" s="5">
        <f>100*('Parameter &lt;x, y&gt;'!L808-B808)/B808</f>
        <v>1.1369121777867681</v>
      </c>
      <c r="H808" s="5">
        <f>100*('Parameter &lt;x, y&gt;'!Q808-B808)/B808</f>
        <v>0.61971597883403284</v>
      </c>
      <c r="J808" s="5">
        <f>100*('Parameter &lt;x, y&gt;'!D808-C808)/C808</f>
        <v>17.530849430855412</v>
      </c>
      <c r="K808" s="5">
        <f>100*('Parameter &lt;x, y&gt;'!I808-C808)/C808</f>
        <v>26.637162849111895</v>
      </c>
      <c r="L808" s="5">
        <f>100*('Parameter &lt;x, y&gt;'!N808-C808)/C808</f>
        <v>2.2785718557502541</v>
      </c>
      <c r="M808" s="5">
        <f>100*('Parameter &lt;x, y&gt;'!S808-C808)/C808</f>
        <v>0</v>
      </c>
    </row>
    <row r="809" spans="1:13" ht="12.75" customHeight="1">
      <c r="A809" s="42"/>
      <c r="B809" s="5">
        <f>MIN('Parameter &lt;x, y&gt;'!B809,'Parameter &lt;x, y&gt;'!G809,'Parameter &lt;x, y&gt;'!L809,'Parameter &lt;x, y&gt;'!Q809)</f>
        <v>2248620</v>
      </c>
      <c r="C809" s="5">
        <f>MIN('Parameter &lt;x, y&gt;'!D809,'Parameter &lt;x, y&gt;'!I809,'Parameter &lt;x, y&gt;'!N809,'Parameter &lt;x, y&gt;'!S809)</f>
        <v>1609610</v>
      </c>
      <c r="E809" s="5">
        <f>100*('Parameter &lt;x, y&gt;'!B809-B809)/B809</f>
        <v>1.1678273785699673</v>
      </c>
      <c r="F809" s="5">
        <f>100*('Parameter &lt;x, y&gt;'!G809-B809)/B809</f>
        <v>0</v>
      </c>
      <c r="G809" s="5">
        <f>100*('Parameter &lt;x, y&gt;'!L809-B809)/B809</f>
        <v>1.5783013581663421</v>
      </c>
      <c r="H809" s="5">
        <f>100*('Parameter &lt;x, y&gt;'!Q809-B809)/B809</f>
        <v>4.3769067250135638</v>
      </c>
      <c r="J809" s="5">
        <f>100*('Parameter &lt;x, y&gt;'!D809-C809)/C809</f>
        <v>18.246034753760227</v>
      </c>
      <c r="K809" s="5">
        <f>100*('Parameter &lt;x, y&gt;'!I809-C809)/C809</f>
        <v>19.214592354669765</v>
      </c>
      <c r="L809" s="5">
        <f>100*('Parameter &lt;x, y&gt;'!N809-C809)/C809</f>
        <v>0</v>
      </c>
      <c r="M809" s="5">
        <f>100*('Parameter &lt;x, y&gt;'!S809-C809)/C809</f>
        <v>12.777008095128634</v>
      </c>
    </row>
    <row r="810" spans="1:13" ht="12.75" customHeight="1">
      <c r="A810" s="42"/>
      <c r="B810" s="5">
        <f>MIN('Parameter &lt;x, y&gt;'!B810,'Parameter &lt;x, y&gt;'!G810,'Parameter &lt;x, y&gt;'!L810,'Parameter &lt;x, y&gt;'!Q810)</f>
        <v>2172340</v>
      </c>
      <c r="C810" s="5">
        <f>MIN('Parameter &lt;x, y&gt;'!D810,'Parameter &lt;x, y&gt;'!I810,'Parameter &lt;x, y&gt;'!N810,'Parameter &lt;x, y&gt;'!S810)</f>
        <v>1613000</v>
      </c>
      <c r="E810" s="5">
        <f>100*('Parameter &lt;x, y&gt;'!B810-B810)/B810</f>
        <v>1.2539473563070238</v>
      </c>
      <c r="F810" s="5">
        <f>100*('Parameter &lt;x, y&gt;'!G810-B810)/B810</f>
        <v>2.6459946417227505</v>
      </c>
      <c r="G810" s="5">
        <f>100*('Parameter &lt;x, y&gt;'!L810-B810)/B810</f>
        <v>0.28862885183718939</v>
      </c>
      <c r="H810" s="5">
        <f>100*('Parameter &lt;x, y&gt;'!Q810-B810)/B810</f>
        <v>0</v>
      </c>
      <c r="J810" s="5">
        <f>100*('Parameter &lt;x, y&gt;'!D810-C810)/C810</f>
        <v>13.280843149411035</v>
      </c>
      <c r="K810" s="5">
        <f>100*('Parameter &lt;x, y&gt;'!I810-C810)/C810</f>
        <v>16.343459392436454</v>
      </c>
      <c r="L810" s="5">
        <f>100*('Parameter &lt;x, y&gt;'!N810-C810)/C810</f>
        <v>0</v>
      </c>
      <c r="M810" s="5">
        <f>100*('Parameter &lt;x, y&gt;'!S810-C810)/C810</f>
        <v>14.111593304401737</v>
      </c>
    </row>
    <row r="811" spans="1:13" ht="12.75" customHeight="1">
      <c r="A811" s="42"/>
      <c r="B811" s="5">
        <f>MIN('Parameter &lt;x, y&gt;'!B811,'Parameter &lt;x, y&gt;'!G811,'Parameter &lt;x, y&gt;'!L811,'Parameter &lt;x, y&gt;'!Q811)</f>
        <v>2319690</v>
      </c>
      <c r="C811" s="5">
        <f>MIN('Parameter &lt;x, y&gt;'!D811,'Parameter &lt;x, y&gt;'!I811,'Parameter &lt;x, y&gt;'!N811,'Parameter &lt;x, y&gt;'!S811)</f>
        <v>1829070</v>
      </c>
      <c r="E811" s="5">
        <f>100*('Parameter &lt;x, y&gt;'!B811-B811)/B811</f>
        <v>0</v>
      </c>
      <c r="F811" s="5">
        <f>100*('Parameter &lt;x, y&gt;'!G811-B811)/B811</f>
        <v>5.5110812220598442</v>
      </c>
      <c r="G811" s="5">
        <f>100*('Parameter &lt;x, y&gt;'!L811-B811)/B811</f>
        <v>4.6514836034125251</v>
      </c>
      <c r="H811" s="5">
        <f>100*('Parameter &lt;x, y&gt;'!Q811-B811)/B811</f>
        <v>0.51903487103880264</v>
      </c>
      <c r="J811" s="5">
        <f>100*('Parameter &lt;x, y&gt;'!D811-C811)/C811</f>
        <v>14.096781424439742</v>
      </c>
      <c r="K811" s="5">
        <f>100*('Parameter &lt;x, y&gt;'!I811-C811)/C811</f>
        <v>19.661904683801058</v>
      </c>
      <c r="L811" s="5">
        <f>100*('Parameter &lt;x, y&gt;'!N811-C811)/C811</f>
        <v>2.5143925601535209</v>
      </c>
      <c r="M811" s="5">
        <f>100*('Parameter &lt;x, y&gt;'!S811-C811)/C811</f>
        <v>0</v>
      </c>
    </row>
    <row r="812" spans="1:13" ht="12.75" customHeight="1">
      <c r="A812" s="42"/>
      <c r="B812" s="5">
        <f>MIN('Parameter &lt;x, y&gt;'!B812,'Parameter &lt;x, y&gt;'!G812,'Parameter &lt;x, y&gt;'!L812,'Parameter &lt;x, y&gt;'!Q812)</f>
        <v>2081450</v>
      </c>
      <c r="C812" s="5">
        <f>MIN('Parameter &lt;x, y&gt;'!D812,'Parameter &lt;x, y&gt;'!I812,'Parameter &lt;x, y&gt;'!N812,'Parameter &lt;x, y&gt;'!S812)</f>
        <v>1670450</v>
      </c>
      <c r="E812" s="5">
        <f>100*('Parameter &lt;x, y&gt;'!B812-B812)/B812</f>
        <v>1.1035576160849407</v>
      </c>
      <c r="F812" s="5">
        <f>100*('Parameter &lt;x, y&gt;'!G812-B812)/B812</f>
        <v>0.46794302049052344</v>
      </c>
      <c r="G812" s="5">
        <f>100*('Parameter &lt;x, y&gt;'!L812-B812)/B812</f>
        <v>0</v>
      </c>
      <c r="H812" s="5">
        <f>100*('Parameter &lt;x, y&gt;'!Q812-B812)/B812</f>
        <v>2.3507650916428453</v>
      </c>
      <c r="J812" s="5">
        <f>100*('Parameter &lt;x, y&gt;'!D812-C812)/C812</f>
        <v>10.694722978838037</v>
      </c>
      <c r="K812" s="5">
        <f>100*('Parameter &lt;x, y&gt;'!I812-C812)/C812</f>
        <v>3.247627884701727</v>
      </c>
      <c r="L812" s="5">
        <f>100*('Parameter &lt;x, y&gt;'!N812-C812)/C812</f>
        <v>9.0993444880122121E-2</v>
      </c>
      <c r="M812" s="5">
        <f>100*('Parameter &lt;x, y&gt;'!S812-C812)/C812</f>
        <v>0</v>
      </c>
    </row>
    <row r="813" spans="1:13" ht="12.75" customHeight="1">
      <c r="A813" s="42"/>
      <c r="B813" s="5">
        <f>MIN('Parameter &lt;x, y&gt;'!B813,'Parameter &lt;x, y&gt;'!G813,'Parameter &lt;x, y&gt;'!L813,'Parameter &lt;x, y&gt;'!Q813)</f>
        <v>2300120</v>
      </c>
      <c r="C813" s="5">
        <f>MIN('Parameter &lt;x, y&gt;'!D813,'Parameter &lt;x, y&gt;'!I813,'Parameter &lt;x, y&gt;'!N813,'Parameter &lt;x, y&gt;'!S813)</f>
        <v>1922210</v>
      </c>
      <c r="E813" s="5">
        <f>100*('Parameter &lt;x, y&gt;'!B813-B813)/B813</f>
        <v>0</v>
      </c>
      <c r="F813" s="5">
        <f>100*('Parameter &lt;x, y&gt;'!G813-B813)/B813</f>
        <v>0.36519833747804464</v>
      </c>
      <c r="G813" s="5">
        <f>100*('Parameter &lt;x, y&gt;'!L813-B813)/B813</f>
        <v>2.2220579795836737</v>
      </c>
      <c r="H813" s="5">
        <f>100*('Parameter &lt;x, y&gt;'!Q813-B813)/B813</f>
        <v>1.7786028555031912</v>
      </c>
      <c r="J813" s="5">
        <f>100*('Parameter &lt;x, y&gt;'!D813-C813)/C813</f>
        <v>6.674088679176573</v>
      </c>
      <c r="K813" s="5">
        <f>100*('Parameter &lt;x, y&gt;'!I813-C813)/C813</f>
        <v>0</v>
      </c>
      <c r="L813" s="5">
        <f>100*('Parameter &lt;x, y&gt;'!N813-C813)/C813</f>
        <v>0.49370256111455046</v>
      </c>
      <c r="M813" s="5">
        <f>100*('Parameter &lt;x, y&gt;'!S813-C813)/C813</f>
        <v>0.22890318955785269</v>
      </c>
    </row>
    <row r="814" spans="1:13" ht="12.75" customHeight="1">
      <c r="A814" s="42"/>
      <c r="B814" s="5">
        <f>MIN('Parameter &lt;x, y&gt;'!B814,'Parameter &lt;x, y&gt;'!G814,'Parameter &lt;x, y&gt;'!L814,'Parameter &lt;x, y&gt;'!Q814)</f>
        <v>2383530</v>
      </c>
      <c r="C814" s="5">
        <f>MIN('Parameter &lt;x, y&gt;'!D814,'Parameter &lt;x, y&gt;'!I814,'Parameter &lt;x, y&gt;'!N814,'Parameter &lt;x, y&gt;'!S814)</f>
        <v>1889050</v>
      </c>
      <c r="E814" s="5">
        <f>100*('Parameter &lt;x, y&gt;'!B814-B814)/B814</f>
        <v>0</v>
      </c>
      <c r="F814" s="5">
        <f>100*('Parameter &lt;x, y&gt;'!G814-B814)/B814</f>
        <v>4.8461735325336788</v>
      </c>
      <c r="G814" s="5">
        <f>100*('Parameter &lt;x, y&gt;'!L814-B814)/B814</f>
        <v>3.0660407043334885</v>
      </c>
      <c r="H814" s="5">
        <f>100*('Parameter &lt;x, y&gt;'!Q814-B814)/B814</f>
        <v>6.5113508116113499</v>
      </c>
      <c r="J814" s="5">
        <f>100*('Parameter &lt;x, y&gt;'!D814-C814)/C814</f>
        <v>6.5609697996347371</v>
      </c>
      <c r="K814" s="5">
        <f>100*('Parameter &lt;x, y&gt;'!I814-C814)/C814</f>
        <v>14.64863291072232</v>
      </c>
      <c r="L814" s="5">
        <f>100*('Parameter &lt;x, y&gt;'!N814-C814)/C814</f>
        <v>5.9437283290542862</v>
      </c>
      <c r="M814" s="5">
        <f>100*('Parameter &lt;x, y&gt;'!S814-C814)/C814</f>
        <v>0</v>
      </c>
    </row>
    <row r="815" spans="1:13" ht="12.75" customHeight="1">
      <c r="A815" s="42"/>
      <c r="B815" s="5">
        <f>MIN('Parameter &lt;x, y&gt;'!B815,'Parameter &lt;x, y&gt;'!G815,'Parameter &lt;x, y&gt;'!L815,'Parameter &lt;x, y&gt;'!Q815)</f>
        <v>2312180</v>
      </c>
      <c r="C815" s="5">
        <f>MIN('Parameter &lt;x, y&gt;'!D815,'Parameter &lt;x, y&gt;'!I815,'Parameter &lt;x, y&gt;'!N815,'Parameter &lt;x, y&gt;'!S815)</f>
        <v>1859070</v>
      </c>
      <c r="E815" s="5">
        <f>100*('Parameter &lt;x, y&gt;'!B815-B815)/B815</f>
        <v>1.6244410037280834</v>
      </c>
      <c r="F815" s="5">
        <f>100*('Parameter &lt;x, y&gt;'!G815-B815)/B815</f>
        <v>2.4768832876333158</v>
      </c>
      <c r="G815" s="5">
        <f>100*('Parameter &lt;x, y&gt;'!L815-B815)/B815</f>
        <v>2.7943326211627122</v>
      </c>
      <c r="H815" s="5">
        <f>100*('Parameter &lt;x, y&gt;'!Q815-B815)/B815</f>
        <v>0</v>
      </c>
      <c r="J815" s="5">
        <f>100*('Parameter &lt;x, y&gt;'!D815-C815)/C815</f>
        <v>9.4740918846520028</v>
      </c>
      <c r="K815" s="5">
        <f>100*('Parameter &lt;x, y&gt;'!I815-C815)/C815</f>
        <v>4.7260189234402148</v>
      </c>
      <c r="L815" s="5">
        <f>100*('Parameter &lt;x, y&gt;'!N815-C815)/C815</f>
        <v>0</v>
      </c>
      <c r="M815" s="5">
        <f>100*('Parameter &lt;x, y&gt;'!S815-C815)/C815</f>
        <v>0.74230663718956247</v>
      </c>
    </row>
    <row r="816" spans="1:13" ht="12.75" customHeight="1">
      <c r="A816" s="42"/>
      <c r="B816" s="5">
        <f>MIN('Parameter &lt;x, y&gt;'!B816,'Parameter &lt;x, y&gt;'!G816,'Parameter &lt;x, y&gt;'!L816,'Parameter &lt;x, y&gt;'!Q816)</f>
        <v>2325070</v>
      </c>
      <c r="C816" s="5">
        <f>MIN('Parameter &lt;x, y&gt;'!D816,'Parameter &lt;x, y&gt;'!I816,'Parameter &lt;x, y&gt;'!N816,'Parameter &lt;x, y&gt;'!S816)</f>
        <v>1796510</v>
      </c>
      <c r="E816" s="5">
        <f>100*('Parameter &lt;x, y&gt;'!B816-B816)/B816</f>
        <v>1.6029624914518703</v>
      </c>
      <c r="F816" s="5">
        <f>100*('Parameter &lt;x, y&gt;'!G816-B816)/B816</f>
        <v>2.7113162184364343</v>
      </c>
      <c r="G816" s="5">
        <f>100*('Parameter &lt;x, y&gt;'!L816-B816)/B816</f>
        <v>0</v>
      </c>
      <c r="H816" s="5">
        <f>100*('Parameter &lt;x, y&gt;'!Q816-B816)/B816</f>
        <v>7.2458033521571394</v>
      </c>
      <c r="J816" s="5">
        <f>100*('Parameter &lt;x, y&gt;'!D816-C816)/C816</f>
        <v>7.8101429994823297</v>
      </c>
      <c r="K816" s="5">
        <f>100*('Parameter &lt;x, y&gt;'!I816-C816)/C816</f>
        <v>20.096743129734875</v>
      </c>
      <c r="L816" s="5">
        <f>100*('Parameter &lt;x, y&gt;'!N816-C816)/C816</f>
        <v>9.8340671635560053</v>
      </c>
      <c r="M816" s="5">
        <f>100*('Parameter &lt;x, y&gt;'!S816-C816)/C816</f>
        <v>0</v>
      </c>
    </row>
    <row r="817" spans="1:13" ht="12.75" customHeight="1">
      <c r="A817" s="42"/>
      <c r="B817" s="5">
        <f>MIN('Parameter &lt;x, y&gt;'!B817,'Parameter &lt;x, y&gt;'!G817,'Parameter &lt;x, y&gt;'!L817,'Parameter &lt;x, y&gt;'!Q817)</f>
        <v>2262030</v>
      </c>
      <c r="C817" s="5">
        <f>MIN('Parameter &lt;x, y&gt;'!D817,'Parameter &lt;x, y&gt;'!I817,'Parameter &lt;x, y&gt;'!N817,'Parameter &lt;x, y&gt;'!S817)</f>
        <v>1768770</v>
      </c>
      <c r="E817" s="5">
        <f>100*('Parameter &lt;x, y&gt;'!B817-B817)/B817</f>
        <v>0</v>
      </c>
      <c r="F817" s="5">
        <f>100*('Parameter &lt;x, y&gt;'!G817-B817)/B817</f>
        <v>5.6794118557225151</v>
      </c>
      <c r="G817" s="5">
        <f>100*('Parameter &lt;x, y&gt;'!L817-B817)/B817</f>
        <v>2.941605548998024</v>
      </c>
      <c r="H817" s="5">
        <f>100*('Parameter &lt;x, y&gt;'!Q817-B817)/B817</f>
        <v>3.6750175727112371</v>
      </c>
      <c r="J817" s="5">
        <f>100*('Parameter &lt;x, y&gt;'!D817-C817)/C817</f>
        <v>13.44889386409765</v>
      </c>
      <c r="K817" s="5">
        <f>100*('Parameter &lt;x, y&gt;'!I817-C817)/C817</f>
        <v>14.765062727205912</v>
      </c>
      <c r="L817" s="5">
        <f>100*('Parameter &lt;x, y&gt;'!N817-C817)/C817</f>
        <v>0</v>
      </c>
      <c r="M817" s="5">
        <f>100*('Parameter &lt;x, y&gt;'!S817-C817)/C817</f>
        <v>2.5944582958779265</v>
      </c>
    </row>
    <row r="818" spans="1:13" ht="12.75" customHeight="1">
      <c r="A818" s="42"/>
      <c r="B818" s="5">
        <f>MIN('Parameter &lt;x, y&gt;'!B818,'Parameter &lt;x, y&gt;'!G818,'Parameter &lt;x, y&gt;'!L818,'Parameter &lt;x, y&gt;'!Q818)</f>
        <v>2322300</v>
      </c>
      <c r="C818" s="5">
        <f>MIN('Parameter &lt;x, y&gt;'!D818,'Parameter &lt;x, y&gt;'!I818,'Parameter &lt;x, y&gt;'!N818,'Parameter &lt;x, y&gt;'!S818)</f>
        <v>1779380</v>
      </c>
      <c r="E818" s="5">
        <f>100*('Parameter &lt;x, y&gt;'!B818-B818)/B818</f>
        <v>0.59725272359298975</v>
      </c>
      <c r="F818" s="5">
        <f>100*('Parameter &lt;x, y&gt;'!G818-B818)/B818</f>
        <v>0</v>
      </c>
      <c r="G818" s="5">
        <f>100*('Parameter &lt;x, y&gt;'!L818-B818)/B818</f>
        <v>2.3003057313869872</v>
      </c>
      <c r="H818" s="5">
        <f>100*('Parameter &lt;x, y&gt;'!Q818-B818)/B818</f>
        <v>2.8588037721224646</v>
      </c>
      <c r="J818" s="5">
        <f>100*('Parameter &lt;x, y&gt;'!D818-C818)/C818</f>
        <v>8.5878227247693015</v>
      </c>
      <c r="K818" s="5">
        <f>100*('Parameter &lt;x, y&gt;'!I818-C818)/C818</f>
        <v>10.021468151828165</v>
      </c>
      <c r="L818" s="5">
        <f>100*('Parameter &lt;x, y&gt;'!N818-C818)/C818</f>
        <v>0</v>
      </c>
      <c r="M818" s="5">
        <f>100*('Parameter &lt;x, y&gt;'!S818-C818)/C818</f>
        <v>1.7652215940383729</v>
      </c>
    </row>
    <row r="819" spans="1:13" ht="12.75" customHeight="1">
      <c r="A819" s="42"/>
      <c r="B819" s="5">
        <f>MIN('Parameter &lt;x, y&gt;'!B819,'Parameter &lt;x, y&gt;'!G819,'Parameter &lt;x, y&gt;'!L819,'Parameter &lt;x, y&gt;'!Q819)</f>
        <v>2252240</v>
      </c>
      <c r="C819" s="5">
        <f>MIN('Parameter &lt;x, y&gt;'!D819,'Parameter &lt;x, y&gt;'!I819,'Parameter &lt;x, y&gt;'!N819,'Parameter &lt;x, y&gt;'!S819)</f>
        <v>1737340</v>
      </c>
      <c r="E819" s="5">
        <f>100*('Parameter &lt;x, y&gt;'!B819-B819)/B819</f>
        <v>1.9980108691791284E-2</v>
      </c>
      <c r="F819" s="5">
        <f>100*('Parameter &lt;x, y&gt;'!G819-B819)/B819</f>
        <v>0</v>
      </c>
      <c r="G819" s="5">
        <f>100*('Parameter &lt;x, y&gt;'!L819-B819)/B819</f>
        <v>2.7288388448833163</v>
      </c>
      <c r="H819" s="5">
        <f>100*('Parameter &lt;x, y&gt;'!Q819-B819)/B819</f>
        <v>1.5717685504209142</v>
      </c>
      <c r="J819" s="5">
        <f>100*('Parameter &lt;x, y&gt;'!D819-C819)/C819</f>
        <v>9.5910990364580329</v>
      </c>
      <c r="K819" s="5">
        <f>100*('Parameter &lt;x, y&gt;'!I819-C819)/C819</f>
        <v>18.692368793673086</v>
      </c>
      <c r="L819" s="5">
        <f>100*('Parameter &lt;x, y&gt;'!N819-C819)/C819</f>
        <v>0.64926842184028455</v>
      </c>
      <c r="M819" s="5">
        <f>100*('Parameter &lt;x, y&gt;'!S819-C819)/C819</f>
        <v>0</v>
      </c>
    </row>
    <row r="820" spans="1:13" ht="12.75" customHeight="1">
      <c r="A820" s="42"/>
      <c r="B820" s="5">
        <f>MIN('Parameter &lt;x, y&gt;'!B820,'Parameter &lt;x, y&gt;'!G820,'Parameter &lt;x, y&gt;'!L820,'Parameter &lt;x, y&gt;'!Q820)</f>
        <v>2487220</v>
      </c>
      <c r="C820" s="5">
        <f>MIN('Parameter &lt;x, y&gt;'!D820,'Parameter &lt;x, y&gt;'!I820,'Parameter &lt;x, y&gt;'!N820,'Parameter &lt;x, y&gt;'!S820)</f>
        <v>1965820</v>
      </c>
      <c r="E820" s="5">
        <f>100*('Parameter &lt;x, y&gt;'!B820-B820)/B820</f>
        <v>3.35434742403165</v>
      </c>
      <c r="F820" s="5">
        <f>100*('Parameter &lt;x, y&gt;'!G820-B820)/B820</f>
        <v>1.7252193211698201</v>
      </c>
      <c r="G820" s="5">
        <f>100*('Parameter &lt;x, y&gt;'!L820-B820)/B820</f>
        <v>2.5152579988903274</v>
      </c>
      <c r="H820" s="5">
        <f>100*('Parameter &lt;x, y&gt;'!Q820-B820)/B820</f>
        <v>0</v>
      </c>
      <c r="J820" s="5">
        <f>100*('Parameter &lt;x, y&gt;'!D820-C820)/C820</f>
        <v>15.885482902809006</v>
      </c>
      <c r="K820" s="5">
        <f>100*('Parameter &lt;x, y&gt;'!I820-C820)/C820</f>
        <v>13.168041834959457</v>
      </c>
      <c r="L820" s="5">
        <f>100*('Parameter &lt;x, y&gt;'!N820-C820)/C820</f>
        <v>6.4207302804936361</v>
      </c>
      <c r="M820" s="5">
        <f>100*('Parameter &lt;x, y&gt;'!S820-C820)/C820</f>
        <v>0</v>
      </c>
    </row>
    <row r="821" spans="1:13" ht="12.75" customHeight="1">
      <c r="A821" s="42"/>
      <c r="B821" s="5">
        <f>MIN('Parameter &lt;x, y&gt;'!B821,'Parameter &lt;x, y&gt;'!G821,'Parameter &lt;x, y&gt;'!L821,'Parameter &lt;x, y&gt;'!Q821)</f>
        <v>2232350</v>
      </c>
      <c r="C821" s="5">
        <f>MIN('Parameter &lt;x, y&gt;'!D821,'Parameter &lt;x, y&gt;'!I821,'Parameter &lt;x, y&gt;'!N821,'Parameter &lt;x, y&gt;'!S821)</f>
        <v>1776640</v>
      </c>
      <c r="E821" s="5">
        <f>100*('Parameter &lt;x, y&gt;'!B821-B821)/B821</f>
        <v>1.0294084708939011</v>
      </c>
      <c r="F821" s="5">
        <f>100*('Parameter &lt;x, y&gt;'!G821-B821)/B821</f>
        <v>2.9896745582009991</v>
      </c>
      <c r="G821" s="5">
        <f>100*('Parameter &lt;x, y&gt;'!L821-B821)/B821</f>
        <v>0</v>
      </c>
      <c r="H821" s="5">
        <f>100*('Parameter &lt;x, y&gt;'!Q821-B821)/B821</f>
        <v>1.5938360920106613</v>
      </c>
      <c r="J821" s="5">
        <f>100*('Parameter &lt;x, y&gt;'!D821-C821)/C821</f>
        <v>15.171334654178674</v>
      </c>
      <c r="K821" s="5">
        <f>100*('Parameter &lt;x, y&gt;'!I821-C821)/C821</f>
        <v>7.2867885446685881</v>
      </c>
      <c r="L821" s="5">
        <f>100*('Parameter &lt;x, y&gt;'!N821-C821)/C821</f>
        <v>0</v>
      </c>
      <c r="M821" s="5">
        <f>100*('Parameter &lt;x, y&gt;'!S821-C821)/C821</f>
        <v>0.16041516570605188</v>
      </c>
    </row>
    <row r="822" spans="1:13" ht="12.75" customHeight="1">
      <c r="A822" s="42"/>
      <c r="B822" s="5">
        <f>MIN('Parameter &lt;x, y&gt;'!B822,'Parameter &lt;x, y&gt;'!G822,'Parameter &lt;x, y&gt;'!L822,'Parameter &lt;x, y&gt;'!Q822)</f>
        <v>2448940</v>
      </c>
      <c r="C822" s="5">
        <f>MIN('Parameter &lt;x, y&gt;'!D822,'Parameter &lt;x, y&gt;'!I822,'Parameter &lt;x, y&gt;'!N822,'Parameter &lt;x, y&gt;'!S822)</f>
        <v>1895550</v>
      </c>
      <c r="E822" s="5">
        <f>100*('Parameter &lt;x, y&gt;'!B822-B822)/B822</f>
        <v>1.5096327390626147</v>
      </c>
      <c r="F822" s="5">
        <f>100*('Parameter &lt;x, y&gt;'!G822-B822)/B822</f>
        <v>1.0735256886653002</v>
      </c>
      <c r="G822" s="5">
        <f>100*('Parameter &lt;x, y&gt;'!L822-B822)/B822</f>
        <v>0.11556020155659183</v>
      </c>
      <c r="H822" s="5">
        <f>100*('Parameter &lt;x, y&gt;'!Q822-B822)/B822</f>
        <v>0</v>
      </c>
      <c r="J822" s="5">
        <f>100*('Parameter &lt;x, y&gt;'!D822-C822)/C822</f>
        <v>17.542138165703886</v>
      </c>
      <c r="K822" s="5">
        <f>100*('Parameter &lt;x, y&gt;'!I822-C822)/C822</f>
        <v>2.6683548310516736</v>
      </c>
      <c r="L822" s="5">
        <f>100*('Parameter &lt;x, y&gt;'!N822-C822)/C822</f>
        <v>11.897866054707077</v>
      </c>
      <c r="M822" s="5">
        <f>100*('Parameter &lt;x, y&gt;'!S822-C822)/C822</f>
        <v>0</v>
      </c>
    </row>
    <row r="823" spans="1:13" ht="12.75" customHeight="1">
      <c r="A823" s="42"/>
      <c r="B823" s="5">
        <f>MIN('Parameter &lt;x, y&gt;'!B823,'Parameter &lt;x, y&gt;'!G823,'Parameter &lt;x, y&gt;'!L823,'Parameter &lt;x, y&gt;'!Q823)</f>
        <v>2301500</v>
      </c>
      <c r="C823" s="5">
        <f>MIN('Parameter &lt;x, y&gt;'!D823,'Parameter &lt;x, y&gt;'!I823,'Parameter &lt;x, y&gt;'!N823,'Parameter &lt;x, y&gt;'!S823)</f>
        <v>1720120</v>
      </c>
      <c r="E823" s="5">
        <f>100*('Parameter &lt;x, y&gt;'!B823-B823)/B823</f>
        <v>0</v>
      </c>
      <c r="F823" s="5">
        <f>100*('Parameter &lt;x, y&gt;'!G823-B823)/B823</f>
        <v>1.2444058222898109</v>
      </c>
      <c r="G823" s="5">
        <f>100*('Parameter &lt;x, y&gt;'!L823-B823)/B823</f>
        <v>1.1462089941342604</v>
      </c>
      <c r="H823" s="5">
        <f>100*('Parameter &lt;x, y&gt;'!Q823-B823)/B823</f>
        <v>3.089289593743211</v>
      </c>
      <c r="J823" s="5">
        <f>100*('Parameter &lt;x, y&gt;'!D823-C823)/C823</f>
        <v>23.891937771783365</v>
      </c>
      <c r="K823" s="5">
        <f>100*('Parameter &lt;x, y&gt;'!I823-C823)/C823</f>
        <v>8.9993721368276631</v>
      </c>
      <c r="L823" s="5">
        <f>100*('Parameter &lt;x, y&gt;'!N823-C823)/C823</f>
        <v>8.369183545334046</v>
      </c>
      <c r="M823" s="5">
        <f>100*('Parameter &lt;x, y&gt;'!S823-C823)/C823</f>
        <v>0</v>
      </c>
    </row>
    <row r="824" spans="1:13" ht="12.75" customHeight="1">
      <c r="A824" s="42"/>
      <c r="B824" s="5">
        <f>MIN('Parameter &lt;x, y&gt;'!B824,'Parameter &lt;x, y&gt;'!G824,'Parameter &lt;x, y&gt;'!L824,'Parameter &lt;x, y&gt;'!Q824)</f>
        <v>2113760</v>
      </c>
      <c r="C824" s="5">
        <f>MIN('Parameter &lt;x, y&gt;'!D824,'Parameter &lt;x, y&gt;'!I824,'Parameter &lt;x, y&gt;'!N824,'Parameter &lt;x, y&gt;'!S824)</f>
        <v>1589290</v>
      </c>
      <c r="E824" s="5">
        <f>100*('Parameter &lt;x, y&gt;'!B824-B824)/B824</f>
        <v>6.3214366815532514</v>
      </c>
      <c r="F824" s="5">
        <f>100*('Parameter &lt;x, y&gt;'!G824-B824)/B824</f>
        <v>0.92631140716069937</v>
      </c>
      <c r="G824" s="5">
        <f>100*('Parameter &lt;x, y&gt;'!L824-B824)/B824</f>
        <v>0</v>
      </c>
      <c r="H824" s="5">
        <f>100*('Parameter &lt;x, y&gt;'!Q824-B824)/B824</f>
        <v>0.72666717129664671</v>
      </c>
      <c r="J824" s="5">
        <f>100*('Parameter &lt;x, y&gt;'!D824-C824)/C824</f>
        <v>13.989894858710493</v>
      </c>
      <c r="K824" s="5">
        <f>100*('Parameter &lt;x, y&gt;'!I824-C824)/C824</f>
        <v>3.8576974623888654</v>
      </c>
      <c r="L824" s="5">
        <f>100*('Parameter &lt;x, y&gt;'!N824-C824)/C824</f>
        <v>2.0600393886578283</v>
      </c>
      <c r="M824" s="5">
        <f>100*('Parameter &lt;x, y&gt;'!S824-C824)/C824</f>
        <v>0</v>
      </c>
    </row>
    <row r="825" spans="1:13" ht="12.75" customHeight="1">
      <c r="A825" s="42"/>
      <c r="B825" s="5">
        <f>MIN('Parameter &lt;x, y&gt;'!B825,'Parameter &lt;x, y&gt;'!G825,'Parameter &lt;x, y&gt;'!L825,'Parameter &lt;x, y&gt;'!Q825)</f>
        <v>2290270</v>
      </c>
      <c r="C825" s="5">
        <f>MIN('Parameter &lt;x, y&gt;'!D825,'Parameter &lt;x, y&gt;'!I825,'Parameter &lt;x, y&gt;'!N825,'Parameter &lt;x, y&gt;'!S825)</f>
        <v>1782000</v>
      </c>
      <c r="E825" s="5">
        <f>100*('Parameter &lt;x, y&gt;'!B825-B825)/B825</f>
        <v>0.48596890322975023</v>
      </c>
      <c r="F825" s="5">
        <f>100*('Parameter &lt;x, y&gt;'!G825-B825)/B825</f>
        <v>0.53880110205346965</v>
      </c>
      <c r="G825" s="5">
        <f>100*('Parameter &lt;x, y&gt;'!L825-B825)/B825</f>
        <v>0</v>
      </c>
      <c r="H825" s="5">
        <f>100*('Parameter &lt;x, y&gt;'!Q825-B825)/B825</f>
        <v>5.0919760552249302</v>
      </c>
      <c r="J825" s="5">
        <f>100*('Parameter &lt;x, y&gt;'!D825-C825)/C825</f>
        <v>15.126262626262626</v>
      </c>
      <c r="K825" s="5">
        <f>100*('Parameter &lt;x, y&gt;'!I825-C825)/C825</f>
        <v>8.4708193041526378</v>
      </c>
      <c r="L825" s="5">
        <f>100*('Parameter &lt;x, y&gt;'!N825-C825)/C825</f>
        <v>10.522446689113355</v>
      </c>
      <c r="M825" s="5">
        <f>100*('Parameter &lt;x, y&gt;'!S825-C825)/C825</f>
        <v>0</v>
      </c>
    </row>
    <row r="826" spans="1:13" ht="12.75" customHeight="1">
      <c r="A826" s="42"/>
      <c r="B826" s="5">
        <f>MIN('Parameter &lt;x, y&gt;'!B826,'Parameter &lt;x, y&gt;'!G826,'Parameter &lt;x, y&gt;'!L826,'Parameter &lt;x, y&gt;'!Q826)</f>
        <v>2219410</v>
      </c>
      <c r="C826" s="5">
        <f>MIN('Parameter &lt;x, y&gt;'!D826,'Parameter &lt;x, y&gt;'!I826,'Parameter &lt;x, y&gt;'!N826,'Parameter &lt;x, y&gt;'!S826)</f>
        <v>1648400</v>
      </c>
      <c r="E826" s="5">
        <f>100*('Parameter &lt;x, y&gt;'!B826-B826)/B826</f>
        <v>1.8653606138568359</v>
      </c>
      <c r="F826" s="5">
        <f>100*('Parameter &lt;x, y&gt;'!G826-B826)/B826</f>
        <v>0</v>
      </c>
      <c r="G826" s="5">
        <f>100*('Parameter &lt;x, y&gt;'!L826-B826)/B826</f>
        <v>1.93384728373757</v>
      </c>
      <c r="H826" s="5">
        <f>100*('Parameter &lt;x, y&gt;'!Q826-B826)/B826</f>
        <v>0.33657593684808124</v>
      </c>
      <c r="J826" s="5">
        <f>100*('Parameter &lt;x, y&gt;'!D826-C826)/C826</f>
        <v>19.939335112836691</v>
      </c>
      <c r="K826" s="5">
        <f>100*('Parameter &lt;x, y&gt;'!I826-C826)/C826</f>
        <v>17.710507158456686</v>
      </c>
      <c r="L826" s="5">
        <f>100*('Parameter &lt;x, y&gt;'!N826-C826)/C826</f>
        <v>8.6368599854404273</v>
      </c>
      <c r="M826" s="5">
        <f>100*('Parameter &lt;x, y&gt;'!S826-C826)/C826</f>
        <v>0</v>
      </c>
    </row>
    <row r="827" spans="1:13" ht="12.75" customHeight="1">
      <c r="A827" s="42"/>
      <c r="B827" s="5">
        <f>MIN('Parameter &lt;x, y&gt;'!B827,'Parameter &lt;x, y&gt;'!G827,'Parameter &lt;x, y&gt;'!L827,'Parameter &lt;x, y&gt;'!Q827)</f>
        <v>2259860</v>
      </c>
      <c r="C827" s="5">
        <f>MIN('Parameter &lt;x, y&gt;'!D827,'Parameter &lt;x, y&gt;'!I827,'Parameter &lt;x, y&gt;'!N827,'Parameter &lt;x, y&gt;'!S827)</f>
        <v>1773370</v>
      </c>
      <c r="E827" s="5">
        <f>100*('Parameter &lt;x, y&gt;'!B827-B827)/B827</f>
        <v>1.8266618286088518</v>
      </c>
      <c r="F827" s="5">
        <f>100*('Parameter &lt;x, y&gt;'!G827-B827)/B827</f>
        <v>4.1471595585567247</v>
      </c>
      <c r="G827" s="5">
        <f>100*('Parameter &lt;x, y&gt;'!L827-B827)/B827</f>
        <v>0</v>
      </c>
      <c r="H827" s="5">
        <f>100*('Parameter &lt;x, y&gt;'!Q827-B827)/B827</f>
        <v>2.0072039860876338</v>
      </c>
      <c r="J827" s="5">
        <f>100*('Parameter &lt;x, y&gt;'!D827-C827)/C827</f>
        <v>9.1684194499737792</v>
      </c>
      <c r="K827" s="5">
        <f>100*('Parameter &lt;x, y&gt;'!I827-C827)/C827</f>
        <v>6.8581288732751764</v>
      </c>
      <c r="L827" s="5">
        <f>100*('Parameter &lt;x, y&gt;'!N827-C827)/C827</f>
        <v>0.53344761668461738</v>
      </c>
      <c r="M827" s="5">
        <f>100*('Parameter &lt;x, y&gt;'!S827-C827)/C827</f>
        <v>0</v>
      </c>
    </row>
    <row r="828" spans="1:13" ht="12.75" customHeight="1">
      <c r="A828" s="42"/>
      <c r="B828" s="5">
        <f>MIN('Parameter &lt;x, y&gt;'!B828,'Parameter &lt;x, y&gt;'!G828,'Parameter &lt;x, y&gt;'!L828,'Parameter &lt;x, y&gt;'!Q828)</f>
        <v>1839600</v>
      </c>
      <c r="C828" s="5">
        <f>MIN('Parameter &lt;x, y&gt;'!D828,'Parameter &lt;x, y&gt;'!I828,'Parameter &lt;x, y&gt;'!N828,'Parameter &lt;x, y&gt;'!S828)</f>
        <v>1477990</v>
      </c>
      <c r="E828" s="5">
        <f>100*('Parameter &lt;x, y&gt;'!B828-B828)/B828</f>
        <v>2.1809088932376604</v>
      </c>
      <c r="F828" s="5">
        <f>100*('Parameter &lt;x, y&gt;'!G828-B828)/B828</f>
        <v>3.7432050445749074</v>
      </c>
      <c r="G828" s="5">
        <f>100*('Parameter &lt;x, y&gt;'!L828-B828)/B828</f>
        <v>1.7960426179604261</v>
      </c>
      <c r="H828" s="5">
        <f>100*('Parameter &lt;x, y&gt;'!Q828-B828)/B828</f>
        <v>0</v>
      </c>
      <c r="J828" s="5">
        <f>100*('Parameter &lt;x, y&gt;'!D828-C828)/C828</f>
        <v>7.1597236787799643</v>
      </c>
      <c r="K828" s="5">
        <f>100*('Parameter &lt;x, y&gt;'!I828-C828)/C828</f>
        <v>11.178695390361234</v>
      </c>
      <c r="L828" s="5">
        <f>100*('Parameter &lt;x, y&gt;'!N828-C828)/C828</f>
        <v>4.735485355110657</v>
      </c>
      <c r="M828" s="5">
        <f>100*('Parameter &lt;x, y&gt;'!S828-C828)/C828</f>
        <v>0</v>
      </c>
    </row>
    <row r="829" spans="1:13" ht="12.75" customHeight="1">
      <c r="A829" s="42"/>
      <c r="B829" s="5">
        <f>MIN('Parameter &lt;x, y&gt;'!B829,'Parameter &lt;x, y&gt;'!G829,'Parameter &lt;x, y&gt;'!L829,'Parameter &lt;x, y&gt;'!Q829)</f>
        <v>1845970</v>
      </c>
      <c r="C829" s="5">
        <f>MIN('Parameter &lt;x, y&gt;'!D829,'Parameter &lt;x, y&gt;'!I829,'Parameter &lt;x, y&gt;'!N829,'Parameter &lt;x, y&gt;'!S829)</f>
        <v>1414240</v>
      </c>
      <c r="E829" s="5">
        <f>100*('Parameter &lt;x, y&gt;'!B829-B829)/B829</f>
        <v>0</v>
      </c>
      <c r="F829" s="5">
        <f>100*('Parameter &lt;x, y&gt;'!G829-B829)/B829</f>
        <v>0.47996446312778646</v>
      </c>
      <c r="G829" s="5">
        <f>100*('Parameter &lt;x, y&gt;'!L829-B829)/B829</f>
        <v>0.5043418907132835</v>
      </c>
      <c r="H829" s="5">
        <f>100*('Parameter &lt;x, y&gt;'!Q829-B829)/B829</f>
        <v>1.7925535084535502</v>
      </c>
      <c r="J829" s="5">
        <f>100*('Parameter &lt;x, y&gt;'!D829-C829)/C829</f>
        <v>16.875494965493836</v>
      </c>
      <c r="K829" s="5">
        <f>100*('Parameter &lt;x, y&gt;'!I829-C829)/C829</f>
        <v>15.257664894218802</v>
      </c>
      <c r="L829" s="5">
        <f>100*('Parameter &lt;x, y&gt;'!N829-C829)/C829</f>
        <v>0</v>
      </c>
      <c r="M829" s="5">
        <f>100*('Parameter &lt;x, y&gt;'!S829-C829)/C829</f>
        <v>3.7977995248331258</v>
      </c>
    </row>
    <row r="830" spans="1:13" ht="12.75" customHeight="1">
      <c r="A830" s="42"/>
      <c r="B830" s="5">
        <f>MIN('Parameter &lt;x, y&gt;'!B830,'Parameter &lt;x, y&gt;'!G830,'Parameter &lt;x, y&gt;'!L830,'Parameter &lt;x, y&gt;'!Q830)</f>
        <v>1893180</v>
      </c>
      <c r="C830" s="5">
        <f>MIN('Parameter &lt;x, y&gt;'!D830,'Parameter &lt;x, y&gt;'!I830,'Parameter &lt;x, y&gt;'!N830,'Parameter &lt;x, y&gt;'!S830)</f>
        <v>1478500</v>
      </c>
      <c r="E830" s="5">
        <f>100*('Parameter &lt;x, y&gt;'!B830-B830)/B830</f>
        <v>4.9387802533303757</v>
      </c>
      <c r="F830" s="5">
        <f>100*('Parameter &lt;x, y&gt;'!G830-B830)/B830</f>
        <v>0</v>
      </c>
      <c r="G830" s="5">
        <f>100*('Parameter &lt;x, y&gt;'!L830-B830)/B830</f>
        <v>1.7203858058927308</v>
      </c>
      <c r="H830" s="5">
        <f>100*('Parameter &lt;x, y&gt;'!Q830-B830)/B830</f>
        <v>0.10986805269440834</v>
      </c>
      <c r="J830" s="5">
        <f>100*('Parameter &lt;x, y&gt;'!D830-C830)/C830</f>
        <v>29.515049036185324</v>
      </c>
      <c r="K830" s="5">
        <f>100*('Parameter &lt;x, y&gt;'!I830-C830)/C830</f>
        <v>20.296246195468381</v>
      </c>
      <c r="L830" s="5">
        <f>100*('Parameter &lt;x, y&gt;'!N830-C830)/C830</f>
        <v>5.7003719986472774</v>
      </c>
      <c r="M830" s="5">
        <f>100*('Parameter &lt;x, y&gt;'!S830-C830)/C830</f>
        <v>0</v>
      </c>
    </row>
    <row r="831" spans="1:13" ht="12.75" customHeight="1">
      <c r="A831" s="42"/>
      <c r="B831" s="5">
        <f>MIN('Parameter &lt;x, y&gt;'!B831,'Parameter &lt;x, y&gt;'!G831,'Parameter &lt;x, y&gt;'!L831,'Parameter &lt;x, y&gt;'!Q831)</f>
        <v>1671230</v>
      </c>
      <c r="C831" s="5">
        <f>MIN('Parameter &lt;x, y&gt;'!D831,'Parameter &lt;x, y&gt;'!I831,'Parameter &lt;x, y&gt;'!N831,'Parameter &lt;x, y&gt;'!S831)</f>
        <v>1373360</v>
      </c>
      <c r="E831" s="5">
        <f>100*('Parameter &lt;x, y&gt;'!B831-B831)/B831</f>
        <v>0</v>
      </c>
      <c r="F831" s="5">
        <f>100*('Parameter &lt;x, y&gt;'!G831-B831)/B831</f>
        <v>8.5110966174613907</v>
      </c>
      <c r="G831" s="5">
        <f>100*('Parameter &lt;x, y&gt;'!L831-B831)/B831</f>
        <v>5.3008861736565285</v>
      </c>
      <c r="H831" s="5">
        <f>100*('Parameter &lt;x, y&gt;'!Q831-B831)/B831</f>
        <v>12.202988218258408</v>
      </c>
      <c r="J831" s="5">
        <f>100*('Parameter &lt;x, y&gt;'!D831-C831)/C831</f>
        <v>9.2437525484942036</v>
      </c>
      <c r="K831" s="5">
        <f>100*('Parameter &lt;x, y&gt;'!I831-C831)/C831</f>
        <v>16.054057202772761</v>
      </c>
      <c r="L831" s="5">
        <f>100*('Parameter &lt;x, y&gt;'!N831-C831)/C831</f>
        <v>0</v>
      </c>
      <c r="M831" s="5">
        <f>100*('Parameter &lt;x, y&gt;'!S831-C831)/C831</f>
        <v>18.430710083299353</v>
      </c>
    </row>
    <row r="832" spans="1:13" ht="12.75" customHeight="1">
      <c r="A832" s="42"/>
      <c r="B832" s="5">
        <f>MIN('Parameter &lt;x, y&gt;'!B832,'Parameter &lt;x, y&gt;'!G832,'Parameter &lt;x, y&gt;'!L832,'Parameter &lt;x, y&gt;'!Q832)</f>
        <v>1935180</v>
      </c>
      <c r="C832" s="5">
        <f>MIN('Parameter &lt;x, y&gt;'!D832,'Parameter &lt;x, y&gt;'!I832,'Parameter &lt;x, y&gt;'!N832,'Parameter &lt;x, y&gt;'!S832)</f>
        <v>1577680</v>
      </c>
      <c r="E832" s="5">
        <f>100*('Parameter &lt;x, y&gt;'!B832-B832)/B832</f>
        <v>0</v>
      </c>
      <c r="F832" s="5">
        <f>100*('Parameter &lt;x, y&gt;'!G832-B832)/B832</f>
        <v>1.3626639382383035</v>
      </c>
      <c r="G832" s="5">
        <f>100*('Parameter &lt;x, y&gt;'!L832-B832)/B832</f>
        <v>1.8556413356897032</v>
      </c>
      <c r="H832" s="5">
        <f>100*('Parameter &lt;x, y&gt;'!Q832-B832)/B832</f>
        <v>1.499085356400955</v>
      </c>
      <c r="J832" s="5">
        <f>100*('Parameter &lt;x, y&gt;'!D832-C832)/C832</f>
        <v>10.119289082703716</v>
      </c>
      <c r="K832" s="5">
        <f>100*('Parameter &lt;x, y&gt;'!I832-C832)/C832</f>
        <v>8.2399472643375091</v>
      </c>
      <c r="L832" s="5">
        <f>100*('Parameter &lt;x, y&gt;'!N832-C832)/C832</f>
        <v>0</v>
      </c>
      <c r="M832" s="5">
        <f>100*('Parameter &lt;x, y&gt;'!S832-C832)/C832</f>
        <v>1.394452613964809E-2</v>
      </c>
    </row>
    <row r="833" spans="1:13" ht="12.75" customHeight="1">
      <c r="A833" s="42"/>
      <c r="B833" s="5">
        <f>MIN('Parameter &lt;x, y&gt;'!B833,'Parameter &lt;x, y&gt;'!G833,'Parameter &lt;x, y&gt;'!L833,'Parameter &lt;x, y&gt;'!Q833)</f>
        <v>1883730</v>
      </c>
      <c r="C833" s="5">
        <f>MIN('Parameter &lt;x, y&gt;'!D833,'Parameter &lt;x, y&gt;'!I833,'Parameter &lt;x, y&gt;'!N833,'Parameter &lt;x, y&gt;'!S833)</f>
        <v>1459220</v>
      </c>
      <c r="E833" s="5">
        <f>100*('Parameter &lt;x, y&gt;'!B833-B833)/B833</f>
        <v>0</v>
      </c>
      <c r="F833" s="5">
        <f>100*('Parameter &lt;x, y&gt;'!G833-B833)/B833</f>
        <v>1.7826333922589754</v>
      </c>
      <c r="G833" s="5">
        <f>100*('Parameter &lt;x, y&gt;'!L833-B833)/B833</f>
        <v>1.4030673185647624</v>
      </c>
      <c r="H833" s="5">
        <f>100*('Parameter &lt;x, y&gt;'!Q833-B833)/B833</f>
        <v>10.02691468522559</v>
      </c>
      <c r="J833" s="5">
        <f>100*('Parameter &lt;x, y&gt;'!D833-C833)/C833</f>
        <v>8.8471923356313642</v>
      </c>
      <c r="K833" s="5">
        <f>100*('Parameter &lt;x, y&gt;'!I833-C833)/C833</f>
        <v>10.12184591768205</v>
      </c>
      <c r="L833" s="5">
        <f>100*('Parameter &lt;x, y&gt;'!N833-C833)/C833</f>
        <v>0</v>
      </c>
      <c r="M833" s="5">
        <f>100*('Parameter &lt;x, y&gt;'!S833-C833)/C833</f>
        <v>5.1376762928139694</v>
      </c>
    </row>
    <row r="834" spans="1:13" ht="12.75" customHeight="1">
      <c r="A834" s="42"/>
      <c r="B834" s="5">
        <f>MIN('Parameter &lt;x, y&gt;'!B834,'Parameter &lt;x, y&gt;'!G834,'Parameter &lt;x, y&gt;'!L834,'Parameter &lt;x, y&gt;'!Q834)</f>
        <v>1921720</v>
      </c>
      <c r="C834" s="5">
        <f>MIN('Parameter &lt;x, y&gt;'!D834,'Parameter &lt;x, y&gt;'!I834,'Parameter &lt;x, y&gt;'!N834,'Parameter &lt;x, y&gt;'!S834)</f>
        <v>1535510</v>
      </c>
      <c r="E834" s="5">
        <f>100*('Parameter &lt;x, y&gt;'!B834-B834)/B834</f>
        <v>0</v>
      </c>
      <c r="F834" s="5">
        <f>100*('Parameter &lt;x, y&gt;'!G834-B834)/B834</f>
        <v>3.2803946464625438</v>
      </c>
      <c r="G834" s="5">
        <f>100*('Parameter &lt;x, y&gt;'!L834-B834)/B834</f>
        <v>0.86953354286784756</v>
      </c>
      <c r="H834" s="5">
        <f>100*('Parameter &lt;x, y&gt;'!Q834-B834)/B834</f>
        <v>4.3466269799970858</v>
      </c>
      <c r="J834" s="5">
        <f>100*('Parameter &lt;x, y&gt;'!D834-C834)/C834</f>
        <v>8.3359926018065664</v>
      </c>
      <c r="K834" s="5">
        <f>100*('Parameter &lt;x, y&gt;'!I834-C834)/C834</f>
        <v>13.510169259724782</v>
      </c>
      <c r="L834" s="5">
        <f>100*('Parameter &lt;x, y&gt;'!N834-C834)/C834</f>
        <v>0</v>
      </c>
      <c r="M834" s="5">
        <f>100*('Parameter &lt;x, y&gt;'!S834-C834)/C834</f>
        <v>3.3832407473738368</v>
      </c>
    </row>
    <row r="835" spans="1:13" ht="12.75" customHeight="1">
      <c r="A835" s="42"/>
      <c r="B835" s="5">
        <f>MIN('Parameter &lt;x, y&gt;'!B835,'Parameter &lt;x, y&gt;'!G835,'Parameter &lt;x, y&gt;'!L835,'Parameter &lt;x, y&gt;'!Q835)</f>
        <v>2037450</v>
      </c>
      <c r="C835" s="5">
        <f>MIN('Parameter &lt;x, y&gt;'!D835,'Parameter &lt;x, y&gt;'!I835,'Parameter &lt;x, y&gt;'!N835,'Parameter &lt;x, y&gt;'!S835)</f>
        <v>1632510</v>
      </c>
      <c r="E835" s="5">
        <f>100*('Parameter &lt;x, y&gt;'!B835-B835)/B835</f>
        <v>0.65277675525779777</v>
      </c>
      <c r="F835" s="5">
        <f>100*('Parameter &lt;x, y&gt;'!G835-B835)/B835</f>
        <v>0</v>
      </c>
      <c r="G835" s="5">
        <f>100*('Parameter &lt;x, y&gt;'!L835-B835)/B835</f>
        <v>2.5998184004515448</v>
      </c>
      <c r="H835" s="5">
        <f>100*('Parameter &lt;x, y&gt;'!Q835-B835)/B835</f>
        <v>4.1856241870966162</v>
      </c>
      <c r="J835" s="5">
        <f>100*('Parameter &lt;x, y&gt;'!D835-C835)/C835</f>
        <v>6.1720908294589316</v>
      </c>
      <c r="K835" s="5">
        <f>100*('Parameter &lt;x, y&gt;'!I835-C835)/C835</f>
        <v>21.152703505644681</v>
      </c>
      <c r="L835" s="5">
        <f>100*('Parameter &lt;x, y&gt;'!N835-C835)/C835</f>
        <v>2.9733355385265634</v>
      </c>
      <c r="M835" s="5">
        <f>100*('Parameter &lt;x, y&gt;'!S835-C835)/C835</f>
        <v>0</v>
      </c>
    </row>
    <row r="836" spans="1:13" ht="12.75" customHeight="1">
      <c r="A836" s="42"/>
      <c r="B836" s="5">
        <f>MIN('Parameter &lt;x, y&gt;'!B836,'Parameter &lt;x, y&gt;'!G836,'Parameter &lt;x, y&gt;'!L836,'Parameter &lt;x, y&gt;'!Q836)</f>
        <v>1775630</v>
      </c>
      <c r="C836" s="5">
        <f>MIN('Parameter &lt;x, y&gt;'!D836,'Parameter &lt;x, y&gt;'!I836,'Parameter &lt;x, y&gt;'!N836,'Parameter &lt;x, y&gt;'!S836)</f>
        <v>1465370</v>
      </c>
      <c r="E836" s="5">
        <f>100*('Parameter &lt;x, y&gt;'!B836-B836)/B836</f>
        <v>2.8327973733266503</v>
      </c>
      <c r="F836" s="5">
        <f>100*('Parameter &lt;x, y&gt;'!G836-B836)/B836</f>
        <v>4.0824946638657824</v>
      </c>
      <c r="G836" s="5">
        <f>100*('Parameter &lt;x, y&gt;'!L836-B836)/B836</f>
        <v>0</v>
      </c>
      <c r="H836" s="5">
        <f>100*('Parameter &lt;x, y&gt;'!Q836-B836)/B836</f>
        <v>6.9783682411313164</v>
      </c>
      <c r="J836" s="5">
        <f>100*('Parameter &lt;x, y&gt;'!D836-C836)/C836</f>
        <v>9.6890205204146387</v>
      </c>
      <c r="K836" s="5">
        <f>100*('Parameter &lt;x, y&gt;'!I836-C836)/C836</f>
        <v>9.9742727092816157</v>
      </c>
      <c r="L836" s="5">
        <f>100*('Parameter &lt;x, y&gt;'!N836-C836)/C836</f>
        <v>7.0255293884820897</v>
      </c>
      <c r="M836" s="5">
        <f>100*('Parameter &lt;x, y&gt;'!S836-C836)/C836</f>
        <v>0</v>
      </c>
    </row>
    <row r="837" spans="1:13" ht="12.75" customHeight="1">
      <c r="A837" s="42"/>
      <c r="B837" s="5">
        <f>MIN('Parameter &lt;x, y&gt;'!B837,'Parameter &lt;x, y&gt;'!G837,'Parameter &lt;x, y&gt;'!L837,'Parameter &lt;x, y&gt;'!Q837)</f>
        <v>1952460</v>
      </c>
      <c r="C837" s="5">
        <f>MIN('Parameter &lt;x, y&gt;'!D837,'Parameter &lt;x, y&gt;'!I837,'Parameter &lt;x, y&gt;'!N837,'Parameter &lt;x, y&gt;'!S837)</f>
        <v>1525480</v>
      </c>
      <c r="E837" s="5">
        <f>100*('Parameter &lt;x, y&gt;'!B837-B837)/B837</f>
        <v>1.3526525511406124</v>
      </c>
      <c r="F837" s="5">
        <f>100*('Parameter &lt;x, y&gt;'!G837-B837)/B837</f>
        <v>5.7875705520215523E-2</v>
      </c>
      <c r="G837" s="5">
        <f>100*('Parameter &lt;x, y&gt;'!L837-B837)/B837</f>
        <v>0</v>
      </c>
      <c r="H837" s="5">
        <f>100*('Parameter &lt;x, y&gt;'!Q837-B837)/B837</f>
        <v>1.1590506335597144</v>
      </c>
      <c r="J837" s="5">
        <f>100*('Parameter &lt;x, y&gt;'!D837-C837)/C837</f>
        <v>14.661614704879776</v>
      </c>
      <c r="K837" s="5">
        <f>100*('Parameter &lt;x, y&gt;'!I837-C837)/C837</f>
        <v>21.458163987728454</v>
      </c>
      <c r="L837" s="5">
        <f>100*('Parameter &lt;x, y&gt;'!N837-C837)/C837</f>
        <v>0</v>
      </c>
      <c r="M837" s="5">
        <f>100*('Parameter &lt;x, y&gt;'!S837-C837)/C837</f>
        <v>9.3459107952906635</v>
      </c>
    </row>
    <row r="838" spans="1:13" ht="12.75" customHeight="1">
      <c r="A838" s="42"/>
      <c r="B838" s="5">
        <f>MIN('Parameter &lt;x, y&gt;'!B838,'Parameter &lt;x, y&gt;'!G838,'Parameter &lt;x, y&gt;'!L838,'Parameter &lt;x, y&gt;'!Q838)</f>
        <v>1738300</v>
      </c>
      <c r="C838" s="5">
        <f>MIN('Parameter &lt;x, y&gt;'!D838,'Parameter &lt;x, y&gt;'!I838,'Parameter &lt;x, y&gt;'!N838,'Parameter &lt;x, y&gt;'!S838)</f>
        <v>1477450</v>
      </c>
      <c r="E838" s="5">
        <f>100*('Parameter &lt;x, y&gt;'!B838-B838)/B838</f>
        <v>1.1798883967094287</v>
      </c>
      <c r="F838" s="5">
        <f>100*('Parameter &lt;x, y&gt;'!G838-B838)/B838</f>
        <v>0</v>
      </c>
      <c r="G838" s="5">
        <f>100*('Parameter &lt;x, y&gt;'!L838-B838)/B838</f>
        <v>5.417361790254847</v>
      </c>
      <c r="H838" s="5">
        <f>100*('Parameter &lt;x, y&gt;'!Q838-B838)/B838</f>
        <v>4.9853304953115112</v>
      </c>
      <c r="J838" s="5">
        <f>100*('Parameter &lt;x, y&gt;'!D838-C838)/C838</f>
        <v>8.0578022944938912</v>
      </c>
      <c r="K838" s="5">
        <f>100*('Parameter &lt;x, y&gt;'!I838-C838)/C838</f>
        <v>3.9155301363836341</v>
      </c>
      <c r="L838" s="5">
        <f>100*('Parameter &lt;x, y&gt;'!N838-C838)/C838</f>
        <v>0</v>
      </c>
      <c r="M838" s="5">
        <f>100*('Parameter &lt;x, y&gt;'!S838-C838)/C838</f>
        <v>2.0129276794476971</v>
      </c>
    </row>
    <row r="839" spans="1:13" ht="12.75" customHeight="1">
      <c r="A839" s="42"/>
      <c r="B839" s="5">
        <f>MIN('Parameter &lt;x, y&gt;'!B839,'Parameter &lt;x, y&gt;'!G839,'Parameter &lt;x, y&gt;'!L839,'Parameter &lt;x, y&gt;'!Q839)</f>
        <v>1890320</v>
      </c>
      <c r="C839" s="5">
        <f>MIN('Parameter &lt;x, y&gt;'!D839,'Parameter &lt;x, y&gt;'!I839,'Parameter &lt;x, y&gt;'!N839,'Parameter &lt;x, y&gt;'!S839)</f>
        <v>1602730</v>
      </c>
      <c r="E839" s="5">
        <f>100*('Parameter &lt;x, y&gt;'!B839-B839)/B839</f>
        <v>0.55757755300689826</v>
      </c>
      <c r="F839" s="5">
        <f>100*('Parameter &lt;x, y&gt;'!G839-B839)/B839</f>
        <v>0.58878919971221799</v>
      </c>
      <c r="G839" s="5">
        <f>100*('Parameter &lt;x, y&gt;'!L839-B839)/B839</f>
        <v>0</v>
      </c>
      <c r="H839" s="5">
        <f>100*('Parameter &lt;x, y&gt;'!Q839-B839)/B839</f>
        <v>7.7812222269245419</v>
      </c>
      <c r="J839" s="5">
        <f>100*('Parameter &lt;x, y&gt;'!D839-C839)/C839</f>
        <v>15.26208406905717</v>
      </c>
      <c r="K839" s="5">
        <f>100*('Parameter &lt;x, y&gt;'!I839-C839)/C839</f>
        <v>0</v>
      </c>
      <c r="L839" s="5">
        <f>100*('Parameter &lt;x, y&gt;'!N839-C839)/C839</f>
        <v>7.5415073031639768</v>
      </c>
      <c r="M839" s="5">
        <f>100*('Parameter &lt;x, y&gt;'!S839-C839)/C839</f>
        <v>1.4818465992400467</v>
      </c>
    </row>
    <row r="840" spans="1:13" ht="12.75" customHeight="1">
      <c r="A840" s="42"/>
      <c r="B840" s="5">
        <f>MIN('Parameter &lt;x, y&gt;'!B840,'Parameter &lt;x, y&gt;'!G840,'Parameter &lt;x, y&gt;'!L840,'Parameter &lt;x, y&gt;'!Q840)</f>
        <v>1695670</v>
      </c>
      <c r="C840" s="5">
        <f>MIN('Parameter &lt;x, y&gt;'!D840,'Parameter &lt;x, y&gt;'!I840,'Parameter &lt;x, y&gt;'!N840,'Parameter &lt;x, y&gt;'!S840)</f>
        <v>1289450</v>
      </c>
      <c r="E840" s="5">
        <f>100*('Parameter &lt;x, y&gt;'!B840-B840)/B840</f>
        <v>0</v>
      </c>
      <c r="F840" s="5">
        <f>100*('Parameter &lt;x, y&gt;'!G840-B840)/B840</f>
        <v>2.7009972459263891</v>
      </c>
      <c r="G840" s="5">
        <f>100*('Parameter &lt;x, y&gt;'!L840-B840)/B840</f>
        <v>0.7625304451927557</v>
      </c>
      <c r="H840" s="5">
        <f>100*('Parameter &lt;x, y&gt;'!Q840-B840)/B840</f>
        <v>3.8102932764040172</v>
      </c>
      <c r="J840" s="5">
        <f>100*('Parameter &lt;x, y&gt;'!D840-C840)/C840</f>
        <v>9.2659661095816048</v>
      </c>
      <c r="K840" s="5">
        <f>100*('Parameter &lt;x, y&gt;'!I840-C840)/C840</f>
        <v>9.0557989840629727</v>
      </c>
      <c r="L840" s="5">
        <f>100*('Parameter &lt;x, y&gt;'!N840-C840)/C840</f>
        <v>0</v>
      </c>
      <c r="M840" s="5">
        <f>100*('Parameter &lt;x, y&gt;'!S840-C840)/C840</f>
        <v>11.264492613129629</v>
      </c>
    </row>
    <row r="841" spans="1:13" ht="12.75" customHeight="1">
      <c r="A841" s="42"/>
      <c r="B841" s="5">
        <f>MIN('Parameter &lt;x, y&gt;'!B841,'Parameter &lt;x, y&gt;'!G841,'Parameter &lt;x, y&gt;'!L841,'Parameter &lt;x, y&gt;'!Q841)</f>
        <v>1923760</v>
      </c>
      <c r="C841" s="5">
        <f>MIN('Parameter &lt;x, y&gt;'!D841,'Parameter &lt;x, y&gt;'!I841,'Parameter &lt;x, y&gt;'!N841,'Parameter &lt;x, y&gt;'!S841)</f>
        <v>1553230</v>
      </c>
      <c r="E841" s="5">
        <f>100*('Parameter &lt;x, y&gt;'!B841-B841)/B841</f>
        <v>2.325653927724872</v>
      </c>
      <c r="F841" s="5">
        <f>100*('Parameter &lt;x, y&gt;'!G841-B841)/B841</f>
        <v>6.0282987482846089</v>
      </c>
      <c r="G841" s="5">
        <f>100*('Parameter &lt;x, y&gt;'!L841-B841)/B841</f>
        <v>0</v>
      </c>
      <c r="H841" s="5">
        <f>100*('Parameter &lt;x, y&gt;'!Q841-B841)/B841</f>
        <v>2.2580779307190086</v>
      </c>
      <c r="J841" s="5">
        <f>100*('Parameter &lt;x, y&gt;'!D841-C841)/C841</f>
        <v>2.4368573875086113</v>
      </c>
      <c r="K841" s="5">
        <f>100*('Parameter &lt;x, y&gt;'!I841-C841)/C841</f>
        <v>13.706276597799425</v>
      </c>
      <c r="L841" s="5">
        <f>100*('Parameter &lt;x, y&gt;'!N841-C841)/C841</f>
        <v>2.7838761806042891</v>
      </c>
      <c r="M841" s="5">
        <f>100*('Parameter &lt;x, y&gt;'!S841-C841)/C841</f>
        <v>0</v>
      </c>
    </row>
    <row r="842" spans="1:13" ht="12.75" customHeight="1">
      <c r="A842" s="42"/>
      <c r="B842" s="5">
        <f>MIN('Parameter &lt;x, y&gt;'!B842,'Parameter &lt;x, y&gt;'!G842,'Parameter &lt;x, y&gt;'!L842,'Parameter &lt;x, y&gt;'!Q842)</f>
        <v>1891370</v>
      </c>
      <c r="C842" s="5">
        <f>MIN('Parameter &lt;x, y&gt;'!D842,'Parameter &lt;x, y&gt;'!I842,'Parameter &lt;x, y&gt;'!N842,'Parameter &lt;x, y&gt;'!S842)</f>
        <v>1510170</v>
      </c>
      <c r="E842" s="5">
        <f>100*('Parameter &lt;x, y&gt;'!B842-B842)/B842</f>
        <v>0.39336565558299008</v>
      </c>
      <c r="F842" s="5">
        <f>100*('Parameter &lt;x, y&gt;'!G842-B842)/B842</f>
        <v>2.269783278787334</v>
      </c>
      <c r="G842" s="5">
        <f>100*('Parameter &lt;x, y&gt;'!L842-B842)/B842</f>
        <v>3.2748748261841945</v>
      </c>
      <c r="H842" s="5">
        <f>100*('Parameter &lt;x, y&gt;'!Q842-B842)/B842</f>
        <v>0</v>
      </c>
      <c r="J842" s="5">
        <f>100*('Parameter &lt;x, y&gt;'!D842-C842)/C842</f>
        <v>11.456988286086997</v>
      </c>
      <c r="K842" s="5">
        <f>100*('Parameter &lt;x, y&gt;'!I842-C842)/C842</f>
        <v>8.7453730374726018</v>
      </c>
      <c r="L842" s="5">
        <f>100*('Parameter &lt;x, y&gt;'!N842-C842)/C842</f>
        <v>0</v>
      </c>
      <c r="M842" s="5">
        <f>100*('Parameter &lt;x, y&gt;'!S842-C842)/C842</f>
        <v>2.3182820477164823</v>
      </c>
    </row>
    <row r="843" spans="1:13" ht="12.75" customHeight="1">
      <c r="A843" s="42"/>
      <c r="B843" s="5">
        <f>MIN('Parameter &lt;x, y&gt;'!B843,'Parameter &lt;x, y&gt;'!G843,'Parameter &lt;x, y&gt;'!L843,'Parameter &lt;x, y&gt;'!Q843)</f>
        <v>1935140</v>
      </c>
      <c r="C843" s="5">
        <f>MIN('Parameter &lt;x, y&gt;'!D843,'Parameter &lt;x, y&gt;'!I843,'Parameter &lt;x, y&gt;'!N843,'Parameter &lt;x, y&gt;'!S843)</f>
        <v>1534550</v>
      </c>
      <c r="E843" s="5">
        <f>100*('Parameter &lt;x, y&gt;'!B843-B843)/B843</f>
        <v>2.4473681490744856</v>
      </c>
      <c r="F843" s="5">
        <f>100*('Parameter &lt;x, y&gt;'!G843-B843)/B843</f>
        <v>7.854212098349473</v>
      </c>
      <c r="G843" s="5">
        <f>100*('Parameter &lt;x, y&gt;'!L843-B843)/B843</f>
        <v>0</v>
      </c>
      <c r="H843" s="5">
        <f>100*('Parameter &lt;x, y&gt;'!Q843-B843)/B843</f>
        <v>2.7181495912440443</v>
      </c>
      <c r="J843" s="5">
        <f>100*('Parameter &lt;x, y&gt;'!D843-C843)/C843</f>
        <v>8.2682219543188555</v>
      </c>
      <c r="K843" s="5">
        <f>100*('Parameter &lt;x, y&gt;'!I843-C843)/C843</f>
        <v>20.386432504643054</v>
      </c>
      <c r="L843" s="5">
        <f>100*('Parameter &lt;x, y&gt;'!N843-C843)/C843</f>
        <v>2.3648626633214951</v>
      </c>
      <c r="M843" s="5">
        <f>100*('Parameter &lt;x, y&gt;'!S843-C843)/C843</f>
        <v>0</v>
      </c>
    </row>
    <row r="844" spans="1:13" ht="12.75" customHeight="1">
      <c r="A844" s="42"/>
      <c r="B844" s="5">
        <f>MIN('Parameter &lt;x, y&gt;'!B844,'Parameter &lt;x, y&gt;'!G844,'Parameter &lt;x, y&gt;'!L844,'Parameter &lt;x, y&gt;'!Q844)</f>
        <v>1895690</v>
      </c>
      <c r="C844" s="5">
        <f>MIN('Parameter &lt;x, y&gt;'!D844,'Parameter &lt;x, y&gt;'!I844,'Parameter &lt;x, y&gt;'!N844,'Parameter &lt;x, y&gt;'!S844)</f>
        <v>1477670</v>
      </c>
      <c r="E844" s="5">
        <f>100*('Parameter &lt;x, y&gt;'!B844-B844)/B844</f>
        <v>0</v>
      </c>
      <c r="F844" s="5">
        <f>100*('Parameter &lt;x, y&gt;'!G844-B844)/B844</f>
        <v>2.1812638142312299</v>
      </c>
      <c r="G844" s="5">
        <f>100*('Parameter &lt;x, y&gt;'!L844-B844)/B844</f>
        <v>1.16580242550206</v>
      </c>
      <c r="H844" s="5">
        <f>100*('Parameter &lt;x, y&gt;'!Q844-B844)/B844</f>
        <v>1.3652021163797878</v>
      </c>
      <c r="J844" s="5">
        <f>100*('Parameter &lt;x, y&gt;'!D844-C844)/C844</f>
        <v>10.868461835186476</v>
      </c>
      <c r="K844" s="5">
        <f>100*('Parameter &lt;x, y&gt;'!I844-C844)/C844</f>
        <v>10.261425081378116</v>
      </c>
      <c r="L844" s="5">
        <f>100*('Parameter &lt;x, y&gt;'!N844-C844)/C844</f>
        <v>0</v>
      </c>
      <c r="M844" s="5">
        <f>100*('Parameter &lt;x, y&gt;'!S844-C844)/C844</f>
        <v>4.7744083591058901</v>
      </c>
    </row>
    <row r="845" spans="1:13" ht="12.75" customHeight="1">
      <c r="A845" s="42"/>
      <c r="B845" s="5">
        <f>MIN('Parameter &lt;x, y&gt;'!B845,'Parameter &lt;x, y&gt;'!G845,'Parameter &lt;x, y&gt;'!L845,'Parameter &lt;x, y&gt;'!Q845)</f>
        <v>2065960</v>
      </c>
      <c r="C845" s="5">
        <f>MIN('Parameter &lt;x, y&gt;'!D845,'Parameter &lt;x, y&gt;'!I845,'Parameter &lt;x, y&gt;'!N845,'Parameter &lt;x, y&gt;'!S845)</f>
        <v>1620080</v>
      </c>
      <c r="E845" s="5">
        <f>100*('Parameter &lt;x, y&gt;'!B845-B845)/B845</f>
        <v>0.44192530349087106</v>
      </c>
      <c r="F845" s="5">
        <f>100*('Parameter &lt;x, y&gt;'!G845-B845)/B845</f>
        <v>0</v>
      </c>
      <c r="G845" s="5">
        <f>100*('Parameter &lt;x, y&gt;'!L845-B845)/B845</f>
        <v>1.1805649673759415</v>
      </c>
      <c r="H845" s="5">
        <f>100*('Parameter &lt;x, y&gt;'!Q845-B845)/B845</f>
        <v>11.768378865031268</v>
      </c>
      <c r="J845" s="5">
        <f>100*('Parameter &lt;x, y&gt;'!D845-C845)/C845</f>
        <v>13.122191496716212</v>
      </c>
      <c r="K845" s="5">
        <f>100*('Parameter &lt;x, y&gt;'!I845-C845)/C845</f>
        <v>6.3990667127549257</v>
      </c>
      <c r="L845" s="5">
        <f>100*('Parameter &lt;x, y&gt;'!N845-C845)/C845</f>
        <v>0</v>
      </c>
      <c r="M845" s="5">
        <f>100*('Parameter &lt;x, y&gt;'!S845-C845)/C845</f>
        <v>2.9010913041331294</v>
      </c>
    </row>
    <row r="846" spans="1:13" ht="12.75" customHeight="1">
      <c r="A846" s="42"/>
      <c r="B846" s="5">
        <f>MIN('Parameter &lt;x, y&gt;'!B846,'Parameter &lt;x, y&gt;'!G846,'Parameter &lt;x, y&gt;'!L846,'Parameter &lt;x, y&gt;'!Q846)</f>
        <v>1934100</v>
      </c>
      <c r="C846" s="5">
        <f>MIN('Parameter &lt;x, y&gt;'!D846,'Parameter &lt;x, y&gt;'!I846,'Parameter &lt;x, y&gt;'!N846,'Parameter &lt;x, y&gt;'!S846)</f>
        <v>1544800</v>
      </c>
      <c r="E846" s="5">
        <f>100*('Parameter &lt;x, y&gt;'!B846-B846)/B846</f>
        <v>4.1512848353239233</v>
      </c>
      <c r="F846" s="5">
        <f>100*('Parameter &lt;x, y&gt;'!G846-B846)/B846</f>
        <v>1.8246212708753424</v>
      </c>
      <c r="G846" s="5">
        <f>100*('Parameter &lt;x, y&gt;'!L846-B846)/B846</f>
        <v>0</v>
      </c>
      <c r="H846" s="5">
        <f>100*('Parameter &lt;x, y&gt;'!Q846-B846)/B846</f>
        <v>2.6032780104441344</v>
      </c>
      <c r="J846" s="5">
        <f>100*('Parameter &lt;x, y&gt;'!D846-C846)/C846</f>
        <v>15.477731745209736</v>
      </c>
      <c r="K846" s="5">
        <f>100*('Parameter &lt;x, y&gt;'!I846-C846)/C846</f>
        <v>7.2449508026929053</v>
      </c>
      <c r="L846" s="5">
        <f>100*('Parameter &lt;x, y&gt;'!N846-C846)/C846</f>
        <v>2.9816157431382702</v>
      </c>
      <c r="M846" s="5">
        <f>100*('Parameter &lt;x, y&gt;'!S846-C846)/C846</f>
        <v>0</v>
      </c>
    </row>
    <row r="847" spans="1:13" ht="12.75" customHeight="1">
      <c r="A847" s="42"/>
      <c r="B847" s="5">
        <f>MIN('Parameter &lt;x, y&gt;'!B847,'Parameter &lt;x, y&gt;'!G847,'Parameter &lt;x, y&gt;'!L847,'Parameter &lt;x, y&gt;'!Q847)</f>
        <v>2006330</v>
      </c>
      <c r="C847" s="5">
        <f>MIN('Parameter &lt;x, y&gt;'!D847,'Parameter &lt;x, y&gt;'!I847,'Parameter &lt;x, y&gt;'!N847,'Parameter &lt;x, y&gt;'!S847)</f>
        <v>1614830</v>
      </c>
      <c r="E847" s="5">
        <f>100*('Parameter &lt;x, y&gt;'!B847-B847)/B847</f>
        <v>1.7873430592175763</v>
      </c>
      <c r="F847" s="5">
        <f>100*('Parameter &lt;x, y&gt;'!G847-B847)/B847</f>
        <v>0</v>
      </c>
      <c r="G847" s="5">
        <f>100*('Parameter &lt;x, y&gt;'!L847-B847)/B847</f>
        <v>7.1678138691042852</v>
      </c>
      <c r="H847" s="5">
        <f>100*('Parameter &lt;x, y&gt;'!Q847-B847)/B847</f>
        <v>0.59910383635792719</v>
      </c>
      <c r="J847" s="5">
        <f>100*('Parameter &lt;x, y&gt;'!D847-C847)/C847</f>
        <v>5.3504084021228238</v>
      </c>
      <c r="K847" s="5">
        <f>100*('Parameter &lt;x, y&gt;'!I847-C847)/C847</f>
        <v>4.2066347541227254</v>
      </c>
      <c r="L847" s="5">
        <f>100*('Parameter &lt;x, y&gt;'!N847-C847)/C847</f>
        <v>0</v>
      </c>
      <c r="M847" s="5">
        <f>100*('Parameter &lt;x, y&gt;'!S847-C847)/C847</f>
        <v>2.7179331570505876</v>
      </c>
    </row>
    <row r="848" spans="1:13" ht="12.75" customHeight="1">
      <c r="A848" s="42"/>
      <c r="B848" s="5">
        <f>MIN('Parameter &lt;x, y&gt;'!B848,'Parameter &lt;x, y&gt;'!G848,'Parameter &lt;x, y&gt;'!L848,'Parameter &lt;x, y&gt;'!Q848)</f>
        <v>2052970</v>
      </c>
      <c r="C848" s="5">
        <f>MIN('Parameter &lt;x, y&gt;'!D848,'Parameter &lt;x, y&gt;'!I848,'Parameter &lt;x, y&gt;'!N848,'Parameter &lt;x, y&gt;'!S848)</f>
        <v>1694510</v>
      </c>
      <c r="E848" s="5">
        <f>100*('Parameter &lt;x, y&gt;'!B848-B848)/B848</f>
        <v>0</v>
      </c>
      <c r="F848" s="5">
        <f>100*('Parameter &lt;x, y&gt;'!G848-B848)/B848</f>
        <v>2.1291105081905726</v>
      </c>
      <c r="G848" s="5">
        <f>100*('Parameter &lt;x, y&gt;'!L848-B848)/B848</f>
        <v>0.48904757497674101</v>
      </c>
      <c r="H848" s="5">
        <f>100*('Parameter &lt;x, y&gt;'!Q848-B848)/B848</f>
        <v>2.1446976818950105</v>
      </c>
      <c r="J848" s="5">
        <f>100*('Parameter &lt;x, y&gt;'!D848-C848)/C848</f>
        <v>3.8607030941098017</v>
      </c>
      <c r="K848" s="5">
        <f>100*('Parameter &lt;x, y&gt;'!I848-C848)/C848</f>
        <v>6.5181084797375055</v>
      </c>
      <c r="L848" s="5">
        <f>100*('Parameter &lt;x, y&gt;'!N848-C848)/C848</f>
        <v>0</v>
      </c>
      <c r="M848" s="5">
        <f>100*('Parameter &lt;x, y&gt;'!S848-C848)/C848</f>
        <v>1.2770653463243062</v>
      </c>
    </row>
    <row r="849" spans="1:13" ht="12.75" customHeight="1">
      <c r="A849" s="42"/>
      <c r="B849" s="5">
        <f>MIN('Parameter &lt;x, y&gt;'!B849,'Parameter &lt;x, y&gt;'!G849,'Parameter &lt;x, y&gt;'!L849,'Parameter &lt;x, y&gt;'!Q849)</f>
        <v>2028110</v>
      </c>
      <c r="C849" s="5">
        <f>MIN('Parameter &lt;x, y&gt;'!D849,'Parameter &lt;x, y&gt;'!I849,'Parameter &lt;x, y&gt;'!N849,'Parameter &lt;x, y&gt;'!S849)</f>
        <v>1550310</v>
      </c>
      <c r="E849" s="5">
        <f>100*('Parameter &lt;x, y&gt;'!B849-B849)/B849</f>
        <v>1.3007184028479717</v>
      </c>
      <c r="F849" s="5">
        <f>100*('Parameter &lt;x, y&gt;'!G849-B849)/B849</f>
        <v>0</v>
      </c>
      <c r="G849" s="5">
        <f>100*('Parameter &lt;x, y&gt;'!L849-B849)/B849</f>
        <v>2.4554881145499996</v>
      </c>
      <c r="H849" s="5">
        <f>100*('Parameter &lt;x, y&gt;'!Q849-B849)/B849</f>
        <v>8.3082278574633524</v>
      </c>
      <c r="J849" s="5">
        <f>100*('Parameter &lt;x, y&gt;'!D849-C849)/C849</f>
        <v>16.329637298346782</v>
      </c>
      <c r="K849" s="5">
        <f>100*('Parameter &lt;x, y&gt;'!I849-C849)/C849</f>
        <v>17.791925485870568</v>
      </c>
      <c r="L849" s="5">
        <f>100*('Parameter &lt;x, y&gt;'!N849-C849)/C849</f>
        <v>0</v>
      </c>
      <c r="M849" s="5">
        <f>100*('Parameter &lt;x, y&gt;'!S849-C849)/C849</f>
        <v>11.554463300888209</v>
      </c>
    </row>
    <row r="850" spans="1:13" ht="12.75" customHeight="1">
      <c r="A850" s="42"/>
      <c r="B850" s="5">
        <f>MIN('Parameter &lt;x, y&gt;'!B850,'Parameter &lt;x, y&gt;'!G850,'Parameter &lt;x, y&gt;'!L850,'Parameter &lt;x, y&gt;'!Q850)</f>
        <v>2066980</v>
      </c>
      <c r="C850" s="5">
        <f>MIN('Parameter &lt;x, y&gt;'!D850,'Parameter &lt;x, y&gt;'!I850,'Parameter &lt;x, y&gt;'!N850,'Parameter &lt;x, y&gt;'!S850)</f>
        <v>1564380</v>
      </c>
      <c r="E850" s="5">
        <f>100*('Parameter &lt;x, y&gt;'!B850-B850)/B850</f>
        <v>0.47702445113160263</v>
      </c>
      <c r="F850" s="5">
        <f>100*('Parameter &lt;x, y&gt;'!G850-B850)/B850</f>
        <v>0</v>
      </c>
      <c r="G850" s="5">
        <f>100*('Parameter &lt;x, y&gt;'!L850-B850)/B850</f>
        <v>7.235677171525607</v>
      </c>
      <c r="H850" s="5">
        <f>100*('Parameter &lt;x, y&gt;'!Q850-B850)/B850</f>
        <v>0.31301705870400293</v>
      </c>
      <c r="J850" s="5">
        <f>100*('Parameter &lt;x, y&gt;'!D850-C850)/C850</f>
        <v>12.477147496132654</v>
      </c>
      <c r="K850" s="5">
        <f>100*('Parameter &lt;x, y&gt;'!I850-C850)/C850</f>
        <v>14.57190708139966</v>
      </c>
      <c r="L850" s="5">
        <f>100*('Parameter &lt;x, y&gt;'!N850-C850)/C850</f>
        <v>0</v>
      </c>
      <c r="M850" s="5">
        <f>100*('Parameter &lt;x, y&gt;'!S850-C850)/C850</f>
        <v>7.6682136053899947</v>
      </c>
    </row>
    <row r="851" spans="1:13" ht="12.75" customHeight="1">
      <c r="A851" s="42"/>
      <c r="B851" s="5">
        <f>MIN('Parameter &lt;x, y&gt;'!B851,'Parameter &lt;x, y&gt;'!G851,'Parameter &lt;x, y&gt;'!L851,'Parameter &lt;x, y&gt;'!Q851)</f>
        <v>1873040</v>
      </c>
      <c r="C851" s="5">
        <f>MIN('Parameter &lt;x, y&gt;'!D851,'Parameter &lt;x, y&gt;'!I851,'Parameter &lt;x, y&gt;'!N851,'Parameter &lt;x, y&gt;'!S851)</f>
        <v>1445150</v>
      </c>
      <c r="E851" s="5">
        <f>100*('Parameter &lt;x, y&gt;'!B851-B851)/B851</f>
        <v>0.7581258275317132</v>
      </c>
      <c r="F851" s="5">
        <f>100*('Parameter &lt;x, y&gt;'!G851-B851)/B851</f>
        <v>2.3122837739717252</v>
      </c>
      <c r="G851" s="5">
        <f>100*('Parameter &lt;x, y&gt;'!L851-B851)/B851</f>
        <v>0.48584119933370351</v>
      </c>
      <c r="H851" s="5">
        <f>100*('Parameter &lt;x, y&gt;'!Q851-B851)/B851</f>
        <v>0</v>
      </c>
      <c r="J851" s="5">
        <f>100*('Parameter &lt;x, y&gt;'!D851-C851)/C851</f>
        <v>11.465245822232987</v>
      </c>
      <c r="K851" s="5">
        <f>100*('Parameter &lt;x, y&gt;'!I851-C851)/C851</f>
        <v>19.318409853648411</v>
      </c>
      <c r="L851" s="5">
        <f>100*('Parameter &lt;x, y&gt;'!N851-C851)/C851</f>
        <v>0</v>
      </c>
      <c r="M851" s="5">
        <f>100*('Parameter &lt;x, y&gt;'!S851-C851)/C851</f>
        <v>6.3329066186901013</v>
      </c>
    </row>
    <row r="852" spans="1:13" ht="12.75" customHeight="1">
      <c r="A852" s="42"/>
      <c r="B852" s="5">
        <f>MIN('Parameter &lt;x, y&gt;'!B852,'Parameter &lt;x, y&gt;'!G852,'Parameter &lt;x, y&gt;'!L852,'Parameter &lt;x, y&gt;'!Q852)</f>
        <v>2017340</v>
      </c>
      <c r="C852" s="5">
        <f>MIN('Parameter &lt;x, y&gt;'!D852,'Parameter &lt;x, y&gt;'!I852,'Parameter &lt;x, y&gt;'!N852,'Parameter &lt;x, y&gt;'!S852)</f>
        <v>1626610</v>
      </c>
      <c r="E852" s="5">
        <f>100*('Parameter &lt;x, y&gt;'!B852-B852)/B852</f>
        <v>1.3403789148086094</v>
      </c>
      <c r="F852" s="5">
        <f>100*('Parameter &lt;x, y&gt;'!G852-B852)/B852</f>
        <v>1.2704848959520953</v>
      </c>
      <c r="G852" s="5">
        <f>100*('Parameter &lt;x, y&gt;'!L852-B852)/B852</f>
        <v>0</v>
      </c>
      <c r="H852" s="5">
        <f>100*('Parameter &lt;x, y&gt;'!Q852-B852)/B852</f>
        <v>1.2724677049976703</v>
      </c>
      <c r="J852" s="5">
        <f>100*('Parameter &lt;x, y&gt;'!D852-C852)/C852</f>
        <v>11.842420740066764</v>
      </c>
      <c r="K852" s="5">
        <f>100*('Parameter &lt;x, y&gt;'!I852-C852)/C852</f>
        <v>11.226415674316524</v>
      </c>
      <c r="L852" s="5">
        <f>100*('Parameter &lt;x, y&gt;'!N852-C852)/C852</f>
        <v>2.3256957721887854</v>
      </c>
      <c r="M852" s="5">
        <f>100*('Parameter &lt;x, y&gt;'!S852-C852)/C852</f>
        <v>0</v>
      </c>
    </row>
    <row r="853" spans="1:13" ht="12.75" customHeight="1">
      <c r="A853" s="42"/>
      <c r="B853" s="5">
        <f>MIN('Parameter &lt;x, y&gt;'!B853,'Parameter &lt;x, y&gt;'!G853,'Parameter &lt;x, y&gt;'!L853,'Parameter &lt;x, y&gt;'!Q853)</f>
        <v>1868470</v>
      </c>
      <c r="C853" s="5">
        <f>MIN('Parameter &lt;x, y&gt;'!D853,'Parameter &lt;x, y&gt;'!I853,'Parameter &lt;x, y&gt;'!N853,'Parameter &lt;x, y&gt;'!S853)</f>
        <v>1539800</v>
      </c>
      <c r="E853" s="5">
        <f>100*('Parameter &lt;x, y&gt;'!B853-B853)/B853</f>
        <v>1.1774339432797958</v>
      </c>
      <c r="F853" s="5">
        <f>100*('Parameter &lt;x, y&gt;'!G853-B853)/B853</f>
        <v>3.9952474484471252</v>
      </c>
      <c r="G853" s="5">
        <f>100*('Parameter &lt;x, y&gt;'!L853-B853)/B853</f>
        <v>2.4287251066380513</v>
      </c>
      <c r="H853" s="5">
        <f>100*('Parameter &lt;x, y&gt;'!Q853-B853)/B853</f>
        <v>0</v>
      </c>
      <c r="J853" s="5">
        <f>100*('Parameter &lt;x, y&gt;'!D853-C853)/C853</f>
        <v>2.2866606052734122</v>
      </c>
      <c r="K853" s="5">
        <f>100*('Parameter &lt;x, y&gt;'!I853-C853)/C853</f>
        <v>15.276009871411871</v>
      </c>
      <c r="L853" s="5">
        <f>100*('Parameter &lt;x, y&gt;'!N853-C853)/C853</f>
        <v>0</v>
      </c>
      <c r="M853" s="5">
        <f>100*('Parameter &lt;x, y&gt;'!S853-C853)/C853</f>
        <v>6.841797636056631</v>
      </c>
    </row>
    <row r="854" spans="1:13" ht="12.75" customHeight="1">
      <c r="A854" s="42"/>
      <c r="B854" s="5">
        <f>MIN('Parameter &lt;x, y&gt;'!B854,'Parameter &lt;x, y&gt;'!G854,'Parameter &lt;x, y&gt;'!L854,'Parameter &lt;x, y&gt;'!Q854)</f>
        <v>2062030</v>
      </c>
      <c r="C854" s="5">
        <f>MIN('Parameter &lt;x, y&gt;'!D854,'Parameter &lt;x, y&gt;'!I854,'Parameter &lt;x, y&gt;'!N854,'Parameter &lt;x, y&gt;'!S854)</f>
        <v>1679150</v>
      </c>
      <c r="E854" s="5">
        <f>100*('Parameter &lt;x, y&gt;'!B854-B854)/B854</f>
        <v>1.0038651232038331</v>
      </c>
      <c r="F854" s="5">
        <f>100*('Parameter &lt;x, y&gt;'!G854-B854)/B854</f>
        <v>0</v>
      </c>
      <c r="G854" s="5">
        <f>100*('Parameter &lt;x, y&gt;'!L854-B854)/B854</f>
        <v>3.5479600199803105</v>
      </c>
      <c r="H854" s="5">
        <f>100*('Parameter &lt;x, y&gt;'!Q854-B854)/B854</f>
        <v>2.5062680950325649</v>
      </c>
      <c r="J854" s="5">
        <f>100*('Parameter &lt;x, y&gt;'!D854-C854)/C854</f>
        <v>6.5783283208766337</v>
      </c>
      <c r="K854" s="5">
        <f>100*('Parameter &lt;x, y&gt;'!I854-C854)/C854</f>
        <v>7.0255784176517881</v>
      </c>
      <c r="L854" s="5">
        <f>100*('Parameter &lt;x, y&gt;'!N854-C854)/C854</f>
        <v>0</v>
      </c>
      <c r="M854" s="5">
        <f>100*('Parameter &lt;x, y&gt;'!S854-C854)/C854</f>
        <v>0.45439656969299941</v>
      </c>
    </row>
    <row r="855" spans="1:13" ht="12.75" customHeight="1">
      <c r="A855" s="42"/>
      <c r="B855" s="5">
        <f>MIN('Parameter &lt;x, y&gt;'!B855,'Parameter &lt;x, y&gt;'!G855,'Parameter &lt;x, y&gt;'!L855,'Parameter &lt;x, y&gt;'!Q855)</f>
        <v>2002270</v>
      </c>
      <c r="C855" s="5">
        <f>MIN('Parameter &lt;x, y&gt;'!D855,'Parameter &lt;x, y&gt;'!I855,'Parameter &lt;x, y&gt;'!N855,'Parameter &lt;x, y&gt;'!S855)</f>
        <v>1530890</v>
      </c>
      <c r="E855" s="5">
        <f>100*('Parameter &lt;x, y&gt;'!B855-B855)/B855</f>
        <v>0</v>
      </c>
      <c r="F855" s="5">
        <f>100*('Parameter &lt;x, y&gt;'!G855-B855)/B855</f>
        <v>3.5574622803118459</v>
      </c>
      <c r="G855" s="5">
        <f>100*('Parameter &lt;x, y&gt;'!L855-B855)/B855</f>
        <v>5.0677481058998035</v>
      </c>
      <c r="H855" s="5">
        <f>100*('Parameter &lt;x, y&gt;'!Q855-B855)/B855</f>
        <v>3.3521952583817369</v>
      </c>
      <c r="J855" s="5">
        <f>100*('Parameter &lt;x, y&gt;'!D855-C855)/C855</f>
        <v>15.581785758611003</v>
      </c>
      <c r="K855" s="5">
        <f>100*('Parameter &lt;x, y&gt;'!I855-C855)/C855</f>
        <v>19.630411068071513</v>
      </c>
      <c r="L855" s="5">
        <f>100*('Parameter &lt;x, y&gt;'!N855-C855)/C855</f>
        <v>0</v>
      </c>
      <c r="M855" s="5">
        <f>100*('Parameter &lt;x, y&gt;'!S855-C855)/C855</f>
        <v>14.882192711429299</v>
      </c>
    </row>
    <row r="856" spans="1:13" ht="12.75" customHeight="1">
      <c r="A856" s="42"/>
      <c r="B856" s="5">
        <f>MIN('Parameter &lt;x, y&gt;'!B856,'Parameter &lt;x, y&gt;'!G856,'Parameter &lt;x, y&gt;'!L856,'Parameter &lt;x, y&gt;'!Q856)</f>
        <v>2059040</v>
      </c>
      <c r="C856" s="5">
        <f>MIN('Parameter &lt;x, y&gt;'!D856,'Parameter &lt;x, y&gt;'!I856,'Parameter &lt;x, y&gt;'!N856,'Parameter &lt;x, y&gt;'!S856)</f>
        <v>1612330</v>
      </c>
      <c r="E856" s="5">
        <f>100*('Parameter &lt;x, y&gt;'!B856-B856)/B856</f>
        <v>4.9319100163182839</v>
      </c>
      <c r="F856" s="5">
        <f>100*('Parameter &lt;x, y&gt;'!G856-B856)/B856</f>
        <v>3.0023700365218744</v>
      </c>
      <c r="G856" s="5">
        <f>100*('Parameter &lt;x, y&gt;'!L856-B856)/B856</f>
        <v>0</v>
      </c>
      <c r="H856" s="5">
        <f>100*('Parameter &lt;x, y&gt;'!Q856-B856)/B856</f>
        <v>2.0276439505789106</v>
      </c>
      <c r="J856" s="5">
        <f>100*('Parameter &lt;x, y&gt;'!D856-C856)/C856</f>
        <v>26.382316275204207</v>
      </c>
      <c r="K856" s="5">
        <f>100*('Parameter &lt;x, y&gt;'!I856-C856)/C856</f>
        <v>15.473259196318372</v>
      </c>
      <c r="L856" s="5">
        <f>100*('Parameter &lt;x, y&gt;'!N856-C856)/C856</f>
        <v>10.858819224352334</v>
      </c>
      <c r="M856" s="5">
        <f>100*('Parameter &lt;x, y&gt;'!S856-C856)/C856</f>
        <v>0</v>
      </c>
    </row>
    <row r="857" spans="1:13" ht="12.75" customHeight="1">
      <c r="A857" s="42"/>
      <c r="B857" s="5">
        <f>MIN('Parameter &lt;x, y&gt;'!B857,'Parameter &lt;x, y&gt;'!G857,'Parameter &lt;x, y&gt;'!L857,'Parameter &lt;x, y&gt;'!Q857)</f>
        <v>1907700</v>
      </c>
      <c r="C857" s="5">
        <f>MIN('Parameter &lt;x, y&gt;'!D857,'Parameter &lt;x, y&gt;'!I857,'Parameter &lt;x, y&gt;'!N857,'Parameter &lt;x, y&gt;'!S857)</f>
        <v>1518110</v>
      </c>
      <c r="E857" s="5">
        <f>100*('Parameter &lt;x, y&gt;'!B857-B857)/B857</f>
        <v>1.772291240761126</v>
      </c>
      <c r="F857" s="5">
        <f>100*('Parameter &lt;x, y&gt;'!G857-B857)/B857</f>
        <v>1.6171305760863868</v>
      </c>
      <c r="G857" s="5">
        <f>100*('Parameter &lt;x, y&gt;'!L857-B857)/B857</f>
        <v>0.97342349426010377</v>
      </c>
      <c r="H857" s="5">
        <f>100*('Parameter &lt;x, y&gt;'!Q857-B857)/B857</f>
        <v>0</v>
      </c>
      <c r="J857" s="5">
        <f>100*('Parameter &lt;x, y&gt;'!D857-C857)/C857</f>
        <v>10.746915572652838</v>
      </c>
      <c r="K857" s="5">
        <f>100*('Parameter &lt;x, y&gt;'!I857-C857)/C857</f>
        <v>12.541251951439619</v>
      </c>
      <c r="L857" s="5">
        <f>100*('Parameter &lt;x, y&gt;'!N857-C857)/C857</f>
        <v>0</v>
      </c>
      <c r="M857" s="5">
        <f>100*('Parameter &lt;x, y&gt;'!S857-C857)/C857</f>
        <v>3.2033251872393964</v>
      </c>
    </row>
    <row r="858" spans="1:13" ht="12.75" customHeight="1">
      <c r="A858" s="42"/>
      <c r="B858" s="5">
        <f>MIN('Parameter &lt;x, y&gt;'!B858,'Parameter &lt;x, y&gt;'!G858,'Parameter &lt;x, y&gt;'!L858,'Parameter &lt;x, y&gt;'!Q858)</f>
        <v>2069120</v>
      </c>
      <c r="C858" s="5">
        <f>MIN('Parameter &lt;x, y&gt;'!D858,'Parameter &lt;x, y&gt;'!I858,'Parameter &lt;x, y&gt;'!N858,'Parameter &lt;x, y&gt;'!S858)</f>
        <v>1653040</v>
      </c>
      <c r="E858" s="5">
        <f>100*('Parameter &lt;x, y&gt;'!B858-B858)/B858</f>
        <v>0.10052582740488711</v>
      </c>
      <c r="F858" s="5">
        <f>100*('Parameter &lt;x, y&gt;'!G858-B858)/B858</f>
        <v>0.33250850603154963</v>
      </c>
      <c r="G858" s="5">
        <f>100*('Parameter &lt;x, y&gt;'!L858-B858)/B858</f>
        <v>0</v>
      </c>
      <c r="H858" s="5">
        <f>100*('Parameter &lt;x, y&gt;'!Q858-B858)/B858</f>
        <v>0.96997757500773274</v>
      </c>
      <c r="J858" s="5">
        <f>100*('Parameter &lt;x, y&gt;'!D858-C858)/C858</f>
        <v>16.233726951555923</v>
      </c>
      <c r="K858" s="5">
        <f>100*('Parameter &lt;x, y&gt;'!I858-C858)/C858</f>
        <v>8.1099065963316068</v>
      </c>
      <c r="L858" s="5">
        <f>100*('Parameter &lt;x, y&gt;'!N858-C858)/C858</f>
        <v>0</v>
      </c>
      <c r="M858" s="5">
        <f>100*('Parameter &lt;x, y&gt;'!S858-C858)/C858</f>
        <v>9.3476261917436965</v>
      </c>
    </row>
    <row r="859" spans="1:13" ht="12.75" customHeight="1">
      <c r="A859" s="42"/>
      <c r="B859" s="5">
        <f>MIN('Parameter &lt;x, y&gt;'!B859,'Parameter &lt;x, y&gt;'!G859,'Parameter &lt;x, y&gt;'!L859,'Parameter &lt;x, y&gt;'!Q859)</f>
        <v>1894490</v>
      </c>
      <c r="C859" s="5">
        <f>MIN('Parameter &lt;x, y&gt;'!D859,'Parameter &lt;x, y&gt;'!I859,'Parameter &lt;x, y&gt;'!N859,'Parameter &lt;x, y&gt;'!S859)</f>
        <v>1581990</v>
      </c>
      <c r="E859" s="5">
        <f>100*('Parameter &lt;x, y&gt;'!B859-B859)/B859</f>
        <v>1.3708174759433938</v>
      </c>
      <c r="F859" s="5">
        <f>100*('Parameter &lt;x, y&gt;'!G859-B859)/B859</f>
        <v>0</v>
      </c>
      <c r="G859" s="5">
        <f>100*('Parameter &lt;x, y&gt;'!L859-B859)/B859</f>
        <v>0.51940099974135523</v>
      </c>
      <c r="H859" s="5">
        <f>100*('Parameter &lt;x, y&gt;'!Q859-B859)/B859</f>
        <v>2.6360656429962681</v>
      </c>
      <c r="J859" s="5">
        <f>100*('Parameter &lt;x, y&gt;'!D859-C859)/C859</f>
        <v>0</v>
      </c>
      <c r="K859" s="5">
        <f>100*('Parameter &lt;x, y&gt;'!I859-C859)/C859</f>
        <v>6.1315178983432257E-2</v>
      </c>
      <c r="L859" s="5">
        <f>100*('Parameter &lt;x, y&gt;'!N859-C859)/C859</f>
        <v>4.9937104532898437E-2</v>
      </c>
      <c r="M859" s="5">
        <f>100*('Parameter &lt;x, y&gt;'!S859-C859)/C859</f>
        <v>1.9197340059039565</v>
      </c>
    </row>
    <row r="860" spans="1:13" ht="12.75" customHeight="1">
      <c r="A860" s="42"/>
      <c r="B860" s="5">
        <f>MIN('Parameter &lt;x, y&gt;'!B860,'Parameter &lt;x, y&gt;'!G860,'Parameter &lt;x, y&gt;'!L860,'Parameter &lt;x, y&gt;'!Q860)</f>
        <v>1913770</v>
      </c>
      <c r="C860" s="5">
        <f>MIN('Parameter &lt;x, y&gt;'!D860,'Parameter &lt;x, y&gt;'!I860,'Parameter &lt;x, y&gt;'!N860,'Parameter &lt;x, y&gt;'!S860)</f>
        <v>1477460</v>
      </c>
      <c r="E860" s="5">
        <f>100*('Parameter &lt;x, y&gt;'!B860-B860)/B860</f>
        <v>0</v>
      </c>
      <c r="F860" s="5">
        <f>100*('Parameter &lt;x, y&gt;'!G860-B860)/B860</f>
        <v>0.94995741390031196</v>
      </c>
      <c r="G860" s="5">
        <f>100*('Parameter &lt;x, y&gt;'!L860-B860)/B860</f>
        <v>3.9879400345914084</v>
      </c>
      <c r="H860" s="5">
        <f>100*('Parameter &lt;x, y&gt;'!Q860-B860)/B860</f>
        <v>2.082277389654974</v>
      </c>
      <c r="J860" s="5">
        <f>100*('Parameter &lt;x, y&gt;'!D860-C860)/C860</f>
        <v>10.788786160031405</v>
      </c>
      <c r="K860" s="5">
        <f>100*('Parameter &lt;x, y&gt;'!I860-C860)/C860</f>
        <v>14.027452519865173</v>
      </c>
      <c r="L860" s="5">
        <f>100*('Parameter &lt;x, y&gt;'!N860-C860)/C860</f>
        <v>0.87650427084320393</v>
      </c>
      <c r="M860" s="5">
        <f>100*('Parameter &lt;x, y&gt;'!S860-C860)/C860</f>
        <v>0</v>
      </c>
    </row>
    <row r="861" spans="1:13" ht="12.75" customHeight="1">
      <c r="A861" s="42"/>
      <c r="B861" s="5">
        <f>MIN('Parameter &lt;x, y&gt;'!B861,'Parameter &lt;x, y&gt;'!G861,'Parameter &lt;x, y&gt;'!L861,'Parameter &lt;x, y&gt;'!Q861)</f>
        <v>2094760</v>
      </c>
      <c r="C861" s="5">
        <f>MIN('Parameter &lt;x, y&gt;'!D861,'Parameter &lt;x, y&gt;'!I861,'Parameter &lt;x, y&gt;'!N861,'Parameter &lt;x, y&gt;'!S861)</f>
        <v>1723600</v>
      </c>
      <c r="E861" s="5">
        <f>100*('Parameter &lt;x, y&gt;'!B861-B861)/B861</f>
        <v>0</v>
      </c>
      <c r="F861" s="5">
        <f>100*('Parameter &lt;x, y&gt;'!G861-B861)/B861</f>
        <v>6.578319234661727</v>
      </c>
      <c r="G861" s="5">
        <f>100*('Parameter &lt;x, y&gt;'!L861-B861)/B861</f>
        <v>0.14273711546907522</v>
      </c>
      <c r="H861" s="5">
        <f>100*('Parameter &lt;x, y&gt;'!Q861-B861)/B861</f>
        <v>1.4493307109167637</v>
      </c>
      <c r="J861" s="5">
        <f>100*('Parameter &lt;x, y&gt;'!D861-C861)/C861</f>
        <v>14.013112090972383</v>
      </c>
      <c r="K861" s="5">
        <f>100*('Parameter &lt;x, y&gt;'!I861-C861)/C861</f>
        <v>6.6407519145973541</v>
      </c>
      <c r="L861" s="5">
        <f>100*('Parameter &lt;x, y&gt;'!N861-C861)/C861</f>
        <v>0</v>
      </c>
      <c r="M861" s="5">
        <f>100*('Parameter &lt;x, y&gt;'!S861-C861)/C861</f>
        <v>4.337433279183105</v>
      </c>
    </row>
    <row r="862" spans="1:13" ht="12.75" customHeight="1">
      <c r="A862" s="42"/>
      <c r="B862" s="5">
        <f>MIN('Parameter &lt;x, y&gt;'!B862,'Parameter &lt;x, y&gt;'!G862,'Parameter &lt;x, y&gt;'!L862,'Parameter &lt;x, y&gt;'!Q862)</f>
        <v>2067740</v>
      </c>
      <c r="C862" s="5">
        <f>MIN('Parameter &lt;x, y&gt;'!D862,'Parameter &lt;x, y&gt;'!I862,'Parameter &lt;x, y&gt;'!N862,'Parameter &lt;x, y&gt;'!S862)</f>
        <v>1632640</v>
      </c>
      <c r="E862" s="5">
        <f>100*('Parameter &lt;x, y&gt;'!B862-B862)/B862</f>
        <v>1.0837919661079245</v>
      </c>
      <c r="F862" s="5">
        <f>100*('Parameter &lt;x, y&gt;'!G862-B862)/B862</f>
        <v>0.72301159720274311</v>
      </c>
      <c r="G862" s="5">
        <f>100*('Parameter &lt;x, y&gt;'!L862-B862)/B862</f>
        <v>0</v>
      </c>
      <c r="H862" s="5">
        <f>100*('Parameter &lt;x, y&gt;'!Q862-B862)/B862</f>
        <v>4.6442009150086569</v>
      </c>
      <c r="J862" s="5">
        <f>100*('Parameter &lt;x, y&gt;'!D862-C862)/C862</f>
        <v>3.4557526460211681</v>
      </c>
      <c r="K862" s="5">
        <f>100*('Parameter &lt;x, y&gt;'!I862-C862)/C862</f>
        <v>12.530625245001961</v>
      </c>
      <c r="L862" s="5">
        <f>100*('Parameter &lt;x, y&gt;'!N862-C862)/C862</f>
        <v>2.5516954135633085</v>
      </c>
      <c r="M862" s="5">
        <f>100*('Parameter &lt;x, y&gt;'!S862-C862)/C862</f>
        <v>0</v>
      </c>
    </row>
    <row r="863" spans="1:13" ht="12.75" customHeight="1">
      <c r="A863" s="42"/>
      <c r="B863" s="5">
        <f>MIN('Parameter &lt;x, y&gt;'!B863,'Parameter &lt;x, y&gt;'!G863,'Parameter &lt;x, y&gt;'!L863,'Parameter &lt;x, y&gt;'!Q863)</f>
        <v>1920790</v>
      </c>
      <c r="C863" s="5">
        <f>MIN('Parameter &lt;x, y&gt;'!D863,'Parameter &lt;x, y&gt;'!I863,'Parameter &lt;x, y&gt;'!N863,'Parameter &lt;x, y&gt;'!S863)</f>
        <v>1427380</v>
      </c>
      <c r="E863" s="5">
        <f>100*('Parameter &lt;x, y&gt;'!B863-B863)/B863</f>
        <v>2.5937244571244125</v>
      </c>
      <c r="F863" s="5">
        <f>100*('Parameter &lt;x, y&gt;'!G863-B863)/B863</f>
        <v>0.81320706584270019</v>
      </c>
      <c r="G863" s="5">
        <f>100*('Parameter &lt;x, y&gt;'!L863-B863)/B863</f>
        <v>0</v>
      </c>
      <c r="H863" s="5">
        <f>100*('Parameter &lt;x, y&gt;'!Q863-B863)/B863</f>
        <v>0.24000541443885068</v>
      </c>
      <c r="J863" s="5">
        <f>100*('Parameter &lt;x, y&gt;'!D863-C863)/C863</f>
        <v>7.0387703344589392</v>
      </c>
      <c r="K863" s="5">
        <f>100*('Parameter &lt;x, y&gt;'!I863-C863)/C863</f>
        <v>18.888452969776793</v>
      </c>
      <c r="L863" s="5">
        <f>100*('Parameter &lt;x, y&gt;'!N863-C863)/C863</f>
        <v>0</v>
      </c>
      <c r="M863" s="5">
        <f>100*('Parameter &lt;x, y&gt;'!S863-C863)/C863</f>
        <v>4.6469755776317445</v>
      </c>
    </row>
    <row r="864" spans="1:13" ht="12.75" customHeight="1">
      <c r="A864" s="42"/>
      <c r="B864" s="5">
        <f>MIN('Parameter &lt;x, y&gt;'!B864,'Parameter &lt;x, y&gt;'!G864,'Parameter &lt;x, y&gt;'!L864,'Parameter &lt;x, y&gt;'!Q864)</f>
        <v>2041920</v>
      </c>
      <c r="C864" s="5">
        <f>MIN('Parameter &lt;x, y&gt;'!D864,'Parameter &lt;x, y&gt;'!I864,'Parameter &lt;x, y&gt;'!N864,'Parameter &lt;x, y&gt;'!S864)</f>
        <v>1619100</v>
      </c>
      <c r="E864" s="5">
        <f>100*('Parameter &lt;x, y&gt;'!B864-B864)/B864</f>
        <v>0.77182259833881839</v>
      </c>
      <c r="F864" s="5">
        <f>100*('Parameter &lt;x, y&gt;'!G864-B864)/B864</f>
        <v>0</v>
      </c>
      <c r="G864" s="5">
        <f>100*('Parameter &lt;x, y&gt;'!L864-B864)/B864</f>
        <v>1.6396332863187588</v>
      </c>
      <c r="H864" s="5">
        <f>100*('Parameter &lt;x, y&gt;'!Q864-B864)/B864</f>
        <v>0.89817426735621375</v>
      </c>
      <c r="J864" s="5">
        <f>100*('Parameter &lt;x, y&gt;'!D864-C864)/C864</f>
        <v>9.2329071706503605</v>
      </c>
      <c r="K864" s="5">
        <f>100*('Parameter &lt;x, y&gt;'!I864-C864)/C864</f>
        <v>9.8536223828052627</v>
      </c>
      <c r="L864" s="5">
        <f>100*('Parameter &lt;x, y&gt;'!N864-C864)/C864</f>
        <v>0.36439997529491691</v>
      </c>
      <c r="M864" s="5">
        <f>100*('Parameter &lt;x, y&gt;'!S864-C864)/C864</f>
        <v>0</v>
      </c>
    </row>
    <row r="865" spans="1:13" ht="12.75" customHeight="1">
      <c r="A865" s="42"/>
      <c r="B865" s="5">
        <f>MIN('Parameter &lt;x, y&gt;'!B865,'Parameter &lt;x, y&gt;'!G865,'Parameter &lt;x, y&gt;'!L865,'Parameter &lt;x, y&gt;'!Q865)</f>
        <v>2123000</v>
      </c>
      <c r="C865" s="5">
        <f>MIN('Parameter &lt;x, y&gt;'!D865,'Parameter &lt;x, y&gt;'!I865,'Parameter &lt;x, y&gt;'!N865,'Parameter &lt;x, y&gt;'!S865)</f>
        <v>1693050</v>
      </c>
      <c r="E865" s="5">
        <f>100*('Parameter &lt;x, y&gt;'!B865-B865)/B865</f>
        <v>0.79463024022609519</v>
      </c>
      <c r="F865" s="5">
        <f>100*('Parameter &lt;x, y&gt;'!G865-B865)/B865</f>
        <v>0</v>
      </c>
      <c r="G865" s="5">
        <f>100*('Parameter &lt;x, y&gt;'!L865-B865)/B865</f>
        <v>0.51907677814413566</v>
      </c>
      <c r="H865" s="5">
        <f>100*('Parameter &lt;x, y&gt;'!Q865-B865)/B865</f>
        <v>2.6250588789448894</v>
      </c>
      <c r="J865" s="5">
        <f>100*('Parameter &lt;x, y&gt;'!D865-C865)/C865</f>
        <v>0.51386550899264638</v>
      </c>
      <c r="K865" s="5">
        <f>100*('Parameter &lt;x, y&gt;'!I865-C865)/C865</f>
        <v>12.365257966392015</v>
      </c>
      <c r="L865" s="5">
        <f>100*('Parameter &lt;x, y&gt;'!N865-C865)/C865</f>
        <v>3.695106464664363</v>
      </c>
      <c r="M865" s="5">
        <f>100*('Parameter &lt;x, y&gt;'!S865-C865)/C865</f>
        <v>0</v>
      </c>
    </row>
    <row r="866" spans="1:13" ht="12.75" customHeight="1">
      <c r="A866" s="42"/>
      <c r="B866" s="5">
        <f>MIN('Parameter &lt;x, y&gt;'!B866,'Parameter &lt;x, y&gt;'!G866,'Parameter &lt;x, y&gt;'!L866,'Parameter &lt;x, y&gt;'!Q866)</f>
        <v>1998860</v>
      </c>
      <c r="C866" s="5">
        <f>MIN('Parameter &lt;x, y&gt;'!D866,'Parameter &lt;x, y&gt;'!I866,'Parameter &lt;x, y&gt;'!N866,'Parameter &lt;x, y&gt;'!S866)</f>
        <v>1725790</v>
      </c>
      <c r="E866" s="5">
        <f>100*('Parameter &lt;x, y&gt;'!B866-B866)/B866</f>
        <v>0</v>
      </c>
      <c r="F866" s="5">
        <f>100*('Parameter &lt;x, y&gt;'!G866-B866)/B866</f>
        <v>0.30717508980118668</v>
      </c>
      <c r="G866" s="5">
        <f>100*('Parameter &lt;x, y&gt;'!L866-B866)/B866</f>
        <v>1.5638914181083217</v>
      </c>
      <c r="H866" s="5">
        <f>100*('Parameter &lt;x, y&gt;'!Q866-B866)/B866</f>
        <v>2.2652912159931162</v>
      </c>
      <c r="J866" s="5">
        <f>100*('Parameter &lt;x, y&gt;'!D866-C866)/C866</f>
        <v>4.1951801783531018</v>
      </c>
      <c r="K866" s="5">
        <f>100*('Parameter &lt;x, y&gt;'!I866-C866)/C866</f>
        <v>10.720307801065019</v>
      </c>
      <c r="L866" s="5">
        <f>100*('Parameter &lt;x, y&gt;'!N866-C866)/C866</f>
        <v>2.074991742911942</v>
      </c>
      <c r="M866" s="5">
        <f>100*('Parameter &lt;x, y&gt;'!S866-C866)/C866</f>
        <v>0</v>
      </c>
    </row>
    <row r="867" spans="1:13" ht="12.75" customHeight="1">
      <c r="A867" s="42"/>
      <c r="B867" s="5">
        <f>MIN('Parameter &lt;x, y&gt;'!B867,'Parameter &lt;x, y&gt;'!G867,'Parameter &lt;x, y&gt;'!L867,'Parameter &lt;x, y&gt;'!Q867)</f>
        <v>1932710</v>
      </c>
      <c r="C867" s="5">
        <f>MIN('Parameter &lt;x, y&gt;'!D867,'Parameter &lt;x, y&gt;'!I867,'Parameter &lt;x, y&gt;'!N867,'Parameter &lt;x, y&gt;'!S867)</f>
        <v>1566560</v>
      </c>
      <c r="E867" s="5">
        <f>100*('Parameter &lt;x, y&gt;'!B867-B867)/B867</f>
        <v>0.28250487657227419</v>
      </c>
      <c r="F867" s="5">
        <f>100*('Parameter &lt;x, y&gt;'!G867-B867)/B867</f>
        <v>0</v>
      </c>
      <c r="G867" s="5">
        <f>100*('Parameter &lt;x, y&gt;'!L867-B867)/B867</f>
        <v>0.70419255863528418</v>
      </c>
      <c r="H867" s="5">
        <f>100*('Parameter &lt;x, y&gt;'!Q867-B867)/B867</f>
        <v>1.6288010099808041</v>
      </c>
      <c r="J867" s="5">
        <f>100*('Parameter &lt;x, y&gt;'!D867-C867)/C867</f>
        <v>6.0323256051475846</v>
      </c>
      <c r="K867" s="5">
        <f>100*('Parameter &lt;x, y&gt;'!I867-C867)/C867</f>
        <v>0.96836380349300377</v>
      </c>
      <c r="L867" s="5">
        <f>100*('Parameter &lt;x, y&gt;'!N867-C867)/C867</f>
        <v>0</v>
      </c>
      <c r="M867" s="5">
        <f>100*('Parameter &lt;x, y&gt;'!S867-C867)/C867</f>
        <v>0.82218363803493</v>
      </c>
    </row>
    <row r="868" spans="1:13" ht="12.75" customHeight="1">
      <c r="A868" s="42"/>
      <c r="B868" s="5">
        <f>MIN('Parameter &lt;x, y&gt;'!B868,'Parameter &lt;x, y&gt;'!G868,'Parameter &lt;x, y&gt;'!L868,'Parameter &lt;x, y&gt;'!Q868)</f>
        <v>1842980</v>
      </c>
      <c r="C868" s="5">
        <f>MIN('Parameter &lt;x, y&gt;'!D868,'Parameter &lt;x, y&gt;'!I868,'Parameter &lt;x, y&gt;'!N868,'Parameter &lt;x, y&gt;'!S868)</f>
        <v>1468680</v>
      </c>
      <c r="E868" s="5">
        <f>100*('Parameter &lt;x, y&gt;'!B868-B868)/B868</f>
        <v>1.6321392527319885</v>
      </c>
      <c r="F868" s="5">
        <f>100*('Parameter &lt;x, y&gt;'!G868-B868)/B868</f>
        <v>1.8904166078850557</v>
      </c>
      <c r="G868" s="5">
        <f>100*('Parameter &lt;x, y&gt;'!L868-B868)/B868</f>
        <v>3.8139317843926683</v>
      </c>
      <c r="H868" s="5">
        <f>100*('Parameter &lt;x, y&gt;'!Q868-B868)/B868</f>
        <v>0</v>
      </c>
      <c r="J868" s="5">
        <f>100*('Parameter &lt;x, y&gt;'!D868-C868)/C868</f>
        <v>16.473295748563334</v>
      </c>
      <c r="K868" s="5">
        <f>100*('Parameter &lt;x, y&gt;'!I868-C868)/C868</f>
        <v>10.322194079036958</v>
      </c>
      <c r="L868" s="5">
        <f>100*('Parameter &lt;x, y&gt;'!N868-C868)/C868</f>
        <v>6.8313043004602774</v>
      </c>
      <c r="M868" s="5">
        <f>100*('Parameter &lt;x, y&gt;'!S868-C868)/C868</f>
        <v>0</v>
      </c>
    </row>
    <row r="869" spans="1:13" ht="12.75" customHeight="1">
      <c r="A869" s="42"/>
      <c r="B869" s="5">
        <f>MIN('Parameter &lt;x, y&gt;'!B869,'Parameter &lt;x, y&gt;'!G869,'Parameter &lt;x, y&gt;'!L869,'Parameter &lt;x, y&gt;'!Q869)</f>
        <v>1828960</v>
      </c>
      <c r="C869" s="5">
        <f>MIN('Parameter &lt;x, y&gt;'!D869,'Parameter &lt;x, y&gt;'!I869,'Parameter &lt;x, y&gt;'!N869,'Parameter &lt;x, y&gt;'!S869)</f>
        <v>1492970</v>
      </c>
      <c r="E869" s="5">
        <f>100*('Parameter &lt;x, y&gt;'!B869-B869)/B869</f>
        <v>2.0317557519027205</v>
      </c>
      <c r="F869" s="5">
        <f>100*('Parameter &lt;x, y&gt;'!G869-B869)/B869</f>
        <v>0</v>
      </c>
      <c r="G869" s="5">
        <f>100*('Parameter &lt;x, y&gt;'!L869-B869)/B869</f>
        <v>2.5090761963082846</v>
      </c>
      <c r="H869" s="5">
        <f>100*('Parameter &lt;x, y&gt;'!Q869-B869)/B869</f>
        <v>3.8311390079608083</v>
      </c>
      <c r="J869" s="5">
        <f>100*('Parameter &lt;x, y&gt;'!D869-C869)/C869</f>
        <v>3.3744817377442278</v>
      </c>
      <c r="K869" s="5">
        <f>100*('Parameter &lt;x, y&gt;'!I869-C869)/C869</f>
        <v>4.7482534813157669</v>
      </c>
      <c r="L869" s="5">
        <f>100*('Parameter &lt;x, y&gt;'!N869-C869)/C869</f>
        <v>0</v>
      </c>
      <c r="M869" s="5">
        <f>100*('Parameter &lt;x, y&gt;'!S869-C869)/C869</f>
        <v>1.2779895108408073</v>
      </c>
    </row>
    <row r="870" spans="1:13" ht="12.75" customHeight="1">
      <c r="A870" s="42"/>
      <c r="B870" s="5">
        <f>MIN('Parameter &lt;x, y&gt;'!B870,'Parameter &lt;x, y&gt;'!G870,'Parameter &lt;x, y&gt;'!L870,'Parameter &lt;x, y&gt;'!Q870)</f>
        <v>1884060</v>
      </c>
      <c r="C870" s="5">
        <f>MIN('Parameter &lt;x, y&gt;'!D870,'Parameter &lt;x, y&gt;'!I870,'Parameter &lt;x, y&gt;'!N870,'Parameter &lt;x, y&gt;'!S870)</f>
        <v>1544710</v>
      </c>
      <c r="E870" s="5">
        <f>100*('Parameter &lt;x, y&gt;'!B870-B870)/B870</f>
        <v>0.12950755283802001</v>
      </c>
      <c r="F870" s="5">
        <f>100*('Parameter &lt;x, y&gt;'!G870-B870)/B870</f>
        <v>0</v>
      </c>
      <c r="G870" s="5">
        <f>100*('Parameter &lt;x, y&gt;'!L870-B870)/B870</f>
        <v>0.6045455027971508</v>
      </c>
      <c r="H870" s="5">
        <f>100*('Parameter &lt;x, y&gt;'!Q870-B870)/B870</f>
        <v>1.3481523942974216</v>
      </c>
      <c r="J870" s="5">
        <f>100*('Parameter &lt;x, y&gt;'!D870-C870)/C870</f>
        <v>0.41237513837548795</v>
      </c>
      <c r="K870" s="5">
        <f>100*('Parameter &lt;x, y&gt;'!I870-C870)/C870</f>
        <v>0.94451385696991663</v>
      </c>
      <c r="L870" s="5">
        <f>100*('Parameter &lt;x, y&gt;'!N870-C870)/C870</f>
        <v>0</v>
      </c>
      <c r="M870" s="5">
        <f>100*('Parameter &lt;x, y&gt;'!S870-C870)/C870</f>
        <v>2.8697943303273754</v>
      </c>
    </row>
    <row r="871" spans="1:13" ht="12.75" customHeight="1">
      <c r="A871" s="42"/>
      <c r="B871" s="5">
        <f>MIN('Parameter &lt;x, y&gt;'!B871,'Parameter &lt;x, y&gt;'!G871,'Parameter &lt;x, y&gt;'!L871,'Parameter &lt;x, y&gt;'!Q871)</f>
        <v>1935780</v>
      </c>
      <c r="C871" s="5">
        <f>MIN('Parameter &lt;x, y&gt;'!D871,'Parameter &lt;x, y&gt;'!I871,'Parameter &lt;x, y&gt;'!N871,'Parameter &lt;x, y&gt;'!S871)</f>
        <v>1653080</v>
      </c>
      <c r="E871" s="5">
        <f>100*('Parameter &lt;x, y&gt;'!B871-B871)/B871</f>
        <v>0</v>
      </c>
      <c r="F871" s="5">
        <f>100*('Parameter &lt;x, y&gt;'!G871-B871)/B871</f>
        <v>2.0756490923555364</v>
      </c>
      <c r="G871" s="5">
        <f>100*('Parameter &lt;x, y&gt;'!L871-B871)/B871</f>
        <v>2.2662699273677793</v>
      </c>
      <c r="H871" s="5">
        <f>100*('Parameter &lt;x, y&gt;'!Q871-B871)/B871</f>
        <v>4.3088574114827098</v>
      </c>
      <c r="J871" s="5">
        <f>100*('Parameter &lt;x, y&gt;'!D871-C871)/C871</f>
        <v>4.0851017494616109</v>
      </c>
      <c r="K871" s="5">
        <f>100*('Parameter &lt;x, y&gt;'!I871-C871)/C871</f>
        <v>6.1739298763520214</v>
      </c>
      <c r="L871" s="5">
        <f>100*('Parameter &lt;x, y&gt;'!N871-C871)/C871</f>
        <v>0</v>
      </c>
      <c r="M871" s="5">
        <f>100*('Parameter &lt;x, y&gt;'!S871-C871)/C871</f>
        <v>1.9781256805478258</v>
      </c>
    </row>
    <row r="872" spans="1:13" ht="12.75" customHeight="1">
      <c r="A872" s="42"/>
      <c r="B872" s="5">
        <f>MIN('Parameter &lt;x, y&gt;'!B872,'Parameter &lt;x, y&gt;'!G872,'Parameter &lt;x, y&gt;'!L872,'Parameter &lt;x, y&gt;'!Q872)</f>
        <v>2003320</v>
      </c>
      <c r="C872" s="5">
        <f>MIN('Parameter &lt;x, y&gt;'!D872,'Parameter &lt;x, y&gt;'!I872,'Parameter &lt;x, y&gt;'!N872,'Parameter &lt;x, y&gt;'!S872)</f>
        <v>1558890</v>
      </c>
      <c r="E872" s="5">
        <f>100*('Parameter &lt;x, y&gt;'!B872-B872)/B872</f>
        <v>1.8274664057664278</v>
      </c>
      <c r="F872" s="5">
        <f>100*('Parameter &lt;x, y&gt;'!G872-B872)/B872</f>
        <v>1.4206417347203641</v>
      </c>
      <c r="G872" s="5">
        <f>100*('Parameter &lt;x, y&gt;'!L872-B872)/B872</f>
        <v>0</v>
      </c>
      <c r="H872" s="5">
        <f>100*('Parameter &lt;x, y&gt;'!Q872-B872)/B872</f>
        <v>0.21713954834973942</v>
      </c>
      <c r="J872" s="5">
        <f>100*('Parameter &lt;x, y&gt;'!D872-C872)/C872</f>
        <v>14.625791428516445</v>
      </c>
      <c r="K872" s="5">
        <f>100*('Parameter &lt;x, y&gt;'!I872-C872)/C872</f>
        <v>6.1081923676462102</v>
      </c>
      <c r="L872" s="5">
        <f>100*('Parameter &lt;x, y&gt;'!N872-C872)/C872</f>
        <v>4.8964327181520186</v>
      </c>
      <c r="M872" s="5">
        <f>100*('Parameter &lt;x, y&gt;'!S872-C872)/C872</f>
        <v>0</v>
      </c>
    </row>
    <row r="873" spans="1:13" ht="12.75" customHeight="1">
      <c r="A873" s="42"/>
      <c r="B873" s="5">
        <f>MIN('Parameter &lt;x, y&gt;'!B873,'Parameter &lt;x, y&gt;'!G873,'Parameter &lt;x, y&gt;'!L873,'Parameter &lt;x, y&gt;'!Q873)</f>
        <v>1592730</v>
      </c>
      <c r="C873" s="5">
        <f>MIN('Parameter &lt;x, y&gt;'!D873,'Parameter &lt;x, y&gt;'!I873,'Parameter &lt;x, y&gt;'!N873,'Parameter &lt;x, y&gt;'!S873)</f>
        <v>1341750</v>
      </c>
      <c r="E873" s="5">
        <f>100*('Parameter &lt;x, y&gt;'!B873-B873)/B873</f>
        <v>12.376862368386355</v>
      </c>
      <c r="F873" s="5">
        <f>100*('Parameter &lt;x, y&gt;'!G873-B873)/B873</f>
        <v>3.6252221029301892</v>
      </c>
      <c r="G873" s="5">
        <f>100*('Parameter &lt;x, y&gt;'!L873-B873)/B873</f>
        <v>7.1820082499858735</v>
      </c>
      <c r="H873" s="5">
        <f>100*('Parameter &lt;x, y&gt;'!Q873-B873)/B873</f>
        <v>0</v>
      </c>
      <c r="J873" s="5">
        <f>100*('Parameter &lt;x, y&gt;'!D873-C873)/C873</f>
        <v>2.9931060182597355</v>
      </c>
      <c r="K873" s="5">
        <f>100*('Parameter &lt;x, y&gt;'!I873-C873)/C873</f>
        <v>6.251537171604248</v>
      </c>
      <c r="L873" s="5">
        <f>100*('Parameter &lt;x, y&gt;'!N873-C873)/C873</f>
        <v>0</v>
      </c>
      <c r="M873" s="5">
        <f>100*('Parameter &lt;x, y&gt;'!S873-C873)/C873</f>
        <v>1.732811626607043</v>
      </c>
    </row>
    <row r="874" spans="1:13" ht="12.75" customHeight="1">
      <c r="A874" s="42"/>
      <c r="B874" s="5">
        <f>MIN('Parameter &lt;x, y&gt;'!B874,'Parameter &lt;x, y&gt;'!G874,'Parameter &lt;x, y&gt;'!L874,'Parameter &lt;x, y&gt;'!Q874)</f>
        <v>1694190</v>
      </c>
      <c r="C874" s="5">
        <f>MIN('Parameter &lt;x, y&gt;'!D874,'Parameter &lt;x, y&gt;'!I874,'Parameter &lt;x, y&gt;'!N874,'Parameter &lt;x, y&gt;'!S874)</f>
        <v>1492700</v>
      </c>
      <c r="E874" s="5">
        <f>100*('Parameter &lt;x, y&gt;'!B874-B874)/B874</f>
        <v>1.4006693464133302</v>
      </c>
      <c r="F874" s="5">
        <f>100*('Parameter &lt;x, y&gt;'!G874-B874)/B874</f>
        <v>3.2168765014549727</v>
      </c>
      <c r="G874" s="5">
        <f>100*('Parameter &lt;x, y&gt;'!L874-B874)/B874</f>
        <v>0</v>
      </c>
      <c r="H874" s="5">
        <f>100*('Parameter &lt;x, y&gt;'!Q874-B874)/B874</f>
        <v>3.6542536551390339</v>
      </c>
      <c r="J874" s="5">
        <f>100*('Parameter &lt;x, y&gt;'!D874-C874)/C874</f>
        <v>0.14537415421719033</v>
      </c>
      <c r="K874" s="5">
        <f>100*('Parameter &lt;x, y&gt;'!I874-C874)/C874</f>
        <v>15.664232598646748</v>
      </c>
      <c r="L874" s="5">
        <f>100*('Parameter &lt;x, y&gt;'!N874-C874)/C874</f>
        <v>0</v>
      </c>
      <c r="M874" s="5">
        <f>100*('Parameter &lt;x, y&gt;'!S874-C874)/C874</f>
        <v>2.9604073156025992</v>
      </c>
    </row>
    <row r="875" spans="1:13" ht="12.75" customHeight="1">
      <c r="A875" s="42"/>
      <c r="B875" s="5">
        <f>MIN('Parameter &lt;x, y&gt;'!B875,'Parameter &lt;x, y&gt;'!G875,'Parameter &lt;x, y&gt;'!L875,'Parameter &lt;x, y&gt;'!Q875)</f>
        <v>1875030</v>
      </c>
      <c r="C875" s="5">
        <f>MIN('Parameter &lt;x, y&gt;'!D875,'Parameter &lt;x, y&gt;'!I875,'Parameter &lt;x, y&gt;'!N875,'Parameter &lt;x, y&gt;'!S875)</f>
        <v>1430090</v>
      </c>
      <c r="E875" s="5">
        <f>100*('Parameter &lt;x, y&gt;'!B875-B875)/B875</f>
        <v>0</v>
      </c>
      <c r="F875" s="5">
        <f>100*('Parameter &lt;x, y&gt;'!G875-B875)/B875</f>
        <v>0.45279275531591495</v>
      </c>
      <c r="G875" s="5">
        <f>100*('Parameter &lt;x, y&gt;'!L875-B875)/B875</f>
        <v>0.33332800008533198</v>
      </c>
      <c r="H875" s="5">
        <f>100*('Parameter &lt;x, y&gt;'!Q875-B875)/B875</f>
        <v>0.49919201292779314</v>
      </c>
      <c r="J875" s="5">
        <f>100*('Parameter &lt;x, y&gt;'!D875-C875)/C875</f>
        <v>13.748085784810746</v>
      </c>
      <c r="K875" s="5">
        <f>100*('Parameter &lt;x, y&gt;'!I875-C875)/C875</f>
        <v>14.534749561216428</v>
      </c>
      <c r="L875" s="5">
        <f>100*('Parameter &lt;x, y&gt;'!N875-C875)/C875</f>
        <v>0</v>
      </c>
      <c r="M875" s="5">
        <f>100*('Parameter &lt;x, y&gt;'!S875-C875)/C875</f>
        <v>9.5931025320084746</v>
      </c>
    </row>
    <row r="876" spans="1:13" ht="12.75" customHeight="1">
      <c r="A876" s="42"/>
      <c r="B876" s="5">
        <f>MIN('Parameter &lt;x, y&gt;'!B876,'Parameter &lt;x, y&gt;'!G876,'Parameter &lt;x, y&gt;'!L876,'Parameter &lt;x, y&gt;'!Q876)</f>
        <v>1730910</v>
      </c>
      <c r="C876" s="5">
        <f>MIN('Parameter &lt;x, y&gt;'!D876,'Parameter &lt;x, y&gt;'!I876,'Parameter &lt;x, y&gt;'!N876,'Parameter &lt;x, y&gt;'!S876)</f>
        <v>1341930</v>
      </c>
      <c r="E876" s="5">
        <f>100*('Parameter &lt;x, y&gt;'!B876-B876)/B876</f>
        <v>1.8926460647867307</v>
      </c>
      <c r="F876" s="5">
        <f>100*('Parameter &lt;x, y&gt;'!G876-B876)/B876</f>
        <v>4.4369724595732878</v>
      </c>
      <c r="G876" s="5">
        <f>100*('Parameter &lt;x, y&gt;'!L876-B876)/B876</f>
        <v>0</v>
      </c>
      <c r="H876" s="5">
        <f>100*('Parameter &lt;x, y&gt;'!Q876-B876)/B876</f>
        <v>2.3167004639178237</v>
      </c>
      <c r="J876" s="5">
        <f>100*('Parameter &lt;x, y&gt;'!D876-C876)/C876</f>
        <v>13.304717831779602</v>
      </c>
      <c r="K876" s="5">
        <f>100*('Parameter &lt;x, y&gt;'!I876-C876)/C876</f>
        <v>16.310090690274457</v>
      </c>
      <c r="L876" s="5">
        <f>100*('Parameter &lt;x, y&gt;'!N876-C876)/C876</f>
        <v>0</v>
      </c>
      <c r="M876" s="5">
        <f>100*('Parameter &lt;x, y&gt;'!S876-C876)/C876</f>
        <v>17.322065979596552</v>
      </c>
    </row>
    <row r="877" spans="1:13" ht="12.75" customHeight="1">
      <c r="A877" s="42"/>
      <c r="B877" s="5">
        <f>MIN('Parameter &lt;x, y&gt;'!B877,'Parameter &lt;x, y&gt;'!G877,'Parameter &lt;x, y&gt;'!L877,'Parameter &lt;x, y&gt;'!Q877)</f>
        <v>1756210</v>
      </c>
      <c r="C877" s="5">
        <f>MIN('Parameter &lt;x, y&gt;'!D877,'Parameter &lt;x, y&gt;'!I877,'Parameter &lt;x, y&gt;'!N877,'Parameter &lt;x, y&gt;'!S877)</f>
        <v>1309720</v>
      </c>
      <c r="E877" s="5">
        <f>100*('Parameter &lt;x, y&gt;'!B877-B877)/B877</f>
        <v>0</v>
      </c>
      <c r="F877" s="5">
        <f>100*('Parameter &lt;x, y&gt;'!G877-B877)/B877</f>
        <v>5.8221966621303833</v>
      </c>
      <c r="G877" s="5">
        <f>100*('Parameter &lt;x, y&gt;'!L877-B877)/B877</f>
        <v>1.7304308710233969</v>
      </c>
      <c r="H877" s="5">
        <f>100*('Parameter &lt;x, y&gt;'!Q877-B877)/B877</f>
        <v>1.7184733033065522</v>
      </c>
      <c r="J877" s="5">
        <f>100*('Parameter &lt;x, y&gt;'!D877-C877)/C877</f>
        <v>16.640197904895704</v>
      </c>
      <c r="K877" s="5">
        <f>100*('Parameter &lt;x, y&gt;'!I877-C877)/C877</f>
        <v>20.434902116482913</v>
      </c>
      <c r="L877" s="5">
        <f>100*('Parameter &lt;x, y&gt;'!N877-C877)/C877</f>
        <v>0</v>
      </c>
      <c r="M877" s="5">
        <f>100*('Parameter &lt;x, y&gt;'!S877-C877)/C877</f>
        <v>11.268820816663103</v>
      </c>
    </row>
    <row r="878" spans="1:13" ht="12.75" customHeight="1">
      <c r="A878" s="42"/>
      <c r="B878" s="5">
        <f>MIN('Parameter &lt;x, y&gt;'!B878,'Parameter &lt;x, y&gt;'!G878,'Parameter &lt;x, y&gt;'!L878,'Parameter &lt;x, y&gt;'!Q878)</f>
        <v>1805910</v>
      </c>
      <c r="C878" s="5">
        <f>MIN('Parameter &lt;x, y&gt;'!D878,'Parameter &lt;x, y&gt;'!I878,'Parameter &lt;x, y&gt;'!N878,'Parameter &lt;x, y&gt;'!S878)</f>
        <v>1385640</v>
      </c>
      <c r="E878" s="5">
        <f>100*('Parameter &lt;x, y&gt;'!B878-B878)/B878</f>
        <v>1.1423603612583131</v>
      </c>
      <c r="F878" s="5">
        <f>100*('Parameter &lt;x, y&gt;'!G878-B878)/B878</f>
        <v>1.7963242908007597</v>
      </c>
      <c r="G878" s="5">
        <f>100*('Parameter &lt;x, y&gt;'!L878-B878)/B878</f>
        <v>0</v>
      </c>
      <c r="H878" s="5">
        <f>100*('Parameter &lt;x, y&gt;'!Q878-B878)/B878</f>
        <v>0.23312346683943275</v>
      </c>
      <c r="J878" s="5">
        <f>100*('Parameter &lt;x, y&gt;'!D878-C878)/C878</f>
        <v>13.292774458012182</v>
      </c>
      <c r="K878" s="5">
        <f>100*('Parameter &lt;x, y&gt;'!I878-C878)/C878</f>
        <v>14.821310008371583</v>
      </c>
      <c r="L878" s="5">
        <f>100*('Parameter &lt;x, y&gt;'!N878-C878)/C878</f>
        <v>0</v>
      </c>
      <c r="M878" s="5">
        <f>100*('Parameter &lt;x, y&gt;'!S878-C878)/C878</f>
        <v>15.479489622124072</v>
      </c>
    </row>
    <row r="879" spans="1:13" ht="12.75" customHeight="1">
      <c r="A879" s="42"/>
      <c r="B879" s="5">
        <f>MIN('Parameter &lt;x, y&gt;'!B879,'Parameter &lt;x, y&gt;'!G879,'Parameter &lt;x, y&gt;'!L879,'Parameter &lt;x, y&gt;'!Q879)</f>
        <v>1646730</v>
      </c>
      <c r="C879" s="5">
        <f>MIN('Parameter &lt;x, y&gt;'!D879,'Parameter &lt;x, y&gt;'!I879,'Parameter &lt;x, y&gt;'!N879,'Parameter &lt;x, y&gt;'!S879)</f>
        <v>1381450</v>
      </c>
      <c r="E879" s="5">
        <f>100*('Parameter &lt;x, y&gt;'!B879-B879)/B879</f>
        <v>2.8917916112538182</v>
      </c>
      <c r="F879" s="5">
        <f>100*('Parameter &lt;x, y&gt;'!G879-B879)/B879</f>
        <v>6.916130756104522</v>
      </c>
      <c r="G879" s="5">
        <f>100*('Parameter &lt;x, y&gt;'!L879-B879)/B879</f>
        <v>0</v>
      </c>
      <c r="H879" s="5">
        <f>100*('Parameter &lt;x, y&gt;'!Q879-B879)/B879</f>
        <v>6.9112726433598706</v>
      </c>
      <c r="J879" s="5">
        <f>100*('Parameter &lt;x, y&gt;'!D879-C879)/C879</f>
        <v>3.8162799956567377</v>
      </c>
      <c r="K879" s="5">
        <f>100*('Parameter &lt;x, y&gt;'!I879-C879)/C879</f>
        <v>7.780954793876</v>
      </c>
      <c r="L879" s="5">
        <f>100*('Parameter &lt;x, y&gt;'!N879-C879)/C879</f>
        <v>0</v>
      </c>
      <c r="M879" s="5">
        <f>100*('Parameter &lt;x, y&gt;'!S879-C879)/C879</f>
        <v>7.2742408339064024</v>
      </c>
    </row>
    <row r="880" spans="1:13" ht="12.75" customHeight="1">
      <c r="A880" s="42"/>
      <c r="B880" s="5">
        <f>MIN('Parameter &lt;x, y&gt;'!B880,'Parameter &lt;x, y&gt;'!G880,'Parameter &lt;x, y&gt;'!L880,'Parameter &lt;x, y&gt;'!Q880)</f>
        <v>1571730</v>
      </c>
      <c r="C880" s="5">
        <f>MIN('Parameter &lt;x, y&gt;'!D880,'Parameter &lt;x, y&gt;'!I880,'Parameter &lt;x, y&gt;'!N880,'Parameter &lt;x, y&gt;'!S880)</f>
        <v>1328470</v>
      </c>
      <c r="E880" s="5">
        <f>100*('Parameter &lt;x, y&gt;'!B880-B880)/B880</f>
        <v>0</v>
      </c>
      <c r="F880" s="5">
        <f>100*('Parameter &lt;x, y&gt;'!G880-B880)/B880</f>
        <v>11.284380905117292</v>
      </c>
      <c r="G880" s="5">
        <f>100*('Parameter &lt;x, y&gt;'!L880-B880)/B880</f>
        <v>1.7178523028764483</v>
      </c>
      <c r="H880" s="5">
        <f>100*('Parameter &lt;x, y&gt;'!Q880-B880)/B880</f>
        <v>4.026773046261126</v>
      </c>
      <c r="J880" s="5">
        <f>100*('Parameter &lt;x, y&gt;'!D880-C880)/C880</f>
        <v>12.002529225349463</v>
      </c>
      <c r="K880" s="5">
        <f>100*('Parameter &lt;x, y&gt;'!I880-C880)/C880</f>
        <v>12.953246968316936</v>
      </c>
      <c r="L880" s="5">
        <f>100*('Parameter &lt;x, y&gt;'!N880-C880)/C880</f>
        <v>0</v>
      </c>
      <c r="M880" s="5">
        <f>100*('Parameter &lt;x, y&gt;'!S880-C880)/C880</f>
        <v>2.6075108959931348</v>
      </c>
    </row>
    <row r="881" spans="1:13" ht="12.75" customHeight="1">
      <c r="A881" s="42"/>
      <c r="B881" s="5">
        <f>MIN('Parameter &lt;x, y&gt;'!B881,'Parameter &lt;x, y&gt;'!G881,'Parameter &lt;x, y&gt;'!L881,'Parameter &lt;x, y&gt;'!Q881)</f>
        <v>1829320</v>
      </c>
      <c r="C881" s="5">
        <f>MIN('Parameter &lt;x, y&gt;'!D881,'Parameter &lt;x, y&gt;'!I881,'Parameter &lt;x, y&gt;'!N881,'Parameter &lt;x, y&gt;'!S881)</f>
        <v>1577690</v>
      </c>
      <c r="E881" s="5">
        <f>100*('Parameter &lt;x, y&gt;'!B881-B881)/B881</f>
        <v>0</v>
      </c>
      <c r="F881" s="5">
        <f>100*('Parameter &lt;x, y&gt;'!G881-B881)/B881</f>
        <v>2.7305228172216998</v>
      </c>
      <c r="G881" s="5">
        <f>100*('Parameter &lt;x, y&gt;'!L881-B881)/B881</f>
        <v>4.8668357641090676</v>
      </c>
      <c r="H881" s="5">
        <f>100*('Parameter &lt;x, y&gt;'!Q881-B881)/B881</f>
        <v>4.2791857083506439</v>
      </c>
      <c r="J881" s="5">
        <f>100*('Parameter &lt;x, y&gt;'!D881-C881)/C881</f>
        <v>9.1183946149116739</v>
      </c>
      <c r="K881" s="5">
        <f>100*('Parameter &lt;x, y&gt;'!I881-C881)/C881</f>
        <v>8.6683695783075247</v>
      </c>
      <c r="L881" s="5">
        <f>100*('Parameter &lt;x, y&gt;'!N881-C881)/C881</f>
        <v>0.46904017899587369</v>
      </c>
      <c r="M881" s="5">
        <f>100*('Parameter &lt;x, y&gt;'!S881-C881)/C881</f>
        <v>0</v>
      </c>
    </row>
    <row r="882" spans="1:13" ht="12.75" customHeight="1">
      <c r="A882" s="42"/>
      <c r="B882" s="5">
        <f>MIN('Parameter &lt;x, y&gt;'!B882,'Parameter &lt;x, y&gt;'!G882,'Parameter &lt;x, y&gt;'!L882,'Parameter &lt;x, y&gt;'!Q882)</f>
        <v>1896080</v>
      </c>
      <c r="C882" s="5">
        <f>MIN('Parameter &lt;x, y&gt;'!D882,'Parameter &lt;x, y&gt;'!I882,'Parameter &lt;x, y&gt;'!N882,'Parameter &lt;x, y&gt;'!S882)</f>
        <v>1388200</v>
      </c>
      <c r="E882" s="5">
        <f>100*('Parameter &lt;x, y&gt;'!B882-B882)/B882</f>
        <v>6.8040378043120544</v>
      </c>
      <c r="F882" s="5">
        <f>100*('Parameter &lt;x, y&gt;'!G882-B882)/B882</f>
        <v>0</v>
      </c>
      <c r="G882" s="5">
        <f>100*('Parameter &lt;x, y&gt;'!L882-B882)/B882</f>
        <v>9.0080587316990837</v>
      </c>
      <c r="H882" s="5">
        <f>100*('Parameter &lt;x, y&gt;'!Q882-B882)/B882</f>
        <v>3.9344331462807478</v>
      </c>
      <c r="J882" s="5">
        <f>100*('Parameter &lt;x, y&gt;'!D882-C882)/C882</f>
        <v>28.475003601786486</v>
      </c>
      <c r="K882" s="5">
        <f>100*('Parameter &lt;x, y&gt;'!I882-C882)/C882</f>
        <v>26.629448206310329</v>
      </c>
      <c r="L882" s="5">
        <f>100*('Parameter &lt;x, y&gt;'!N882-C882)/C882</f>
        <v>0</v>
      </c>
      <c r="M882" s="5">
        <f>100*('Parameter &lt;x, y&gt;'!S882-C882)/C882</f>
        <v>14.678720645440139</v>
      </c>
    </row>
    <row r="883" spans="1:13" ht="12.75" customHeight="1">
      <c r="A883" s="42"/>
      <c r="B883" s="5">
        <f>MIN('Parameter &lt;x, y&gt;'!B883,'Parameter &lt;x, y&gt;'!G883,'Parameter &lt;x, y&gt;'!L883,'Parameter &lt;x, y&gt;'!Q883)</f>
        <v>1615820</v>
      </c>
      <c r="C883" s="5">
        <f>MIN('Parameter &lt;x, y&gt;'!D883,'Parameter &lt;x, y&gt;'!I883,'Parameter &lt;x, y&gt;'!N883,'Parameter &lt;x, y&gt;'!S883)</f>
        <v>1225300</v>
      </c>
      <c r="E883" s="5">
        <f>100*('Parameter &lt;x, y&gt;'!B883-B883)/B883</f>
        <v>2.484806475968858</v>
      </c>
      <c r="F883" s="5">
        <f>100*('Parameter &lt;x, y&gt;'!G883-B883)/B883</f>
        <v>2.2131177977745047</v>
      </c>
      <c r="G883" s="5">
        <f>100*('Parameter &lt;x, y&gt;'!L883-B883)/B883</f>
        <v>0</v>
      </c>
      <c r="H883" s="5">
        <f>100*('Parameter &lt;x, y&gt;'!Q883-B883)/B883</f>
        <v>6.9741679147429787</v>
      </c>
      <c r="J883" s="5">
        <f>100*('Parameter &lt;x, y&gt;'!D883-C883)/C883</f>
        <v>21.889333224516445</v>
      </c>
      <c r="K883" s="5">
        <f>100*('Parameter &lt;x, y&gt;'!I883-C883)/C883</f>
        <v>18.234718028237982</v>
      </c>
      <c r="L883" s="5">
        <f>100*('Parameter &lt;x, y&gt;'!N883-C883)/C883</f>
        <v>0</v>
      </c>
      <c r="M883" s="5">
        <f>100*('Parameter &lt;x, y&gt;'!S883-C883)/C883</f>
        <v>14.547457765445197</v>
      </c>
    </row>
    <row r="884" spans="1:13" ht="12.75" customHeight="1">
      <c r="A884" s="42"/>
      <c r="B884" s="5">
        <f>MIN('Parameter &lt;x, y&gt;'!B884,'Parameter &lt;x, y&gt;'!G884,'Parameter &lt;x, y&gt;'!L884,'Parameter &lt;x, y&gt;'!Q884)</f>
        <v>1818690</v>
      </c>
      <c r="C884" s="5">
        <f>MIN('Parameter &lt;x, y&gt;'!D884,'Parameter &lt;x, y&gt;'!I884,'Parameter &lt;x, y&gt;'!N884,'Parameter &lt;x, y&gt;'!S884)</f>
        <v>1438520</v>
      </c>
      <c r="E884" s="5">
        <f>100*('Parameter &lt;x, y&gt;'!B884-B884)/B884</f>
        <v>0</v>
      </c>
      <c r="F884" s="5">
        <f>100*('Parameter &lt;x, y&gt;'!G884-B884)/B884</f>
        <v>3.9984824241624466</v>
      </c>
      <c r="G884" s="5">
        <f>100*('Parameter &lt;x, y&gt;'!L884-B884)/B884</f>
        <v>0.58063771175956325</v>
      </c>
      <c r="H884" s="5">
        <f>100*('Parameter &lt;x, y&gt;'!Q884-B884)/B884</f>
        <v>0.96223105641973072</v>
      </c>
      <c r="J884" s="5">
        <f>100*('Parameter &lt;x, y&gt;'!D884-C884)/C884</f>
        <v>17.196146038984512</v>
      </c>
      <c r="K884" s="5">
        <f>100*('Parameter &lt;x, y&gt;'!I884-C884)/C884</f>
        <v>14.480855323526958</v>
      </c>
      <c r="L884" s="5">
        <f>100*('Parameter &lt;x, y&gt;'!N884-C884)/C884</f>
        <v>0</v>
      </c>
      <c r="M884" s="5">
        <f>100*('Parameter &lt;x, y&gt;'!S884-C884)/C884</f>
        <v>7.9762533715207296</v>
      </c>
    </row>
    <row r="885" spans="1:13" ht="12.75" customHeight="1">
      <c r="A885" s="42"/>
      <c r="B885" s="5">
        <f>MIN('Parameter &lt;x, y&gt;'!B885,'Parameter &lt;x, y&gt;'!G885,'Parameter &lt;x, y&gt;'!L885,'Parameter &lt;x, y&gt;'!Q885)</f>
        <v>1754520</v>
      </c>
      <c r="C885" s="5">
        <f>MIN('Parameter &lt;x, y&gt;'!D885,'Parameter &lt;x, y&gt;'!I885,'Parameter &lt;x, y&gt;'!N885,'Parameter &lt;x, y&gt;'!S885)</f>
        <v>1423620</v>
      </c>
      <c r="E885" s="5">
        <f>100*('Parameter &lt;x, y&gt;'!B885-B885)/B885</f>
        <v>0</v>
      </c>
      <c r="F885" s="5">
        <f>100*('Parameter &lt;x, y&gt;'!G885-B885)/B885</f>
        <v>0.18637576089186786</v>
      </c>
      <c r="G885" s="5">
        <f>100*('Parameter &lt;x, y&gt;'!L885-B885)/B885</f>
        <v>5.1296080979413169E-2</v>
      </c>
      <c r="H885" s="5">
        <f>100*('Parameter &lt;x, y&gt;'!Q885-B885)/B885</f>
        <v>7.5257050361352391</v>
      </c>
      <c r="J885" s="5">
        <f>100*('Parameter &lt;x, y&gt;'!D885-C885)/C885</f>
        <v>0</v>
      </c>
      <c r="K885" s="5">
        <f>100*('Parameter &lt;x, y&gt;'!I885-C885)/C885</f>
        <v>3.7924446130287577</v>
      </c>
      <c r="L885" s="5">
        <f>100*('Parameter &lt;x, y&gt;'!N885-C885)/C885</f>
        <v>8.0232084404546153</v>
      </c>
      <c r="M885" s="5">
        <f>100*('Parameter &lt;x, y&gt;'!S885-C885)/C885</f>
        <v>2.2520054508927942</v>
      </c>
    </row>
    <row r="886" spans="1:13" ht="12.75" customHeight="1">
      <c r="A886" s="42"/>
      <c r="B886" s="5">
        <f>MIN('Parameter &lt;x, y&gt;'!B886,'Parameter &lt;x, y&gt;'!G886,'Parameter &lt;x, y&gt;'!L886,'Parameter &lt;x, y&gt;'!Q886)</f>
        <v>1728070</v>
      </c>
      <c r="C886" s="5">
        <f>MIN('Parameter &lt;x, y&gt;'!D886,'Parameter &lt;x, y&gt;'!I886,'Parameter &lt;x, y&gt;'!N886,'Parameter &lt;x, y&gt;'!S886)</f>
        <v>1417100</v>
      </c>
      <c r="E886" s="5">
        <f>100*('Parameter &lt;x, y&gt;'!B886-B886)/B886</f>
        <v>0</v>
      </c>
      <c r="F886" s="5">
        <f>100*('Parameter &lt;x, y&gt;'!G886-B886)/B886</f>
        <v>2.3673809510031423</v>
      </c>
      <c r="G886" s="5">
        <f>100*('Parameter &lt;x, y&gt;'!L886-B886)/B886</f>
        <v>1.9761930940297558</v>
      </c>
      <c r="H886" s="5">
        <f>100*('Parameter &lt;x, y&gt;'!Q886-B886)/B886</f>
        <v>4.1138379811003025</v>
      </c>
      <c r="J886" s="5">
        <f>100*('Parameter &lt;x, y&gt;'!D886-C886)/C886</f>
        <v>23.711805800578645</v>
      </c>
      <c r="K886" s="5">
        <f>100*('Parameter &lt;x, y&gt;'!I886-C886)/C886</f>
        <v>12.729518029779125</v>
      </c>
      <c r="L886" s="5">
        <f>100*('Parameter &lt;x, y&gt;'!N886-C886)/C886</f>
        <v>0</v>
      </c>
      <c r="M886" s="5">
        <f>100*('Parameter &lt;x, y&gt;'!S886-C886)/C886</f>
        <v>2.3745677792675184</v>
      </c>
    </row>
    <row r="887" spans="1:13" ht="12.75" customHeight="1">
      <c r="A887" s="42"/>
      <c r="B887" s="5">
        <f>MIN('Parameter &lt;x, y&gt;'!B887,'Parameter &lt;x, y&gt;'!G887,'Parameter &lt;x, y&gt;'!L887,'Parameter &lt;x, y&gt;'!Q887)</f>
        <v>1665150</v>
      </c>
      <c r="C887" s="5">
        <f>MIN('Parameter &lt;x, y&gt;'!D887,'Parameter &lt;x, y&gt;'!I887,'Parameter &lt;x, y&gt;'!N887,'Parameter &lt;x, y&gt;'!S887)</f>
        <v>1266970</v>
      </c>
      <c r="E887" s="5">
        <f>100*('Parameter &lt;x, y&gt;'!B887-B887)/B887</f>
        <v>0</v>
      </c>
      <c r="F887" s="5">
        <f>100*('Parameter &lt;x, y&gt;'!G887-B887)/B887</f>
        <v>0.44500495450860283</v>
      </c>
      <c r="G887" s="5">
        <f>100*('Parameter &lt;x, y&gt;'!L887-B887)/B887</f>
        <v>1.0785815091733477</v>
      </c>
      <c r="H887" s="5">
        <f>100*('Parameter &lt;x, y&gt;'!Q887-B887)/B887</f>
        <v>1.9457706512926762</v>
      </c>
      <c r="J887" s="5">
        <f>100*('Parameter &lt;x, y&gt;'!D887-C887)/C887</f>
        <v>17.652351673678144</v>
      </c>
      <c r="K887" s="5">
        <f>100*('Parameter &lt;x, y&gt;'!I887-C887)/C887</f>
        <v>10.02944031823958</v>
      </c>
      <c r="L887" s="5">
        <f>100*('Parameter &lt;x, y&gt;'!N887-C887)/C887</f>
        <v>0</v>
      </c>
      <c r="M887" s="5">
        <f>100*('Parameter &lt;x, y&gt;'!S887-C887)/C887</f>
        <v>9.3198733987387232</v>
      </c>
    </row>
    <row r="888" spans="1:13" ht="12.75" customHeight="1">
      <c r="A888" s="42"/>
      <c r="B888" s="5">
        <f>MIN('Parameter &lt;x, y&gt;'!B888,'Parameter &lt;x, y&gt;'!G888,'Parameter &lt;x, y&gt;'!L888,'Parameter &lt;x, y&gt;'!Q888)</f>
        <v>1717480</v>
      </c>
      <c r="C888" s="5">
        <f>MIN('Parameter &lt;x, y&gt;'!D888,'Parameter &lt;x, y&gt;'!I888,'Parameter &lt;x, y&gt;'!N888,'Parameter &lt;x, y&gt;'!S888)</f>
        <v>1426230</v>
      </c>
      <c r="E888" s="5">
        <f>100*('Parameter &lt;x, y&gt;'!B888-B888)/B888</f>
        <v>7.1034306076344409</v>
      </c>
      <c r="F888" s="5">
        <f>100*('Parameter &lt;x, y&gt;'!G888-B888)/B888</f>
        <v>1.7630481868784498</v>
      </c>
      <c r="G888" s="5">
        <f>100*('Parameter &lt;x, y&gt;'!L888-B888)/B888</f>
        <v>0</v>
      </c>
      <c r="H888" s="5">
        <f>100*('Parameter &lt;x, y&gt;'!Q888-B888)/B888</f>
        <v>1.0241749540023757</v>
      </c>
      <c r="J888" s="5">
        <f>100*('Parameter &lt;x, y&gt;'!D888-C888)/C888</f>
        <v>7.3753882613603698</v>
      </c>
      <c r="K888" s="5">
        <f>100*('Parameter &lt;x, y&gt;'!I888-C888)/C888</f>
        <v>5.2908717387798605</v>
      </c>
      <c r="L888" s="5">
        <f>100*('Parameter &lt;x, y&gt;'!N888-C888)/C888</f>
        <v>5.9611703582171183</v>
      </c>
      <c r="M888" s="5">
        <f>100*('Parameter &lt;x, y&gt;'!S888-C888)/C888</f>
        <v>0</v>
      </c>
    </row>
    <row r="889" spans="1:13" ht="12.75" customHeight="1">
      <c r="A889" s="42"/>
      <c r="B889" s="5">
        <f>MIN('Parameter &lt;x, y&gt;'!B889,'Parameter &lt;x, y&gt;'!G889,'Parameter &lt;x, y&gt;'!L889,'Parameter &lt;x, y&gt;'!Q889)</f>
        <v>1991130</v>
      </c>
      <c r="C889" s="5">
        <f>MIN('Parameter &lt;x, y&gt;'!D889,'Parameter &lt;x, y&gt;'!I889,'Parameter &lt;x, y&gt;'!N889,'Parameter &lt;x, y&gt;'!S889)</f>
        <v>1656920</v>
      </c>
      <c r="E889" s="5">
        <f>100*('Parameter &lt;x, y&gt;'!B889-B889)/B889</f>
        <v>0</v>
      </c>
      <c r="F889" s="5">
        <f>100*('Parameter &lt;x, y&gt;'!G889-B889)/B889</f>
        <v>0.39073290041333314</v>
      </c>
      <c r="G889" s="5">
        <f>100*('Parameter &lt;x, y&gt;'!L889-B889)/B889</f>
        <v>1.3243735969022616</v>
      </c>
      <c r="H889" s="5">
        <f>100*('Parameter &lt;x, y&gt;'!Q889-B889)/B889</f>
        <v>1.0998779587470431</v>
      </c>
      <c r="J889" s="5">
        <f>100*('Parameter &lt;x, y&gt;'!D889-C889)/C889</f>
        <v>4.4124037370542935</v>
      </c>
      <c r="K889" s="5">
        <f>100*('Parameter &lt;x, y&gt;'!I889-C889)/C889</f>
        <v>1.0525553436496633</v>
      </c>
      <c r="L889" s="5">
        <f>100*('Parameter &lt;x, y&gt;'!N889-C889)/C889</f>
        <v>0</v>
      </c>
      <c r="M889" s="5">
        <f>100*('Parameter &lt;x, y&gt;'!S889-C889)/C889</f>
        <v>2.3827342297757284</v>
      </c>
    </row>
    <row r="890" spans="1:13" ht="12.75" customHeight="1">
      <c r="A890" s="42"/>
      <c r="B890" s="5">
        <f>MIN('Parameter &lt;x, y&gt;'!B890,'Parameter &lt;x, y&gt;'!G890,'Parameter &lt;x, y&gt;'!L890,'Parameter &lt;x, y&gt;'!Q890)</f>
        <v>1833060</v>
      </c>
      <c r="C890" s="5">
        <f>MIN('Parameter &lt;x, y&gt;'!D890,'Parameter &lt;x, y&gt;'!I890,'Parameter &lt;x, y&gt;'!N890,'Parameter &lt;x, y&gt;'!S890)</f>
        <v>1388200</v>
      </c>
      <c r="E890" s="5">
        <f>100*('Parameter &lt;x, y&gt;'!B890-B890)/B890</f>
        <v>3.0075393058601465</v>
      </c>
      <c r="F890" s="5">
        <f>100*('Parameter &lt;x, y&gt;'!G890-B890)/B890</f>
        <v>0</v>
      </c>
      <c r="G890" s="5">
        <f>100*('Parameter &lt;x, y&gt;'!L890-B890)/B890</f>
        <v>0.88322258954971467</v>
      </c>
      <c r="H890" s="5">
        <f>100*('Parameter &lt;x, y&gt;'!Q890-B890)/B890</f>
        <v>1.2094530457268176</v>
      </c>
      <c r="J890" s="5">
        <f>100*('Parameter &lt;x, y&gt;'!D890-C890)/C890</f>
        <v>15.519377611295202</v>
      </c>
      <c r="K890" s="5">
        <f>100*('Parameter &lt;x, y&gt;'!I890-C890)/C890</f>
        <v>20.308312923209911</v>
      </c>
      <c r="L890" s="5">
        <f>100*('Parameter &lt;x, y&gt;'!N890-C890)/C890</f>
        <v>0</v>
      </c>
      <c r="M890" s="5">
        <f>100*('Parameter &lt;x, y&gt;'!S890-C890)/C890</f>
        <v>10.404120443740094</v>
      </c>
    </row>
    <row r="891" spans="1:13" ht="12.75" customHeight="1">
      <c r="A891" s="42"/>
      <c r="B891" s="5">
        <f>MIN('Parameter &lt;x, y&gt;'!B891,'Parameter &lt;x, y&gt;'!G891,'Parameter &lt;x, y&gt;'!L891,'Parameter &lt;x, y&gt;'!Q891)</f>
        <v>1784660</v>
      </c>
      <c r="C891" s="5">
        <f>MIN('Parameter &lt;x, y&gt;'!D891,'Parameter &lt;x, y&gt;'!I891,'Parameter &lt;x, y&gt;'!N891,'Parameter &lt;x, y&gt;'!S891)</f>
        <v>1478730</v>
      </c>
      <c r="E891" s="5">
        <f>100*('Parameter &lt;x, y&gt;'!B891-B891)/B891</f>
        <v>2.8470408929431938</v>
      </c>
      <c r="F891" s="5">
        <f>100*('Parameter &lt;x, y&gt;'!G891-B891)/B891</f>
        <v>1.1822980287561777</v>
      </c>
      <c r="G891" s="5">
        <f>100*('Parameter &lt;x, y&gt;'!L891-B891)/B891</f>
        <v>0.67519863727544738</v>
      </c>
      <c r="H891" s="5">
        <f>100*('Parameter &lt;x, y&gt;'!Q891-B891)/B891</f>
        <v>0</v>
      </c>
      <c r="J891" s="5">
        <f>100*('Parameter &lt;x, y&gt;'!D891-C891)/C891</f>
        <v>11.765501477619308</v>
      </c>
      <c r="K891" s="5">
        <f>100*('Parameter &lt;x, y&gt;'!I891-C891)/C891</f>
        <v>5.1523942842844876</v>
      </c>
      <c r="L891" s="5">
        <f>100*('Parameter &lt;x, y&gt;'!N891-C891)/C891</f>
        <v>0</v>
      </c>
      <c r="M891" s="5">
        <f>100*('Parameter &lt;x, y&gt;'!S891-C891)/C891</f>
        <v>6.5042299811324584</v>
      </c>
    </row>
    <row r="892" spans="1:13" ht="12.75" customHeight="1">
      <c r="A892" s="42"/>
      <c r="B892" s="5">
        <f>MIN('Parameter &lt;x, y&gt;'!B892,'Parameter &lt;x, y&gt;'!G892,'Parameter &lt;x, y&gt;'!L892,'Parameter &lt;x, y&gt;'!Q892)</f>
        <v>1820900</v>
      </c>
      <c r="C892" s="5">
        <f>MIN('Parameter &lt;x, y&gt;'!D892,'Parameter &lt;x, y&gt;'!I892,'Parameter &lt;x, y&gt;'!N892,'Parameter &lt;x, y&gt;'!S892)</f>
        <v>1538240</v>
      </c>
      <c r="E892" s="5">
        <f>100*('Parameter &lt;x, y&gt;'!B892-B892)/B892</f>
        <v>2.2999615574715802</v>
      </c>
      <c r="F892" s="5">
        <f>100*('Parameter &lt;x, y&gt;'!G892-B892)/B892</f>
        <v>1.8078971936954253</v>
      </c>
      <c r="G892" s="5">
        <f>100*('Parameter &lt;x, y&gt;'!L892-B892)/B892</f>
        <v>0</v>
      </c>
      <c r="H892" s="5">
        <f>100*('Parameter &lt;x, y&gt;'!Q892-B892)/B892</f>
        <v>4.3170959415673567</v>
      </c>
      <c r="J892" s="5">
        <f>100*('Parameter &lt;x, y&gt;'!D892-C892)/C892</f>
        <v>8.0572602454753479</v>
      </c>
      <c r="K892" s="5">
        <f>100*('Parameter &lt;x, y&gt;'!I892-C892)/C892</f>
        <v>8.7457093821510306</v>
      </c>
      <c r="L892" s="5">
        <f>100*('Parameter &lt;x, y&gt;'!N892-C892)/C892</f>
        <v>0</v>
      </c>
      <c r="M892" s="5">
        <f>100*('Parameter &lt;x, y&gt;'!S892-C892)/C892</f>
        <v>1.8917724152277928</v>
      </c>
    </row>
    <row r="893" spans="1:13" ht="12.75" customHeight="1">
      <c r="A893" s="42"/>
      <c r="B893" s="5">
        <f>MIN('Parameter &lt;x, y&gt;'!B893,'Parameter &lt;x, y&gt;'!G893,'Parameter &lt;x, y&gt;'!L893,'Parameter &lt;x, y&gt;'!Q893)</f>
        <v>1979360</v>
      </c>
      <c r="C893" s="5">
        <f>MIN('Parameter &lt;x, y&gt;'!D893,'Parameter &lt;x, y&gt;'!I893,'Parameter &lt;x, y&gt;'!N893,'Parameter &lt;x, y&gt;'!S893)</f>
        <v>1618670</v>
      </c>
      <c r="E893" s="5">
        <f>100*('Parameter &lt;x, y&gt;'!B893-B893)/B893</f>
        <v>0</v>
      </c>
      <c r="F893" s="5">
        <f>100*('Parameter &lt;x, y&gt;'!G893-B893)/B893</f>
        <v>0.68506992159081725</v>
      </c>
      <c r="G893" s="5">
        <f>100*('Parameter &lt;x, y&gt;'!L893-B893)/B893</f>
        <v>1.9743755557351872</v>
      </c>
      <c r="H893" s="5">
        <f>100*('Parameter &lt;x, y&gt;'!Q893-B893)/B893</f>
        <v>1.1624969687171611</v>
      </c>
      <c r="J893" s="5">
        <f>100*('Parameter &lt;x, y&gt;'!D893-C893)/C893</f>
        <v>13.867557933365047</v>
      </c>
      <c r="K893" s="5">
        <f>100*('Parameter &lt;x, y&gt;'!I893-C893)/C893</f>
        <v>30.355785923010867</v>
      </c>
      <c r="L893" s="5">
        <f>100*('Parameter &lt;x, y&gt;'!N893-C893)/C893</f>
        <v>0</v>
      </c>
      <c r="M893" s="5">
        <f>100*('Parameter &lt;x, y&gt;'!S893-C893)/C893</f>
        <v>5.7046834747045416</v>
      </c>
    </row>
    <row r="894" spans="1:13" ht="12.75" customHeight="1">
      <c r="A894" s="42"/>
      <c r="B894" s="5">
        <f>MIN('Parameter &lt;x, y&gt;'!B894,'Parameter &lt;x, y&gt;'!G894,'Parameter &lt;x, y&gt;'!L894,'Parameter &lt;x, y&gt;'!Q894)</f>
        <v>2008820</v>
      </c>
      <c r="C894" s="5">
        <f>MIN('Parameter &lt;x, y&gt;'!D894,'Parameter &lt;x, y&gt;'!I894,'Parameter &lt;x, y&gt;'!N894,'Parameter &lt;x, y&gt;'!S894)</f>
        <v>1614770</v>
      </c>
      <c r="E894" s="5">
        <f>100*('Parameter &lt;x, y&gt;'!B894-B894)/B894</f>
        <v>1.7896078294720283</v>
      </c>
      <c r="F894" s="5">
        <f>100*('Parameter &lt;x, y&gt;'!G894-B894)/B894</f>
        <v>1.8364014695194193</v>
      </c>
      <c r="G894" s="5">
        <f>100*('Parameter &lt;x, y&gt;'!L894-B894)/B894</f>
        <v>5.641122649117392</v>
      </c>
      <c r="H894" s="5">
        <f>100*('Parameter &lt;x, y&gt;'!Q894-B894)/B894</f>
        <v>0</v>
      </c>
      <c r="J894" s="5">
        <f>100*('Parameter &lt;x, y&gt;'!D894-C894)/C894</f>
        <v>15.047344203818501</v>
      </c>
      <c r="K894" s="5">
        <f>100*('Parameter &lt;x, y&gt;'!I894-C894)/C894</f>
        <v>11.797345752026605</v>
      </c>
      <c r="L894" s="5">
        <f>100*('Parameter &lt;x, y&gt;'!N894-C894)/C894</f>
        <v>0</v>
      </c>
      <c r="M894" s="5">
        <f>100*('Parameter &lt;x, y&gt;'!S894-C894)/C894</f>
        <v>8.3002532868458054</v>
      </c>
    </row>
    <row r="895" spans="1:13" ht="12.75" customHeight="1">
      <c r="A895" s="42"/>
      <c r="B895" s="5">
        <f>MIN('Parameter &lt;x, y&gt;'!B895,'Parameter &lt;x, y&gt;'!G895,'Parameter &lt;x, y&gt;'!L895,'Parameter &lt;x, y&gt;'!Q895)</f>
        <v>1787840</v>
      </c>
      <c r="C895" s="5">
        <f>MIN('Parameter &lt;x, y&gt;'!D895,'Parameter &lt;x, y&gt;'!I895,'Parameter &lt;x, y&gt;'!N895,'Parameter &lt;x, y&gt;'!S895)</f>
        <v>1409930</v>
      </c>
      <c r="E895" s="5">
        <f>100*('Parameter &lt;x, y&gt;'!B895-B895)/B895</f>
        <v>0.57163952031501697</v>
      </c>
      <c r="F895" s="5">
        <f>100*('Parameter &lt;x, y&gt;'!G895-B895)/B895</f>
        <v>0</v>
      </c>
      <c r="G895" s="5">
        <f>100*('Parameter &lt;x, y&gt;'!L895-B895)/B895</f>
        <v>0.88151064972257021</v>
      </c>
      <c r="H895" s="5">
        <f>100*('Parameter &lt;x, y&gt;'!Q895-B895)/B895</f>
        <v>0.6270136030069805</v>
      </c>
      <c r="J895" s="5">
        <f>100*('Parameter &lt;x, y&gt;'!D895-C895)/C895</f>
        <v>10.930329874532779</v>
      </c>
      <c r="K895" s="5">
        <f>100*('Parameter &lt;x, y&gt;'!I895-C895)/C895</f>
        <v>8.1535962778293953</v>
      </c>
      <c r="L895" s="5">
        <f>100*('Parameter &lt;x, y&gt;'!N895-C895)/C895</f>
        <v>0</v>
      </c>
      <c r="M895" s="5">
        <f>100*('Parameter &lt;x, y&gt;'!S895-C895)/C895</f>
        <v>1.2489981772144716</v>
      </c>
    </row>
    <row r="896" spans="1:13" ht="12.75" customHeight="1">
      <c r="A896" s="42"/>
      <c r="B896" s="5">
        <f>MIN('Parameter &lt;x, y&gt;'!B896,'Parameter &lt;x, y&gt;'!G896,'Parameter &lt;x, y&gt;'!L896,'Parameter &lt;x, y&gt;'!Q896)</f>
        <v>1816060</v>
      </c>
      <c r="C896" s="5">
        <f>MIN('Parameter &lt;x, y&gt;'!D896,'Parameter &lt;x, y&gt;'!I896,'Parameter &lt;x, y&gt;'!N896,'Parameter &lt;x, y&gt;'!S896)</f>
        <v>1482050</v>
      </c>
      <c r="E896" s="5">
        <f>100*('Parameter &lt;x, y&gt;'!B896-B896)/B896</f>
        <v>1.1563494598196096</v>
      </c>
      <c r="F896" s="5">
        <f>100*('Parameter &lt;x, y&gt;'!G896-B896)/B896</f>
        <v>0</v>
      </c>
      <c r="G896" s="5">
        <f>100*('Parameter &lt;x, y&gt;'!L896-B896)/B896</f>
        <v>1.1249628316245057</v>
      </c>
      <c r="H896" s="5">
        <f>100*('Parameter &lt;x, y&gt;'!Q896-B896)/B896</f>
        <v>3.3192735922821934</v>
      </c>
      <c r="J896" s="5">
        <f>100*('Parameter &lt;x, y&gt;'!D896-C896)/C896</f>
        <v>0.39472352484733986</v>
      </c>
      <c r="K896" s="5">
        <f>100*('Parameter &lt;x, y&gt;'!I896-C896)/C896</f>
        <v>3.9674774805168518</v>
      </c>
      <c r="L896" s="5">
        <f>100*('Parameter &lt;x, y&gt;'!N896-C896)/C896</f>
        <v>3.8305050436894841</v>
      </c>
      <c r="M896" s="5">
        <f>100*('Parameter &lt;x, y&gt;'!S896-C896)/C896</f>
        <v>0</v>
      </c>
    </row>
    <row r="897" spans="1:13" ht="12.75" customHeight="1">
      <c r="A897" s="42"/>
      <c r="B897" s="5">
        <f>MIN('Parameter &lt;x, y&gt;'!B897,'Parameter &lt;x, y&gt;'!G897,'Parameter &lt;x, y&gt;'!L897,'Parameter &lt;x, y&gt;'!Q897)</f>
        <v>1770420</v>
      </c>
      <c r="C897" s="5">
        <f>MIN('Parameter &lt;x, y&gt;'!D897,'Parameter &lt;x, y&gt;'!I897,'Parameter &lt;x, y&gt;'!N897,'Parameter &lt;x, y&gt;'!S897)</f>
        <v>1537840</v>
      </c>
      <c r="E897" s="5">
        <f>100*('Parameter &lt;x, y&gt;'!B897-B897)/B897</f>
        <v>0</v>
      </c>
      <c r="F897" s="5">
        <f>100*('Parameter &lt;x, y&gt;'!G897-B897)/B897</f>
        <v>1.327933484709843</v>
      </c>
      <c r="G897" s="5">
        <f>100*('Parameter &lt;x, y&gt;'!L897-B897)/B897</f>
        <v>1.0155782243761367</v>
      </c>
      <c r="H897" s="5">
        <f>100*('Parameter &lt;x, y&gt;'!Q897-B897)/B897</f>
        <v>2.7270365224071123</v>
      </c>
      <c r="J897" s="5">
        <f>100*('Parameter &lt;x, y&gt;'!D897-C897)/C897</f>
        <v>2.0808406596264892</v>
      </c>
      <c r="K897" s="5">
        <f>100*('Parameter &lt;x, y&gt;'!I897-C897)/C897</f>
        <v>6.5552983405295739</v>
      </c>
      <c r="L897" s="5">
        <f>100*('Parameter &lt;x, y&gt;'!N897-C897)/C897</f>
        <v>5.0070228372262396E-2</v>
      </c>
      <c r="M897" s="5">
        <f>100*('Parameter &lt;x, y&gt;'!S897-C897)/C897</f>
        <v>0</v>
      </c>
    </row>
    <row r="898" spans="1:13" ht="12.75" customHeight="1">
      <c r="A898" s="42"/>
      <c r="B898" s="5">
        <f>MIN('Parameter &lt;x, y&gt;'!B898,'Parameter &lt;x, y&gt;'!G898,'Parameter &lt;x, y&gt;'!L898,'Parameter &lt;x, y&gt;'!Q898)</f>
        <v>1748990</v>
      </c>
      <c r="C898" s="5">
        <f>MIN('Parameter &lt;x, y&gt;'!D898,'Parameter &lt;x, y&gt;'!I898,'Parameter &lt;x, y&gt;'!N898,'Parameter &lt;x, y&gt;'!S898)</f>
        <v>1455670</v>
      </c>
      <c r="E898" s="5">
        <f>100*('Parameter &lt;x, y&gt;'!B898-B898)/B898</f>
        <v>2.8559339961920882</v>
      </c>
      <c r="F898" s="5">
        <f>100*('Parameter &lt;x, y&gt;'!G898-B898)/B898</f>
        <v>0</v>
      </c>
      <c r="G898" s="5">
        <f>100*('Parameter &lt;x, y&gt;'!L898-B898)/B898</f>
        <v>2.0017267108445447</v>
      </c>
      <c r="H898" s="5">
        <f>100*('Parameter &lt;x, y&gt;'!Q898-B898)/B898</f>
        <v>5.030331791491089</v>
      </c>
      <c r="J898" s="5">
        <f>100*('Parameter &lt;x, y&gt;'!D898-C898)/C898</f>
        <v>16.640447354139329</v>
      </c>
      <c r="K898" s="5">
        <f>100*('Parameter &lt;x, y&gt;'!I898-C898)/C898</f>
        <v>16.441226376857394</v>
      </c>
      <c r="L898" s="5">
        <f>100*('Parameter &lt;x, y&gt;'!N898-C898)/C898</f>
        <v>0</v>
      </c>
      <c r="M898" s="5">
        <f>100*('Parameter &lt;x, y&gt;'!S898-C898)/C898</f>
        <v>7.6301634298982597</v>
      </c>
    </row>
    <row r="899" spans="1:13" ht="12.75" customHeight="1">
      <c r="A899" s="42"/>
      <c r="B899" s="5">
        <f>MIN('Parameter &lt;x, y&gt;'!B899,'Parameter &lt;x, y&gt;'!G899,'Parameter &lt;x, y&gt;'!L899,'Parameter &lt;x, y&gt;'!Q899)</f>
        <v>1811310</v>
      </c>
      <c r="C899" s="5">
        <f>MIN('Parameter &lt;x, y&gt;'!D899,'Parameter &lt;x, y&gt;'!I899,'Parameter &lt;x, y&gt;'!N899,'Parameter &lt;x, y&gt;'!S899)</f>
        <v>1482900</v>
      </c>
      <c r="E899" s="5">
        <f>100*('Parameter &lt;x, y&gt;'!B899-B899)/B899</f>
        <v>3.9529401372487314</v>
      </c>
      <c r="F899" s="5">
        <f>100*('Parameter &lt;x, y&gt;'!G899-B899)/B899</f>
        <v>0</v>
      </c>
      <c r="G899" s="5">
        <f>100*('Parameter &lt;x, y&gt;'!L899-B899)/B899</f>
        <v>0.68679574451639969</v>
      </c>
      <c r="H899" s="5">
        <f>100*('Parameter &lt;x, y&gt;'!Q899-B899)/B899</f>
        <v>1.6363847160342515</v>
      </c>
      <c r="J899" s="5">
        <f>100*('Parameter &lt;x, y&gt;'!D899-C899)/C899</f>
        <v>3.9699237979634501</v>
      </c>
      <c r="K899" s="5">
        <f>100*('Parameter &lt;x, y&gt;'!I899-C899)/C899</f>
        <v>13.959808483377167</v>
      </c>
      <c r="L899" s="5">
        <f>100*('Parameter &lt;x, y&gt;'!N899-C899)/C899</f>
        <v>0</v>
      </c>
      <c r="M899" s="5">
        <f>100*('Parameter &lt;x, y&gt;'!S899-C899)/C899</f>
        <v>4.3704902555802816</v>
      </c>
    </row>
    <row r="900" spans="1:13" ht="12.75" customHeight="1">
      <c r="A900" s="42"/>
      <c r="B900" s="5">
        <f>MIN('Parameter &lt;x, y&gt;'!B900,'Parameter &lt;x, y&gt;'!G900,'Parameter &lt;x, y&gt;'!L900,'Parameter &lt;x, y&gt;'!Q900)</f>
        <v>1678830</v>
      </c>
      <c r="C900" s="5">
        <f>MIN('Parameter &lt;x, y&gt;'!D900,'Parameter &lt;x, y&gt;'!I900,'Parameter &lt;x, y&gt;'!N900,'Parameter &lt;x, y&gt;'!S900)</f>
        <v>1374610</v>
      </c>
      <c r="E900" s="5">
        <f>100*('Parameter &lt;x, y&gt;'!B900-B900)/B900</f>
        <v>0</v>
      </c>
      <c r="F900" s="5">
        <f>100*('Parameter &lt;x, y&gt;'!G900-B900)/B900</f>
        <v>2.1687722997563781</v>
      </c>
      <c r="G900" s="5">
        <f>100*('Parameter &lt;x, y&gt;'!L900-B900)/B900</f>
        <v>1.2484885307029301</v>
      </c>
      <c r="H900" s="5">
        <f>100*('Parameter &lt;x, y&gt;'!Q900-B900)/B900</f>
        <v>5.1821804470970852E-2</v>
      </c>
      <c r="J900" s="5">
        <f>100*('Parameter &lt;x, y&gt;'!D900-C900)/C900</f>
        <v>2.927375764762369</v>
      </c>
      <c r="K900" s="5">
        <f>100*('Parameter &lt;x, y&gt;'!I900-C900)/C900</f>
        <v>14.882039269320025</v>
      </c>
      <c r="L900" s="5">
        <f>100*('Parameter &lt;x, y&gt;'!N900-C900)/C900</f>
        <v>0</v>
      </c>
      <c r="M900" s="5">
        <f>100*('Parameter &lt;x, y&gt;'!S900-C900)/C900</f>
        <v>6.0235266730199841</v>
      </c>
    </row>
    <row r="901" spans="1:13" ht="12.75" customHeight="1">
      <c r="A901" s="42"/>
      <c r="B901" s="5">
        <f>MIN('Parameter &lt;x, y&gt;'!B901,'Parameter &lt;x, y&gt;'!G901,'Parameter &lt;x, y&gt;'!L901,'Parameter &lt;x, y&gt;'!Q901)</f>
        <v>1790330</v>
      </c>
      <c r="C901" s="5">
        <f>MIN('Parameter &lt;x, y&gt;'!D901,'Parameter &lt;x, y&gt;'!I901,'Parameter &lt;x, y&gt;'!N901,'Parameter &lt;x, y&gt;'!S901)</f>
        <v>1520920</v>
      </c>
      <c r="E901" s="5">
        <f>100*('Parameter &lt;x, y&gt;'!B901-B901)/B901</f>
        <v>1.9499198471790118</v>
      </c>
      <c r="F901" s="5">
        <f>100*('Parameter &lt;x, y&gt;'!G901-B901)/B901</f>
        <v>0</v>
      </c>
      <c r="G901" s="5">
        <f>100*('Parameter &lt;x, y&gt;'!L901-B901)/B901</f>
        <v>0.88196030899331412</v>
      </c>
      <c r="H901" s="5">
        <f>100*('Parameter &lt;x, y&gt;'!Q901-B901)/B901</f>
        <v>2.0392888461903671</v>
      </c>
      <c r="J901" s="5">
        <f>100*('Parameter &lt;x, y&gt;'!D901-C901)/C901</f>
        <v>3.2901138784419954</v>
      </c>
      <c r="K901" s="5">
        <f>100*('Parameter &lt;x, y&gt;'!I901-C901)/C901</f>
        <v>13.2216027141467</v>
      </c>
      <c r="L901" s="5">
        <f>100*('Parameter &lt;x, y&gt;'!N901-C901)/C901</f>
        <v>0</v>
      </c>
      <c r="M901" s="5">
        <f>100*('Parameter &lt;x, y&gt;'!S901-C901)/C901</f>
        <v>0.98624516739867973</v>
      </c>
    </row>
    <row r="902" spans="1:13" ht="12.75" customHeight="1">
      <c r="A902" s="42"/>
      <c r="B902" s="5">
        <f>MIN('Parameter &lt;x, y&gt;'!B902,'Parameter &lt;x, y&gt;'!G902,'Parameter &lt;x, y&gt;'!L902,'Parameter &lt;x, y&gt;'!Q902)</f>
        <v>1807750</v>
      </c>
      <c r="C902" s="5">
        <f>MIN('Parameter &lt;x, y&gt;'!D902,'Parameter &lt;x, y&gt;'!I902,'Parameter &lt;x, y&gt;'!N902,'Parameter &lt;x, y&gt;'!S902)</f>
        <v>1414440</v>
      </c>
      <c r="E902" s="5">
        <f>100*('Parameter &lt;x, y&gt;'!B902-B902)/B902</f>
        <v>0</v>
      </c>
      <c r="F902" s="5">
        <f>100*('Parameter &lt;x, y&gt;'!G902-B902)/B902</f>
        <v>1.3386806804038169</v>
      </c>
      <c r="G902" s="5">
        <f>100*('Parameter &lt;x, y&gt;'!L902-B902)/B902</f>
        <v>0.30424560918268567</v>
      </c>
      <c r="H902" s="5">
        <f>100*('Parameter &lt;x, y&gt;'!Q902-B902)/B902</f>
        <v>6.7686350435624396</v>
      </c>
      <c r="J902" s="5">
        <f>100*('Parameter &lt;x, y&gt;'!D902-C902)/C902</f>
        <v>8.1007324453493954</v>
      </c>
      <c r="K902" s="5">
        <f>100*('Parameter &lt;x, y&gt;'!I902-C902)/C902</f>
        <v>17.314272786403098</v>
      </c>
      <c r="L902" s="5">
        <f>100*('Parameter &lt;x, y&gt;'!N902-C902)/C902</f>
        <v>0</v>
      </c>
      <c r="M902" s="5">
        <f>100*('Parameter &lt;x, y&gt;'!S902-C902)/C902</f>
        <v>11.738214417013094</v>
      </c>
    </row>
    <row r="903" spans="1:13" ht="12.75" customHeight="1">
      <c r="A903" s="42"/>
      <c r="B903" s="5">
        <f>MIN('Parameter &lt;x, y&gt;'!B903,'Parameter &lt;x, y&gt;'!G903,'Parameter &lt;x, y&gt;'!L903,'Parameter &lt;x, y&gt;'!Q903)</f>
        <v>1787960</v>
      </c>
      <c r="C903" s="5">
        <f>MIN('Parameter &lt;x, y&gt;'!D903,'Parameter &lt;x, y&gt;'!I903,'Parameter &lt;x, y&gt;'!N903,'Parameter &lt;x, y&gt;'!S903)</f>
        <v>1412490</v>
      </c>
      <c r="E903" s="5">
        <f>100*('Parameter &lt;x, y&gt;'!B903-B903)/B903</f>
        <v>0</v>
      </c>
      <c r="F903" s="5">
        <f>100*('Parameter &lt;x, y&gt;'!G903-B903)/B903</f>
        <v>1.9385221145886933</v>
      </c>
      <c r="G903" s="5">
        <f>100*('Parameter &lt;x, y&gt;'!L903-B903)/B903</f>
        <v>2.2394237007539317</v>
      </c>
      <c r="H903" s="5">
        <f>100*('Parameter &lt;x, y&gt;'!Q903-B903)/B903</f>
        <v>9.5080426855186917E-3</v>
      </c>
      <c r="J903" s="5">
        <f>100*('Parameter &lt;x, y&gt;'!D903-C903)/C903</f>
        <v>7.7359839715679399</v>
      </c>
      <c r="K903" s="5">
        <f>100*('Parameter &lt;x, y&gt;'!I903-C903)/C903</f>
        <v>19.413234783963073</v>
      </c>
      <c r="L903" s="5">
        <f>100*('Parameter &lt;x, y&gt;'!N903-C903)/C903</f>
        <v>0</v>
      </c>
      <c r="M903" s="5">
        <f>100*('Parameter &lt;x, y&gt;'!S903-C903)/C903</f>
        <v>5.2680018973585652</v>
      </c>
    </row>
    <row r="904" spans="1:13" ht="12.75" customHeight="1">
      <c r="A904" s="42"/>
      <c r="B904" s="5">
        <f>MIN('Parameter &lt;x, y&gt;'!B904,'Parameter &lt;x, y&gt;'!G904,'Parameter &lt;x, y&gt;'!L904,'Parameter &lt;x, y&gt;'!Q904)</f>
        <v>1921940</v>
      </c>
      <c r="C904" s="5">
        <f>MIN('Parameter &lt;x, y&gt;'!D904,'Parameter &lt;x, y&gt;'!I904,'Parameter &lt;x, y&gt;'!N904,'Parameter &lt;x, y&gt;'!S904)</f>
        <v>1603630</v>
      </c>
      <c r="E904" s="5">
        <f>100*('Parameter &lt;x, y&gt;'!B904-B904)/B904</f>
        <v>3.1967699303828425</v>
      </c>
      <c r="F904" s="5">
        <f>100*('Parameter &lt;x, y&gt;'!G904-B904)/B904</f>
        <v>0</v>
      </c>
      <c r="G904" s="5">
        <f>100*('Parameter &lt;x, y&gt;'!L904-B904)/B904</f>
        <v>2.3705214522825893</v>
      </c>
      <c r="H904" s="5">
        <f>100*('Parameter &lt;x, y&gt;'!Q904-B904)/B904</f>
        <v>3.1764779337544358</v>
      </c>
      <c r="J904" s="5">
        <f>100*('Parameter &lt;x, y&gt;'!D904-C904)/C904</f>
        <v>11.399138205196959</v>
      </c>
      <c r="K904" s="5">
        <f>100*('Parameter &lt;x, y&gt;'!I904-C904)/C904</f>
        <v>8.9827453963819579</v>
      </c>
      <c r="L904" s="5">
        <f>100*('Parameter &lt;x, y&gt;'!N904-C904)/C904</f>
        <v>0</v>
      </c>
      <c r="M904" s="5">
        <f>100*('Parameter &lt;x, y&gt;'!S904-C904)/C904</f>
        <v>4.77728653118238</v>
      </c>
    </row>
    <row r="905" spans="1:13" ht="12.75" customHeight="1">
      <c r="A905" s="42"/>
      <c r="B905" s="5">
        <f>MIN('Parameter &lt;x, y&gt;'!B905,'Parameter &lt;x, y&gt;'!G905,'Parameter &lt;x, y&gt;'!L905,'Parameter &lt;x, y&gt;'!Q905)</f>
        <v>1708480</v>
      </c>
      <c r="C905" s="5">
        <f>MIN('Parameter &lt;x, y&gt;'!D905,'Parameter &lt;x, y&gt;'!I905,'Parameter &lt;x, y&gt;'!N905,'Parameter &lt;x, y&gt;'!S905)</f>
        <v>1466400</v>
      </c>
      <c r="E905" s="5">
        <f>100*('Parameter &lt;x, y&gt;'!B905-B905)/B905</f>
        <v>0</v>
      </c>
      <c r="F905" s="5">
        <f>100*('Parameter &lt;x, y&gt;'!G905-B905)/B905</f>
        <v>1.4223169132796403</v>
      </c>
      <c r="G905" s="5">
        <f>100*('Parameter &lt;x, y&gt;'!L905-B905)/B905</f>
        <v>5.8859336954485855</v>
      </c>
      <c r="H905" s="5">
        <f>100*('Parameter &lt;x, y&gt;'!Q905-B905)/B905</f>
        <v>3.2865471061996629</v>
      </c>
      <c r="J905" s="5">
        <f>100*('Parameter &lt;x, y&gt;'!D905-C905)/C905</f>
        <v>3.7915984724495364</v>
      </c>
      <c r="K905" s="5">
        <f>100*('Parameter &lt;x, y&gt;'!I905-C905)/C905</f>
        <v>9.0132296781232952</v>
      </c>
      <c r="L905" s="5">
        <f>100*('Parameter &lt;x, y&gt;'!N905-C905)/C905</f>
        <v>4.4578559738134205</v>
      </c>
      <c r="M905" s="5">
        <f>100*('Parameter &lt;x, y&gt;'!S905-C905)/C905</f>
        <v>0</v>
      </c>
    </row>
    <row r="906" spans="1:13" ht="12.75" customHeight="1">
      <c r="A906" s="42"/>
      <c r="B906" s="5">
        <f>MIN('Parameter &lt;x, y&gt;'!B906,'Parameter &lt;x, y&gt;'!G906,'Parameter &lt;x, y&gt;'!L906,'Parameter &lt;x, y&gt;'!Q906)</f>
        <v>1986690</v>
      </c>
      <c r="C906" s="5">
        <f>MIN('Parameter &lt;x, y&gt;'!D906,'Parameter &lt;x, y&gt;'!I906,'Parameter &lt;x, y&gt;'!N906,'Parameter &lt;x, y&gt;'!S906)</f>
        <v>1592920</v>
      </c>
      <c r="E906" s="5">
        <f>100*('Parameter &lt;x, y&gt;'!B906-B906)/B906</f>
        <v>0</v>
      </c>
      <c r="F906" s="5">
        <f>100*('Parameter &lt;x, y&gt;'!G906-B906)/B906</f>
        <v>3.5063346571432885</v>
      </c>
      <c r="G906" s="5">
        <f>100*('Parameter &lt;x, y&gt;'!L906-B906)/B906</f>
        <v>1.3414271980027079</v>
      </c>
      <c r="H906" s="5">
        <f>100*('Parameter &lt;x, y&gt;'!Q906-B906)/B906</f>
        <v>0.19026622170544977</v>
      </c>
      <c r="J906" s="5">
        <f>100*('Parameter &lt;x, y&gt;'!D906-C906)/C906</f>
        <v>12.381663862591969</v>
      </c>
      <c r="K906" s="5">
        <f>100*('Parameter &lt;x, y&gt;'!I906-C906)/C906</f>
        <v>10.339502297667178</v>
      </c>
      <c r="L906" s="5">
        <f>100*('Parameter &lt;x, y&gt;'!N906-C906)/C906</f>
        <v>0</v>
      </c>
      <c r="M906" s="5">
        <f>100*('Parameter &lt;x, y&gt;'!S906-C906)/C906</f>
        <v>5.1980011551113678</v>
      </c>
    </row>
    <row r="907" spans="1:13" ht="12.75" customHeight="1">
      <c r="A907" s="42"/>
      <c r="B907" s="5">
        <f>MIN('Parameter &lt;x, y&gt;'!B907,'Parameter &lt;x, y&gt;'!G907,'Parameter &lt;x, y&gt;'!L907,'Parameter &lt;x, y&gt;'!Q907)</f>
        <v>1899640</v>
      </c>
      <c r="C907" s="5">
        <f>MIN('Parameter &lt;x, y&gt;'!D907,'Parameter &lt;x, y&gt;'!I907,'Parameter &lt;x, y&gt;'!N907,'Parameter &lt;x, y&gt;'!S907)</f>
        <v>1558360</v>
      </c>
      <c r="E907" s="5">
        <f>100*('Parameter &lt;x, y&gt;'!B907-B907)/B907</f>
        <v>0.73961382156619149</v>
      </c>
      <c r="F907" s="5">
        <f>100*('Parameter &lt;x, y&gt;'!G907-B907)/B907</f>
        <v>1.7413825777515739</v>
      </c>
      <c r="G907" s="5">
        <f>100*('Parameter &lt;x, y&gt;'!L907-B907)/B907</f>
        <v>2.6952475205828472</v>
      </c>
      <c r="H907" s="5">
        <f>100*('Parameter &lt;x, y&gt;'!Q907-B907)/B907</f>
        <v>0</v>
      </c>
      <c r="J907" s="5">
        <f>100*('Parameter &lt;x, y&gt;'!D907-C907)/C907</f>
        <v>6.8687594650786723</v>
      </c>
      <c r="K907" s="5">
        <f>100*('Parameter &lt;x, y&gt;'!I907-C907)/C907</f>
        <v>5.0136040452783694</v>
      </c>
      <c r="L907" s="5">
        <f>100*('Parameter &lt;x, y&gt;'!N907-C907)/C907</f>
        <v>0</v>
      </c>
      <c r="M907" s="5">
        <f>100*('Parameter &lt;x, y&gt;'!S907-C907)/C907</f>
        <v>5.331887368772299</v>
      </c>
    </row>
    <row r="908" spans="1:13" ht="12.75" customHeight="1">
      <c r="A908" s="42"/>
      <c r="B908" s="5">
        <f>MIN('Parameter &lt;x, y&gt;'!B908,'Parameter &lt;x, y&gt;'!G908,'Parameter &lt;x, y&gt;'!L908,'Parameter &lt;x, y&gt;'!Q908)</f>
        <v>1915460</v>
      </c>
      <c r="C908" s="5">
        <f>MIN('Parameter &lt;x, y&gt;'!D908,'Parameter &lt;x, y&gt;'!I908,'Parameter &lt;x, y&gt;'!N908,'Parameter &lt;x, y&gt;'!S908)</f>
        <v>1592680</v>
      </c>
      <c r="E908" s="5">
        <f>100*('Parameter &lt;x, y&gt;'!B908-B908)/B908</f>
        <v>1.3840017541478287</v>
      </c>
      <c r="F908" s="5">
        <f>100*('Parameter &lt;x, y&gt;'!G908-B908)/B908</f>
        <v>0</v>
      </c>
      <c r="G908" s="5">
        <f>100*('Parameter &lt;x, y&gt;'!L908-B908)/B908</f>
        <v>1.4048844663944953</v>
      </c>
      <c r="H908" s="5">
        <f>100*('Parameter &lt;x, y&gt;'!Q908-B908)/B908</f>
        <v>1.6288515552399945</v>
      </c>
      <c r="J908" s="5">
        <f>100*('Parameter &lt;x, y&gt;'!D908-C908)/C908</f>
        <v>11.70542733003491</v>
      </c>
      <c r="K908" s="5">
        <f>100*('Parameter &lt;x, y&gt;'!I908-C908)/C908</f>
        <v>17.056784790416152</v>
      </c>
      <c r="L908" s="5">
        <f>100*('Parameter &lt;x, y&gt;'!N908-C908)/C908</f>
        <v>0</v>
      </c>
      <c r="M908" s="5">
        <f>100*('Parameter &lt;x, y&gt;'!S908-C908)/C908</f>
        <v>4.6280483210688903</v>
      </c>
    </row>
    <row r="909" spans="1:13" ht="12.75" customHeight="1">
      <c r="A909" s="42"/>
      <c r="B909" s="5">
        <f>MIN('Parameter &lt;x, y&gt;'!B909,'Parameter &lt;x, y&gt;'!G909,'Parameter &lt;x, y&gt;'!L909,'Parameter &lt;x, y&gt;'!Q909)</f>
        <v>1867770</v>
      </c>
      <c r="C909" s="5">
        <f>MIN('Parameter &lt;x, y&gt;'!D909,'Parameter &lt;x, y&gt;'!I909,'Parameter &lt;x, y&gt;'!N909,'Parameter &lt;x, y&gt;'!S909)</f>
        <v>1488260</v>
      </c>
      <c r="E909" s="5">
        <f>100*('Parameter &lt;x, y&gt;'!B909-B909)/B909</f>
        <v>0</v>
      </c>
      <c r="F909" s="5">
        <f>100*('Parameter &lt;x, y&gt;'!G909-B909)/B909</f>
        <v>6.0184069773044859</v>
      </c>
      <c r="G909" s="5">
        <f>100*('Parameter &lt;x, y&gt;'!L909-B909)/B909</f>
        <v>0.89786215647536904</v>
      </c>
      <c r="H909" s="5">
        <f>100*('Parameter &lt;x, y&gt;'!Q909-B909)/B909</f>
        <v>0.31481392248510254</v>
      </c>
      <c r="J909" s="5">
        <f>100*('Parameter &lt;x, y&gt;'!D909-C909)/C909</f>
        <v>9.3357343474930463</v>
      </c>
      <c r="K909" s="5">
        <f>100*('Parameter &lt;x, y&gt;'!I909-C909)/C909</f>
        <v>4.4333651378119416</v>
      </c>
      <c r="L909" s="5">
        <f>100*('Parameter &lt;x, y&gt;'!N909-C909)/C909</f>
        <v>0</v>
      </c>
      <c r="M909" s="5">
        <f>100*('Parameter &lt;x, y&gt;'!S909-C909)/C909</f>
        <v>2.9652076922043191</v>
      </c>
    </row>
    <row r="910" spans="1:13" ht="12.75" customHeight="1">
      <c r="A910" s="42"/>
      <c r="B910" s="5">
        <f>MIN('Parameter &lt;x, y&gt;'!B910,'Parameter &lt;x, y&gt;'!G910,'Parameter &lt;x, y&gt;'!L910,'Parameter &lt;x, y&gt;'!Q910)</f>
        <v>1821540</v>
      </c>
      <c r="C910" s="5">
        <f>MIN('Parameter &lt;x, y&gt;'!D910,'Parameter &lt;x, y&gt;'!I910,'Parameter &lt;x, y&gt;'!N910,'Parameter &lt;x, y&gt;'!S910)</f>
        <v>1410570</v>
      </c>
      <c r="E910" s="5">
        <f>100*('Parameter &lt;x, y&gt;'!B910-B910)/B910</f>
        <v>3.0885953643620234</v>
      </c>
      <c r="F910" s="5">
        <f>100*('Parameter &lt;x, y&gt;'!G910-B910)/B910</f>
        <v>1.0557001218748971</v>
      </c>
      <c r="G910" s="5">
        <f>100*('Parameter &lt;x, y&gt;'!L910-B910)/B910</f>
        <v>0</v>
      </c>
      <c r="H910" s="5">
        <f>100*('Parameter &lt;x, y&gt;'!Q910-B910)/B910</f>
        <v>0.75760071148588559</v>
      </c>
      <c r="J910" s="5">
        <f>100*('Parameter &lt;x, y&gt;'!D910-C910)/C910</f>
        <v>13.934792317999106</v>
      </c>
      <c r="K910" s="5">
        <f>100*('Parameter &lt;x, y&gt;'!I910-C910)/C910</f>
        <v>12.275888470618261</v>
      </c>
      <c r="L910" s="5">
        <f>100*('Parameter &lt;x, y&gt;'!N910-C910)/C910</f>
        <v>0</v>
      </c>
      <c r="M910" s="5">
        <f>100*('Parameter &lt;x, y&gt;'!S910-C910)/C910</f>
        <v>9.4997057926937334</v>
      </c>
    </row>
    <row r="911" spans="1:13" ht="12.75" customHeight="1">
      <c r="A911" s="42"/>
      <c r="B911" s="5">
        <f>MIN('Parameter &lt;x, y&gt;'!B911,'Parameter &lt;x, y&gt;'!G911,'Parameter &lt;x, y&gt;'!L911,'Parameter &lt;x, y&gt;'!Q911)</f>
        <v>1996000</v>
      </c>
      <c r="C911" s="5">
        <f>MIN('Parameter &lt;x, y&gt;'!D911,'Parameter &lt;x, y&gt;'!I911,'Parameter &lt;x, y&gt;'!N911,'Parameter &lt;x, y&gt;'!S911)</f>
        <v>1632570</v>
      </c>
      <c r="E911" s="5">
        <f>100*('Parameter &lt;x, y&gt;'!B911-B911)/B911</f>
        <v>2.1968937875751502</v>
      </c>
      <c r="F911" s="5">
        <f>100*('Parameter &lt;x, y&gt;'!G911-B911)/B911</f>
        <v>3.405811623246493</v>
      </c>
      <c r="G911" s="5">
        <f>100*('Parameter &lt;x, y&gt;'!L911-B911)/B911</f>
        <v>0</v>
      </c>
      <c r="H911" s="5">
        <f>100*('Parameter &lt;x, y&gt;'!Q911-B911)/B911</f>
        <v>0.89078156312625245</v>
      </c>
      <c r="J911" s="5">
        <f>100*('Parameter &lt;x, y&gt;'!D911-C911)/C911</f>
        <v>5.0938091475403811</v>
      </c>
      <c r="K911" s="5">
        <f>100*('Parameter &lt;x, y&gt;'!I911-C911)/C911</f>
        <v>15.893346073981514</v>
      </c>
      <c r="L911" s="5">
        <f>100*('Parameter &lt;x, y&gt;'!N911-C911)/C911</f>
        <v>0</v>
      </c>
      <c r="M911" s="5">
        <f>100*('Parameter &lt;x, y&gt;'!S911-C911)/C911</f>
        <v>2.5793687253839037</v>
      </c>
    </row>
    <row r="912" spans="1:13" ht="12.75" customHeight="1">
      <c r="A912" s="42"/>
      <c r="B912" s="5">
        <f>MIN('Parameter &lt;x, y&gt;'!B912,'Parameter &lt;x, y&gt;'!G912,'Parameter &lt;x, y&gt;'!L912,'Parameter &lt;x, y&gt;'!Q912)</f>
        <v>1850760</v>
      </c>
      <c r="C912" s="5">
        <f>MIN('Parameter &lt;x, y&gt;'!D912,'Parameter &lt;x, y&gt;'!I912,'Parameter &lt;x, y&gt;'!N912,'Parameter &lt;x, y&gt;'!S912)</f>
        <v>1453860</v>
      </c>
      <c r="E912" s="5">
        <f>100*('Parameter &lt;x, y&gt;'!B912-B912)/B912</f>
        <v>1.5550368497265987</v>
      </c>
      <c r="F912" s="5">
        <f>100*('Parameter &lt;x, y&gt;'!G912-B912)/B912</f>
        <v>0</v>
      </c>
      <c r="G912" s="5">
        <f>100*('Parameter &lt;x, y&gt;'!L912-B912)/B912</f>
        <v>1.4437312239296289</v>
      </c>
      <c r="H912" s="5">
        <f>100*('Parameter &lt;x, y&gt;'!Q912-B912)/B912</f>
        <v>12.118264929002139</v>
      </c>
      <c r="J912" s="5">
        <f>100*('Parameter &lt;x, y&gt;'!D912-C912)/C912</f>
        <v>11.024445269833409</v>
      </c>
      <c r="K912" s="5">
        <f>100*('Parameter &lt;x, y&gt;'!I912-C912)/C912</f>
        <v>13.70283245979668</v>
      </c>
      <c r="L912" s="5">
        <f>100*('Parameter &lt;x, y&gt;'!N912-C912)/C912</f>
        <v>0</v>
      </c>
      <c r="M912" s="5">
        <f>100*('Parameter &lt;x, y&gt;'!S912-C912)/C912</f>
        <v>10.681908849545348</v>
      </c>
    </row>
    <row r="913" spans="1:13" ht="12.75" customHeight="1">
      <c r="A913" s="42"/>
      <c r="B913" s="5">
        <f>MIN('Parameter &lt;x, y&gt;'!B913,'Parameter &lt;x, y&gt;'!G913,'Parameter &lt;x, y&gt;'!L913,'Parameter &lt;x, y&gt;'!Q913)</f>
        <v>2063910</v>
      </c>
      <c r="C913" s="5">
        <f>MIN('Parameter &lt;x, y&gt;'!D913,'Parameter &lt;x, y&gt;'!I913,'Parameter &lt;x, y&gt;'!N913,'Parameter &lt;x, y&gt;'!S913)</f>
        <v>1747960</v>
      </c>
      <c r="E913" s="5">
        <f>100*('Parameter &lt;x, y&gt;'!B913-B913)/B913</f>
        <v>1.7219743108953394</v>
      </c>
      <c r="F913" s="5">
        <f>100*('Parameter &lt;x, y&gt;'!G913-B913)/B913</f>
        <v>1.7035626553483436</v>
      </c>
      <c r="G913" s="5">
        <f>100*('Parameter &lt;x, y&gt;'!L913-B913)/B913</f>
        <v>0.76263015344661345</v>
      </c>
      <c r="H913" s="5">
        <f>100*('Parameter &lt;x, y&gt;'!Q913-B913)/B913</f>
        <v>0</v>
      </c>
      <c r="J913" s="5">
        <f>100*('Parameter &lt;x, y&gt;'!D913-C913)/C913</f>
        <v>6.8903178562438496</v>
      </c>
      <c r="K913" s="5">
        <f>100*('Parameter &lt;x, y&gt;'!I913-C913)/C913</f>
        <v>11.680473237373853</v>
      </c>
      <c r="L913" s="5">
        <f>100*('Parameter &lt;x, y&gt;'!N913-C913)/C913</f>
        <v>0</v>
      </c>
      <c r="M913" s="5">
        <f>100*('Parameter &lt;x, y&gt;'!S913-C913)/C913</f>
        <v>2.9817615963752031</v>
      </c>
    </row>
    <row r="914" spans="1:13" ht="12.75" customHeight="1">
      <c r="A914" s="42"/>
      <c r="B914" s="5">
        <f>MIN('Parameter &lt;x, y&gt;'!B914,'Parameter &lt;x, y&gt;'!G914,'Parameter &lt;x, y&gt;'!L914,'Parameter &lt;x, y&gt;'!Q914)</f>
        <v>1817940</v>
      </c>
      <c r="C914" s="5">
        <f>MIN('Parameter &lt;x, y&gt;'!D914,'Parameter &lt;x, y&gt;'!I914,'Parameter &lt;x, y&gt;'!N914,'Parameter &lt;x, y&gt;'!S914)</f>
        <v>1480760</v>
      </c>
      <c r="E914" s="5">
        <f>100*('Parameter &lt;x, y&gt;'!B914-B914)/B914</f>
        <v>1.2701189258171337</v>
      </c>
      <c r="F914" s="5">
        <f>100*('Parameter &lt;x, y&gt;'!G914-B914)/B914</f>
        <v>0</v>
      </c>
      <c r="G914" s="5">
        <f>100*('Parameter &lt;x, y&gt;'!L914-B914)/B914</f>
        <v>4.180556013949855E-2</v>
      </c>
      <c r="H914" s="5">
        <f>100*('Parameter &lt;x, y&gt;'!Q914-B914)/B914</f>
        <v>0.78880491105317008</v>
      </c>
      <c r="J914" s="5">
        <f>100*('Parameter &lt;x, y&gt;'!D914-C914)/C914</f>
        <v>7.1321483562494938</v>
      </c>
      <c r="K914" s="5">
        <f>100*('Parameter &lt;x, y&gt;'!I914-C914)/C914</f>
        <v>11.838515356978849</v>
      </c>
      <c r="L914" s="5">
        <f>100*('Parameter &lt;x, y&gt;'!N914-C914)/C914</f>
        <v>0</v>
      </c>
      <c r="M914" s="5">
        <f>100*('Parameter &lt;x, y&gt;'!S914-C914)/C914</f>
        <v>2.6743023852616226</v>
      </c>
    </row>
    <row r="915" spans="1:13" ht="12.75" customHeight="1">
      <c r="A915" s="42"/>
      <c r="B915" s="5">
        <f>MIN('Parameter &lt;x, y&gt;'!B915,'Parameter &lt;x, y&gt;'!G915,'Parameter &lt;x, y&gt;'!L915,'Parameter &lt;x, y&gt;'!Q915)</f>
        <v>1863580</v>
      </c>
      <c r="C915" s="5">
        <f>MIN('Parameter &lt;x, y&gt;'!D915,'Parameter &lt;x, y&gt;'!I915,'Parameter &lt;x, y&gt;'!N915,'Parameter &lt;x, y&gt;'!S915)</f>
        <v>1463840</v>
      </c>
      <c r="E915" s="5">
        <f>100*('Parameter &lt;x, y&gt;'!B915-B915)/B915</f>
        <v>0.41586623595445327</v>
      </c>
      <c r="F915" s="5">
        <f>100*('Parameter &lt;x, y&gt;'!G915-B915)/B915</f>
        <v>0.74963242790757578</v>
      </c>
      <c r="G915" s="5">
        <f>100*('Parameter &lt;x, y&gt;'!L915-B915)/B915</f>
        <v>0</v>
      </c>
      <c r="H915" s="5">
        <f>100*('Parameter &lt;x, y&gt;'!Q915-B915)/B915</f>
        <v>8.1885403363418803</v>
      </c>
      <c r="J915" s="5">
        <f>100*('Parameter &lt;x, y&gt;'!D915-C915)/C915</f>
        <v>9.5037709039239253</v>
      </c>
      <c r="K915" s="5">
        <f>100*('Parameter &lt;x, y&gt;'!I915-C915)/C915</f>
        <v>18.501338944146902</v>
      </c>
      <c r="L915" s="5">
        <f>100*('Parameter &lt;x, y&gt;'!N915-C915)/C915</f>
        <v>0</v>
      </c>
      <c r="M915" s="5">
        <f>100*('Parameter &lt;x, y&gt;'!S915-C915)/C915</f>
        <v>5.3182041753197069</v>
      </c>
    </row>
    <row r="916" spans="1:13" ht="12.75" customHeight="1">
      <c r="A916" s="42"/>
      <c r="B916" s="5">
        <f>MIN('Parameter &lt;x, y&gt;'!B916,'Parameter &lt;x, y&gt;'!G916,'Parameter &lt;x, y&gt;'!L916,'Parameter &lt;x, y&gt;'!Q916)</f>
        <v>1767270</v>
      </c>
      <c r="C916" s="5">
        <f>MIN('Parameter &lt;x, y&gt;'!D916,'Parameter &lt;x, y&gt;'!I916,'Parameter &lt;x, y&gt;'!N916,'Parameter &lt;x, y&gt;'!S916)</f>
        <v>1333670</v>
      </c>
      <c r="E916" s="5">
        <f>100*('Parameter &lt;x, y&gt;'!B916-B916)/B916</f>
        <v>1.7558154667934158</v>
      </c>
      <c r="F916" s="5">
        <f>100*('Parameter &lt;x, y&gt;'!G916-B916)/B916</f>
        <v>0.95571135140640651</v>
      </c>
      <c r="G916" s="5">
        <f>100*('Parameter &lt;x, y&gt;'!L916-B916)/B916</f>
        <v>0</v>
      </c>
      <c r="H916" s="5">
        <f>100*('Parameter &lt;x, y&gt;'!Q916-B916)/B916</f>
        <v>1.4383767053138456</v>
      </c>
      <c r="J916" s="5">
        <f>100*('Parameter &lt;x, y&gt;'!D916-C916)/C916</f>
        <v>17.549318797003757</v>
      </c>
      <c r="K916" s="5">
        <f>100*('Parameter &lt;x, y&gt;'!I916-C916)/C916</f>
        <v>15.599811047710453</v>
      </c>
      <c r="L916" s="5">
        <f>100*('Parameter &lt;x, y&gt;'!N916-C916)/C916</f>
        <v>0</v>
      </c>
      <c r="M916" s="5">
        <f>100*('Parameter &lt;x, y&gt;'!S916-C916)/C916</f>
        <v>7.1074553675197016</v>
      </c>
    </row>
    <row r="917" spans="1:13" ht="12.75" customHeight="1">
      <c r="A917" s="42"/>
      <c r="B917" s="5">
        <f>MIN('Parameter &lt;x, y&gt;'!B917,'Parameter &lt;x, y&gt;'!G917,'Parameter &lt;x, y&gt;'!L917,'Parameter &lt;x, y&gt;'!Q917)</f>
        <v>1829650</v>
      </c>
      <c r="C917" s="5">
        <f>MIN('Parameter &lt;x, y&gt;'!D917,'Parameter &lt;x, y&gt;'!I917,'Parameter &lt;x, y&gt;'!N917,'Parameter &lt;x, y&gt;'!S917)</f>
        <v>1520190</v>
      </c>
      <c r="E917" s="5">
        <f>100*('Parameter &lt;x, y&gt;'!B917-B917)/B917</f>
        <v>0</v>
      </c>
      <c r="F917" s="5">
        <f>100*('Parameter &lt;x, y&gt;'!G917-B917)/B917</f>
        <v>2.2277484764845736</v>
      </c>
      <c r="G917" s="5">
        <f>100*('Parameter &lt;x, y&gt;'!L917-B917)/B917</f>
        <v>0.14811575984477907</v>
      </c>
      <c r="H917" s="5">
        <f>100*('Parameter &lt;x, y&gt;'!Q917-B917)/B917</f>
        <v>3.1377585877080314</v>
      </c>
      <c r="J917" s="5">
        <f>100*('Parameter &lt;x, y&gt;'!D917-C917)/C917</f>
        <v>0</v>
      </c>
      <c r="K917" s="5">
        <f>100*('Parameter &lt;x, y&gt;'!I917-C917)/C917</f>
        <v>9.6224814003512726</v>
      </c>
      <c r="L917" s="5">
        <f>100*('Parameter &lt;x, y&gt;'!N917-C917)/C917</f>
        <v>0.7689828245153566</v>
      </c>
      <c r="M917" s="5">
        <f>100*('Parameter &lt;x, y&gt;'!S917-C917)/C917</f>
        <v>5.3460422710319104</v>
      </c>
    </row>
    <row r="918" spans="1:13" ht="12.75" customHeight="1">
      <c r="A918" s="42"/>
      <c r="B918" s="5">
        <f>MIN('Parameter &lt;x, y&gt;'!B918,'Parameter &lt;x, y&gt;'!G918,'Parameter &lt;x, y&gt;'!L918,'Parameter &lt;x, y&gt;'!Q918)</f>
        <v>1576240</v>
      </c>
      <c r="C918" s="5">
        <f>MIN('Parameter &lt;x, y&gt;'!D918,'Parameter &lt;x, y&gt;'!I918,'Parameter &lt;x, y&gt;'!N918,'Parameter &lt;x, y&gt;'!S918)</f>
        <v>1351010</v>
      </c>
      <c r="E918" s="5">
        <f>100*('Parameter &lt;x, y&gt;'!B918-B918)/B918</f>
        <v>3.6136628939755369</v>
      </c>
      <c r="F918" s="5">
        <f>100*('Parameter &lt;x, y&gt;'!G918-B918)/B918</f>
        <v>4.0266710653200022</v>
      </c>
      <c r="G918" s="5">
        <f>100*('Parameter &lt;x, y&gt;'!L918-B918)/B918</f>
        <v>0</v>
      </c>
      <c r="H918" s="5">
        <f>100*('Parameter &lt;x, y&gt;'!Q918-B918)/B918</f>
        <v>2.1272141298279448</v>
      </c>
      <c r="J918" s="5">
        <f>100*('Parameter &lt;x, y&gt;'!D918-C918)/C918</f>
        <v>6.4958808595051112</v>
      </c>
      <c r="K918" s="5">
        <f>100*('Parameter &lt;x, y&gt;'!I918-C918)/C918</f>
        <v>6.2582808417406239</v>
      </c>
      <c r="L918" s="5">
        <f>100*('Parameter &lt;x, y&gt;'!N918-C918)/C918</f>
        <v>0</v>
      </c>
      <c r="M918" s="5">
        <f>100*('Parameter &lt;x, y&gt;'!S918-C918)/C918</f>
        <v>8.8607782325815503</v>
      </c>
    </row>
    <row r="919" spans="1:13" ht="12.75" customHeight="1">
      <c r="A919" s="42"/>
      <c r="B919" s="5">
        <f>MIN('Parameter &lt;x, y&gt;'!B919,'Parameter &lt;x, y&gt;'!G919,'Parameter &lt;x, y&gt;'!L919,'Parameter &lt;x, y&gt;'!Q919)</f>
        <v>1510930</v>
      </c>
      <c r="C919" s="5">
        <f>MIN('Parameter &lt;x, y&gt;'!D919,'Parameter &lt;x, y&gt;'!I919,'Parameter &lt;x, y&gt;'!N919,'Parameter &lt;x, y&gt;'!S919)</f>
        <v>1223110</v>
      </c>
      <c r="E919" s="5">
        <f>100*('Parameter &lt;x, y&gt;'!B919-B919)/B919</f>
        <v>6.272295870755098</v>
      </c>
      <c r="F919" s="5">
        <f>100*('Parameter &lt;x, y&gt;'!G919-B919)/B919</f>
        <v>0</v>
      </c>
      <c r="G919" s="5">
        <f>100*('Parameter &lt;x, y&gt;'!L919-B919)/B919</f>
        <v>0.50035408655596225</v>
      </c>
      <c r="H919" s="5">
        <f>100*('Parameter &lt;x, y&gt;'!Q919-B919)/B919</f>
        <v>0.79818389998213024</v>
      </c>
      <c r="J919" s="5">
        <f>100*('Parameter &lt;x, y&gt;'!D919-C919)/C919</f>
        <v>7.2691744814448418</v>
      </c>
      <c r="K919" s="5">
        <f>100*('Parameter &lt;x, y&gt;'!I919-C919)/C919</f>
        <v>10.210855932826973</v>
      </c>
      <c r="L919" s="5">
        <f>100*('Parameter &lt;x, y&gt;'!N919-C919)/C919</f>
        <v>0</v>
      </c>
      <c r="M919" s="5">
        <f>100*('Parameter &lt;x, y&gt;'!S919-C919)/C919</f>
        <v>5.5538749580986178</v>
      </c>
    </row>
    <row r="920" spans="1:13" ht="12.75" customHeight="1">
      <c r="A920" s="42"/>
      <c r="B920" s="5">
        <f>MIN('Parameter &lt;x, y&gt;'!B920,'Parameter &lt;x, y&gt;'!G920,'Parameter &lt;x, y&gt;'!L920,'Parameter &lt;x, y&gt;'!Q920)</f>
        <v>1680900</v>
      </c>
      <c r="C920" s="5">
        <f>MIN('Parameter &lt;x, y&gt;'!D920,'Parameter &lt;x, y&gt;'!I920,'Parameter &lt;x, y&gt;'!N920,'Parameter &lt;x, y&gt;'!S920)</f>
        <v>1411450</v>
      </c>
      <c r="E920" s="5">
        <f>100*('Parameter &lt;x, y&gt;'!B920-B920)/B920</f>
        <v>1.8930334939615683</v>
      </c>
      <c r="F920" s="5">
        <f>100*('Parameter &lt;x, y&gt;'!G920-B920)/B920</f>
        <v>0</v>
      </c>
      <c r="G920" s="5">
        <f>100*('Parameter &lt;x, y&gt;'!L920-B920)/B920</f>
        <v>1.8079600214170979</v>
      </c>
      <c r="H920" s="5">
        <f>100*('Parameter &lt;x, y&gt;'!Q920-B920)/B920</f>
        <v>0.80492593253614131</v>
      </c>
      <c r="J920" s="5">
        <f>100*('Parameter &lt;x, y&gt;'!D920-C920)/C920</f>
        <v>16.829501576393071</v>
      </c>
      <c r="K920" s="5">
        <f>100*('Parameter &lt;x, y&gt;'!I920-C920)/C920</f>
        <v>11.436466045555989</v>
      </c>
      <c r="L920" s="5">
        <f>100*('Parameter &lt;x, y&gt;'!N920-C920)/C920</f>
        <v>0</v>
      </c>
      <c r="M920" s="5">
        <f>100*('Parameter &lt;x, y&gt;'!S920-C920)/C920</f>
        <v>10.340430054199581</v>
      </c>
    </row>
    <row r="921" spans="1:13" ht="12.75" customHeight="1">
      <c r="A921" s="42"/>
      <c r="B921" s="5">
        <f>MIN('Parameter &lt;x, y&gt;'!B921,'Parameter &lt;x, y&gt;'!G921,'Parameter &lt;x, y&gt;'!L921,'Parameter &lt;x, y&gt;'!Q921)</f>
        <v>1791560</v>
      </c>
      <c r="C921" s="5">
        <f>MIN('Parameter &lt;x, y&gt;'!D921,'Parameter &lt;x, y&gt;'!I921,'Parameter &lt;x, y&gt;'!N921,'Parameter &lt;x, y&gt;'!S921)</f>
        <v>1478560</v>
      </c>
      <c r="E921" s="5">
        <f>100*('Parameter &lt;x, y&gt;'!B921-B921)/B921</f>
        <v>1.0236888521735248</v>
      </c>
      <c r="F921" s="5">
        <f>100*('Parameter &lt;x, y&gt;'!G921-B921)/B921</f>
        <v>2.4833106343075309</v>
      </c>
      <c r="G921" s="5">
        <f>100*('Parameter &lt;x, y&gt;'!L921-B921)/B921</f>
        <v>0.41583871039764225</v>
      </c>
      <c r="H921" s="5">
        <f>100*('Parameter &lt;x, y&gt;'!Q921-B921)/B921</f>
        <v>0</v>
      </c>
      <c r="J921" s="5">
        <f>100*('Parameter &lt;x, y&gt;'!D921-C921)/C921</f>
        <v>3.8625419326912671</v>
      </c>
      <c r="K921" s="5">
        <f>100*('Parameter &lt;x, y&gt;'!I921-C921)/C921</f>
        <v>10.539984850124446</v>
      </c>
      <c r="L921" s="5">
        <f>100*('Parameter &lt;x, y&gt;'!N921-C921)/C921</f>
        <v>0</v>
      </c>
      <c r="M921" s="5">
        <f>100*('Parameter &lt;x, y&gt;'!S921-C921)/C921</f>
        <v>2.0810788875662807</v>
      </c>
    </row>
    <row r="922" spans="1:13" ht="12.75" customHeight="1">
      <c r="A922" s="42"/>
      <c r="B922" s="5">
        <f>MIN('Parameter &lt;x, y&gt;'!B922,'Parameter &lt;x, y&gt;'!G922,'Parameter &lt;x, y&gt;'!L922,'Parameter &lt;x, y&gt;'!Q922)</f>
        <v>1740050</v>
      </c>
      <c r="C922" s="5">
        <f>MIN('Parameter &lt;x, y&gt;'!D922,'Parameter &lt;x, y&gt;'!I922,'Parameter &lt;x, y&gt;'!N922,'Parameter &lt;x, y&gt;'!S922)</f>
        <v>1385710</v>
      </c>
      <c r="E922" s="5">
        <f>100*('Parameter &lt;x, y&gt;'!B922-B922)/B922</f>
        <v>0</v>
      </c>
      <c r="F922" s="5">
        <f>100*('Parameter &lt;x, y&gt;'!G922-B922)/B922</f>
        <v>2.5344099307491166</v>
      </c>
      <c r="G922" s="5">
        <f>100*('Parameter &lt;x, y&gt;'!L922-B922)/B922</f>
        <v>1.1074394413953621</v>
      </c>
      <c r="H922" s="5">
        <f>100*('Parameter &lt;x, y&gt;'!Q922-B922)/B922</f>
        <v>0.70515215080026439</v>
      </c>
      <c r="J922" s="5">
        <f>100*('Parameter &lt;x, y&gt;'!D922-C922)/C922</f>
        <v>7.9966226699670209</v>
      </c>
      <c r="K922" s="5">
        <f>100*('Parameter &lt;x, y&gt;'!I922-C922)/C922</f>
        <v>10.819002532997525</v>
      </c>
      <c r="L922" s="5">
        <f>100*('Parameter &lt;x, y&gt;'!N922-C922)/C922</f>
        <v>0</v>
      </c>
      <c r="M922" s="5">
        <f>100*('Parameter &lt;x, y&gt;'!S922-C922)/C922</f>
        <v>9.1555953265834837</v>
      </c>
    </row>
    <row r="923" spans="1:13" ht="12.75" customHeight="1">
      <c r="A923" s="42"/>
      <c r="B923" s="5">
        <f>MIN('Parameter &lt;x, y&gt;'!B923,'Parameter &lt;x, y&gt;'!G923,'Parameter &lt;x, y&gt;'!L923,'Parameter &lt;x, y&gt;'!Q923)</f>
        <v>1749110</v>
      </c>
      <c r="C923" s="5">
        <f>MIN('Parameter &lt;x, y&gt;'!D923,'Parameter &lt;x, y&gt;'!I923,'Parameter &lt;x, y&gt;'!N923,'Parameter &lt;x, y&gt;'!S923)</f>
        <v>1362720</v>
      </c>
      <c r="E923" s="5">
        <f>100*('Parameter &lt;x, y&gt;'!B923-B923)/B923</f>
        <v>7.0235719880396319</v>
      </c>
      <c r="F923" s="5">
        <f>100*('Parameter &lt;x, y&gt;'!G923-B923)/B923</f>
        <v>0</v>
      </c>
      <c r="G923" s="5">
        <f>100*('Parameter &lt;x, y&gt;'!L923-B923)/B923</f>
        <v>3.4794838517874807</v>
      </c>
      <c r="H923" s="5">
        <f>100*('Parameter &lt;x, y&gt;'!Q923-B923)/B923</f>
        <v>4.7401249778458761</v>
      </c>
      <c r="J923" s="5">
        <f>100*('Parameter &lt;x, y&gt;'!D923-C923)/C923</f>
        <v>18.918046260420336</v>
      </c>
      <c r="K923" s="5">
        <f>100*('Parameter &lt;x, y&gt;'!I923-C923)/C923</f>
        <v>13.629358929200423</v>
      </c>
      <c r="L923" s="5">
        <f>100*('Parameter &lt;x, y&gt;'!N923-C923)/C923</f>
        <v>0</v>
      </c>
      <c r="M923" s="5">
        <f>100*('Parameter &lt;x, y&gt;'!S923-C923)/C923</f>
        <v>13.398203592814371</v>
      </c>
    </row>
    <row r="924" spans="1:13" ht="12.75" customHeight="1">
      <c r="A924" s="42"/>
      <c r="B924" s="5">
        <f>MIN('Parameter &lt;x, y&gt;'!B924,'Parameter &lt;x, y&gt;'!G924,'Parameter &lt;x, y&gt;'!L924,'Parameter &lt;x, y&gt;'!Q924)</f>
        <v>1476400</v>
      </c>
      <c r="C924" s="5">
        <f>MIN('Parameter &lt;x, y&gt;'!D924,'Parameter &lt;x, y&gt;'!I924,'Parameter &lt;x, y&gt;'!N924,'Parameter &lt;x, y&gt;'!S924)</f>
        <v>1184190</v>
      </c>
      <c r="E924" s="5">
        <f>100*('Parameter &lt;x, y&gt;'!B924-B924)/B924</f>
        <v>0</v>
      </c>
      <c r="F924" s="5">
        <f>100*('Parameter &lt;x, y&gt;'!G924-B924)/B924</f>
        <v>3.4049038201029531</v>
      </c>
      <c r="G924" s="5">
        <f>100*('Parameter &lt;x, y&gt;'!L924-B924)/B924</f>
        <v>8.3351395285830403</v>
      </c>
      <c r="H924" s="5">
        <f>100*('Parameter &lt;x, y&gt;'!Q924-B924)/B924</f>
        <v>6.9994581414250883</v>
      </c>
      <c r="J924" s="5">
        <f>100*('Parameter &lt;x, y&gt;'!D924-C924)/C924</f>
        <v>12.057186769015107</v>
      </c>
      <c r="K924" s="5">
        <f>100*('Parameter &lt;x, y&gt;'!I924-C924)/C924</f>
        <v>13.827173004332074</v>
      </c>
      <c r="L924" s="5">
        <f>100*('Parameter &lt;x, y&gt;'!N924-C924)/C924</f>
        <v>0</v>
      </c>
      <c r="M924" s="5">
        <f>100*('Parameter &lt;x, y&gt;'!S924-C924)/C924</f>
        <v>23.554497166839781</v>
      </c>
    </row>
    <row r="925" spans="1:13" ht="12.75" customHeight="1">
      <c r="A925" s="42"/>
      <c r="B925" s="5">
        <f>MIN('Parameter &lt;x, y&gt;'!B925,'Parameter &lt;x, y&gt;'!G925,'Parameter &lt;x, y&gt;'!L925,'Parameter &lt;x, y&gt;'!Q925)</f>
        <v>1655560</v>
      </c>
      <c r="C925" s="5">
        <f>MIN('Parameter &lt;x, y&gt;'!D925,'Parameter &lt;x, y&gt;'!I925,'Parameter &lt;x, y&gt;'!N925,'Parameter &lt;x, y&gt;'!S925)</f>
        <v>1408670</v>
      </c>
      <c r="E925" s="5">
        <f>100*('Parameter &lt;x, y&gt;'!B925-B925)/B925</f>
        <v>0</v>
      </c>
      <c r="F925" s="5">
        <f>100*('Parameter &lt;x, y&gt;'!G925-B925)/B925</f>
        <v>1.722075913890164</v>
      </c>
      <c r="G925" s="5">
        <f>100*('Parameter &lt;x, y&gt;'!L925-B925)/B925</f>
        <v>3.9430766628814418</v>
      </c>
      <c r="H925" s="5">
        <f>100*('Parameter &lt;x, y&gt;'!Q925-B925)/B925</f>
        <v>1.9449612215806131</v>
      </c>
      <c r="J925" s="5">
        <f>100*('Parameter &lt;x, y&gt;'!D925-C925)/C925</f>
        <v>11.58610604328906</v>
      </c>
      <c r="K925" s="5">
        <f>100*('Parameter &lt;x, y&gt;'!I925-C925)/C925</f>
        <v>5.3192018002796964</v>
      </c>
      <c r="L925" s="5">
        <f>100*('Parameter &lt;x, y&gt;'!N925-C925)/C925</f>
        <v>0</v>
      </c>
      <c r="M925" s="5">
        <f>100*('Parameter &lt;x, y&gt;'!S925-C925)/C925</f>
        <v>1.8364840594319465</v>
      </c>
    </row>
    <row r="926" spans="1:13" ht="12.75" customHeight="1">
      <c r="A926" s="42"/>
      <c r="B926" s="5">
        <f>MIN('Parameter &lt;x, y&gt;'!B926,'Parameter &lt;x, y&gt;'!G926,'Parameter &lt;x, y&gt;'!L926,'Parameter &lt;x, y&gt;'!Q926)</f>
        <v>1722920</v>
      </c>
      <c r="C926" s="5">
        <f>MIN('Parameter &lt;x, y&gt;'!D926,'Parameter &lt;x, y&gt;'!I926,'Parameter &lt;x, y&gt;'!N926,'Parameter &lt;x, y&gt;'!S926)</f>
        <v>1431630</v>
      </c>
      <c r="E926" s="5">
        <f>100*('Parameter &lt;x, y&gt;'!B926-B926)/B926</f>
        <v>0.94780953265386669</v>
      </c>
      <c r="F926" s="5">
        <f>100*('Parameter &lt;x, y&gt;'!G926-B926)/B926</f>
        <v>1.3982076939149815</v>
      </c>
      <c r="G926" s="5">
        <f>100*('Parameter &lt;x, y&gt;'!L926-B926)/B926</f>
        <v>7.5998885612796876</v>
      </c>
      <c r="H926" s="5">
        <f>100*('Parameter &lt;x, y&gt;'!Q926-B926)/B926</f>
        <v>0</v>
      </c>
      <c r="J926" s="5">
        <f>100*('Parameter &lt;x, y&gt;'!D926-C926)/C926</f>
        <v>4.2636714793626842</v>
      </c>
      <c r="K926" s="5">
        <f>100*('Parameter &lt;x, y&gt;'!I926-C926)/C926</f>
        <v>3.2550309786746574</v>
      </c>
      <c r="L926" s="5">
        <f>100*('Parameter &lt;x, y&gt;'!N926-C926)/C926</f>
        <v>0</v>
      </c>
      <c r="M926" s="5">
        <f>100*('Parameter &lt;x, y&gt;'!S926-C926)/C926</f>
        <v>5.9505598513582418</v>
      </c>
    </row>
    <row r="927" spans="1:13" ht="12.75" customHeight="1">
      <c r="A927" s="42"/>
      <c r="B927" s="5">
        <f>MIN('Parameter &lt;x, y&gt;'!B927,'Parameter &lt;x, y&gt;'!G927,'Parameter &lt;x, y&gt;'!L927,'Parameter &lt;x, y&gt;'!Q927)</f>
        <v>1726870</v>
      </c>
      <c r="C927" s="5">
        <f>MIN('Parameter &lt;x, y&gt;'!D927,'Parameter &lt;x, y&gt;'!I927,'Parameter &lt;x, y&gt;'!N927,'Parameter &lt;x, y&gt;'!S927)</f>
        <v>1376640</v>
      </c>
      <c r="E927" s="5">
        <f>100*('Parameter &lt;x, y&gt;'!B927-B927)/B927</f>
        <v>1.4042747861738289</v>
      </c>
      <c r="F927" s="5">
        <f>100*('Parameter &lt;x, y&gt;'!G927-B927)/B927</f>
        <v>0.92826906483985472</v>
      </c>
      <c r="G927" s="5">
        <f>100*('Parameter &lt;x, y&gt;'!L927-B927)/B927</f>
        <v>0</v>
      </c>
      <c r="H927" s="5">
        <f>100*('Parameter &lt;x, y&gt;'!Q927-B927)/B927</f>
        <v>1.5530989593889524</v>
      </c>
      <c r="J927" s="5">
        <f>100*('Parameter &lt;x, y&gt;'!D927-C927)/C927</f>
        <v>5.0027603440260346</v>
      </c>
      <c r="K927" s="5">
        <f>100*('Parameter &lt;x, y&gt;'!I927-C927)/C927</f>
        <v>9.3764528126452813</v>
      </c>
      <c r="L927" s="5">
        <f>100*('Parameter &lt;x, y&gt;'!N927-C927)/C927</f>
        <v>0</v>
      </c>
      <c r="M927" s="5">
        <f>100*('Parameter &lt;x, y&gt;'!S927-C927)/C927</f>
        <v>10.063633193863319</v>
      </c>
    </row>
    <row r="928" spans="1:13" ht="12.75" customHeight="1">
      <c r="A928" s="42"/>
      <c r="B928" s="5">
        <f>MIN('Parameter &lt;x, y&gt;'!B928,'Parameter &lt;x, y&gt;'!G928,'Parameter &lt;x, y&gt;'!L928,'Parameter &lt;x, y&gt;'!Q928)</f>
        <v>1753430</v>
      </c>
      <c r="C928" s="5">
        <f>MIN('Parameter &lt;x, y&gt;'!D928,'Parameter &lt;x, y&gt;'!I928,'Parameter &lt;x, y&gt;'!N928,'Parameter &lt;x, y&gt;'!S928)</f>
        <v>1415990</v>
      </c>
      <c r="E928" s="5">
        <f>100*('Parameter &lt;x, y&gt;'!B928-B928)/B928</f>
        <v>0</v>
      </c>
      <c r="F928" s="5">
        <f>100*('Parameter &lt;x, y&gt;'!G928-B928)/B928</f>
        <v>3.4868800009124974</v>
      </c>
      <c r="G928" s="5">
        <f>100*('Parameter &lt;x, y&gt;'!L928-B928)/B928</f>
        <v>1.5603702457469075</v>
      </c>
      <c r="H928" s="5">
        <f>100*('Parameter &lt;x, y&gt;'!Q928-B928)/B928</f>
        <v>1.9276503766902586</v>
      </c>
      <c r="J928" s="5">
        <f>100*('Parameter &lt;x, y&gt;'!D928-C928)/C928</f>
        <v>9.1617878657335154</v>
      </c>
      <c r="K928" s="5">
        <f>100*('Parameter &lt;x, y&gt;'!I928-C928)/C928</f>
        <v>9.8842505949900783</v>
      </c>
      <c r="L928" s="5">
        <f>100*('Parameter &lt;x, y&gt;'!N928-C928)/C928</f>
        <v>0</v>
      </c>
      <c r="M928" s="5">
        <f>100*('Parameter &lt;x, y&gt;'!S928-C928)/C928</f>
        <v>6.7507538895048693</v>
      </c>
    </row>
    <row r="929" spans="1:13" ht="12.75" customHeight="1">
      <c r="A929" s="42"/>
      <c r="B929" s="5">
        <f>MIN('Parameter &lt;x, y&gt;'!B929,'Parameter &lt;x, y&gt;'!G929,'Parameter &lt;x, y&gt;'!L929,'Parameter &lt;x, y&gt;'!Q929)</f>
        <v>1727350</v>
      </c>
      <c r="C929" s="5">
        <f>MIN('Parameter &lt;x, y&gt;'!D929,'Parameter &lt;x, y&gt;'!I929,'Parameter &lt;x, y&gt;'!N929,'Parameter &lt;x, y&gt;'!S929)</f>
        <v>1415490</v>
      </c>
      <c r="E929" s="5">
        <f>100*('Parameter &lt;x, y&gt;'!B929-B929)/B929</f>
        <v>2.9096593047153152</v>
      </c>
      <c r="F929" s="5">
        <f>100*('Parameter &lt;x, y&gt;'!G929-B929)/B929</f>
        <v>2.3498422438996149</v>
      </c>
      <c r="G929" s="5">
        <f>100*('Parameter &lt;x, y&gt;'!L929-B929)/B929</f>
        <v>0</v>
      </c>
      <c r="H929" s="5">
        <f>100*('Parameter &lt;x, y&gt;'!Q929-B929)/B929</f>
        <v>5.6763250065128661</v>
      </c>
      <c r="J929" s="5">
        <f>100*('Parameter &lt;x, y&gt;'!D929-C929)/C929</f>
        <v>23.916099725183507</v>
      </c>
      <c r="K929" s="5">
        <f>100*('Parameter &lt;x, y&gt;'!I929-C929)/C929</f>
        <v>13.350853767953147</v>
      </c>
      <c r="L929" s="5">
        <f>100*('Parameter &lt;x, y&gt;'!N929-C929)/C929</f>
        <v>0</v>
      </c>
      <c r="M929" s="5">
        <f>100*('Parameter &lt;x, y&gt;'!S929-C929)/C929</f>
        <v>6.1681820429674525</v>
      </c>
    </row>
    <row r="930" spans="1:13" ht="12.75" customHeight="1">
      <c r="A930" s="42"/>
      <c r="B930" s="5">
        <f>MIN('Parameter &lt;x, y&gt;'!B930,'Parameter &lt;x, y&gt;'!G930,'Parameter &lt;x, y&gt;'!L930,'Parameter &lt;x, y&gt;'!Q930)</f>
        <v>1590830</v>
      </c>
      <c r="C930" s="5">
        <f>MIN('Parameter &lt;x, y&gt;'!D930,'Parameter &lt;x, y&gt;'!I930,'Parameter &lt;x, y&gt;'!N930,'Parameter &lt;x, y&gt;'!S930)</f>
        <v>1348090</v>
      </c>
      <c r="E930" s="5">
        <f>100*('Parameter &lt;x, y&gt;'!B930-B930)/B930</f>
        <v>5.4826725671504812</v>
      </c>
      <c r="F930" s="5">
        <f>100*('Parameter &lt;x, y&gt;'!G930-B930)/B930</f>
        <v>2.3025716135602168</v>
      </c>
      <c r="G930" s="5">
        <f>100*('Parameter &lt;x, y&gt;'!L930-B930)/B930</f>
        <v>2.3742323189781436</v>
      </c>
      <c r="H930" s="5">
        <f>100*('Parameter &lt;x, y&gt;'!Q930-B930)/B930</f>
        <v>0</v>
      </c>
      <c r="J930" s="5">
        <f>100*('Parameter &lt;x, y&gt;'!D930-C930)/C930</f>
        <v>0</v>
      </c>
      <c r="K930" s="5">
        <f>100*('Parameter &lt;x, y&gt;'!I930-C930)/C930</f>
        <v>7.6886558019123354</v>
      </c>
      <c r="L930" s="5">
        <f>100*('Parameter &lt;x, y&gt;'!N930-C930)/C930</f>
        <v>4.2563923773635288</v>
      </c>
      <c r="M930" s="5">
        <f>100*('Parameter &lt;x, y&gt;'!S930-C930)/C930</f>
        <v>0.60900978421322016</v>
      </c>
    </row>
    <row r="931" spans="1:13" ht="12.75" customHeight="1">
      <c r="A931" s="42"/>
      <c r="B931" s="5">
        <f>MIN('Parameter &lt;x, y&gt;'!B931,'Parameter &lt;x, y&gt;'!G931,'Parameter &lt;x, y&gt;'!L931,'Parameter &lt;x, y&gt;'!Q931)</f>
        <v>1639180</v>
      </c>
      <c r="C931" s="5">
        <f>MIN('Parameter &lt;x, y&gt;'!D931,'Parameter &lt;x, y&gt;'!I931,'Parameter &lt;x, y&gt;'!N931,'Parameter &lt;x, y&gt;'!S931)</f>
        <v>1309010</v>
      </c>
      <c r="E931" s="5">
        <f>100*('Parameter &lt;x, y&gt;'!B931-B931)/B931</f>
        <v>0</v>
      </c>
      <c r="F931" s="5">
        <f>100*('Parameter &lt;x, y&gt;'!G931-B931)/B931</f>
        <v>2.9331739040251832</v>
      </c>
      <c r="G931" s="5">
        <f>100*('Parameter &lt;x, y&gt;'!L931-B931)/B931</f>
        <v>0.20376041679376272</v>
      </c>
      <c r="H931" s="5">
        <f>100*('Parameter &lt;x, y&gt;'!Q931-B931)/B931</f>
        <v>1.3976500445344624</v>
      </c>
      <c r="J931" s="5">
        <f>100*('Parameter &lt;x, y&gt;'!D931-C931)/C931</f>
        <v>17.753111129785104</v>
      </c>
      <c r="K931" s="5">
        <f>100*('Parameter &lt;x, y&gt;'!I931-C931)/C931</f>
        <v>15.439148669605274</v>
      </c>
      <c r="L931" s="5">
        <f>100*('Parameter &lt;x, y&gt;'!N931-C931)/C931</f>
        <v>0</v>
      </c>
      <c r="M931" s="5">
        <f>100*('Parameter &lt;x, y&gt;'!S931-C931)/C931</f>
        <v>15.872300440791133</v>
      </c>
    </row>
    <row r="932" spans="1:13" ht="12.75" customHeight="1">
      <c r="A932" s="42"/>
      <c r="B932" s="5">
        <f>MIN('Parameter &lt;x, y&gt;'!B932,'Parameter &lt;x, y&gt;'!G932,'Parameter &lt;x, y&gt;'!L932,'Parameter &lt;x, y&gt;'!Q932)</f>
        <v>1680910</v>
      </c>
      <c r="C932" s="5">
        <f>MIN('Parameter &lt;x, y&gt;'!D932,'Parameter &lt;x, y&gt;'!I932,'Parameter &lt;x, y&gt;'!N932,'Parameter &lt;x, y&gt;'!S932)</f>
        <v>1402570</v>
      </c>
      <c r="E932" s="5">
        <f>100*('Parameter &lt;x, y&gt;'!B932-B932)/B932</f>
        <v>1.963222302205353</v>
      </c>
      <c r="F932" s="5">
        <f>100*('Parameter &lt;x, y&gt;'!G932-B932)/B932</f>
        <v>0</v>
      </c>
      <c r="G932" s="5">
        <f>100*('Parameter &lt;x, y&gt;'!L932-B932)/B932</f>
        <v>1.2237419017080033</v>
      </c>
      <c r="H932" s="5">
        <f>100*('Parameter &lt;x, y&gt;'!Q932-B932)/B932</f>
        <v>15.145367687740569</v>
      </c>
      <c r="J932" s="5">
        <f>100*('Parameter &lt;x, y&gt;'!D932-C932)/C932</f>
        <v>6.7354927026815057</v>
      </c>
      <c r="K932" s="5">
        <f>100*('Parameter &lt;x, y&gt;'!I932-C932)/C932</f>
        <v>9.6087895791297395</v>
      </c>
      <c r="L932" s="5">
        <f>100*('Parameter &lt;x, y&gt;'!N932-C932)/C932</f>
        <v>0</v>
      </c>
      <c r="M932" s="5">
        <f>100*('Parameter &lt;x, y&gt;'!S932-C932)/C932</f>
        <v>1.2398668159164961</v>
      </c>
    </row>
    <row r="933" spans="1:13" ht="12.75" customHeight="1">
      <c r="A933" s="42"/>
      <c r="B933" s="5">
        <f>MIN('Parameter &lt;x, y&gt;'!B933,'Parameter &lt;x, y&gt;'!G933,'Parameter &lt;x, y&gt;'!L933,'Parameter &lt;x, y&gt;'!Q933)</f>
        <v>1797760</v>
      </c>
      <c r="C933" s="5">
        <f>MIN('Parameter &lt;x, y&gt;'!D933,'Parameter &lt;x, y&gt;'!I933,'Parameter &lt;x, y&gt;'!N933,'Parameter &lt;x, y&gt;'!S933)</f>
        <v>1492790</v>
      </c>
      <c r="E933" s="5">
        <f>100*('Parameter &lt;x, y&gt;'!B933-B933)/B933</f>
        <v>2.001379494482022</v>
      </c>
      <c r="F933" s="5">
        <f>100*('Parameter &lt;x, y&gt;'!G933-B933)/B933</f>
        <v>10.692750978996084</v>
      </c>
      <c r="G933" s="5">
        <f>100*('Parameter &lt;x, y&gt;'!L933-B933)/B933</f>
        <v>0.71088465646137411</v>
      </c>
      <c r="H933" s="5">
        <f>100*('Parameter &lt;x, y&gt;'!Q933-B933)/B933</f>
        <v>0</v>
      </c>
      <c r="J933" s="5">
        <f>100*('Parameter &lt;x, y&gt;'!D933-C933)/C933</f>
        <v>5.2525807380810425</v>
      </c>
      <c r="K933" s="5">
        <f>100*('Parameter &lt;x, y&gt;'!I933-C933)/C933</f>
        <v>14.865453278759906</v>
      </c>
      <c r="L933" s="5">
        <f>100*('Parameter &lt;x, y&gt;'!N933-C933)/C933</f>
        <v>0</v>
      </c>
      <c r="M933" s="5">
        <f>100*('Parameter &lt;x, y&gt;'!S933-C933)/C933</f>
        <v>13.288540250135652</v>
      </c>
    </row>
    <row r="934" spans="1:13" ht="12.75" customHeight="1">
      <c r="A934" s="42"/>
      <c r="B934" s="5">
        <f>MIN('Parameter &lt;x, y&gt;'!B934,'Parameter &lt;x, y&gt;'!G934,'Parameter &lt;x, y&gt;'!L934,'Parameter &lt;x, y&gt;'!Q934)</f>
        <v>1724960</v>
      </c>
      <c r="C934" s="5">
        <f>MIN('Parameter &lt;x, y&gt;'!D934,'Parameter &lt;x, y&gt;'!I934,'Parameter &lt;x, y&gt;'!N934,'Parameter &lt;x, y&gt;'!S934)</f>
        <v>1383830</v>
      </c>
      <c r="E934" s="5">
        <f>100*('Parameter &lt;x, y&gt;'!B934-B934)/B934</f>
        <v>0</v>
      </c>
      <c r="F934" s="5">
        <f>100*('Parameter &lt;x, y&gt;'!G934-B934)/B934</f>
        <v>5.4934607179296915</v>
      </c>
      <c r="G934" s="5">
        <f>100*('Parameter &lt;x, y&gt;'!L934-B934)/B934</f>
        <v>1.7722150078842407</v>
      </c>
      <c r="H934" s="5">
        <f>100*('Parameter &lt;x, y&gt;'!Q934-B934)/B934</f>
        <v>0.87538261756794356</v>
      </c>
      <c r="J934" s="5">
        <f>100*('Parameter &lt;x, y&gt;'!D934-C934)/C934</f>
        <v>9.7685409334961673</v>
      </c>
      <c r="K934" s="5">
        <f>100*('Parameter &lt;x, y&gt;'!I934-C934)/C934</f>
        <v>11.51947854866566</v>
      </c>
      <c r="L934" s="5">
        <f>100*('Parameter &lt;x, y&gt;'!N934-C934)/C934</f>
        <v>0</v>
      </c>
      <c r="M934" s="5">
        <f>100*('Parameter &lt;x, y&gt;'!S934-C934)/C934</f>
        <v>17.160344840045383</v>
      </c>
    </row>
    <row r="935" spans="1:13" ht="12.75" customHeight="1">
      <c r="A935" s="42"/>
      <c r="B935" s="5">
        <f>MIN('Parameter &lt;x, y&gt;'!B935,'Parameter &lt;x, y&gt;'!G935,'Parameter &lt;x, y&gt;'!L935,'Parameter &lt;x, y&gt;'!Q935)</f>
        <v>1563940</v>
      </c>
      <c r="C935" s="5">
        <f>MIN('Parameter &lt;x, y&gt;'!D935,'Parameter &lt;x, y&gt;'!I935,'Parameter &lt;x, y&gt;'!N935,'Parameter &lt;x, y&gt;'!S935)</f>
        <v>1297050</v>
      </c>
      <c r="E935" s="5">
        <f>100*('Parameter &lt;x, y&gt;'!B935-B935)/B935</f>
        <v>3.5250712942951776</v>
      </c>
      <c r="F935" s="5">
        <f>100*('Parameter &lt;x, y&gt;'!G935-B935)/B935</f>
        <v>1.9476450503216236</v>
      </c>
      <c r="G935" s="5">
        <f>100*('Parameter &lt;x, y&gt;'!L935-B935)/B935</f>
        <v>0</v>
      </c>
      <c r="H935" s="5">
        <f>100*('Parameter &lt;x, y&gt;'!Q935-B935)/B935</f>
        <v>3.1701983452050588</v>
      </c>
      <c r="J935" s="5">
        <f>100*('Parameter &lt;x, y&gt;'!D935-C935)/C935</f>
        <v>18.754095832851469</v>
      </c>
      <c r="K935" s="5">
        <f>100*('Parameter &lt;x, y&gt;'!I935-C935)/C935</f>
        <v>16.632358043251994</v>
      </c>
      <c r="L935" s="5">
        <f>100*('Parameter &lt;x, y&gt;'!N935-C935)/C935</f>
        <v>0</v>
      </c>
      <c r="M935" s="5">
        <f>100*('Parameter &lt;x, y&gt;'!S935-C935)/C935</f>
        <v>3.3144443159477275</v>
      </c>
    </row>
    <row r="936" spans="1:13" ht="12.75" customHeight="1">
      <c r="A936" s="42"/>
      <c r="B936" s="5">
        <f>MIN('Parameter &lt;x, y&gt;'!B936,'Parameter &lt;x, y&gt;'!G936,'Parameter &lt;x, y&gt;'!L936,'Parameter &lt;x, y&gt;'!Q936)</f>
        <v>1831930</v>
      </c>
      <c r="C936" s="5">
        <f>MIN('Parameter &lt;x, y&gt;'!D936,'Parameter &lt;x, y&gt;'!I936,'Parameter &lt;x, y&gt;'!N936,'Parameter &lt;x, y&gt;'!S936)</f>
        <v>1435330</v>
      </c>
      <c r="E936" s="5">
        <f>100*('Parameter &lt;x, y&gt;'!B936-B936)/B936</f>
        <v>0</v>
      </c>
      <c r="F936" s="5">
        <f>100*('Parameter &lt;x, y&gt;'!G936-B936)/B936</f>
        <v>0.86029488026289214</v>
      </c>
      <c r="G936" s="5">
        <f>100*('Parameter &lt;x, y&gt;'!L936-B936)/B936</f>
        <v>1.1987357595541315</v>
      </c>
      <c r="H936" s="5">
        <f>100*('Parameter &lt;x, y&gt;'!Q936-B936)/B936</f>
        <v>1.8810762419961462</v>
      </c>
      <c r="J936" s="5">
        <f>100*('Parameter &lt;x, y&gt;'!D936-C936)/C936</f>
        <v>7.833041878871061</v>
      </c>
      <c r="K936" s="5">
        <f>100*('Parameter &lt;x, y&gt;'!I936-C936)/C936</f>
        <v>14.909463328990546</v>
      </c>
      <c r="L936" s="5">
        <f>100*('Parameter &lt;x, y&gt;'!N936-C936)/C936</f>
        <v>0</v>
      </c>
      <c r="M936" s="5">
        <f>100*('Parameter &lt;x, y&gt;'!S936-C936)/C936</f>
        <v>13.626134756467154</v>
      </c>
    </row>
    <row r="937" spans="1:13" ht="12.75" customHeight="1">
      <c r="A937" s="42"/>
      <c r="B937" s="5">
        <f>MIN('Parameter &lt;x, y&gt;'!B937,'Parameter &lt;x, y&gt;'!G937,'Parameter &lt;x, y&gt;'!L937,'Parameter &lt;x, y&gt;'!Q937)</f>
        <v>1774600</v>
      </c>
      <c r="C937" s="5">
        <f>MIN('Parameter &lt;x, y&gt;'!D937,'Parameter &lt;x, y&gt;'!I937,'Parameter &lt;x, y&gt;'!N937,'Parameter &lt;x, y&gt;'!S937)</f>
        <v>1412020</v>
      </c>
      <c r="E937" s="5">
        <f>100*('Parameter &lt;x, y&gt;'!B937-B937)/B937</f>
        <v>0.34937450693113942</v>
      </c>
      <c r="F937" s="5">
        <f>100*('Parameter &lt;x, y&gt;'!G937-B937)/B937</f>
        <v>0</v>
      </c>
      <c r="G937" s="5">
        <f>100*('Parameter &lt;x, y&gt;'!L937-B937)/B937</f>
        <v>2.4974642172884032</v>
      </c>
      <c r="H937" s="5">
        <f>100*('Parameter &lt;x, y&gt;'!Q937-B937)/B937</f>
        <v>8.7298546151245358</v>
      </c>
      <c r="J937" s="5">
        <f>100*('Parameter &lt;x, y&gt;'!D937-C937)/C937</f>
        <v>8.8610642908740669</v>
      </c>
      <c r="K937" s="5">
        <f>100*('Parameter &lt;x, y&gt;'!I937-C937)/C937</f>
        <v>14.547244373309161</v>
      </c>
      <c r="L937" s="5">
        <f>100*('Parameter &lt;x, y&gt;'!N937-C937)/C937</f>
        <v>0</v>
      </c>
      <c r="M937" s="5">
        <f>100*('Parameter &lt;x, y&gt;'!S937-C937)/C937</f>
        <v>9.404965935326695</v>
      </c>
    </row>
    <row r="938" spans="1:13" ht="12.75" customHeight="1">
      <c r="A938" s="42"/>
      <c r="B938" s="5">
        <f>MIN('Parameter &lt;x, y&gt;'!B938,'Parameter &lt;x, y&gt;'!G938,'Parameter &lt;x, y&gt;'!L938,'Parameter &lt;x, y&gt;'!Q938)</f>
        <v>1768910</v>
      </c>
      <c r="C938" s="5">
        <f>MIN('Parameter &lt;x, y&gt;'!D938,'Parameter &lt;x, y&gt;'!I938,'Parameter &lt;x, y&gt;'!N938,'Parameter &lt;x, y&gt;'!S938)</f>
        <v>1558980</v>
      </c>
      <c r="E938" s="5">
        <f>100*('Parameter &lt;x, y&gt;'!B938-B938)/B938</f>
        <v>9.1593127971462653</v>
      </c>
      <c r="F938" s="5">
        <f>100*('Parameter &lt;x, y&gt;'!G938-B938)/B938</f>
        <v>0</v>
      </c>
      <c r="G938" s="5">
        <f>100*('Parameter &lt;x, y&gt;'!L938-B938)/B938</f>
        <v>3.7203701714615214</v>
      </c>
      <c r="H938" s="5">
        <f>100*('Parameter &lt;x, y&gt;'!Q938-B938)/B938</f>
        <v>0.74169969077002218</v>
      </c>
      <c r="J938" s="5">
        <f>100*('Parameter &lt;x, y&gt;'!D938-C938)/C938</f>
        <v>3.7126839343673428</v>
      </c>
      <c r="K938" s="5">
        <f>100*('Parameter &lt;x, y&gt;'!I938-C938)/C938</f>
        <v>2.1931006170701357</v>
      </c>
      <c r="L938" s="5">
        <f>100*('Parameter &lt;x, y&gt;'!N938-C938)/C938</f>
        <v>0</v>
      </c>
      <c r="M938" s="5">
        <f>100*('Parameter &lt;x, y&gt;'!S938-C938)/C938</f>
        <v>3.9410383712427355</v>
      </c>
    </row>
    <row r="939" spans="1:13" ht="12.75" customHeight="1">
      <c r="A939" s="42"/>
      <c r="B939" s="5">
        <f>MIN('Parameter &lt;x, y&gt;'!B939,'Parameter &lt;x, y&gt;'!G939,'Parameter &lt;x, y&gt;'!L939,'Parameter &lt;x, y&gt;'!Q939)</f>
        <v>1785630</v>
      </c>
      <c r="C939" s="5">
        <f>MIN('Parameter &lt;x, y&gt;'!D939,'Parameter &lt;x, y&gt;'!I939,'Parameter &lt;x, y&gt;'!N939,'Parameter &lt;x, y&gt;'!S939)</f>
        <v>1456870</v>
      </c>
      <c r="E939" s="5">
        <f>100*('Parameter &lt;x, y&gt;'!B939-B939)/B939</f>
        <v>0</v>
      </c>
      <c r="F939" s="5">
        <f>100*('Parameter &lt;x, y&gt;'!G939-B939)/B939</f>
        <v>1.1357336066262327</v>
      </c>
      <c r="G939" s="5">
        <f>100*('Parameter &lt;x, y&gt;'!L939-B939)/B939</f>
        <v>6.2078930125501923</v>
      </c>
      <c r="H939" s="5">
        <f>100*('Parameter &lt;x, y&gt;'!Q939-B939)/B939</f>
        <v>1.138533738792471</v>
      </c>
      <c r="J939" s="5">
        <f>100*('Parameter &lt;x, y&gt;'!D939-C939)/C939</f>
        <v>6.2249891891520868</v>
      </c>
      <c r="K939" s="5">
        <f>100*('Parameter &lt;x, y&gt;'!I939-C939)/C939</f>
        <v>10.31663772333839</v>
      </c>
      <c r="L939" s="5">
        <f>100*('Parameter &lt;x, y&gt;'!N939-C939)/C939</f>
        <v>0</v>
      </c>
      <c r="M939" s="5">
        <f>100*('Parameter &lt;x, y&gt;'!S939-C939)/C939</f>
        <v>7.704874148002224</v>
      </c>
    </row>
    <row r="940" spans="1:13" ht="12.75" customHeight="1">
      <c r="A940" s="42"/>
      <c r="B940" s="5">
        <f>MIN('Parameter &lt;x, y&gt;'!B940,'Parameter &lt;x, y&gt;'!G940,'Parameter &lt;x, y&gt;'!L940,'Parameter &lt;x, y&gt;'!Q940)</f>
        <v>1781780</v>
      </c>
      <c r="C940" s="5">
        <f>MIN('Parameter &lt;x, y&gt;'!D940,'Parameter &lt;x, y&gt;'!I940,'Parameter &lt;x, y&gt;'!N940,'Parameter &lt;x, y&gt;'!S940)</f>
        <v>1410930</v>
      </c>
      <c r="E940" s="5">
        <f>100*('Parameter &lt;x, y&gt;'!B940-B940)/B940</f>
        <v>0</v>
      </c>
      <c r="F940" s="5">
        <f>100*('Parameter &lt;x, y&gt;'!G940-B940)/B940</f>
        <v>3.0480755199856322</v>
      </c>
      <c r="G940" s="5">
        <f>100*('Parameter &lt;x, y&gt;'!L940-B940)/B940</f>
        <v>2.5474525474525476</v>
      </c>
      <c r="H940" s="5">
        <f>100*('Parameter &lt;x, y&gt;'!Q940-B940)/B940</f>
        <v>1.1752292651169056</v>
      </c>
      <c r="J940" s="5">
        <f>100*('Parameter &lt;x, y&gt;'!D940-C940)/C940</f>
        <v>12.031071704478606</v>
      </c>
      <c r="K940" s="5">
        <f>100*('Parameter &lt;x, y&gt;'!I940-C940)/C940</f>
        <v>14.54856016953357</v>
      </c>
      <c r="L940" s="5">
        <f>100*('Parameter &lt;x, y&gt;'!N940-C940)/C940</f>
        <v>0</v>
      </c>
      <c r="M940" s="5">
        <f>100*('Parameter &lt;x, y&gt;'!S940-C940)/C940</f>
        <v>9.904814554938941</v>
      </c>
    </row>
    <row r="941" spans="1:13" ht="12.75" customHeight="1">
      <c r="A941" s="42"/>
      <c r="B941" s="5">
        <f>MIN('Parameter &lt;x, y&gt;'!B941,'Parameter &lt;x, y&gt;'!G941,'Parameter &lt;x, y&gt;'!L941,'Parameter &lt;x, y&gt;'!Q941)</f>
        <v>1678290</v>
      </c>
      <c r="C941" s="5">
        <f>MIN('Parameter &lt;x, y&gt;'!D941,'Parameter &lt;x, y&gt;'!I941,'Parameter &lt;x, y&gt;'!N941,'Parameter &lt;x, y&gt;'!S941)</f>
        <v>1369510</v>
      </c>
      <c r="E941" s="5">
        <f>100*('Parameter &lt;x, y&gt;'!B941-B941)/B941</f>
        <v>0</v>
      </c>
      <c r="F941" s="5">
        <f>100*('Parameter &lt;x, y&gt;'!G941-B941)/B941</f>
        <v>6.9981945909229033</v>
      </c>
      <c r="G941" s="5">
        <f>100*('Parameter &lt;x, y&gt;'!L941-B941)/B941</f>
        <v>4.52841880723832E-2</v>
      </c>
      <c r="H941" s="5">
        <f>100*('Parameter &lt;x, y&gt;'!Q941-B941)/B941</f>
        <v>0.43377485416703909</v>
      </c>
      <c r="J941" s="5">
        <f>100*('Parameter &lt;x, y&gt;'!D941-C941)/C941</f>
        <v>6.7228424765061954</v>
      </c>
      <c r="K941" s="5">
        <f>100*('Parameter &lt;x, y&gt;'!I941-C941)/C941</f>
        <v>9.6881366328102754</v>
      </c>
      <c r="L941" s="5">
        <f>100*('Parameter &lt;x, y&gt;'!N941-C941)/C941</f>
        <v>0</v>
      </c>
      <c r="M941" s="5">
        <f>100*('Parameter &lt;x, y&gt;'!S941-C941)/C941</f>
        <v>6.4585143591503531</v>
      </c>
    </row>
    <row r="942" spans="1:13" ht="12.75" customHeight="1">
      <c r="A942" s="42"/>
      <c r="B942" s="5">
        <f>MIN('Parameter &lt;x, y&gt;'!B942,'Parameter &lt;x, y&gt;'!G942,'Parameter &lt;x, y&gt;'!L942,'Parameter &lt;x, y&gt;'!Q942)</f>
        <v>1638130</v>
      </c>
      <c r="C942" s="5">
        <f>MIN('Parameter &lt;x, y&gt;'!D942,'Parameter &lt;x, y&gt;'!I942,'Parameter &lt;x, y&gt;'!N942,'Parameter &lt;x, y&gt;'!S942)</f>
        <v>1294750</v>
      </c>
      <c r="E942" s="5">
        <f>100*('Parameter &lt;x, y&gt;'!B942-B942)/B942</f>
        <v>0</v>
      </c>
      <c r="F942" s="5">
        <f>100*('Parameter &lt;x, y&gt;'!G942-B942)/B942</f>
        <v>2.8813342042450842</v>
      </c>
      <c r="G942" s="5">
        <f>100*('Parameter &lt;x, y&gt;'!L942-B942)/B942</f>
        <v>1.4956077966950121</v>
      </c>
      <c r="H942" s="5">
        <f>100*('Parameter &lt;x, y&gt;'!Q942-B942)/B942</f>
        <v>12.074743762705035</v>
      </c>
      <c r="J942" s="5">
        <f>100*('Parameter &lt;x, y&gt;'!D942-C942)/C942</f>
        <v>11.535045375555127</v>
      </c>
      <c r="K942" s="5">
        <f>100*('Parameter &lt;x, y&gt;'!I942-C942)/C942</f>
        <v>14.645298320139023</v>
      </c>
      <c r="L942" s="5">
        <f>100*('Parameter &lt;x, y&gt;'!N942-C942)/C942</f>
        <v>0</v>
      </c>
      <c r="M942" s="5">
        <f>100*('Parameter &lt;x, y&gt;'!S942-C942)/C942</f>
        <v>10.960417068932227</v>
      </c>
    </row>
    <row r="943" spans="1:13" ht="12.75" customHeight="1">
      <c r="A943" s="42"/>
      <c r="B943" s="5">
        <f>MIN('Parameter &lt;x, y&gt;'!B943,'Parameter &lt;x, y&gt;'!G943,'Parameter &lt;x, y&gt;'!L943,'Parameter &lt;x, y&gt;'!Q943)</f>
        <v>1830000</v>
      </c>
      <c r="C943" s="5">
        <f>MIN('Parameter &lt;x, y&gt;'!D943,'Parameter &lt;x, y&gt;'!I943,'Parameter &lt;x, y&gt;'!N943,'Parameter &lt;x, y&gt;'!S943)</f>
        <v>1469230</v>
      </c>
      <c r="E943" s="5">
        <f>100*('Parameter &lt;x, y&gt;'!B943-B943)/B943</f>
        <v>0</v>
      </c>
      <c r="F943" s="5">
        <f>100*('Parameter &lt;x, y&gt;'!G943-B943)/B943</f>
        <v>1.2907103825136612</v>
      </c>
      <c r="G943" s="5">
        <f>100*('Parameter &lt;x, y&gt;'!L943-B943)/B943</f>
        <v>0.44918032786885248</v>
      </c>
      <c r="H943" s="5">
        <f>100*('Parameter &lt;x, y&gt;'!Q943-B943)/B943</f>
        <v>1.714207650273224</v>
      </c>
      <c r="J943" s="5">
        <f>100*('Parameter &lt;x, y&gt;'!D943-C943)/C943</f>
        <v>11.832048079606324</v>
      </c>
      <c r="K943" s="5">
        <f>100*('Parameter &lt;x, y&gt;'!I943-C943)/C943</f>
        <v>14.078122553990866</v>
      </c>
      <c r="L943" s="5">
        <f>100*('Parameter &lt;x, y&gt;'!N943-C943)/C943</f>
        <v>0</v>
      </c>
      <c r="M943" s="5">
        <f>100*('Parameter &lt;x, y&gt;'!S943-C943)/C943</f>
        <v>9.1844027143469713</v>
      </c>
    </row>
    <row r="944" spans="1:13" ht="12.75" customHeight="1">
      <c r="A944" s="42"/>
      <c r="B944" s="5">
        <f>MIN('Parameter &lt;x, y&gt;'!B944,'Parameter &lt;x, y&gt;'!G944,'Parameter &lt;x, y&gt;'!L944,'Parameter &lt;x, y&gt;'!Q944)</f>
        <v>1818970</v>
      </c>
      <c r="C944" s="5">
        <f>MIN('Parameter &lt;x, y&gt;'!D944,'Parameter &lt;x, y&gt;'!I944,'Parameter &lt;x, y&gt;'!N944,'Parameter &lt;x, y&gt;'!S944)</f>
        <v>1490910</v>
      </c>
      <c r="E944" s="5">
        <f>100*('Parameter &lt;x, y&gt;'!B944-B944)/B944</f>
        <v>0.52502240278839118</v>
      </c>
      <c r="F944" s="5">
        <f>100*('Parameter &lt;x, y&gt;'!G944-B944)/B944</f>
        <v>0.41836863719577561</v>
      </c>
      <c r="G944" s="5">
        <f>100*('Parameter &lt;x, y&gt;'!L944-B944)/B944</f>
        <v>0</v>
      </c>
      <c r="H944" s="5">
        <f>100*('Parameter &lt;x, y&gt;'!Q944-B944)/B944</f>
        <v>1.4029918030533763</v>
      </c>
      <c r="J944" s="5">
        <f>100*('Parameter &lt;x, y&gt;'!D944-C944)/C944</f>
        <v>7.2801175121234678</v>
      </c>
      <c r="K944" s="5">
        <f>100*('Parameter &lt;x, y&gt;'!I944-C944)/C944</f>
        <v>10.110603591095371</v>
      </c>
      <c r="L944" s="5">
        <f>100*('Parameter &lt;x, y&gt;'!N944-C944)/C944</f>
        <v>0</v>
      </c>
      <c r="M944" s="5">
        <f>100*('Parameter &lt;x, y&gt;'!S944-C944)/C944</f>
        <v>4.9399360122341385</v>
      </c>
    </row>
    <row r="945" spans="1:13" ht="12.75" customHeight="1">
      <c r="A945" s="42"/>
      <c r="B945" s="5">
        <f>MIN('Parameter &lt;x, y&gt;'!B945,'Parameter &lt;x, y&gt;'!G945,'Parameter &lt;x, y&gt;'!L945,'Parameter &lt;x, y&gt;'!Q945)</f>
        <v>1754440</v>
      </c>
      <c r="C945" s="5">
        <f>MIN('Parameter &lt;x, y&gt;'!D945,'Parameter &lt;x, y&gt;'!I945,'Parameter &lt;x, y&gt;'!N945,'Parameter &lt;x, y&gt;'!S945)</f>
        <v>1538170</v>
      </c>
      <c r="E945" s="5">
        <f>100*('Parameter &lt;x, y&gt;'!B945-B945)/B945</f>
        <v>2.6680878228950546</v>
      </c>
      <c r="F945" s="5">
        <f>100*('Parameter &lt;x, y&gt;'!G945-B945)/B945</f>
        <v>1.6392695104990767</v>
      </c>
      <c r="G945" s="5">
        <f>100*('Parameter &lt;x, y&gt;'!L945-B945)/B945</f>
        <v>0</v>
      </c>
      <c r="H945" s="5">
        <f>100*('Parameter &lt;x, y&gt;'!Q945-B945)/B945</f>
        <v>1.6780283167278447</v>
      </c>
      <c r="J945" s="5">
        <f>100*('Parameter &lt;x, y&gt;'!D945-C945)/C945</f>
        <v>0</v>
      </c>
      <c r="K945" s="5">
        <f>100*('Parameter &lt;x, y&gt;'!I945-C945)/C945</f>
        <v>8.0238205139874008</v>
      </c>
      <c r="L945" s="5">
        <f>100*('Parameter &lt;x, y&gt;'!N945-C945)/C945</f>
        <v>2.9164526677805442</v>
      </c>
      <c r="M945" s="5">
        <f>100*('Parameter &lt;x, y&gt;'!S945-C945)/C945</f>
        <v>1.087656110833003</v>
      </c>
    </row>
    <row r="946" spans="1:13" ht="12.75" customHeight="1">
      <c r="A946" s="42"/>
      <c r="B946" s="5">
        <f>MIN('Parameter &lt;x, y&gt;'!B946,'Parameter &lt;x, y&gt;'!G946,'Parameter &lt;x, y&gt;'!L946,'Parameter &lt;x, y&gt;'!Q946)</f>
        <v>1625800</v>
      </c>
      <c r="C946" s="5">
        <f>MIN('Parameter &lt;x, y&gt;'!D946,'Parameter &lt;x, y&gt;'!I946,'Parameter &lt;x, y&gt;'!N946,'Parameter &lt;x, y&gt;'!S946)</f>
        <v>1350490</v>
      </c>
      <c r="E946" s="5">
        <f>100*('Parameter &lt;x, y&gt;'!B946-B946)/B946</f>
        <v>2.5009226227088202</v>
      </c>
      <c r="F946" s="5">
        <f>100*('Parameter &lt;x, y&gt;'!G946-B946)/B946</f>
        <v>12.039611268298684</v>
      </c>
      <c r="G946" s="5">
        <f>100*('Parameter &lt;x, y&gt;'!L946-B946)/B946</f>
        <v>0</v>
      </c>
      <c r="H946" s="5">
        <f>100*('Parameter &lt;x, y&gt;'!Q946-B946)/B946</f>
        <v>5.139623569934801</v>
      </c>
      <c r="J946" s="5">
        <f>100*('Parameter &lt;x, y&gt;'!D946-C946)/C946</f>
        <v>24.620693229864717</v>
      </c>
      <c r="K946" s="5">
        <f>100*('Parameter &lt;x, y&gt;'!I946-C946)/C946</f>
        <v>12.229635169457012</v>
      </c>
      <c r="L946" s="5">
        <f>100*('Parameter &lt;x, y&gt;'!N946-C946)/C946</f>
        <v>0</v>
      </c>
      <c r="M946" s="5">
        <f>100*('Parameter &lt;x, y&gt;'!S946-C946)/C946</f>
        <v>8.240712630230508</v>
      </c>
    </row>
    <row r="947" spans="1:13" ht="12.75" customHeight="1">
      <c r="A947" s="42"/>
      <c r="B947" s="5">
        <f>MIN('Parameter &lt;x, y&gt;'!B947,'Parameter &lt;x, y&gt;'!G947,'Parameter &lt;x, y&gt;'!L947,'Parameter &lt;x, y&gt;'!Q947)</f>
        <v>1706670</v>
      </c>
      <c r="C947" s="5">
        <f>MIN('Parameter &lt;x, y&gt;'!D947,'Parameter &lt;x, y&gt;'!I947,'Parameter &lt;x, y&gt;'!N947,'Parameter &lt;x, y&gt;'!S947)</f>
        <v>1437800</v>
      </c>
      <c r="E947" s="5">
        <f>100*('Parameter &lt;x, y&gt;'!B947-B947)/B947</f>
        <v>2.736908716975162</v>
      </c>
      <c r="F947" s="5">
        <f>100*('Parameter &lt;x, y&gt;'!G947-B947)/B947</f>
        <v>0</v>
      </c>
      <c r="G947" s="5">
        <f>100*('Parameter &lt;x, y&gt;'!L947-B947)/B947</f>
        <v>2.3794875400633981</v>
      </c>
      <c r="H947" s="5">
        <f>100*('Parameter &lt;x, y&gt;'!Q947-B947)/B947</f>
        <v>2.4234327667328777</v>
      </c>
      <c r="J947" s="5">
        <f>100*('Parameter &lt;x, y&gt;'!D947-C947)/C947</f>
        <v>2.8856586451523158</v>
      </c>
      <c r="K947" s="5">
        <f>100*('Parameter &lt;x, y&gt;'!I947-C947)/C947</f>
        <v>6.7916260954235641</v>
      </c>
      <c r="L947" s="5">
        <f>100*('Parameter &lt;x, y&gt;'!N947-C947)/C947</f>
        <v>0</v>
      </c>
      <c r="M947" s="5">
        <f>100*('Parameter &lt;x, y&gt;'!S947-C947)/C947</f>
        <v>7.3090833217415492</v>
      </c>
    </row>
    <row r="948" spans="1:13" ht="12.75" customHeight="1">
      <c r="A948" s="42"/>
      <c r="B948" s="5">
        <f>MIN('Parameter &lt;x, y&gt;'!B948,'Parameter &lt;x, y&gt;'!G948,'Parameter &lt;x, y&gt;'!L948,'Parameter &lt;x, y&gt;'!Q948)</f>
        <v>1889860</v>
      </c>
      <c r="C948" s="5">
        <f>MIN('Parameter &lt;x, y&gt;'!D948,'Parameter &lt;x, y&gt;'!I948,'Parameter &lt;x, y&gt;'!N948,'Parameter &lt;x, y&gt;'!S948)</f>
        <v>1589900</v>
      </c>
      <c r="E948" s="5">
        <f>100*('Parameter &lt;x, y&gt;'!B948-B948)/B948</f>
        <v>1.9705163345432994</v>
      </c>
      <c r="F948" s="5">
        <f>100*('Parameter &lt;x, y&gt;'!G948-B948)/B948</f>
        <v>2.5081222947731576</v>
      </c>
      <c r="G948" s="5">
        <f>100*('Parameter &lt;x, y&gt;'!L948-B948)/B948</f>
        <v>1.3567142539659023</v>
      </c>
      <c r="H948" s="5">
        <f>100*('Parameter &lt;x, y&gt;'!Q948-B948)/B948</f>
        <v>0</v>
      </c>
      <c r="J948" s="5">
        <f>100*('Parameter &lt;x, y&gt;'!D948-C948)/C948</f>
        <v>8.8842065538713122</v>
      </c>
      <c r="K948" s="5">
        <f>100*('Parameter &lt;x, y&gt;'!I948-C948)/C948</f>
        <v>10.427699855336813</v>
      </c>
      <c r="L948" s="5">
        <f>100*('Parameter &lt;x, y&gt;'!N948-C948)/C948</f>
        <v>0</v>
      </c>
      <c r="M948" s="5">
        <f>100*('Parameter &lt;x, y&gt;'!S948-C948)/C948</f>
        <v>0.84848103654317886</v>
      </c>
    </row>
    <row r="949" spans="1:13" ht="12.75" customHeight="1">
      <c r="A949" s="42"/>
      <c r="B949" s="5">
        <f>MIN('Parameter &lt;x, y&gt;'!B949,'Parameter &lt;x, y&gt;'!G949,'Parameter &lt;x, y&gt;'!L949,'Parameter &lt;x, y&gt;'!Q949)</f>
        <v>1818120</v>
      </c>
      <c r="C949" s="5">
        <f>MIN('Parameter &lt;x, y&gt;'!D949,'Parameter &lt;x, y&gt;'!I949,'Parameter &lt;x, y&gt;'!N949,'Parameter &lt;x, y&gt;'!S949)</f>
        <v>1486030</v>
      </c>
      <c r="E949" s="5">
        <f>100*('Parameter &lt;x, y&gt;'!B949-B949)/B949</f>
        <v>9.0203066904274751E-2</v>
      </c>
      <c r="F949" s="5">
        <f>100*('Parameter &lt;x, y&gt;'!G949-B949)/B949</f>
        <v>1.8519129650408115</v>
      </c>
      <c r="G949" s="5">
        <f>100*('Parameter &lt;x, y&gt;'!L949-B949)/B949</f>
        <v>3.4739181132158494</v>
      </c>
      <c r="H949" s="5">
        <f>100*('Parameter &lt;x, y&gt;'!Q949-B949)/B949</f>
        <v>0</v>
      </c>
      <c r="J949" s="5">
        <f>100*('Parameter &lt;x, y&gt;'!D949-C949)/C949</f>
        <v>9.9116437756976641</v>
      </c>
      <c r="K949" s="5">
        <f>100*('Parameter &lt;x, y&gt;'!I949-C949)/C949</f>
        <v>11.194255836019462</v>
      </c>
      <c r="L949" s="5">
        <f>100*('Parameter &lt;x, y&gt;'!N949-C949)/C949</f>
        <v>0</v>
      </c>
      <c r="M949" s="5">
        <f>100*('Parameter &lt;x, y&gt;'!S949-C949)/C949</f>
        <v>7.3847768887572931</v>
      </c>
    </row>
    <row r="950" spans="1:13" ht="12.75" customHeight="1">
      <c r="A950" s="42"/>
      <c r="B950" s="5">
        <f>MIN('Parameter &lt;x, y&gt;'!B950,'Parameter &lt;x, y&gt;'!G950,'Parameter &lt;x, y&gt;'!L950,'Parameter &lt;x, y&gt;'!Q950)</f>
        <v>1787660</v>
      </c>
      <c r="C950" s="5">
        <f>MIN('Parameter &lt;x, y&gt;'!D950,'Parameter &lt;x, y&gt;'!I950,'Parameter &lt;x, y&gt;'!N950,'Parameter &lt;x, y&gt;'!S950)</f>
        <v>1533780</v>
      </c>
      <c r="E950" s="5">
        <f>100*('Parameter &lt;x, y&gt;'!B950-B950)/B950</f>
        <v>1.5165076133045434</v>
      </c>
      <c r="F950" s="5">
        <f>100*('Parameter &lt;x, y&gt;'!G950-B950)/B950</f>
        <v>0</v>
      </c>
      <c r="G950" s="5">
        <f>100*('Parameter &lt;x, y&gt;'!L950-B950)/B950</f>
        <v>2.7052124005683407</v>
      </c>
      <c r="H950" s="5">
        <f>100*('Parameter &lt;x, y&gt;'!Q950-B950)/B950</f>
        <v>4.0880256872112151</v>
      </c>
      <c r="J950" s="5">
        <f>100*('Parameter &lt;x, y&gt;'!D950-C950)/C950</f>
        <v>2.2852038753928205</v>
      </c>
      <c r="K950" s="5">
        <f>100*('Parameter &lt;x, y&gt;'!I950-C950)/C950</f>
        <v>4.0110054897051732</v>
      </c>
      <c r="L950" s="5">
        <f>100*('Parameter &lt;x, y&gt;'!N950-C950)/C950</f>
        <v>0</v>
      </c>
      <c r="M950" s="5">
        <f>100*('Parameter &lt;x, y&gt;'!S950-C950)/C950</f>
        <v>3.0767124359425733</v>
      </c>
    </row>
    <row r="951" spans="1:13" ht="12.75" customHeight="1">
      <c r="A951" s="42"/>
      <c r="B951" s="5">
        <f>MIN('Parameter &lt;x, y&gt;'!B951,'Parameter &lt;x, y&gt;'!G951,'Parameter &lt;x, y&gt;'!L951,'Parameter &lt;x, y&gt;'!Q951)</f>
        <v>1726570</v>
      </c>
      <c r="C951" s="5">
        <f>MIN('Parameter &lt;x, y&gt;'!D951,'Parameter &lt;x, y&gt;'!I951,'Parameter &lt;x, y&gt;'!N951,'Parameter &lt;x, y&gt;'!S951)</f>
        <v>1472230</v>
      </c>
      <c r="E951" s="5">
        <f>100*('Parameter &lt;x, y&gt;'!B951-B951)/B951</f>
        <v>0.50968104391944724</v>
      </c>
      <c r="F951" s="5">
        <f>100*('Parameter &lt;x, y&gt;'!G951-B951)/B951</f>
        <v>3.6720202482378359</v>
      </c>
      <c r="G951" s="5">
        <f>100*('Parameter &lt;x, y&gt;'!L951-B951)/B951</f>
        <v>0</v>
      </c>
      <c r="H951" s="5">
        <f>100*('Parameter &lt;x, y&gt;'!Q951-B951)/B951</f>
        <v>3.6905541043803609</v>
      </c>
      <c r="J951" s="5">
        <f>100*('Parameter &lt;x, y&gt;'!D951-C951)/C951</f>
        <v>13.622192184645062</v>
      </c>
      <c r="K951" s="5">
        <f>100*('Parameter &lt;x, y&gt;'!I951-C951)/C951</f>
        <v>13.949586681428853</v>
      </c>
      <c r="L951" s="5">
        <f>100*('Parameter &lt;x, y&gt;'!N951-C951)/C951</f>
        <v>2.5206659285573587</v>
      </c>
      <c r="M951" s="5">
        <f>100*('Parameter &lt;x, y&gt;'!S951-C951)/C951</f>
        <v>0</v>
      </c>
    </row>
    <row r="952" spans="1:13" ht="12.75" customHeight="1">
      <c r="A952" s="42"/>
      <c r="B952" s="5">
        <f>MIN('Parameter &lt;x, y&gt;'!B952,'Parameter &lt;x, y&gt;'!G952,'Parameter &lt;x, y&gt;'!L952,'Parameter &lt;x, y&gt;'!Q952)</f>
        <v>1676740</v>
      </c>
      <c r="C952" s="5">
        <f>MIN('Parameter &lt;x, y&gt;'!D952,'Parameter &lt;x, y&gt;'!I952,'Parameter &lt;x, y&gt;'!N952,'Parameter &lt;x, y&gt;'!S952)</f>
        <v>1428120</v>
      </c>
      <c r="E952" s="5">
        <f>100*('Parameter &lt;x, y&gt;'!B952-B952)/B952</f>
        <v>0</v>
      </c>
      <c r="F952" s="5">
        <f>100*('Parameter &lt;x, y&gt;'!G952-B952)/B952</f>
        <v>0.45326049357682169</v>
      </c>
      <c r="G952" s="5">
        <f>100*('Parameter &lt;x, y&gt;'!L952-B952)/B952</f>
        <v>1.4647470687166764</v>
      </c>
      <c r="H952" s="5">
        <f>100*('Parameter &lt;x, y&gt;'!Q952-B952)/B952</f>
        <v>7.2509751064565764</v>
      </c>
      <c r="J952" s="5">
        <f>100*('Parameter &lt;x, y&gt;'!D952-C952)/C952</f>
        <v>4.846931630395205</v>
      </c>
      <c r="K952" s="5">
        <f>100*('Parameter &lt;x, y&gt;'!I952-C952)/C952</f>
        <v>12.512954093493544</v>
      </c>
      <c r="L952" s="5">
        <f>100*('Parameter &lt;x, y&gt;'!N952-C952)/C952</f>
        <v>6.4273310366075682</v>
      </c>
      <c r="M952" s="5">
        <f>100*('Parameter &lt;x, y&gt;'!S952-C952)/C952</f>
        <v>0</v>
      </c>
    </row>
    <row r="953" spans="1:13" ht="12.75" customHeight="1">
      <c r="A953" s="42"/>
      <c r="B953" s="5">
        <f>MIN('Parameter &lt;x, y&gt;'!B953,'Parameter &lt;x, y&gt;'!G953,'Parameter &lt;x, y&gt;'!L953,'Parameter &lt;x, y&gt;'!Q953)</f>
        <v>1801710</v>
      </c>
      <c r="C953" s="5">
        <f>MIN('Parameter &lt;x, y&gt;'!D953,'Parameter &lt;x, y&gt;'!I953,'Parameter &lt;x, y&gt;'!N953,'Parameter &lt;x, y&gt;'!S953)</f>
        <v>1525890</v>
      </c>
      <c r="E953" s="5">
        <f>100*('Parameter &lt;x, y&gt;'!B953-B953)/B953</f>
        <v>3.9123943364914444</v>
      </c>
      <c r="F953" s="5">
        <f>100*('Parameter &lt;x, y&gt;'!G953-B953)/B953</f>
        <v>6.422232212731239</v>
      </c>
      <c r="G953" s="5">
        <f>100*('Parameter &lt;x, y&gt;'!L953-B953)/B953</f>
        <v>0.15762803114818699</v>
      </c>
      <c r="H953" s="5">
        <f>100*('Parameter &lt;x, y&gt;'!Q953-B953)/B953</f>
        <v>0</v>
      </c>
      <c r="J953" s="5">
        <f>100*('Parameter &lt;x, y&gt;'!D953-C953)/C953</f>
        <v>2.1849543545078611</v>
      </c>
      <c r="K953" s="5">
        <f>100*('Parameter &lt;x, y&gt;'!I953-C953)/C953</f>
        <v>11.382865082017707</v>
      </c>
      <c r="L953" s="5">
        <f>100*('Parameter &lt;x, y&gt;'!N953-C953)/C953</f>
        <v>0</v>
      </c>
      <c r="M953" s="5">
        <f>100*('Parameter &lt;x, y&gt;'!S953-C953)/C953</f>
        <v>8.6854229335011048</v>
      </c>
    </row>
    <row r="954" spans="1:13" ht="12.75" customHeight="1">
      <c r="A954" s="42"/>
      <c r="B954" s="5">
        <f>MIN('Parameter &lt;x, y&gt;'!B954,'Parameter &lt;x, y&gt;'!G954,'Parameter &lt;x, y&gt;'!L954,'Parameter &lt;x, y&gt;'!Q954)</f>
        <v>1813470</v>
      </c>
      <c r="C954" s="5">
        <f>MIN('Parameter &lt;x, y&gt;'!D954,'Parameter &lt;x, y&gt;'!I954,'Parameter &lt;x, y&gt;'!N954,'Parameter &lt;x, y&gt;'!S954)</f>
        <v>1593500</v>
      </c>
      <c r="E954" s="5">
        <f>100*('Parameter &lt;x, y&gt;'!B954-B954)/B954</f>
        <v>0</v>
      </c>
      <c r="F954" s="5">
        <f>100*('Parameter &lt;x, y&gt;'!G954-B954)/B954</f>
        <v>0.52496043496721756</v>
      </c>
      <c r="G954" s="5">
        <f>100*('Parameter &lt;x, y&gt;'!L954-B954)/B954</f>
        <v>7.3075374833882005</v>
      </c>
      <c r="H954" s="5">
        <f>100*('Parameter &lt;x, y&gt;'!Q954-B954)/B954</f>
        <v>0.12186581526024692</v>
      </c>
      <c r="J954" s="5">
        <f>100*('Parameter &lt;x, y&gt;'!D954-C954)/C954</f>
        <v>0.64637590210229057</v>
      </c>
      <c r="K954" s="5">
        <f>100*('Parameter &lt;x, y&gt;'!I954-C954)/C954</f>
        <v>7.8406024474427358</v>
      </c>
      <c r="L954" s="5">
        <f>100*('Parameter &lt;x, y&gt;'!N954-C954)/C954</f>
        <v>0</v>
      </c>
      <c r="M954" s="5">
        <f>100*('Parameter &lt;x, y&gt;'!S954-C954)/C954</f>
        <v>0.48446815186695952</v>
      </c>
    </row>
    <row r="955" spans="1:13" ht="12.75" customHeight="1">
      <c r="A955" s="42"/>
      <c r="B955" s="5">
        <f>MIN('Parameter &lt;x, y&gt;'!B955,'Parameter &lt;x, y&gt;'!G955,'Parameter &lt;x, y&gt;'!L955,'Parameter &lt;x, y&gt;'!Q955)</f>
        <v>1811530</v>
      </c>
      <c r="C955" s="5">
        <f>MIN('Parameter &lt;x, y&gt;'!D955,'Parameter &lt;x, y&gt;'!I955,'Parameter &lt;x, y&gt;'!N955,'Parameter &lt;x, y&gt;'!S955)</f>
        <v>1442230</v>
      </c>
      <c r="E955" s="5">
        <f>100*('Parameter &lt;x, y&gt;'!B955-B955)/B955</f>
        <v>0</v>
      </c>
      <c r="F955" s="5">
        <f>100*('Parameter &lt;x, y&gt;'!G955-B955)/B955</f>
        <v>0.40849447704426645</v>
      </c>
      <c r="G955" s="5">
        <f>100*('Parameter &lt;x, y&gt;'!L955-B955)/B955</f>
        <v>1.395505456713386</v>
      </c>
      <c r="H955" s="5">
        <f>100*('Parameter &lt;x, y&gt;'!Q955-B955)/B955</f>
        <v>0.99197915574127948</v>
      </c>
      <c r="J955" s="5">
        <f>100*('Parameter &lt;x, y&gt;'!D955-C955)/C955</f>
        <v>11.593851188784036</v>
      </c>
      <c r="K955" s="5">
        <f>100*('Parameter &lt;x, y&gt;'!I955-C955)/C955</f>
        <v>16.819092655124358</v>
      </c>
      <c r="L955" s="5">
        <f>100*('Parameter &lt;x, y&gt;'!N955-C955)/C955</f>
        <v>0</v>
      </c>
      <c r="M955" s="5">
        <f>100*('Parameter &lt;x, y&gt;'!S955-C955)/C955</f>
        <v>21.979850647954905</v>
      </c>
    </row>
    <row r="956" spans="1:13" ht="12.75" customHeight="1">
      <c r="A956" s="42"/>
      <c r="B956" s="5">
        <f>MIN('Parameter &lt;x, y&gt;'!B956,'Parameter &lt;x, y&gt;'!G956,'Parameter &lt;x, y&gt;'!L956,'Parameter &lt;x, y&gt;'!Q956)</f>
        <v>1897880</v>
      </c>
      <c r="C956" s="5">
        <f>MIN('Parameter &lt;x, y&gt;'!D956,'Parameter &lt;x, y&gt;'!I956,'Parameter &lt;x, y&gt;'!N956,'Parameter &lt;x, y&gt;'!S956)</f>
        <v>1572310</v>
      </c>
      <c r="E956" s="5">
        <f>100*('Parameter &lt;x, y&gt;'!B956-B956)/B956</f>
        <v>2.4353489156321793</v>
      </c>
      <c r="F956" s="5">
        <f>100*('Parameter &lt;x, y&gt;'!G956-B956)/B956</f>
        <v>1.4974603241511582</v>
      </c>
      <c r="G956" s="5">
        <f>100*('Parameter &lt;x, y&gt;'!L956-B956)/B956</f>
        <v>0</v>
      </c>
      <c r="H956" s="5">
        <f>100*('Parameter &lt;x, y&gt;'!Q956-B956)/B956</f>
        <v>2.3557864564672162</v>
      </c>
      <c r="J956" s="5">
        <f>100*('Parameter &lt;x, y&gt;'!D956-C956)/C956</f>
        <v>5.2877613193327013</v>
      </c>
      <c r="K956" s="5">
        <f>100*('Parameter &lt;x, y&gt;'!I956-C956)/C956</f>
        <v>14.503501217953202</v>
      </c>
      <c r="L956" s="5">
        <f>100*('Parameter &lt;x, y&gt;'!N956-C956)/C956</f>
        <v>0</v>
      </c>
      <c r="M956" s="5">
        <f>100*('Parameter &lt;x, y&gt;'!S956-C956)/C956</f>
        <v>9.0376579682123754</v>
      </c>
    </row>
    <row r="957" spans="1:13" ht="12.75" customHeight="1">
      <c r="A957" s="42"/>
      <c r="B957" s="5">
        <f>MIN('Parameter &lt;x, y&gt;'!B957,'Parameter &lt;x, y&gt;'!G957,'Parameter &lt;x, y&gt;'!L957,'Parameter &lt;x, y&gt;'!Q957)</f>
        <v>1766330</v>
      </c>
      <c r="C957" s="5">
        <f>MIN('Parameter &lt;x, y&gt;'!D957,'Parameter &lt;x, y&gt;'!I957,'Parameter &lt;x, y&gt;'!N957,'Parameter &lt;x, y&gt;'!S957)</f>
        <v>1430410</v>
      </c>
      <c r="E957" s="5">
        <f>100*('Parameter &lt;x, y&gt;'!B957-B957)/B957</f>
        <v>6.0690810890377227</v>
      </c>
      <c r="F957" s="5">
        <f>100*('Parameter &lt;x, y&gt;'!G957-B957)/B957</f>
        <v>0</v>
      </c>
      <c r="G957" s="5">
        <f>100*('Parameter &lt;x, y&gt;'!L957-B957)/B957</f>
        <v>2.1315382742749089</v>
      </c>
      <c r="H957" s="5">
        <f>100*('Parameter &lt;x, y&gt;'!Q957-B957)/B957</f>
        <v>0.78694241732858528</v>
      </c>
      <c r="J957" s="5">
        <f>100*('Parameter &lt;x, y&gt;'!D957-C957)/C957</f>
        <v>15.973741794310722</v>
      </c>
      <c r="K957" s="5">
        <f>100*('Parameter &lt;x, y&gt;'!I957-C957)/C957</f>
        <v>11.643514796456961</v>
      </c>
      <c r="L957" s="5">
        <f>100*('Parameter &lt;x, y&gt;'!N957-C957)/C957</f>
        <v>0</v>
      </c>
      <c r="M957" s="5">
        <f>100*('Parameter &lt;x, y&gt;'!S957-C957)/C957</f>
        <v>5.8976097762180073</v>
      </c>
    </row>
    <row r="958" spans="1:13" ht="12.75" customHeight="1">
      <c r="A958" s="42"/>
      <c r="B958" s="5">
        <f>MIN('Parameter &lt;x, y&gt;'!B958,'Parameter &lt;x, y&gt;'!G958,'Parameter &lt;x, y&gt;'!L958,'Parameter &lt;x, y&gt;'!Q958)</f>
        <v>1689650</v>
      </c>
      <c r="C958" s="5">
        <f>MIN('Parameter &lt;x, y&gt;'!D958,'Parameter &lt;x, y&gt;'!I958,'Parameter &lt;x, y&gt;'!N958,'Parameter &lt;x, y&gt;'!S958)</f>
        <v>1359520</v>
      </c>
      <c r="E958" s="5">
        <f>100*('Parameter &lt;x, y&gt;'!B958-B958)/B958</f>
        <v>0</v>
      </c>
      <c r="F958" s="5">
        <f>100*('Parameter &lt;x, y&gt;'!G958-B958)/B958</f>
        <v>6.4557748646169326</v>
      </c>
      <c r="G958" s="5">
        <f>100*('Parameter &lt;x, y&gt;'!L958-B958)/B958</f>
        <v>3.5871334300002959</v>
      </c>
      <c r="H958" s="5">
        <f>100*('Parameter &lt;x, y&gt;'!Q958-B958)/B958</f>
        <v>13.334714289941704</v>
      </c>
      <c r="J958" s="5">
        <f>100*('Parameter &lt;x, y&gt;'!D958-C958)/C958</f>
        <v>13.030334235612569</v>
      </c>
      <c r="K958" s="5">
        <f>100*('Parameter &lt;x, y&gt;'!I958-C958)/C958</f>
        <v>11.834323879016123</v>
      </c>
      <c r="L958" s="5">
        <f>100*('Parameter &lt;x, y&gt;'!N958-C958)/C958</f>
        <v>0</v>
      </c>
      <c r="M958" s="5">
        <f>100*('Parameter &lt;x, y&gt;'!S958-C958)/C958</f>
        <v>7.455572555019419</v>
      </c>
    </row>
    <row r="959" spans="1:13" ht="12.75" customHeight="1">
      <c r="A959" s="42"/>
      <c r="B959" s="5">
        <f>MIN('Parameter &lt;x, y&gt;'!B959,'Parameter &lt;x, y&gt;'!G959,'Parameter &lt;x, y&gt;'!L959,'Parameter &lt;x, y&gt;'!Q959)</f>
        <v>1623090</v>
      </c>
      <c r="C959" s="5">
        <f>MIN('Parameter &lt;x, y&gt;'!D959,'Parameter &lt;x, y&gt;'!I959,'Parameter &lt;x, y&gt;'!N959,'Parameter &lt;x, y&gt;'!S959)</f>
        <v>1386930</v>
      </c>
      <c r="E959" s="5">
        <f>100*('Parameter &lt;x, y&gt;'!B959-B959)/B959</f>
        <v>0</v>
      </c>
      <c r="F959" s="5">
        <f>100*('Parameter &lt;x, y&gt;'!G959-B959)/B959</f>
        <v>2.9616349062590492</v>
      </c>
      <c r="G959" s="5">
        <f>100*('Parameter &lt;x, y&gt;'!L959-B959)/B959</f>
        <v>3.0084591735516821</v>
      </c>
      <c r="H959" s="5">
        <f>100*('Parameter &lt;x, y&gt;'!Q959-B959)/B959</f>
        <v>4.0657018403169261</v>
      </c>
      <c r="J959" s="5">
        <f>100*('Parameter &lt;x, y&gt;'!D959-C959)/C959</f>
        <v>0.22639931359189</v>
      </c>
      <c r="K959" s="5">
        <f>100*('Parameter &lt;x, y&gt;'!I959-C959)/C959</f>
        <v>5.0860533696725865</v>
      </c>
      <c r="L959" s="5">
        <f>100*('Parameter &lt;x, y&gt;'!N959-C959)/C959</f>
        <v>0.47731320254086362</v>
      </c>
      <c r="M959" s="5">
        <f>100*('Parameter &lt;x, y&gt;'!S959-C959)/C959</f>
        <v>0</v>
      </c>
    </row>
    <row r="960" spans="1:13" ht="12.75" customHeight="1">
      <c r="A960" s="42"/>
      <c r="B960" s="5">
        <f>MIN('Parameter &lt;x, y&gt;'!B960,'Parameter &lt;x, y&gt;'!G960,'Parameter &lt;x, y&gt;'!L960,'Parameter &lt;x, y&gt;'!Q960)</f>
        <v>1960230</v>
      </c>
      <c r="C960" s="5">
        <f>MIN('Parameter &lt;x, y&gt;'!D960,'Parameter &lt;x, y&gt;'!I960,'Parameter &lt;x, y&gt;'!N960,'Parameter &lt;x, y&gt;'!S960)</f>
        <v>1535300</v>
      </c>
      <c r="E960" s="5">
        <f>100*('Parameter &lt;x, y&gt;'!B960-B960)/B960</f>
        <v>3.3613402508889263</v>
      </c>
      <c r="F960" s="5">
        <f>100*('Parameter &lt;x, y&gt;'!G960-B960)/B960</f>
        <v>0</v>
      </c>
      <c r="G960" s="5">
        <f>100*('Parameter &lt;x, y&gt;'!L960-B960)/B960</f>
        <v>1.0554883865668825</v>
      </c>
      <c r="H960" s="5">
        <f>100*('Parameter &lt;x, y&gt;'!Q960-B960)/B960</f>
        <v>12.384771174811119</v>
      </c>
      <c r="J960" s="5">
        <f>100*('Parameter &lt;x, y&gt;'!D960-C960)/C960</f>
        <v>5.2328535139712109</v>
      </c>
      <c r="K960" s="5">
        <f>100*('Parameter &lt;x, y&gt;'!I960-C960)/C960</f>
        <v>8.923337458477171</v>
      </c>
      <c r="L960" s="5">
        <f>100*('Parameter &lt;x, y&gt;'!N960-C960)/C960</f>
        <v>0</v>
      </c>
      <c r="M960" s="5">
        <f>100*('Parameter &lt;x, y&gt;'!S960-C960)/C960</f>
        <v>11.193252133133589</v>
      </c>
    </row>
    <row r="961" spans="1:13" ht="12.75" customHeight="1">
      <c r="A961" s="42"/>
      <c r="B961" s="5">
        <f>MIN('Parameter &lt;x, y&gt;'!B961,'Parameter &lt;x, y&gt;'!G961,'Parameter &lt;x, y&gt;'!L961,'Parameter &lt;x, y&gt;'!Q961)</f>
        <v>1779210</v>
      </c>
      <c r="C961" s="5">
        <f>MIN('Parameter &lt;x, y&gt;'!D961,'Parameter &lt;x, y&gt;'!I961,'Parameter &lt;x, y&gt;'!N961,'Parameter &lt;x, y&gt;'!S961)</f>
        <v>1433490</v>
      </c>
      <c r="E961" s="5">
        <f>100*('Parameter &lt;x, y&gt;'!B961-B961)/B961</f>
        <v>3.1699462120828907</v>
      </c>
      <c r="F961" s="5">
        <f>100*('Parameter &lt;x, y&gt;'!G961-B961)/B961</f>
        <v>0</v>
      </c>
      <c r="G961" s="5">
        <f>100*('Parameter &lt;x, y&gt;'!L961-B961)/B961</f>
        <v>1.0808167669920921</v>
      </c>
      <c r="H961" s="5">
        <f>100*('Parameter &lt;x, y&gt;'!Q961-B961)/B961</f>
        <v>5.0039062280450315</v>
      </c>
      <c r="J961" s="5">
        <f>100*('Parameter &lt;x, y&gt;'!D961-C961)/C961</f>
        <v>12.006362095305862</v>
      </c>
      <c r="K961" s="5">
        <f>100*('Parameter &lt;x, y&gt;'!I961-C961)/C961</f>
        <v>8.1514346106355813</v>
      </c>
      <c r="L961" s="5">
        <f>100*('Parameter &lt;x, y&gt;'!N961-C961)/C961</f>
        <v>0</v>
      </c>
      <c r="M961" s="5">
        <f>100*('Parameter &lt;x, y&gt;'!S961-C961)/C961</f>
        <v>2.5978555832269494</v>
      </c>
    </row>
    <row r="962" spans="1:13" ht="12.75" customHeight="1">
      <c r="A962" s="42"/>
      <c r="B962" s="5">
        <f>MIN('Parameter &lt;x, y&gt;'!B962,'Parameter &lt;x, y&gt;'!G962,'Parameter &lt;x, y&gt;'!L962,'Parameter &lt;x, y&gt;'!Q962)</f>
        <v>1844840</v>
      </c>
      <c r="C962" s="5">
        <f>MIN('Parameter &lt;x, y&gt;'!D962,'Parameter &lt;x, y&gt;'!I962,'Parameter &lt;x, y&gt;'!N962,'Parameter &lt;x, y&gt;'!S962)</f>
        <v>1471120</v>
      </c>
      <c r="E962" s="5">
        <f>100*('Parameter &lt;x, y&gt;'!B962-B962)/B962</f>
        <v>0</v>
      </c>
      <c r="F962" s="5">
        <f>100*('Parameter &lt;x, y&gt;'!G962-B962)/B962</f>
        <v>1.2342533769866222</v>
      </c>
      <c r="G962" s="5">
        <f>100*('Parameter &lt;x, y&gt;'!L962-B962)/B962</f>
        <v>0.44990351466793871</v>
      </c>
      <c r="H962" s="5">
        <f>100*('Parameter &lt;x, y&gt;'!Q962-B962)/B962</f>
        <v>0.59517356518722486</v>
      </c>
      <c r="J962" s="5">
        <f>100*('Parameter &lt;x, y&gt;'!D962-C962)/C962</f>
        <v>10.281962042525423</v>
      </c>
      <c r="K962" s="5">
        <f>100*('Parameter &lt;x, y&gt;'!I962-C962)/C962</f>
        <v>12.524471151231715</v>
      </c>
      <c r="L962" s="5">
        <f>100*('Parameter &lt;x, y&gt;'!N962-C962)/C962</f>
        <v>0</v>
      </c>
      <c r="M962" s="5">
        <f>100*('Parameter &lt;x, y&gt;'!S962-C962)/C962</f>
        <v>9.5342324215563661</v>
      </c>
    </row>
    <row r="963" spans="1:13" ht="12.75" customHeight="1"/>
    <row r="964" spans="1:13" ht="12.75" customHeight="1"/>
    <row r="965" spans="1:13" ht="12.75" customHeight="1"/>
    <row r="966" spans="1:13" ht="12.75" customHeight="1"/>
    <row r="967" spans="1:13" ht="12.75" customHeight="1"/>
    <row r="968" spans="1:13" ht="12.75" customHeight="1"/>
    <row r="969" spans="1:13" ht="12.75" customHeight="1"/>
    <row r="970" spans="1:13" ht="12.75" customHeight="1"/>
    <row r="971" spans="1:13" ht="12.75" customHeight="1"/>
    <row r="972" spans="1:13" ht="12.75" customHeight="1"/>
    <row r="973" spans="1:13" ht="12.75" customHeight="1"/>
    <row r="974" spans="1:13" ht="12.75" customHeight="1"/>
    <row r="975" spans="1:13" ht="12.75" customHeight="1"/>
    <row r="976" spans="1:13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E1:H1"/>
    <mergeCell ref="J1:M1"/>
    <mergeCell ref="O2:S2"/>
    <mergeCell ref="O4:S4"/>
    <mergeCell ref="O11:S11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62"/>
  <sheetViews>
    <sheetView topLeftCell="A917" zoomScaleNormal="100" workbookViewId="0">
      <selection activeCell="H944" sqref="H944"/>
    </sheetView>
  </sheetViews>
  <sheetFormatPr defaultRowHeight="12.75"/>
  <cols>
    <col min="1" max="1" width="21.42578125" customWidth="1"/>
    <col min="2" max="2" width="9" customWidth="1"/>
    <col min="3" max="3" width="4" customWidth="1"/>
    <col min="4" max="4" width="3" customWidth="1"/>
    <col min="5" max="5" width="9" customWidth="1"/>
    <col min="6" max="6" width="4" customWidth="1"/>
    <col min="7" max="7" width="3" customWidth="1"/>
    <col min="8" max="8" width="9" customWidth="1"/>
    <col min="9" max="9" width="4" customWidth="1"/>
    <col min="10" max="10" width="3" customWidth="1"/>
    <col min="11" max="11" width="9" customWidth="1"/>
    <col min="12" max="12" width="4" customWidth="1"/>
    <col min="13" max="13" width="3" customWidth="1"/>
    <col min="15" max="15" width="9" customWidth="1"/>
    <col min="16" max="16" width="4" customWidth="1"/>
    <col min="17" max="17" width="3" customWidth="1"/>
    <col min="18" max="18" width="9" customWidth="1"/>
    <col min="19" max="19" width="4" customWidth="1"/>
    <col min="20" max="20" width="3" customWidth="1"/>
    <col min="21" max="21" width="9" customWidth="1"/>
    <col min="22" max="22" width="4" customWidth="1"/>
    <col min="23" max="23" width="3" customWidth="1"/>
    <col min="24" max="24" width="9" customWidth="1"/>
    <col min="25" max="25" width="4" customWidth="1"/>
    <col min="26" max="26" width="3" customWidth="1"/>
    <col min="28" max="28" width="9" customWidth="1"/>
    <col min="29" max="29" width="4" customWidth="1"/>
    <col min="30" max="30" width="3" customWidth="1"/>
    <col min="31" max="31" width="9" customWidth="1"/>
    <col min="32" max="32" width="4" customWidth="1"/>
    <col min="33" max="33" width="3" customWidth="1"/>
    <col min="34" max="34" width="9" customWidth="1"/>
    <col min="35" max="36" width="4" customWidth="1"/>
    <col min="37" max="37" width="9" customWidth="1"/>
    <col min="38" max="38" width="4" customWidth="1"/>
    <col min="39" max="39" width="3" customWidth="1"/>
    <col min="41" max="41" width="9" customWidth="1"/>
    <col min="42" max="42" width="4" customWidth="1"/>
    <col min="43" max="43" width="3" customWidth="1"/>
    <col min="44" max="44" width="9" customWidth="1"/>
    <col min="45" max="45" width="4" customWidth="1"/>
    <col min="46" max="46" width="3" customWidth="1"/>
    <col min="47" max="47" width="9" customWidth="1"/>
    <col min="48" max="48" width="4" customWidth="1"/>
    <col min="49" max="49" width="3" customWidth="1"/>
    <col min="50" max="50" width="9" customWidth="1"/>
    <col min="51" max="51" width="4" customWidth="1"/>
    <col min="52" max="52" width="3" customWidth="1"/>
  </cols>
  <sheetData>
    <row r="1" spans="1:52" ht="18.75" thickBot="1">
      <c r="A1" s="72"/>
      <c r="B1" s="110" t="s">
        <v>26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  <c r="O1" s="113" t="s">
        <v>27</v>
      </c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43"/>
      <c r="AB1" s="113" t="s">
        <v>28</v>
      </c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2"/>
      <c r="AN1" s="43"/>
      <c r="AO1" s="113" t="s">
        <v>29</v>
      </c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2"/>
    </row>
    <row r="2" spans="1:52" ht="13.5" thickBot="1">
      <c r="A2" s="73" t="s">
        <v>36</v>
      </c>
      <c r="B2" s="74" t="s">
        <v>30</v>
      </c>
      <c r="C2" s="75" t="s">
        <v>31</v>
      </c>
      <c r="D2" s="76" t="s">
        <v>32</v>
      </c>
      <c r="E2" s="77" t="s">
        <v>33</v>
      </c>
      <c r="F2" s="75" t="s">
        <v>31</v>
      </c>
      <c r="G2" s="76" t="s">
        <v>32</v>
      </c>
      <c r="H2" s="77" t="s">
        <v>34</v>
      </c>
      <c r="I2" s="75" t="s">
        <v>31</v>
      </c>
      <c r="J2" s="76" t="s">
        <v>32</v>
      </c>
      <c r="K2" s="77" t="s">
        <v>35</v>
      </c>
      <c r="L2" s="75" t="s">
        <v>31</v>
      </c>
      <c r="M2" s="78" t="s">
        <v>32</v>
      </c>
      <c r="O2" s="79" t="s">
        <v>30</v>
      </c>
      <c r="P2" s="80" t="s">
        <v>31</v>
      </c>
      <c r="Q2" s="81" t="s">
        <v>32</v>
      </c>
      <c r="R2" s="82" t="s">
        <v>33</v>
      </c>
      <c r="S2" s="80" t="s">
        <v>31</v>
      </c>
      <c r="T2" s="81" t="s">
        <v>32</v>
      </c>
      <c r="U2" s="82" t="s">
        <v>34</v>
      </c>
      <c r="V2" s="80" t="s">
        <v>31</v>
      </c>
      <c r="W2" s="81" t="s">
        <v>32</v>
      </c>
      <c r="X2" s="82" t="s">
        <v>35</v>
      </c>
      <c r="Y2" s="80" t="s">
        <v>31</v>
      </c>
      <c r="Z2" s="83" t="s">
        <v>32</v>
      </c>
      <c r="AA2" s="44"/>
      <c r="AB2" s="79" t="s">
        <v>30</v>
      </c>
      <c r="AC2" s="80" t="s">
        <v>31</v>
      </c>
      <c r="AD2" s="81" t="s">
        <v>32</v>
      </c>
      <c r="AE2" s="82" t="s">
        <v>33</v>
      </c>
      <c r="AF2" s="80" t="s">
        <v>31</v>
      </c>
      <c r="AG2" s="81" t="s">
        <v>32</v>
      </c>
      <c r="AH2" s="82" t="s">
        <v>34</v>
      </c>
      <c r="AI2" s="80" t="s">
        <v>31</v>
      </c>
      <c r="AJ2" s="81" t="s">
        <v>32</v>
      </c>
      <c r="AK2" s="82" t="s">
        <v>35</v>
      </c>
      <c r="AL2" s="80" t="s">
        <v>31</v>
      </c>
      <c r="AM2" s="83" t="s">
        <v>32</v>
      </c>
      <c r="AN2" s="44"/>
      <c r="AO2" s="79" t="s">
        <v>30</v>
      </c>
      <c r="AP2" s="80" t="s">
        <v>31</v>
      </c>
      <c r="AQ2" s="81" t="s">
        <v>32</v>
      </c>
      <c r="AR2" s="82" t="s">
        <v>33</v>
      </c>
      <c r="AS2" s="80" t="s">
        <v>31</v>
      </c>
      <c r="AT2" s="81" t="s">
        <v>32</v>
      </c>
      <c r="AU2" s="82" t="s">
        <v>34</v>
      </c>
      <c r="AV2" s="80" t="s">
        <v>31</v>
      </c>
      <c r="AW2" s="81" t="s">
        <v>32</v>
      </c>
      <c r="AX2" s="82" t="s">
        <v>35</v>
      </c>
      <c r="AY2" s="80" t="s">
        <v>31</v>
      </c>
      <c r="AZ2" s="83" t="s">
        <v>32</v>
      </c>
    </row>
    <row r="3" spans="1:52">
      <c r="B3" s="45">
        <v>11423.2</v>
      </c>
      <c r="C3" s="45">
        <v>0</v>
      </c>
      <c r="D3" s="45">
        <v>0</v>
      </c>
      <c r="E3" s="45">
        <v>11316.2</v>
      </c>
      <c r="F3" s="45">
        <v>0</v>
      </c>
      <c r="G3" s="45">
        <v>0</v>
      </c>
      <c r="H3" s="45">
        <v>11505.4</v>
      </c>
      <c r="I3" s="45">
        <v>0</v>
      </c>
      <c r="J3" s="45">
        <v>0</v>
      </c>
      <c r="K3" s="45">
        <v>11470.6</v>
      </c>
      <c r="L3" s="45">
        <v>0</v>
      </c>
      <c r="M3" s="45">
        <v>0</v>
      </c>
      <c r="O3" s="45">
        <v>11613.8</v>
      </c>
      <c r="P3" s="45">
        <v>0</v>
      </c>
      <c r="Q3" s="45">
        <v>1</v>
      </c>
      <c r="R3" s="45">
        <v>11747.9</v>
      </c>
      <c r="S3" s="45">
        <v>0</v>
      </c>
      <c r="T3" s="45">
        <v>0</v>
      </c>
      <c r="U3" s="45">
        <v>13861.6</v>
      </c>
      <c r="V3" s="45">
        <v>27</v>
      </c>
      <c r="W3" s="45">
        <v>0</v>
      </c>
      <c r="X3" s="45">
        <v>11316.2</v>
      </c>
      <c r="Y3" s="45">
        <v>0</v>
      </c>
      <c r="Z3" s="45">
        <v>0</v>
      </c>
      <c r="AB3" s="45">
        <v>11981.3</v>
      </c>
      <c r="AC3" s="45">
        <v>0</v>
      </c>
      <c r="AD3" s="45">
        <v>0</v>
      </c>
      <c r="AE3" s="45">
        <v>11845.5</v>
      </c>
      <c r="AF3" s="45">
        <v>0</v>
      </c>
      <c r="AG3" s="45">
        <v>0</v>
      </c>
      <c r="AH3" s="45">
        <v>11925.7</v>
      </c>
      <c r="AI3" s="45">
        <v>0</v>
      </c>
      <c r="AJ3" s="45">
        <v>0</v>
      </c>
      <c r="AK3" s="45">
        <v>11795</v>
      </c>
      <c r="AL3" s="45">
        <v>0</v>
      </c>
      <c r="AM3" s="45">
        <v>1</v>
      </c>
      <c r="AO3" s="45">
        <v>11161.6</v>
      </c>
      <c r="AP3" s="45">
        <v>0</v>
      </c>
      <c r="AQ3" s="45">
        <v>0</v>
      </c>
      <c r="AR3" s="45">
        <v>11685.9</v>
      </c>
      <c r="AS3" s="45">
        <v>0</v>
      </c>
      <c r="AT3" s="45">
        <v>0</v>
      </c>
      <c r="AU3" s="45">
        <v>13861.6</v>
      </c>
      <c r="AV3" s="45">
        <v>27</v>
      </c>
      <c r="AW3" s="45">
        <v>0</v>
      </c>
      <c r="AX3" s="45">
        <v>11316.2</v>
      </c>
      <c r="AY3" s="45">
        <v>0</v>
      </c>
      <c r="AZ3" s="45">
        <v>0</v>
      </c>
    </row>
    <row r="4" spans="1:52">
      <c r="B4" s="45">
        <v>9568.9</v>
      </c>
      <c r="C4" s="45">
        <v>0</v>
      </c>
      <c r="D4" s="45">
        <v>0</v>
      </c>
      <c r="E4" s="45">
        <v>9568.9</v>
      </c>
      <c r="F4" s="45">
        <v>0</v>
      </c>
      <c r="G4" s="45">
        <v>0</v>
      </c>
      <c r="H4" s="45">
        <v>9568.9</v>
      </c>
      <c r="I4" s="45">
        <v>0</v>
      </c>
      <c r="J4" s="45">
        <v>0</v>
      </c>
      <c r="K4" s="45">
        <v>9810</v>
      </c>
      <c r="L4" s="45">
        <v>0</v>
      </c>
      <c r="M4" s="45">
        <v>1</v>
      </c>
      <c r="O4" s="45">
        <v>9568.9</v>
      </c>
      <c r="P4" s="45">
        <v>0</v>
      </c>
      <c r="Q4" s="45">
        <v>1</v>
      </c>
      <c r="R4" s="45">
        <v>10155</v>
      </c>
      <c r="S4" s="45">
        <v>0</v>
      </c>
      <c r="T4" s="45">
        <v>0</v>
      </c>
      <c r="U4" s="45">
        <v>9810</v>
      </c>
      <c r="V4" s="45">
        <v>0</v>
      </c>
      <c r="W4" s="45">
        <v>0</v>
      </c>
      <c r="X4" s="45">
        <v>9568.9</v>
      </c>
      <c r="Y4" s="45">
        <v>0</v>
      </c>
      <c r="Z4" s="45">
        <v>1</v>
      </c>
      <c r="AB4" s="45">
        <v>11155.3</v>
      </c>
      <c r="AC4" s="45">
        <v>0</v>
      </c>
      <c r="AD4" s="45">
        <v>0</v>
      </c>
      <c r="AE4" s="45">
        <v>10560.5</v>
      </c>
      <c r="AF4" s="45">
        <v>0</v>
      </c>
      <c r="AG4" s="45">
        <v>0</v>
      </c>
      <c r="AH4" s="45">
        <v>10684.3</v>
      </c>
      <c r="AI4" s="45">
        <v>0</v>
      </c>
      <c r="AJ4" s="45">
        <v>0</v>
      </c>
      <c r="AK4" s="45">
        <v>12001.3</v>
      </c>
      <c r="AL4" s="45">
        <v>0</v>
      </c>
      <c r="AM4" s="45">
        <v>1</v>
      </c>
      <c r="AO4" s="45">
        <v>10155</v>
      </c>
      <c r="AP4" s="45">
        <v>0</v>
      </c>
      <c r="AQ4" s="45">
        <v>0</v>
      </c>
      <c r="AR4" s="45">
        <v>9568.9</v>
      </c>
      <c r="AS4" s="45">
        <v>0</v>
      </c>
      <c r="AT4" s="45">
        <v>1</v>
      </c>
      <c r="AU4" s="45">
        <v>9568.9</v>
      </c>
      <c r="AV4" s="45">
        <v>0</v>
      </c>
      <c r="AW4" s="45">
        <v>0</v>
      </c>
      <c r="AX4" s="45">
        <v>9568.9</v>
      </c>
      <c r="AY4" s="45">
        <v>0</v>
      </c>
      <c r="AZ4" s="45">
        <v>0</v>
      </c>
    </row>
    <row r="5" spans="1:52">
      <c r="B5" s="45">
        <v>11056</v>
      </c>
      <c r="C5" s="45">
        <v>0</v>
      </c>
      <c r="D5" s="45">
        <v>0</v>
      </c>
      <c r="E5" s="45">
        <v>10978.4</v>
      </c>
      <c r="F5" s="45">
        <v>0</v>
      </c>
      <c r="G5" s="45">
        <v>0</v>
      </c>
      <c r="H5" s="45">
        <v>11056</v>
      </c>
      <c r="I5" s="45">
        <v>0</v>
      </c>
      <c r="J5" s="45">
        <v>0</v>
      </c>
      <c r="K5" s="45">
        <v>10637.1</v>
      </c>
      <c r="L5" s="45">
        <v>0</v>
      </c>
      <c r="M5" s="45">
        <v>0</v>
      </c>
      <c r="O5" s="45">
        <v>10749.9</v>
      </c>
      <c r="P5" s="45">
        <v>0</v>
      </c>
      <c r="Q5" s="45">
        <v>0</v>
      </c>
      <c r="R5" s="45">
        <v>10637.1</v>
      </c>
      <c r="S5" s="45">
        <v>0</v>
      </c>
      <c r="T5" s="45">
        <v>0</v>
      </c>
      <c r="U5" s="45">
        <v>10637.1</v>
      </c>
      <c r="V5" s="45">
        <v>0</v>
      </c>
      <c r="W5" s="45">
        <v>0</v>
      </c>
      <c r="X5" s="45">
        <v>10637.1</v>
      </c>
      <c r="Y5" s="45">
        <v>0</v>
      </c>
      <c r="Z5" s="45">
        <v>1</v>
      </c>
      <c r="AB5" s="45">
        <v>11814.5</v>
      </c>
      <c r="AC5" s="45">
        <v>0</v>
      </c>
      <c r="AD5" s="45">
        <v>0</v>
      </c>
      <c r="AE5" s="45">
        <v>12053.3</v>
      </c>
      <c r="AF5" s="45">
        <v>0</v>
      </c>
      <c r="AG5" s="45">
        <v>0</v>
      </c>
      <c r="AH5" s="45">
        <v>10637.1</v>
      </c>
      <c r="AI5" s="45">
        <v>0</v>
      </c>
      <c r="AJ5" s="45">
        <v>1</v>
      </c>
      <c r="AK5" s="45">
        <v>11169.7</v>
      </c>
      <c r="AL5" s="45">
        <v>0</v>
      </c>
      <c r="AM5" s="45">
        <v>0</v>
      </c>
      <c r="AO5" s="45">
        <v>10978.4</v>
      </c>
      <c r="AP5" s="45">
        <v>0</v>
      </c>
      <c r="AQ5" s="45">
        <v>0</v>
      </c>
      <c r="AR5" s="45">
        <v>10749.9</v>
      </c>
      <c r="AS5" s="45">
        <v>0</v>
      </c>
      <c r="AT5" s="45">
        <v>0</v>
      </c>
      <c r="AU5" s="45">
        <v>10978.4</v>
      </c>
      <c r="AV5" s="45">
        <v>0</v>
      </c>
      <c r="AW5" s="45">
        <v>0</v>
      </c>
      <c r="AX5" s="45">
        <v>10637.1</v>
      </c>
      <c r="AY5" s="45">
        <v>0</v>
      </c>
      <c r="AZ5" s="45">
        <v>1</v>
      </c>
    </row>
    <row r="6" spans="1:52">
      <c r="B6" s="45">
        <v>13626.1</v>
      </c>
      <c r="C6" s="45">
        <v>19</v>
      </c>
      <c r="D6" s="45">
        <v>0</v>
      </c>
      <c r="E6" s="45">
        <v>11948.7</v>
      </c>
      <c r="F6" s="45">
        <v>0</v>
      </c>
      <c r="G6" s="45">
        <v>0</v>
      </c>
      <c r="H6" s="45">
        <v>11446.7</v>
      </c>
      <c r="I6" s="45">
        <v>0</v>
      </c>
      <c r="J6" s="45">
        <v>1</v>
      </c>
      <c r="K6" s="45">
        <v>11446.7</v>
      </c>
      <c r="L6" s="45">
        <v>0</v>
      </c>
      <c r="M6" s="45">
        <v>0</v>
      </c>
      <c r="O6" s="45">
        <v>12508.9</v>
      </c>
      <c r="P6" s="45">
        <v>0</v>
      </c>
      <c r="Q6" s="45">
        <v>0</v>
      </c>
      <c r="R6" s="45">
        <v>11446.7</v>
      </c>
      <c r="S6" s="45">
        <v>0</v>
      </c>
      <c r="T6" s="45">
        <v>0</v>
      </c>
      <c r="U6" s="45">
        <v>11446.7</v>
      </c>
      <c r="V6" s="45">
        <v>0</v>
      </c>
      <c r="W6" s="45">
        <v>1</v>
      </c>
      <c r="X6" s="45">
        <v>11446.7</v>
      </c>
      <c r="Y6" s="45">
        <v>0</v>
      </c>
      <c r="Z6" s="45">
        <v>0</v>
      </c>
      <c r="AB6" s="45">
        <v>12819.9</v>
      </c>
      <c r="AC6" s="45">
        <v>0</v>
      </c>
      <c r="AD6" s="45">
        <v>0</v>
      </c>
      <c r="AE6" s="45">
        <v>12626.9</v>
      </c>
      <c r="AF6" s="45">
        <v>0</v>
      </c>
      <c r="AG6" s="45">
        <v>0</v>
      </c>
      <c r="AH6" s="45">
        <v>13116.3</v>
      </c>
      <c r="AI6" s="45">
        <v>0</v>
      </c>
      <c r="AJ6" s="45">
        <v>1</v>
      </c>
      <c r="AK6" s="45">
        <v>13721.8</v>
      </c>
      <c r="AL6" s="45">
        <v>0</v>
      </c>
      <c r="AM6" s="45">
        <v>0</v>
      </c>
      <c r="AO6" s="45">
        <v>11895.4</v>
      </c>
      <c r="AP6" s="45">
        <v>0</v>
      </c>
      <c r="AQ6" s="45">
        <v>0</v>
      </c>
      <c r="AR6" s="45">
        <v>11948.7</v>
      </c>
      <c r="AS6" s="45">
        <v>0</v>
      </c>
      <c r="AT6" s="45">
        <v>0</v>
      </c>
      <c r="AU6" s="45">
        <v>11446.7</v>
      </c>
      <c r="AV6" s="45">
        <v>0</v>
      </c>
      <c r="AW6" s="45">
        <v>0</v>
      </c>
      <c r="AX6" s="45">
        <v>13346.7</v>
      </c>
      <c r="AY6" s="45">
        <v>19</v>
      </c>
      <c r="AZ6" s="45">
        <v>0</v>
      </c>
    </row>
    <row r="7" spans="1:52">
      <c r="B7" s="45">
        <v>6772.5</v>
      </c>
      <c r="C7" s="45">
        <v>0</v>
      </c>
      <c r="D7" s="45">
        <v>0</v>
      </c>
      <c r="E7" s="45">
        <v>6723.9</v>
      </c>
      <c r="F7" s="45">
        <v>0</v>
      </c>
      <c r="G7" s="45">
        <v>0</v>
      </c>
      <c r="H7" s="45">
        <v>6818.1</v>
      </c>
      <c r="I7" s="45">
        <v>0</v>
      </c>
      <c r="J7" s="45">
        <v>0</v>
      </c>
      <c r="K7" s="45">
        <v>6831.1</v>
      </c>
      <c r="L7" s="45">
        <v>0</v>
      </c>
      <c r="M7" s="45">
        <v>0</v>
      </c>
      <c r="O7" s="45">
        <v>6766.4</v>
      </c>
      <c r="P7" s="45">
        <v>0</v>
      </c>
      <c r="Q7" s="45">
        <v>0</v>
      </c>
      <c r="R7" s="45">
        <v>6723.9</v>
      </c>
      <c r="S7" s="45">
        <v>0</v>
      </c>
      <c r="T7" s="45">
        <v>0</v>
      </c>
      <c r="U7" s="45">
        <v>7612.7</v>
      </c>
      <c r="V7" s="45">
        <v>0</v>
      </c>
      <c r="W7" s="45">
        <v>1</v>
      </c>
      <c r="X7" s="45">
        <v>6723.9</v>
      </c>
      <c r="Y7" s="45">
        <v>0</v>
      </c>
      <c r="Z7" s="45">
        <v>0</v>
      </c>
      <c r="AB7" s="45">
        <v>7498.3</v>
      </c>
      <c r="AC7" s="45">
        <v>0</v>
      </c>
      <c r="AD7" s="45">
        <v>0</v>
      </c>
      <c r="AE7" s="45">
        <v>7643.7</v>
      </c>
      <c r="AF7" s="45">
        <v>0</v>
      </c>
      <c r="AG7" s="45">
        <v>0</v>
      </c>
      <c r="AH7" s="45">
        <v>7060.1</v>
      </c>
      <c r="AI7" s="45">
        <v>0</v>
      </c>
      <c r="AJ7" s="45">
        <v>1</v>
      </c>
      <c r="AK7" s="45">
        <v>7579.9</v>
      </c>
      <c r="AL7" s="45">
        <v>0</v>
      </c>
      <c r="AM7" s="45">
        <v>0</v>
      </c>
      <c r="AO7" s="45">
        <v>6723.9</v>
      </c>
      <c r="AP7" s="45">
        <v>0</v>
      </c>
      <c r="AQ7" s="45">
        <v>1</v>
      </c>
      <c r="AR7" s="45">
        <v>7188.3</v>
      </c>
      <c r="AS7" s="45">
        <v>0</v>
      </c>
      <c r="AT7" s="45">
        <v>0</v>
      </c>
      <c r="AU7" s="45">
        <v>6766.4</v>
      </c>
      <c r="AV7" s="45">
        <v>0</v>
      </c>
      <c r="AW7" s="45">
        <v>0</v>
      </c>
      <c r="AX7" s="45">
        <v>6766.4</v>
      </c>
      <c r="AY7" s="45">
        <v>0</v>
      </c>
      <c r="AZ7" s="45">
        <v>0</v>
      </c>
    </row>
    <row r="8" spans="1:52">
      <c r="B8" s="45">
        <v>6515.7</v>
      </c>
      <c r="C8" s="45">
        <v>0</v>
      </c>
      <c r="D8" s="45">
        <v>0</v>
      </c>
      <c r="E8" s="45">
        <v>6140.1</v>
      </c>
      <c r="F8" s="45">
        <v>0</v>
      </c>
      <c r="G8" s="45">
        <v>1</v>
      </c>
      <c r="H8" s="45">
        <v>6515.7</v>
      </c>
      <c r="I8" s="45">
        <v>0</v>
      </c>
      <c r="J8" s="45">
        <v>0</v>
      </c>
      <c r="K8" s="45">
        <v>6140.1</v>
      </c>
      <c r="L8" s="45">
        <v>0</v>
      </c>
      <c r="M8" s="45">
        <v>0</v>
      </c>
      <c r="O8" s="45">
        <v>6140.1</v>
      </c>
      <c r="P8" s="45">
        <v>0</v>
      </c>
      <c r="Q8" s="45">
        <v>0</v>
      </c>
      <c r="R8" s="45">
        <v>6140.1</v>
      </c>
      <c r="S8" s="45">
        <v>0</v>
      </c>
      <c r="T8" s="45">
        <v>1</v>
      </c>
      <c r="U8" s="45">
        <v>6140.1</v>
      </c>
      <c r="V8" s="45">
        <v>0</v>
      </c>
      <c r="W8" s="45">
        <v>0</v>
      </c>
      <c r="X8" s="45">
        <v>6140.1</v>
      </c>
      <c r="Y8" s="45">
        <v>0</v>
      </c>
      <c r="Z8" s="45">
        <v>0</v>
      </c>
      <c r="AB8" s="45">
        <v>6733.7</v>
      </c>
      <c r="AC8" s="45">
        <v>0</v>
      </c>
      <c r="AD8" s="45">
        <v>0</v>
      </c>
      <c r="AE8" s="45">
        <v>6519.3</v>
      </c>
      <c r="AF8" s="45">
        <v>0</v>
      </c>
      <c r="AG8" s="45">
        <v>0</v>
      </c>
      <c r="AH8" s="45">
        <v>6231.5</v>
      </c>
      <c r="AI8" s="45">
        <v>0</v>
      </c>
      <c r="AJ8" s="45">
        <v>1</v>
      </c>
      <c r="AK8" s="45">
        <v>6661.5</v>
      </c>
      <c r="AL8" s="45">
        <v>0</v>
      </c>
      <c r="AM8" s="45">
        <v>0</v>
      </c>
      <c r="AO8" s="45">
        <v>6140.1</v>
      </c>
      <c r="AP8" s="45">
        <v>0</v>
      </c>
      <c r="AQ8" s="45">
        <v>0</v>
      </c>
      <c r="AR8" s="45">
        <v>6515.7</v>
      </c>
      <c r="AS8" s="45">
        <v>0</v>
      </c>
      <c r="AT8" s="45">
        <v>0</v>
      </c>
      <c r="AU8" s="45">
        <v>6140.1</v>
      </c>
      <c r="AV8" s="45">
        <v>0</v>
      </c>
      <c r="AW8" s="45">
        <v>1</v>
      </c>
      <c r="AX8" s="45">
        <v>6140.1</v>
      </c>
      <c r="AY8" s="45">
        <v>0</v>
      </c>
      <c r="AZ8" s="45">
        <v>0</v>
      </c>
    </row>
    <row r="9" spans="1:52">
      <c r="B9" s="45">
        <v>10380.700000000001</v>
      </c>
      <c r="C9" s="45">
        <v>0</v>
      </c>
      <c r="D9" s="45">
        <v>0</v>
      </c>
      <c r="E9" s="45">
        <v>10149.200000000001</v>
      </c>
      <c r="F9" s="45">
        <v>0</v>
      </c>
      <c r="G9" s="45">
        <v>0</v>
      </c>
      <c r="H9" s="45">
        <v>10779.3</v>
      </c>
      <c r="I9" s="45">
        <v>0</v>
      </c>
      <c r="J9" s="45">
        <v>0</v>
      </c>
      <c r="K9" s="45">
        <v>10156.1</v>
      </c>
      <c r="L9" s="45">
        <v>0</v>
      </c>
      <c r="M9" s="45">
        <v>0</v>
      </c>
      <c r="O9" s="45">
        <v>11184.2</v>
      </c>
      <c r="P9" s="45">
        <v>0</v>
      </c>
      <c r="Q9" s="45">
        <v>0</v>
      </c>
      <c r="R9" s="45">
        <v>9986.9</v>
      </c>
      <c r="S9" s="45">
        <v>0</v>
      </c>
      <c r="T9" s="45">
        <v>1</v>
      </c>
      <c r="U9" s="45">
        <v>10415.299999999999</v>
      </c>
      <c r="V9" s="45">
        <v>0</v>
      </c>
      <c r="W9" s="45">
        <v>0</v>
      </c>
      <c r="X9" s="45">
        <v>10315.1</v>
      </c>
      <c r="Y9" s="45">
        <v>0</v>
      </c>
      <c r="Z9" s="45">
        <v>0</v>
      </c>
      <c r="AB9" s="45">
        <v>10760</v>
      </c>
      <c r="AC9" s="45">
        <v>0</v>
      </c>
      <c r="AD9" s="45">
        <v>0</v>
      </c>
      <c r="AE9" s="45">
        <v>11076.4</v>
      </c>
      <c r="AF9" s="45">
        <v>0</v>
      </c>
      <c r="AG9" s="45">
        <v>0</v>
      </c>
      <c r="AH9" s="45">
        <v>9986.9</v>
      </c>
      <c r="AI9" s="45">
        <v>0</v>
      </c>
      <c r="AJ9" s="45">
        <v>1</v>
      </c>
      <c r="AK9" s="45">
        <v>9986.9</v>
      </c>
      <c r="AL9" s="45">
        <v>0</v>
      </c>
      <c r="AM9" s="45">
        <v>0</v>
      </c>
      <c r="AO9" s="45">
        <v>9986.9</v>
      </c>
      <c r="AP9" s="45">
        <v>0</v>
      </c>
      <c r="AQ9" s="45">
        <v>0</v>
      </c>
      <c r="AR9" s="45">
        <v>10415.299999999999</v>
      </c>
      <c r="AS9" s="45">
        <v>0</v>
      </c>
      <c r="AT9" s="45">
        <v>0</v>
      </c>
      <c r="AU9" s="45">
        <v>9986.9</v>
      </c>
      <c r="AV9" s="45">
        <v>0</v>
      </c>
      <c r="AW9" s="45">
        <v>0</v>
      </c>
      <c r="AX9" s="45">
        <v>9986.9</v>
      </c>
      <c r="AY9" s="45">
        <v>0</v>
      </c>
      <c r="AZ9" s="45">
        <v>0</v>
      </c>
    </row>
    <row r="10" spans="1:52">
      <c r="B10" s="45">
        <v>10193.6</v>
      </c>
      <c r="C10" s="45">
        <v>0</v>
      </c>
      <c r="D10" s="45">
        <v>1</v>
      </c>
      <c r="E10" s="45">
        <v>10894.8</v>
      </c>
      <c r="F10" s="45">
        <v>0</v>
      </c>
      <c r="G10" s="45">
        <v>0</v>
      </c>
      <c r="H10" s="45">
        <v>10784</v>
      </c>
      <c r="I10" s="45">
        <v>0</v>
      </c>
      <c r="J10" s="45">
        <v>0</v>
      </c>
      <c r="K10" s="45">
        <v>10293.6</v>
      </c>
      <c r="L10" s="45">
        <v>1</v>
      </c>
      <c r="M10" s="45">
        <v>0</v>
      </c>
      <c r="O10" s="45">
        <v>10818.1</v>
      </c>
      <c r="P10" s="45">
        <v>0</v>
      </c>
      <c r="Q10" s="45">
        <v>0</v>
      </c>
      <c r="R10" s="45">
        <v>10193.6</v>
      </c>
      <c r="S10" s="45">
        <v>0</v>
      </c>
      <c r="T10" s="45">
        <v>1</v>
      </c>
      <c r="U10" s="45">
        <v>10894.8</v>
      </c>
      <c r="V10" s="45">
        <v>0</v>
      </c>
      <c r="W10" s="45">
        <v>0</v>
      </c>
      <c r="X10" s="45">
        <v>10818.1</v>
      </c>
      <c r="Y10" s="45">
        <v>0</v>
      </c>
      <c r="Z10" s="45">
        <v>0</v>
      </c>
      <c r="AB10" s="45">
        <v>11353.5</v>
      </c>
      <c r="AC10" s="45">
        <v>0</v>
      </c>
      <c r="AD10" s="45">
        <v>0</v>
      </c>
      <c r="AE10" s="45">
        <v>11277.5</v>
      </c>
      <c r="AF10" s="45">
        <v>0</v>
      </c>
      <c r="AG10" s="45">
        <v>0</v>
      </c>
      <c r="AH10" s="45">
        <v>10931.5</v>
      </c>
      <c r="AI10" s="45">
        <v>0</v>
      </c>
      <c r="AJ10" s="45">
        <v>1</v>
      </c>
      <c r="AK10" s="45">
        <v>10818.1</v>
      </c>
      <c r="AL10" s="45">
        <v>0</v>
      </c>
      <c r="AM10" s="45">
        <v>0</v>
      </c>
      <c r="AO10" s="45">
        <v>10784</v>
      </c>
      <c r="AP10" s="45">
        <v>0</v>
      </c>
      <c r="AQ10" s="45">
        <v>1</v>
      </c>
      <c r="AR10" s="45">
        <v>10541</v>
      </c>
      <c r="AS10" s="45">
        <v>0</v>
      </c>
      <c r="AT10" s="45">
        <v>0</v>
      </c>
      <c r="AU10" s="45">
        <v>10784</v>
      </c>
      <c r="AV10" s="45">
        <v>0</v>
      </c>
      <c r="AW10" s="45">
        <v>0</v>
      </c>
      <c r="AX10" s="45">
        <v>10784</v>
      </c>
      <c r="AY10" s="45">
        <v>0</v>
      </c>
      <c r="AZ10" s="45">
        <v>0</v>
      </c>
    </row>
    <row r="11" spans="1:52">
      <c r="B11" s="45">
        <v>10701.2</v>
      </c>
      <c r="C11" s="45">
        <v>11</v>
      </c>
      <c r="D11" s="45">
        <v>0</v>
      </c>
      <c r="E11" s="45">
        <v>11205.7</v>
      </c>
      <c r="F11" s="45">
        <v>16</v>
      </c>
      <c r="G11" s="45">
        <v>0</v>
      </c>
      <c r="H11" s="45">
        <v>10227</v>
      </c>
      <c r="I11" s="45">
        <v>3</v>
      </c>
      <c r="J11" s="45">
        <v>1</v>
      </c>
      <c r="K11" s="45">
        <v>11801.2</v>
      </c>
      <c r="L11" s="45">
        <v>22</v>
      </c>
      <c r="M11" s="45">
        <v>0</v>
      </c>
      <c r="O11" s="45">
        <v>10601.5</v>
      </c>
      <c r="P11" s="45">
        <v>0</v>
      </c>
      <c r="Q11" s="45">
        <v>1</v>
      </c>
      <c r="R11" s="45">
        <v>10701.2</v>
      </c>
      <c r="S11" s="45">
        <v>11</v>
      </c>
      <c r="T11" s="45">
        <v>0</v>
      </c>
      <c r="U11" s="45">
        <v>10701.2</v>
      </c>
      <c r="V11" s="45">
        <v>11</v>
      </c>
      <c r="W11" s="45">
        <v>0</v>
      </c>
      <c r="X11" s="45">
        <v>10701.2</v>
      </c>
      <c r="Y11" s="45">
        <v>11</v>
      </c>
      <c r="Z11" s="45">
        <v>1</v>
      </c>
      <c r="AB11" s="45">
        <v>11721.5</v>
      </c>
      <c r="AC11" s="45">
        <v>0</v>
      </c>
      <c r="AD11" s="45">
        <v>0</v>
      </c>
      <c r="AE11" s="45">
        <v>10776.2</v>
      </c>
      <c r="AF11" s="45">
        <v>0</v>
      </c>
      <c r="AG11" s="45">
        <v>1</v>
      </c>
      <c r="AH11" s="45">
        <v>10494.4</v>
      </c>
      <c r="AI11" s="45">
        <v>0</v>
      </c>
      <c r="AJ11" s="45">
        <v>0</v>
      </c>
      <c r="AK11" s="45">
        <v>10494.4</v>
      </c>
      <c r="AL11" s="45">
        <v>0</v>
      </c>
      <c r="AM11" s="45">
        <v>0</v>
      </c>
      <c r="AO11" s="45">
        <v>10418.1</v>
      </c>
      <c r="AP11" s="45">
        <v>0</v>
      </c>
      <c r="AQ11" s="45">
        <v>0</v>
      </c>
      <c r="AR11" s="45">
        <v>10776.2</v>
      </c>
      <c r="AS11" s="45">
        <v>0</v>
      </c>
      <c r="AT11" s="45">
        <v>0</v>
      </c>
      <c r="AU11" s="45">
        <v>10713.9</v>
      </c>
      <c r="AV11" s="45">
        <v>9</v>
      </c>
      <c r="AW11" s="45">
        <v>1</v>
      </c>
      <c r="AX11" s="45">
        <v>11201.2</v>
      </c>
      <c r="AY11" s="45">
        <v>16</v>
      </c>
      <c r="AZ11" s="45">
        <v>0</v>
      </c>
    </row>
    <row r="12" spans="1:52">
      <c r="B12" s="45">
        <v>7743.3</v>
      </c>
      <c r="C12" s="45">
        <v>0</v>
      </c>
      <c r="D12" s="45">
        <v>0</v>
      </c>
      <c r="E12" s="45">
        <v>7865.7</v>
      </c>
      <c r="F12" s="45">
        <v>2</v>
      </c>
      <c r="G12" s="45">
        <v>0</v>
      </c>
      <c r="H12" s="45">
        <v>7665.7</v>
      </c>
      <c r="I12" s="45">
        <v>0</v>
      </c>
      <c r="J12" s="45">
        <v>0</v>
      </c>
      <c r="K12" s="45">
        <v>7743.3</v>
      </c>
      <c r="L12" s="45">
        <v>0</v>
      </c>
      <c r="M12" s="45">
        <v>0</v>
      </c>
      <c r="O12" s="45">
        <v>8184.5</v>
      </c>
      <c r="P12" s="45">
        <v>0</v>
      </c>
      <c r="Q12" s="45">
        <v>0</v>
      </c>
      <c r="R12" s="45">
        <v>8052.2</v>
      </c>
      <c r="S12" s="45">
        <v>0</v>
      </c>
      <c r="T12" s="45">
        <v>0</v>
      </c>
      <c r="U12" s="45">
        <v>7665.7</v>
      </c>
      <c r="V12" s="45">
        <v>0</v>
      </c>
      <c r="W12" s="45">
        <v>1</v>
      </c>
      <c r="X12" s="45">
        <v>7665.7</v>
      </c>
      <c r="Y12" s="45">
        <v>0</v>
      </c>
      <c r="Z12" s="45">
        <v>0</v>
      </c>
      <c r="AB12" s="45">
        <v>7911.6</v>
      </c>
      <c r="AC12" s="45">
        <v>0</v>
      </c>
      <c r="AD12" s="45">
        <v>0</v>
      </c>
      <c r="AE12" s="45">
        <v>8346.2999999999993</v>
      </c>
      <c r="AF12" s="45">
        <v>0</v>
      </c>
      <c r="AG12" s="45">
        <v>1</v>
      </c>
      <c r="AH12" s="45">
        <v>8265.2999999999993</v>
      </c>
      <c r="AI12" s="45">
        <v>0</v>
      </c>
      <c r="AJ12" s="45">
        <v>0</v>
      </c>
      <c r="AK12" s="45">
        <v>7911.6</v>
      </c>
      <c r="AL12" s="45">
        <v>0</v>
      </c>
      <c r="AM12" s="45">
        <v>0</v>
      </c>
      <c r="AO12" s="45">
        <v>7911.6</v>
      </c>
      <c r="AP12" s="45">
        <v>0</v>
      </c>
      <c r="AQ12" s="45">
        <v>0</v>
      </c>
      <c r="AR12" s="45">
        <v>7665.7</v>
      </c>
      <c r="AS12" s="45">
        <v>0</v>
      </c>
      <c r="AT12" s="45">
        <v>0</v>
      </c>
      <c r="AU12" s="45">
        <v>7665.7</v>
      </c>
      <c r="AV12" s="45">
        <v>0</v>
      </c>
      <c r="AW12" s="45">
        <v>0</v>
      </c>
      <c r="AX12" s="45">
        <v>7665.7</v>
      </c>
      <c r="AY12" s="45">
        <v>0</v>
      </c>
      <c r="AZ12" s="45">
        <v>0</v>
      </c>
    </row>
    <row r="13" spans="1:52">
      <c r="B13" s="45">
        <v>5938.1</v>
      </c>
      <c r="C13" s="45">
        <v>1</v>
      </c>
      <c r="D13" s="45">
        <v>0</v>
      </c>
      <c r="E13" s="45">
        <v>6351.6</v>
      </c>
      <c r="F13" s="45">
        <v>0</v>
      </c>
      <c r="G13" s="45">
        <v>1</v>
      </c>
      <c r="H13" s="45">
        <v>5796.2</v>
      </c>
      <c r="I13" s="45">
        <v>0</v>
      </c>
      <c r="J13" s="45">
        <v>0</v>
      </c>
      <c r="K13" s="45">
        <v>5682.8</v>
      </c>
      <c r="L13" s="45">
        <v>0</v>
      </c>
      <c r="M13" s="45">
        <v>0</v>
      </c>
      <c r="O13" s="45">
        <v>5796.2</v>
      </c>
      <c r="P13" s="45">
        <v>0</v>
      </c>
      <c r="Q13" s="45">
        <v>0</v>
      </c>
      <c r="R13" s="45">
        <v>5796.2</v>
      </c>
      <c r="S13" s="45">
        <v>0</v>
      </c>
      <c r="T13" s="45">
        <v>0</v>
      </c>
      <c r="U13" s="45">
        <v>5476.6</v>
      </c>
      <c r="V13" s="45">
        <v>0</v>
      </c>
      <c r="W13" s="45">
        <v>1</v>
      </c>
      <c r="X13" s="45">
        <v>5796.2</v>
      </c>
      <c r="Y13" s="45">
        <v>0</v>
      </c>
      <c r="Z13" s="45">
        <v>0</v>
      </c>
      <c r="AA13" s="53"/>
      <c r="AB13" s="45">
        <v>7312.9</v>
      </c>
      <c r="AC13" s="45">
        <v>0</v>
      </c>
      <c r="AD13" s="45">
        <v>0</v>
      </c>
      <c r="AE13" s="45">
        <v>6870.7</v>
      </c>
      <c r="AF13" s="45">
        <v>0</v>
      </c>
      <c r="AG13" s="45">
        <v>1</v>
      </c>
      <c r="AH13" s="45">
        <v>7078.3</v>
      </c>
      <c r="AI13" s="45">
        <v>0</v>
      </c>
      <c r="AJ13" s="45">
        <v>0</v>
      </c>
      <c r="AK13" s="45">
        <v>6605.8</v>
      </c>
      <c r="AL13" s="45">
        <v>0</v>
      </c>
      <c r="AM13" s="45">
        <v>0</v>
      </c>
      <c r="AO13" s="45">
        <v>5796.2</v>
      </c>
      <c r="AP13" s="45">
        <v>0</v>
      </c>
      <c r="AQ13" s="45">
        <v>1</v>
      </c>
      <c r="AR13" s="45">
        <v>5476.6</v>
      </c>
      <c r="AS13" s="45">
        <v>0</v>
      </c>
      <c r="AT13" s="45">
        <v>0</v>
      </c>
      <c r="AU13" s="45">
        <v>5838.1</v>
      </c>
      <c r="AV13" s="45">
        <v>0</v>
      </c>
      <c r="AW13" s="45">
        <v>0</v>
      </c>
      <c r="AX13" s="45">
        <v>5796.2</v>
      </c>
      <c r="AY13" s="45">
        <v>0</v>
      </c>
      <c r="AZ13" s="45">
        <v>0</v>
      </c>
    </row>
    <row r="14" spans="1:52">
      <c r="B14" s="45">
        <v>9014.7999999999993</v>
      </c>
      <c r="C14" s="45">
        <v>0</v>
      </c>
      <c r="D14" s="45">
        <v>0</v>
      </c>
      <c r="E14" s="45">
        <v>11396.2</v>
      </c>
      <c r="F14" s="45">
        <v>36</v>
      </c>
      <c r="G14" s="45">
        <v>0</v>
      </c>
      <c r="H14" s="45">
        <v>9198.9</v>
      </c>
      <c r="I14" s="45">
        <v>0</v>
      </c>
      <c r="J14" s="45">
        <v>0</v>
      </c>
      <c r="K14" s="45">
        <v>11196.2</v>
      </c>
      <c r="L14" s="45">
        <v>34</v>
      </c>
      <c r="M14" s="45">
        <v>1</v>
      </c>
      <c r="O14" s="45">
        <v>11396.2</v>
      </c>
      <c r="P14" s="45">
        <v>36</v>
      </c>
      <c r="Q14" s="45">
        <v>1</v>
      </c>
      <c r="R14" s="45">
        <v>8986.4</v>
      </c>
      <c r="S14" s="45">
        <v>0</v>
      </c>
      <c r="T14" s="45">
        <v>0</v>
      </c>
      <c r="U14" s="45">
        <v>8986.4</v>
      </c>
      <c r="V14" s="45">
        <v>0</v>
      </c>
      <c r="W14" s="45">
        <v>0</v>
      </c>
      <c r="X14" s="45">
        <v>11196.2</v>
      </c>
      <c r="Y14" s="45">
        <v>34</v>
      </c>
      <c r="Z14" s="45">
        <v>0</v>
      </c>
      <c r="AB14" s="45">
        <v>8932.2000000000007</v>
      </c>
      <c r="AC14" s="45">
        <v>0</v>
      </c>
      <c r="AD14" s="45">
        <v>0</v>
      </c>
      <c r="AE14" s="45">
        <v>8932.2000000000007</v>
      </c>
      <c r="AF14" s="45">
        <v>0</v>
      </c>
      <c r="AG14" s="45">
        <v>1</v>
      </c>
      <c r="AH14" s="45">
        <v>9198.9</v>
      </c>
      <c r="AI14" s="45">
        <v>0</v>
      </c>
      <c r="AJ14" s="45">
        <v>0</v>
      </c>
      <c r="AK14" s="45">
        <v>9090.6</v>
      </c>
      <c r="AL14" s="45">
        <v>0</v>
      </c>
      <c r="AM14" s="45">
        <v>0</v>
      </c>
      <c r="AO14" s="45">
        <v>8986.4</v>
      </c>
      <c r="AP14" s="45">
        <v>0</v>
      </c>
      <c r="AQ14" s="45">
        <v>0</v>
      </c>
      <c r="AR14" s="45">
        <v>8846.9</v>
      </c>
      <c r="AS14" s="45">
        <v>0</v>
      </c>
      <c r="AT14" s="45">
        <v>1</v>
      </c>
      <c r="AU14" s="45">
        <v>8846.9</v>
      </c>
      <c r="AV14" s="45">
        <v>0</v>
      </c>
      <c r="AW14" s="45">
        <v>0</v>
      </c>
      <c r="AX14" s="45">
        <v>11196.2</v>
      </c>
      <c r="AY14" s="45">
        <v>34</v>
      </c>
      <c r="AZ14" s="45">
        <v>0</v>
      </c>
    </row>
    <row r="15" spans="1:52">
      <c r="B15" s="45">
        <v>9979.6</v>
      </c>
      <c r="C15" s="45">
        <v>0</v>
      </c>
      <c r="D15" s="45">
        <v>0</v>
      </c>
      <c r="E15" s="45">
        <v>9727.2000000000007</v>
      </c>
      <c r="F15" s="45">
        <v>0</v>
      </c>
      <c r="G15" s="45">
        <v>0</v>
      </c>
      <c r="H15" s="45">
        <v>9704.7000000000007</v>
      </c>
      <c r="I15" s="45">
        <v>0</v>
      </c>
      <c r="J15" s="45">
        <v>0</v>
      </c>
      <c r="K15" s="45">
        <v>9727.2000000000007</v>
      </c>
      <c r="L15" s="45">
        <v>0</v>
      </c>
      <c r="M15" s="45">
        <v>0</v>
      </c>
      <c r="O15" s="45">
        <v>9704.7000000000007</v>
      </c>
      <c r="P15" s="45">
        <v>0</v>
      </c>
      <c r="Q15" s="45">
        <v>1</v>
      </c>
      <c r="R15" s="45">
        <v>9704.7000000000007</v>
      </c>
      <c r="S15" s="45">
        <v>0</v>
      </c>
      <c r="T15" s="45">
        <v>0</v>
      </c>
      <c r="U15" s="45">
        <v>9704.7000000000007</v>
      </c>
      <c r="V15" s="45">
        <v>0</v>
      </c>
      <c r="W15" s="45">
        <v>0</v>
      </c>
      <c r="X15" s="45">
        <v>9704.7000000000007</v>
      </c>
      <c r="Y15" s="45">
        <v>0</v>
      </c>
      <c r="Z15" s="45">
        <v>1</v>
      </c>
      <c r="AB15" s="45">
        <v>9704.7000000000007</v>
      </c>
      <c r="AC15" s="45">
        <v>0</v>
      </c>
      <c r="AD15" s="45">
        <v>1</v>
      </c>
      <c r="AE15" s="45">
        <v>9979.6</v>
      </c>
      <c r="AF15" s="45">
        <v>0</v>
      </c>
      <c r="AG15" s="45">
        <v>0</v>
      </c>
      <c r="AH15" s="45">
        <v>10184.1</v>
      </c>
      <c r="AI15" s="45">
        <v>0</v>
      </c>
      <c r="AJ15" s="45">
        <v>0</v>
      </c>
      <c r="AK15" s="45">
        <v>9727.2000000000007</v>
      </c>
      <c r="AL15" s="45">
        <v>0</v>
      </c>
      <c r="AM15" s="45">
        <v>0</v>
      </c>
      <c r="AO15" s="45">
        <v>10389.299999999999</v>
      </c>
      <c r="AP15" s="45">
        <v>0</v>
      </c>
      <c r="AQ15" s="45">
        <v>0</v>
      </c>
      <c r="AR15" s="45">
        <v>9727.2000000000007</v>
      </c>
      <c r="AS15" s="45">
        <v>0</v>
      </c>
      <c r="AT15" s="45">
        <v>0</v>
      </c>
      <c r="AU15" s="45">
        <v>10558.5</v>
      </c>
      <c r="AV15" s="45">
        <v>0</v>
      </c>
      <c r="AW15" s="45">
        <v>0</v>
      </c>
      <c r="AX15" s="45">
        <v>9727.2000000000007</v>
      </c>
      <c r="AY15" s="45">
        <v>0</v>
      </c>
      <c r="AZ15" s="45">
        <v>1</v>
      </c>
    </row>
    <row r="16" spans="1:52">
      <c r="B16" s="45">
        <v>8289.5</v>
      </c>
      <c r="C16" s="45">
        <v>0</v>
      </c>
      <c r="D16" s="45">
        <v>0</v>
      </c>
      <c r="E16" s="45">
        <v>14450.7</v>
      </c>
      <c r="F16" s="45">
        <v>66</v>
      </c>
      <c r="G16" s="45">
        <v>0</v>
      </c>
      <c r="H16" s="45">
        <v>13850.7</v>
      </c>
      <c r="I16" s="45">
        <v>60</v>
      </c>
      <c r="J16" s="45">
        <v>1</v>
      </c>
      <c r="K16" s="45">
        <v>11259</v>
      </c>
      <c r="L16" s="45">
        <v>30</v>
      </c>
      <c r="M16" s="45">
        <v>0</v>
      </c>
      <c r="O16" s="45">
        <v>14450.7</v>
      </c>
      <c r="P16" s="45">
        <v>66</v>
      </c>
      <c r="Q16" s="45">
        <v>0</v>
      </c>
      <c r="R16" s="45">
        <v>8289.5</v>
      </c>
      <c r="S16" s="45">
        <v>0</v>
      </c>
      <c r="T16" s="45">
        <v>0</v>
      </c>
      <c r="U16" s="45">
        <v>8289.5</v>
      </c>
      <c r="V16" s="45">
        <v>0</v>
      </c>
      <c r="W16" s="45">
        <v>0</v>
      </c>
      <c r="X16" s="45">
        <v>8289.5</v>
      </c>
      <c r="Y16" s="45">
        <v>0</v>
      </c>
      <c r="Z16" s="45">
        <v>1</v>
      </c>
      <c r="AB16" s="45">
        <v>11352.5</v>
      </c>
      <c r="AC16" s="45">
        <v>27</v>
      </c>
      <c r="AD16" s="45">
        <v>1</v>
      </c>
      <c r="AE16" s="45">
        <v>9169.5</v>
      </c>
      <c r="AF16" s="45">
        <v>0</v>
      </c>
      <c r="AG16" s="45">
        <v>0</v>
      </c>
      <c r="AH16" s="45">
        <v>8289.5</v>
      </c>
      <c r="AI16" s="45">
        <v>0</v>
      </c>
      <c r="AJ16" s="45">
        <v>0</v>
      </c>
      <c r="AK16" s="45">
        <v>9937.2000000000007</v>
      </c>
      <c r="AL16" s="45">
        <v>0</v>
      </c>
      <c r="AM16" s="45">
        <v>0</v>
      </c>
      <c r="AO16" s="45">
        <v>11504</v>
      </c>
      <c r="AP16" s="45">
        <v>30</v>
      </c>
      <c r="AQ16" s="45">
        <v>0</v>
      </c>
      <c r="AR16" s="45">
        <v>8289.5</v>
      </c>
      <c r="AS16" s="45">
        <v>0</v>
      </c>
      <c r="AT16" s="45">
        <v>0</v>
      </c>
      <c r="AU16" s="45">
        <v>8289.5</v>
      </c>
      <c r="AV16" s="45">
        <v>0</v>
      </c>
      <c r="AW16" s="45">
        <v>0</v>
      </c>
      <c r="AX16" s="45">
        <v>11352.5</v>
      </c>
      <c r="AY16" s="45">
        <v>27</v>
      </c>
      <c r="AZ16" s="45">
        <v>0</v>
      </c>
    </row>
    <row r="17" spans="2:52">
      <c r="B17" s="45">
        <v>12173.5</v>
      </c>
      <c r="C17" s="45">
        <v>28</v>
      </c>
      <c r="D17" s="45">
        <v>0</v>
      </c>
      <c r="E17" s="45">
        <v>13536.8</v>
      </c>
      <c r="F17" s="45">
        <v>37</v>
      </c>
      <c r="G17" s="45">
        <v>0</v>
      </c>
      <c r="H17" s="45">
        <v>13773.5</v>
      </c>
      <c r="I17" s="45">
        <v>44</v>
      </c>
      <c r="J17" s="45">
        <v>0</v>
      </c>
      <c r="K17" s="45">
        <v>12173.5</v>
      </c>
      <c r="L17" s="45">
        <v>28</v>
      </c>
      <c r="M17" s="45">
        <v>0</v>
      </c>
      <c r="O17" s="45">
        <v>11195.6</v>
      </c>
      <c r="P17" s="45">
        <v>10</v>
      </c>
      <c r="Q17" s="45">
        <v>0</v>
      </c>
      <c r="R17" s="45">
        <v>9904.6</v>
      </c>
      <c r="S17" s="45">
        <v>0</v>
      </c>
      <c r="T17" s="45">
        <v>0</v>
      </c>
      <c r="U17" s="45">
        <v>12743.3</v>
      </c>
      <c r="V17" s="45">
        <v>28</v>
      </c>
      <c r="W17" s="45">
        <v>1</v>
      </c>
      <c r="X17" s="45">
        <v>11173.5</v>
      </c>
      <c r="Y17" s="45">
        <v>18</v>
      </c>
      <c r="Z17" s="45">
        <v>0</v>
      </c>
      <c r="AB17" s="45">
        <v>10796.4</v>
      </c>
      <c r="AC17" s="45">
        <v>0</v>
      </c>
      <c r="AD17" s="45">
        <v>1</v>
      </c>
      <c r="AE17" s="45">
        <v>10505.6</v>
      </c>
      <c r="AF17" s="45">
        <v>0</v>
      </c>
      <c r="AG17" s="45">
        <v>0</v>
      </c>
      <c r="AH17" s="45">
        <v>11484</v>
      </c>
      <c r="AI17" s="45">
        <v>0</v>
      </c>
      <c r="AJ17" s="45">
        <v>0</v>
      </c>
      <c r="AK17" s="45">
        <v>9904.6</v>
      </c>
      <c r="AL17" s="45">
        <v>0</v>
      </c>
      <c r="AM17" s="45">
        <v>0</v>
      </c>
      <c r="AO17" s="45">
        <v>11173.5</v>
      </c>
      <c r="AP17" s="45">
        <v>18</v>
      </c>
      <c r="AQ17" s="45">
        <v>1</v>
      </c>
      <c r="AR17" s="45">
        <v>9887.6</v>
      </c>
      <c r="AS17" s="45">
        <v>0</v>
      </c>
      <c r="AT17" s="45">
        <v>0</v>
      </c>
      <c r="AU17" s="45">
        <v>12536.8</v>
      </c>
      <c r="AV17" s="45">
        <v>27</v>
      </c>
      <c r="AW17" s="45">
        <v>0</v>
      </c>
      <c r="AX17" s="45">
        <v>11173.5</v>
      </c>
      <c r="AY17" s="45">
        <v>18</v>
      </c>
      <c r="AZ17" s="45">
        <v>0</v>
      </c>
    </row>
    <row r="18" spans="2:52">
      <c r="B18" s="45">
        <v>7695</v>
      </c>
      <c r="C18" s="45">
        <v>0</v>
      </c>
      <c r="D18" s="45">
        <v>1</v>
      </c>
      <c r="E18" s="45">
        <v>7658.5</v>
      </c>
      <c r="F18" s="45">
        <v>0</v>
      </c>
      <c r="G18" s="45">
        <v>0</v>
      </c>
      <c r="H18" s="45">
        <v>7658.5</v>
      </c>
      <c r="I18" s="45">
        <v>0</v>
      </c>
      <c r="J18" s="45">
        <v>0</v>
      </c>
      <c r="K18" s="45">
        <v>7720.7</v>
      </c>
      <c r="L18" s="45">
        <v>0</v>
      </c>
      <c r="M18" s="45">
        <v>0</v>
      </c>
      <c r="O18" s="45">
        <v>7675.2</v>
      </c>
      <c r="P18" s="45">
        <v>0</v>
      </c>
      <c r="Q18" s="45">
        <v>0</v>
      </c>
      <c r="R18" s="45">
        <v>7675.2</v>
      </c>
      <c r="S18" s="45">
        <v>0</v>
      </c>
      <c r="T18" s="45">
        <v>1</v>
      </c>
      <c r="U18" s="45">
        <v>8284.1</v>
      </c>
      <c r="V18" s="45">
        <v>0</v>
      </c>
      <c r="W18" s="45">
        <v>0</v>
      </c>
      <c r="X18" s="45">
        <v>7658.5</v>
      </c>
      <c r="Y18" s="45">
        <v>0</v>
      </c>
      <c r="Z18" s="45">
        <v>0</v>
      </c>
      <c r="AB18" s="45">
        <v>8539.2000000000007</v>
      </c>
      <c r="AC18" s="45">
        <v>0</v>
      </c>
      <c r="AD18" s="45">
        <v>1</v>
      </c>
      <c r="AE18" s="45">
        <v>8402.6</v>
      </c>
      <c r="AF18" s="45">
        <v>0</v>
      </c>
      <c r="AG18" s="45">
        <v>0</v>
      </c>
      <c r="AH18" s="45">
        <v>9001</v>
      </c>
      <c r="AI18" s="45">
        <v>0</v>
      </c>
      <c r="AJ18" s="45">
        <v>0</v>
      </c>
      <c r="AK18" s="45">
        <v>8775.9</v>
      </c>
      <c r="AL18" s="45">
        <v>0</v>
      </c>
      <c r="AM18" s="45">
        <v>1</v>
      </c>
      <c r="AO18" s="45">
        <v>8118.5</v>
      </c>
      <c r="AP18" s="45">
        <v>0</v>
      </c>
      <c r="AQ18" s="45">
        <v>0</v>
      </c>
      <c r="AR18" s="45">
        <v>7658.5</v>
      </c>
      <c r="AS18" s="45">
        <v>0</v>
      </c>
      <c r="AT18" s="45">
        <v>0</v>
      </c>
      <c r="AU18" s="45">
        <v>7720.7</v>
      </c>
      <c r="AV18" s="45">
        <v>0</v>
      </c>
      <c r="AW18" s="45">
        <v>1</v>
      </c>
      <c r="AX18" s="45">
        <v>7675.2</v>
      </c>
      <c r="AY18" s="45">
        <v>0</v>
      </c>
      <c r="AZ18" s="45">
        <v>0</v>
      </c>
    </row>
    <row r="19" spans="2:52">
      <c r="B19" s="45">
        <v>7825.4</v>
      </c>
      <c r="C19" s="45">
        <v>0</v>
      </c>
      <c r="D19" s="45">
        <v>0</v>
      </c>
      <c r="E19" s="45">
        <v>8201.1</v>
      </c>
      <c r="F19" s="45">
        <v>0</v>
      </c>
      <c r="G19" s="45">
        <v>0</v>
      </c>
      <c r="H19" s="45">
        <v>7825.4</v>
      </c>
      <c r="I19" s="45">
        <v>0</v>
      </c>
      <c r="J19" s="45">
        <v>0</v>
      </c>
      <c r="K19" s="45">
        <v>7825.4</v>
      </c>
      <c r="L19" s="45">
        <v>0</v>
      </c>
      <c r="M19" s="45">
        <v>1</v>
      </c>
      <c r="O19" s="45">
        <v>8724.6</v>
      </c>
      <c r="P19" s="45">
        <v>0</v>
      </c>
      <c r="Q19" s="45">
        <v>1</v>
      </c>
      <c r="R19" s="45">
        <v>8806.7999999999993</v>
      </c>
      <c r="S19" s="45">
        <v>0</v>
      </c>
      <c r="T19" s="45">
        <v>0</v>
      </c>
      <c r="U19" s="45">
        <v>7825.4</v>
      </c>
      <c r="V19" s="45">
        <v>0</v>
      </c>
      <c r="W19" s="45">
        <v>0</v>
      </c>
      <c r="X19" s="45">
        <v>8518.7999999999993</v>
      </c>
      <c r="Y19" s="45">
        <v>0</v>
      </c>
      <c r="Z19" s="45">
        <v>0</v>
      </c>
      <c r="AB19" s="45">
        <v>9373.7999999999993</v>
      </c>
      <c r="AC19" s="45">
        <v>0</v>
      </c>
      <c r="AD19" s="45">
        <v>0</v>
      </c>
      <c r="AE19" s="45">
        <v>8860.2000000000007</v>
      </c>
      <c r="AF19" s="45">
        <v>0</v>
      </c>
      <c r="AG19" s="45">
        <v>0</v>
      </c>
      <c r="AH19" s="45">
        <v>8384.2000000000007</v>
      </c>
      <c r="AI19" s="45">
        <v>0</v>
      </c>
      <c r="AJ19" s="45">
        <v>0</v>
      </c>
      <c r="AK19" s="45">
        <v>9620.7000000000007</v>
      </c>
      <c r="AL19" s="45">
        <v>0</v>
      </c>
      <c r="AM19" s="45">
        <v>1</v>
      </c>
      <c r="AO19" s="45">
        <v>8518.7999999999993</v>
      </c>
      <c r="AP19" s="45">
        <v>0</v>
      </c>
      <c r="AQ19" s="45">
        <v>0</v>
      </c>
      <c r="AR19" s="45">
        <v>8518.7999999999993</v>
      </c>
      <c r="AS19" s="45">
        <v>0</v>
      </c>
      <c r="AT19" s="45">
        <v>0</v>
      </c>
      <c r="AU19" s="45">
        <v>7825.4</v>
      </c>
      <c r="AV19" s="45">
        <v>0</v>
      </c>
      <c r="AW19" s="45">
        <v>0</v>
      </c>
      <c r="AX19" s="45">
        <v>7825.4</v>
      </c>
      <c r="AY19" s="45">
        <v>0</v>
      </c>
      <c r="AZ19" s="45">
        <v>0</v>
      </c>
    </row>
    <row r="20" spans="2:52">
      <c r="B20" s="45">
        <v>7489.9</v>
      </c>
      <c r="C20" s="45">
        <v>0</v>
      </c>
      <c r="D20" s="45">
        <v>0</v>
      </c>
      <c r="E20" s="45">
        <v>6925.9</v>
      </c>
      <c r="F20" s="45">
        <v>0</v>
      </c>
      <c r="G20" s="45">
        <v>0</v>
      </c>
      <c r="H20" s="45">
        <v>6558.7</v>
      </c>
      <c r="I20" s="45">
        <v>0</v>
      </c>
      <c r="J20" s="45">
        <v>0</v>
      </c>
      <c r="K20" s="45">
        <v>6877.8</v>
      </c>
      <c r="L20" s="45">
        <v>0</v>
      </c>
      <c r="M20" s="45">
        <v>0</v>
      </c>
      <c r="O20" s="45">
        <v>7321.2</v>
      </c>
      <c r="P20" s="45">
        <v>0</v>
      </c>
      <c r="Q20" s="45">
        <v>1</v>
      </c>
      <c r="R20" s="45">
        <v>7012.7</v>
      </c>
      <c r="S20" s="45">
        <v>0</v>
      </c>
      <c r="T20" s="45">
        <v>0</v>
      </c>
      <c r="U20" s="45">
        <v>6558.7</v>
      </c>
      <c r="V20" s="45">
        <v>0</v>
      </c>
      <c r="W20" s="45">
        <v>0</v>
      </c>
      <c r="X20" s="45">
        <v>6558.7</v>
      </c>
      <c r="Y20" s="45">
        <v>0</v>
      </c>
      <c r="Z20" s="45">
        <v>0</v>
      </c>
      <c r="AB20" s="45">
        <v>6558.7</v>
      </c>
      <c r="AC20" s="45">
        <v>0</v>
      </c>
      <c r="AD20" s="45">
        <v>0</v>
      </c>
      <c r="AE20" s="45">
        <v>7044</v>
      </c>
      <c r="AF20" s="45">
        <v>0</v>
      </c>
      <c r="AG20" s="45">
        <v>0</v>
      </c>
      <c r="AH20" s="45">
        <v>7638.7</v>
      </c>
      <c r="AI20" s="45">
        <v>0</v>
      </c>
      <c r="AJ20" s="45">
        <v>0</v>
      </c>
      <c r="AK20" s="45">
        <v>6877.8</v>
      </c>
      <c r="AL20" s="45">
        <v>0</v>
      </c>
      <c r="AM20" s="45">
        <v>1</v>
      </c>
      <c r="AO20" s="45">
        <v>6658.7</v>
      </c>
      <c r="AP20" s="45">
        <v>0</v>
      </c>
      <c r="AQ20" s="45">
        <v>1</v>
      </c>
      <c r="AR20" s="45">
        <v>6925.9</v>
      </c>
      <c r="AS20" s="45">
        <v>0</v>
      </c>
      <c r="AT20" s="45">
        <v>0</v>
      </c>
      <c r="AU20" s="45">
        <v>7498.6</v>
      </c>
      <c r="AV20" s="45">
        <v>0</v>
      </c>
      <c r="AW20" s="45">
        <v>0</v>
      </c>
      <c r="AX20" s="45">
        <v>6877.8</v>
      </c>
      <c r="AY20" s="45">
        <v>0</v>
      </c>
      <c r="AZ20" s="45">
        <v>0</v>
      </c>
    </row>
    <row r="21" spans="2:52">
      <c r="B21" s="45">
        <v>6752.8</v>
      </c>
      <c r="C21" s="45">
        <v>0</v>
      </c>
      <c r="D21" s="45">
        <v>0</v>
      </c>
      <c r="E21" s="45">
        <v>6620.1</v>
      </c>
      <c r="F21" s="45">
        <v>0</v>
      </c>
      <c r="G21" s="45">
        <v>0</v>
      </c>
      <c r="H21" s="45">
        <v>6740.7</v>
      </c>
      <c r="I21" s="45">
        <v>0</v>
      </c>
      <c r="J21" s="45">
        <v>0</v>
      </c>
      <c r="K21" s="45">
        <v>6740.7</v>
      </c>
      <c r="L21" s="45">
        <v>0</v>
      </c>
      <c r="M21" s="45">
        <v>1</v>
      </c>
      <c r="O21" s="45">
        <v>6620.1</v>
      </c>
      <c r="P21" s="45">
        <v>0</v>
      </c>
      <c r="Q21" s="45">
        <v>1</v>
      </c>
      <c r="R21" s="45">
        <v>6740.7</v>
      </c>
      <c r="S21" s="45">
        <v>0</v>
      </c>
      <c r="T21" s="45">
        <v>0</v>
      </c>
      <c r="U21" s="45">
        <v>6620.1</v>
      </c>
      <c r="V21" s="45">
        <v>0</v>
      </c>
      <c r="W21" s="45">
        <v>0</v>
      </c>
      <c r="X21" s="45">
        <v>6620.1</v>
      </c>
      <c r="Y21" s="45">
        <v>0</v>
      </c>
      <c r="Z21" s="45">
        <v>1</v>
      </c>
      <c r="AB21" s="45">
        <v>7124</v>
      </c>
      <c r="AC21" s="45">
        <v>0</v>
      </c>
      <c r="AD21" s="45">
        <v>0</v>
      </c>
      <c r="AE21" s="45">
        <v>6840.7</v>
      </c>
      <c r="AF21" s="45">
        <v>0</v>
      </c>
      <c r="AG21" s="45">
        <v>0</v>
      </c>
      <c r="AH21" s="45">
        <v>6740.7</v>
      </c>
      <c r="AI21" s="45">
        <v>0</v>
      </c>
      <c r="AJ21" s="45">
        <v>0</v>
      </c>
      <c r="AK21" s="45">
        <v>6913.9</v>
      </c>
      <c r="AL21" s="45">
        <v>0</v>
      </c>
      <c r="AM21" s="45">
        <v>1</v>
      </c>
      <c r="AO21" s="45">
        <v>6656.8</v>
      </c>
      <c r="AP21" s="45">
        <v>0</v>
      </c>
      <c r="AQ21" s="45">
        <v>0</v>
      </c>
      <c r="AR21" s="45">
        <v>6840.7</v>
      </c>
      <c r="AS21" s="45">
        <v>0</v>
      </c>
      <c r="AT21" s="45">
        <v>0</v>
      </c>
      <c r="AU21" s="45">
        <v>6620.1</v>
      </c>
      <c r="AV21" s="45">
        <v>0</v>
      </c>
      <c r="AW21" s="45">
        <v>1</v>
      </c>
      <c r="AX21" s="45">
        <v>6740.7</v>
      </c>
      <c r="AY21" s="45">
        <v>0</v>
      </c>
      <c r="AZ21" s="45">
        <v>0</v>
      </c>
    </row>
    <row r="22" spans="2:52">
      <c r="B22" s="45">
        <v>5444.4</v>
      </c>
      <c r="C22" s="45">
        <v>0</v>
      </c>
      <c r="D22" s="45">
        <v>0</v>
      </c>
      <c r="E22" s="45">
        <v>5444.4</v>
      </c>
      <c r="F22" s="45">
        <v>0</v>
      </c>
      <c r="G22" s="45">
        <v>0</v>
      </c>
      <c r="H22" s="45">
        <v>5444.4</v>
      </c>
      <c r="I22" s="45">
        <v>0</v>
      </c>
      <c r="J22" s="45">
        <v>0</v>
      </c>
      <c r="K22" s="45">
        <v>5584.6</v>
      </c>
      <c r="L22" s="45">
        <v>0</v>
      </c>
      <c r="M22" s="45">
        <v>0</v>
      </c>
      <c r="O22" s="45">
        <v>5444.4</v>
      </c>
      <c r="P22" s="45">
        <v>0</v>
      </c>
      <c r="Q22" s="45">
        <v>0</v>
      </c>
      <c r="R22" s="45">
        <v>5444.4</v>
      </c>
      <c r="S22" s="45">
        <v>0</v>
      </c>
      <c r="T22" s="45">
        <v>0</v>
      </c>
      <c r="U22" s="45">
        <v>5444.4</v>
      </c>
      <c r="V22" s="45">
        <v>0</v>
      </c>
      <c r="W22" s="45">
        <v>0</v>
      </c>
      <c r="X22" s="45">
        <v>5444.4</v>
      </c>
      <c r="Y22" s="45">
        <v>0</v>
      </c>
      <c r="Z22" s="45">
        <v>1</v>
      </c>
      <c r="AB22" s="45">
        <v>5444.4</v>
      </c>
      <c r="AC22" s="45">
        <v>0</v>
      </c>
      <c r="AD22" s="45">
        <v>0</v>
      </c>
      <c r="AE22" s="45">
        <v>6223.1</v>
      </c>
      <c r="AF22" s="45">
        <v>0</v>
      </c>
      <c r="AG22" s="45">
        <v>0</v>
      </c>
      <c r="AH22" s="45">
        <v>6067.1</v>
      </c>
      <c r="AI22" s="45">
        <v>0</v>
      </c>
      <c r="AJ22" s="45">
        <v>0</v>
      </c>
      <c r="AK22" s="45">
        <v>6240.6</v>
      </c>
      <c r="AL22" s="45">
        <v>0</v>
      </c>
      <c r="AM22" s="45">
        <v>1</v>
      </c>
      <c r="AO22" s="45">
        <v>5444.4</v>
      </c>
      <c r="AP22" s="45">
        <v>0</v>
      </c>
      <c r="AQ22" s="45">
        <v>0</v>
      </c>
      <c r="AR22" s="45">
        <v>5444.4</v>
      </c>
      <c r="AS22" s="45">
        <v>0</v>
      </c>
      <c r="AT22" s="45">
        <v>0</v>
      </c>
      <c r="AU22" s="45">
        <v>5899.7</v>
      </c>
      <c r="AV22" s="45">
        <v>0</v>
      </c>
      <c r="AW22" s="45">
        <v>0</v>
      </c>
      <c r="AX22" s="45">
        <v>5444.4</v>
      </c>
      <c r="AY22" s="45">
        <v>0</v>
      </c>
      <c r="AZ22" s="45">
        <v>0</v>
      </c>
    </row>
    <row r="23" spans="2:52">
      <c r="B23" s="45">
        <v>8626.2000000000007</v>
      </c>
      <c r="C23" s="45">
        <v>0</v>
      </c>
      <c r="D23" s="45">
        <v>0</v>
      </c>
      <c r="E23" s="45">
        <v>8169.4</v>
      </c>
      <c r="F23" s="45">
        <v>0</v>
      </c>
      <c r="G23" s="45">
        <v>0</v>
      </c>
      <c r="H23" s="45">
        <v>8137.8</v>
      </c>
      <c r="I23" s="45">
        <v>0</v>
      </c>
      <c r="J23" s="45">
        <v>1</v>
      </c>
      <c r="K23" s="45">
        <v>8137.8</v>
      </c>
      <c r="L23" s="45">
        <v>0</v>
      </c>
      <c r="M23" s="45">
        <v>0</v>
      </c>
      <c r="O23" s="45">
        <v>8137.8</v>
      </c>
      <c r="P23" s="45">
        <v>0</v>
      </c>
      <c r="Q23" s="45">
        <v>0</v>
      </c>
      <c r="R23" s="45">
        <v>8537.7999999999993</v>
      </c>
      <c r="S23" s="45">
        <v>4</v>
      </c>
      <c r="T23" s="45">
        <v>0</v>
      </c>
      <c r="U23" s="45">
        <v>8137.8</v>
      </c>
      <c r="V23" s="45">
        <v>0</v>
      </c>
      <c r="W23" s="45">
        <v>1</v>
      </c>
      <c r="X23" s="45">
        <v>14109</v>
      </c>
      <c r="Y23" s="45">
        <v>63</v>
      </c>
      <c r="Z23" s="45">
        <v>0</v>
      </c>
      <c r="AB23" s="45">
        <v>8896.6</v>
      </c>
      <c r="AC23" s="45">
        <v>0</v>
      </c>
      <c r="AD23" s="45">
        <v>0</v>
      </c>
      <c r="AE23" s="45">
        <v>8474.2000000000007</v>
      </c>
      <c r="AF23" s="45">
        <v>0</v>
      </c>
      <c r="AG23" s="45">
        <v>0</v>
      </c>
      <c r="AH23" s="45">
        <v>8488</v>
      </c>
      <c r="AI23" s="45">
        <v>0</v>
      </c>
      <c r="AJ23" s="45">
        <v>0</v>
      </c>
      <c r="AK23" s="45">
        <v>8855.4</v>
      </c>
      <c r="AL23" s="45">
        <v>0</v>
      </c>
      <c r="AM23" s="45">
        <v>1</v>
      </c>
      <c r="AO23" s="45">
        <v>8675.4</v>
      </c>
      <c r="AP23" s="45">
        <v>0</v>
      </c>
      <c r="AQ23" s="45">
        <v>0</v>
      </c>
      <c r="AR23" s="45">
        <v>8137.8</v>
      </c>
      <c r="AS23" s="45">
        <v>0</v>
      </c>
      <c r="AT23" s="45">
        <v>1</v>
      </c>
      <c r="AU23" s="45">
        <v>8537.7999999999993</v>
      </c>
      <c r="AV23" s="45">
        <v>4</v>
      </c>
      <c r="AW23" s="45">
        <v>0</v>
      </c>
      <c r="AX23" s="45">
        <v>8137.8</v>
      </c>
      <c r="AY23" s="45">
        <v>0</v>
      </c>
      <c r="AZ23" s="45">
        <v>0</v>
      </c>
    </row>
    <row r="24" spans="2:52">
      <c r="B24" s="45">
        <v>8669.7000000000007</v>
      </c>
      <c r="C24" s="45">
        <v>0</v>
      </c>
      <c r="D24" s="45">
        <v>0</v>
      </c>
      <c r="E24" s="45">
        <v>9094</v>
      </c>
      <c r="F24" s="45">
        <v>0</v>
      </c>
      <c r="G24" s="45">
        <v>0</v>
      </c>
      <c r="H24" s="45">
        <v>9969.7000000000007</v>
      </c>
      <c r="I24" s="45">
        <v>13</v>
      </c>
      <c r="J24" s="45">
        <v>0</v>
      </c>
      <c r="K24" s="45">
        <v>8963.7000000000007</v>
      </c>
      <c r="L24" s="45">
        <v>0</v>
      </c>
      <c r="M24" s="45">
        <v>0</v>
      </c>
      <c r="O24" s="45">
        <v>9235.1</v>
      </c>
      <c r="P24" s="45">
        <v>0</v>
      </c>
      <c r="Q24" s="45">
        <v>0</v>
      </c>
      <c r="R24" s="45">
        <v>8669.7000000000007</v>
      </c>
      <c r="S24" s="45">
        <v>0</v>
      </c>
      <c r="T24" s="45">
        <v>0</v>
      </c>
      <c r="U24" s="45">
        <v>14569.7</v>
      </c>
      <c r="V24" s="45">
        <v>59</v>
      </c>
      <c r="W24" s="45">
        <v>1</v>
      </c>
      <c r="X24" s="45">
        <v>10869.7</v>
      </c>
      <c r="Y24" s="45">
        <v>22</v>
      </c>
      <c r="Z24" s="45">
        <v>0</v>
      </c>
      <c r="AB24" s="45">
        <v>8892.5</v>
      </c>
      <c r="AC24" s="45">
        <v>0</v>
      </c>
      <c r="AD24" s="45">
        <v>0</v>
      </c>
      <c r="AE24" s="45">
        <v>10280.5</v>
      </c>
      <c r="AF24" s="45">
        <v>0</v>
      </c>
      <c r="AG24" s="45">
        <v>0</v>
      </c>
      <c r="AH24" s="45">
        <v>8669.7000000000007</v>
      </c>
      <c r="AI24" s="45">
        <v>0</v>
      </c>
      <c r="AJ24" s="45">
        <v>1</v>
      </c>
      <c r="AK24" s="45">
        <v>9688</v>
      </c>
      <c r="AL24" s="45">
        <v>0</v>
      </c>
      <c r="AM24" s="45">
        <v>0</v>
      </c>
      <c r="AO24" s="45">
        <v>10192.5</v>
      </c>
      <c r="AP24" s="45">
        <v>13</v>
      </c>
      <c r="AQ24" s="45">
        <v>0</v>
      </c>
      <c r="AR24" s="45">
        <v>9969.7000000000007</v>
      </c>
      <c r="AS24" s="45">
        <v>13</v>
      </c>
      <c r="AT24" s="45">
        <v>0</v>
      </c>
      <c r="AU24" s="45">
        <v>8669.7000000000007</v>
      </c>
      <c r="AV24" s="45">
        <v>0</v>
      </c>
      <c r="AW24" s="45">
        <v>1</v>
      </c>
      <c r="AX24" s="45">
        <v>8669.7000000000007</v>
      </c>
      <c r="AY24" s="45">
        <v>0</v>
      </c>
      <c r="AZ24" s="45">
        <v>0</v>
      </c>
    </row>
    <row r="25" spans="2:52">
      <c r="B25" s="45">
        <v>8974.7999999999993</v>
      </c>
      <c r="C25" s="45">
        <v>0</v>
      </c>
      <c r="D25" s="45">
        <v>1</v>
      </c>
      <c r="E25" s="45">
        <v>9202.2999999999993</v>
      </c>
      <c r="F25" s="45">
        <v>0</v>
      </c>
      <c r="G25" s="45">
        <v>0</v>
      </c>
      <c r="H25" s="45">
        <v>8667.9</v>
      </c>
      <c r="I25" s="45">
        <v>0</v>
      </c>
      <c r="J25" s="45">
        <v>0</v>
      </c>
      <c r="K25" s="45">
        <v>8667.9</v>
      </c>
      <c r="L25" s="45">
        <v>0</v>
      </c>
      <c r="M25" s="45">
        <v>0</v>
      </c>
      <c r="O25" s="45">
        <v>9389.4</v>
      </c>
      <c r="P25" s="45">
        <v>0</v>
      </c>
      <c r="Q25" s="45">
        <v>0</v>
      </c>
      <c r="R25" s="45">
        <v>8667.9</v>
      </c>
      <c r="S25" s="45">
        <v>0</v>
      </c>
      <c r="T25" s="45">
        <v>0</v>
      </c>
      <c r="U25" s="45">
        <v>8974.7999999999993</v>
      </c>
      <c r="V25" s="45">
        <v>0</v>
      </c>
      <c r="W25" s="45">
        <v>1</v>
      </c>
      <c r="X25" s="45">
        <v>8667.9</v>
      </c>
      <c r="Y25" s="45">
        <v>0</v>
      </c>
      <c r="Z25" s="45">
        <v>0</v>
      </c>
      <c r="AB25" s="45">
        <v>9313</v>
      </c>
      <c r="AC25" s="45">
        <v>0</v>
      </c>
      <c r="AD25" s="45">
        <v>0</v>
      </c>
      <c r="AE25" s="45">
        <v>9837.6</v>
      </c>
      <c r="AF25" s="45">
        <v>0</v>
      </c>
      <c r="AG25" s="45">
        <v>0</v>
      </c>
      <c r="AH25" s="45">
        <v>8667.9</v>
      </c>
      <c r="AI25" s="45">
        <v>0</v>
      </c>
      <c r="AJ25" s="45">
        <v>1</v>
      </c>
      <c r="AK25" s="45">
        <v>9837.6</v>
      </c>
      <c r="AL25" s="45">
        <v>0</v>
      </c>
      <c r="AM25" s="45">
        <v>0</v>
      </c>
      <c r="AO25" s="45">
        <v>8974.7999999999993</v>
      </c>
      <c r="AP25" s="45">
        <v>0</v>
      </c>
      <c r="AQ25" s="45">
        <v>0</v>
      </c>
      <c r="AR25" s="45">
        <v>8667.9</v>
      </c>
      <c r="AS25" s="45">
        <v>0</v>
      </c>
      <c r="AT25" s="45">
        <v>0</v>
      </c>
      <c r="AU25" s="45">
        <v>8667.9</v>
      </c>
      <c r="AV25" s="45">
        <v>0</v>
      </c>
      <c r="AW25" s="45">
        <v>0</v>
      </c>
      <c r="AX25" s="45">
        <v>8974.7999999999993</v>
      </c>
      <c r="AY25" s="45">
        <v>0</v>
      </c>
      <c r="AZ25" s="45">
        <v>0</v>
      </c>
    </row>
    <row r="26" spans="2:52">
      <c r="B26" s="45">
        <v>11752.2</v>
      </c>
      <c r="C26" s="45">
        <v>0</v>
      </c>
      <c r="D26" s="45">
        <v>0</v>
      </c>
      <c r="E26" s="45">
        <v>10881.6</v>
      </c>
      <c r="F26" s="45">
        <v>0</v>
      </c>
      <c r="G26" s="45">
        <v>0</v>
      </c>
      <c r="H26" s="45">
        <v>10960.2</v>
      </c>
      <c r="I26" s="45">
        <v>0</v>
      </c>
      <c r="J26" s="45">
        <v>0</v>
      </c>
      <c r="K26" s="45">
        <v>10881.6</v>
      </c>
      <c r="L26" s="45">
        <v>0</v>
      </c>
      <c r="M26" s="45">
        <v>1</v>
      </c>
      <c r="O26" s="45">
        <v>10960.2</v>
      </c>
      <c r="P26" s="45">
        <v>0</v>
      </c>
      <c r="Q26" s="45">
        <v>0</v>
      </c>
      <c r="R26" s="45">
        <v>10960.2</v>
      </c>
      <c r="S26" s="45">
        <v>0</v>
      </c>
      <c r="T26" s="45">
        <v>1</v>
      </c>
      <c r="U26" s="45">
        <v>10881.6</v>
      </c>
      <c r="V26" s="45">
        <v>0</v>
      </c>
      <c r="W26" s="45">
        <v>0</v>
      </c>
      <c r="X26" s="45">
        <v>10881.6</v>
      </c>
      <c r="Y26" s="45">
        <v>0</v>
      </c>
      <c r="Z26" s="45">
        <v>0</v>
      </c>
      <c r="AB26" s="45">
        <v>11417</v>
      </c>
      <c r="AC26" s="45">
        <v>0</v>
      </c>
      <c r="AD26" s="45">
        <v>0</v>
      </c>
      <c r="AE26" s="45">
        <v>12902.6</v>
      </c>
      <c r="AF26" s="45">
        <v>0</v>
      </c>
      <c r="AG26" s="45">
        <v>0</v>
      </c>
      <c r="AH26" s="45">
        <v>12180.4</v>
      </c>
      <c r="AI26" s="45">
        <v>0</v>
      </c>
      <c r="AJ26" s="45">
        <v>1</v>
      </c>
      <c r="AK26" s="45">
        <v>13355</v>
      </c>
      <c r="AL26" s="45">
        <v>0</v>
      </c>
      <c r="AM26" s="45">
        <v>0</v>
      </c>
      <c r="AO26" s="45">
        <v>10881.6</v>
      </c>
      <c r="AP26" s="45">
        <v>0</v>
      </c>
      <c r="AQ26" s="45">
        <v>1</v>
      </c>
      <c r="AR26" s="45">
        <v>10881.6</v>
      </c>
      <c r="AS26" s="45">
        <v>0</v>
      </c>
      <c r="AT26" s="45">
        <v>0</v>
      </c>
      <c r="AU26" s="45">
        <v>10881.6</v>
      </c>
      <c r="AV26" s="45">
        <v>0</v>
      </c>
      <c r="AW26" s="45">
        <v>0</v>
      </c>
      <c r="AX26" s="45">
        <v>10881.6</v>
      </c>
      <c r="AY26" s="45">
        <v>0</v>
      </c>
      <c r="AZ26" s="45">
        <v>0</v>
      </c>
    </row>
    <row r="27" spans="2:52">
      <c r="B27" s="45">
        <v>9055.9</v>
      </c>
      <c r="C27" s="45">
        <v>0</v>
      </c>
      <c r="D27" s="45">
        <v>0</v>
      </c>
      <c r="E27" s="45">
        <v>9087.4</v>
      </c>
      <c r="F27" s="45">
        <v>0</v>
      </c>
      <c r="G27" s="45">
        <v>0</v>
      </c>
      <c r="H27" s="45">
        <v>8778.4</v>
      </c>
      <c r="I27" s="45">
        <v>0</v>
      </c>
      <c r="J27" s="45">
        <v>0</v>
      </c>
      <c r="K27" s="45">
        <v>8778.4</v>
      </c>
      <c r="L27" s="45">
        <v>0</v>
      </c>
      <c r="M27" s="45">
        <v>0</v>
      </c>
      <c r="O27" s="45">
        <v>8791.1</v>
      </c>
      <c r="P27" s="45">
        <v>0</v>
      </c>
      <c r="Q27" s="45">
        <v>0</v>
      </c>
      <c r="R27" s="45">
        <v>9192.5</v>
      </c>
      <c r="S27" s="45">
        <v>0</v>
      </c>
      <c r="T27" s="45">
        <v>1</v>
      </c>
      <c r="U27" s="45">
        <v>8791.1</v>
      </c>
      <c r="V27" s="45">
        <v>0</v>
      </c>
      <c r="W27" s="45">
        <v>0</v>
      </c>
      <c r="X27" s="45">
        <v>8791.1</v>
      </c>
      <c r="Y27" s="45">
        <v>0</v>
      </c>
      <c r="Z27" s="45">
        <v>0</v>
      </c>
      <c r="AB27" s="45">
        <v>9468.5</v>
      </c>
      <c r="AC27" s="45">
        <v>0</v>
      </c>
      <c r="AD27" s="45">
        <v>0</v>
      </c>
      <c r="AE27" s="45">
        <v>8918</v>
      </c>
      <c r="AF27" s="45">
        <v>0</v>
      </c>
      <c r="AG27" s="45">
        <v>0</v>
      </c>
      <c r="AH27" s="45">
        <v>9945.7000000000007</v>
      </c>
      <c r="AI27" s="45">
        <v>0</v>
      </c>
      <c r="AJ27" s="45">
        <v>1</v>
      </c>
      <c r="AK27" s="45">
        <v>8948.6</v>
      </c>
      <c r="AL27" s="45">
        <v>0</v>
      </c>
      <c r="AM27" s="45">
        <v>0</v>
      </c>
      <c r="AO27" s="45">
        <v>8918</v>
      </c>
      <c r="AP27" s="45">
        <v>0</v>
      </c>
      <c r="AQ27" s="45">
        <v>0</v>
      </c>
      <c r="AR27" s="45">
        <v>8778.4</v>
      </c>
      <c r="AS27" s="45">
        <v>0</v>
      </c>
      <c r="AT27" s="45">
        <v>0</v>
      </c>
      <c r="AU27" s="45">
        <v>8778.4</v>
      </c>
      <c r="AV27" s="45">
        <v>0</v>
      </c>
      <c r="AW27" s="45">
        <v>0</v>
      </c>
      <c r="AX27" s="45">
        <v>8791.1</v>
      </c>
      <c r="AY27" s="45">
        <v>0</v>
      </c>
      <c r="AZ27" s="45">
        <v>1</v>
      </c>
    </row>
    <row r="28" spans="2:52">
      <c r="B28" s="45">
        <v>7163.3</v>
      </c>
      <c r="C28" s="45">
        <v>0</v>
      </c>
      <c r="D28" s="45">
        <v>0</v>
      </c>
      <c r="E28" s="45">
        <v>7681.9</v>
      </c>
      <c r="F28" s="45">
        <v>0</v>
      </c>
      <c r="G28" s="45">
        <v>1</v>
      </c>
      <c r="H28" s="45">
        <v>7382.3</v>
      </c>
      <c r="I28" s="45">
        <v>0</v>
      </c>
      <c r="J28" s="45">
        <v>0</v>
      </c>
      <c r="K28" s="45">
        <v>7246.4</v>
      </c>
      <c r="L28" s="45">
        <v>0</v>
      </c>
      <c r="M28" s="45">
        <v>0</v>
      </c>
      <c r="O28" s="45">
        <v>7246.4</v>
      </c>
      <c r="P28" s="45">
        <v>0</v>
      </c>
      <c r="Q28" s="45">
        <v>1</v>
      </c>
      <c r="R28" s="45">
        <v>7163.3</v>
      </c>
      <c r="S28" s="45">
        <v>0</v>
      </c>
      <c r="T28" s="45">
        <v>0</v>
      </c>
      <c r="U28" s="45">
        <v>7246.4</v>
      </c>
      <c r="V28" s="45">
        <v>0</v>
      </c>
      <c r="W28" s="45">
        <v>0</v>
      </c>
      <c r="X28" s="45">
        <v>7163.3</v>
      </c>
      <c r="Y28" s="45">
        <v>0</v>
      </c>
      <c r="Z28" s="45">
        <v>1</v>
      </c>
      <c r="AB28" s="45">
        <v>8602.9</v>
      </c>
      <c r="AC28" s="45">
        <v>0</v>
      </c>
      <c r="AD28" s="45">
        <v>0</v>
      </c>
      <c r="AE28" s="45">
        <v>7429.5</v>
      </c>
      <c r="AF28" s="45">
        <v>0</v>
      </c>
      <c r="AG28" s="45">
        <v>0</v>
      </c>
      <c r="AH28" s="45">
        <v>8397.2999999999993</v>
      </c>
      <c r="AI28" s="45">
        <v>0</v>
      </c>
      <c r="AJ28" s="45">
        <v>1</v>
      </c>
      <c r="AK28" s="45">
        <v>8076.1</v>
      </c>
      <c r="AL28" s="45">
        <v>0</v>
      </c>
      <c r="AM28" s="45">
        <v>0</v>
      </c>
      <c r="AO28" s="45">
        <v>7632.6</v>
      </c>
      <c r="AP28" s="45">
        <v>0</v>
      </c>
      <c r="AQ28" s="45">
        <v>0</v>
      </c>
      <c r="AR28" s="45">
        <v>8589.5</v>
      </c>
      <c r="AS28" s="45">
        <v>0</v>
      </c>
      <c r="AT28" s="45">
        <v>0</v>
      </c>
      <c r="AU28" s="45">
        <v>7728.6</v>
      </c>
      <c r="AV28" s="45">
        <v>0</v>
      </c>
      <c r="AW28" s="45">
        <v>0</v>
      </c>
      <c r="AX28" s="45">
        <v>7163.3</v>
      </c>
      <c r="AY28" s="45">
        <v>0</v>
      </c>
      <c r="AZ28" s="45">
        <v>0</v>
      </c>
    </row>
    <row r="29" spans="2:52">
      <c r="B29" s="45">
        <v>10432.700000000001</v>
      </c>
      <c r="C29" s="45">
        <v>0</v>
      </c>
      <c r="D29" s="45">
        <v>0</v>
      </c>
      <c r="E29" s="45">
        <v>10483.1</v>
      </c>
      <c r="F29" s="45">
        <v>0</v>
      </c>
      <c r="G29" s="45">
        <v>0</v>
      </c>
      <c r="H29" s="45">
        <v>10483.1</v>
      </c>
      <c r="I29" s="45">
        <v>0</v>
      </c>
      <c r="J29" s="45">
        <v>0</v>
      </c>
      <c r="K29" s="45">
        <v>10432.700000000001</v>
      </c>
      <c r="L29" s="45">
        <v>0</v>
      </c>
      <c r="M29" s="45">
        <v>0</v>
      </c>
      <c r="O29" s="45">
        <v>10801.8</v>
      </c>
      <c r="P29" s="45">
        <v>0</v>
      </c>
      <c r="Q29" s="45">
        <v>0</v>
      </c>
      <c r="R29" s="45">
        <v>10432.700000000001</v>
      </c>
      <c r="S29" s="45">
        <v>0</v>
      </c>
      <c r="T29" s="45">
        <v>0</v>
      </c>
      <c r="U29" s="45">
        <v>10432.700000000001</v>
      </c>
      <c r="V29" s="45">
        <v>0</v>
      </c>
      <c r="W29" s="45">
        <v>0</v>
      </c>
      <c r="X29" s="45">
        <v>10550.9</v>
      </c>
      <c r="Y29" s="45">
        <v>0</v>
      </c>
      <c r="Z29" s="45">
        <v>1</v>
      </c>
      <c r="AB29" s="45">
        <v>10683.7</v>
      </c>
      <c r="AC29" s="45">
        <v>0</v>
      </c>
      <c r="AD29" s="45">
        <v>0</v>
      </c>
      <c r="AE29" s="45">
        <v>10432.700000000001</v>
      </c>
      <c r="AF29" s="45">
        <v>0</v>
      </c>
      <c r="AG29" s="45">
        <v>0</v>
      </c>
      <c r="AH29" s="45">
        <v>11668.9</v>
      </c>
      <c r="AI29" s="45">
        <v>0</v>
      </c>
      <c r="AJ29" s="45">
        <v>1</v>
      </c>
      <c r="AK29" s="45">
        <v>11386.8</v>
      </c>
      <c r="AL29" s="45">
        <v>0</v>
      </c>
      <c r="AM29" s="45">
        <v>0</v>
      </c>
      <c r="AO29" s="45">
        <v>10801.8</v>
      </c>
      <c r="AP29" s="45">
        <v>0</v>
      </c>
      <c r="AQ29" s="45">
        <v>0</v>
      </c>
      <c r="AR29" s="45">
        <v>10432.700000000001</v>
      </c>
      <c r="AS29" s="45">
        <v>0</v>
      </c>
      <c r="AT29" s="45">
        <v>1</v>
      </c>
      <c r="AU29" s="45">
        <v>10432.700000000001</v>
      </c>
      <c r="AV29" s="45">
        <v>0</v>
      </c>
      <c r="AW29" s="45">
        <v>0</v>
      </c>
      <c r="AX29" s="45">
        <v>10432.700000000001</v>
      </c>
      <c r="AY29" s="45">
        <v>0</v>
      </c>
      <c r="AZ29" s="45">
        <v>0</v>
      </c>
    </row>
    <row r="30" spans="2:52">
      <c r="B30" s="45">
        <v>7508.6</v>
      </c>
      <c r="C30" s="45">
        <v>0</v>
      </c>
      <c r="D30" s="45">
        <v>1</v>
      </c>
      <c r="E30" s="45">
        <v>7164</v>
      </c>
      <c r="F30" s="45">
        <v>0</v>
      </c>
      <c r="G30" s="45">
        <v>0</v>
      </c>
      <c r="H30" s="45">
        <v>7261</v>
      </c>
      <c r="I30" s="45">
        <v>0</v>
      </c>
      <c r="J30" s="45">
        <v>0</v>
      </c>
      <c r="K30" s="45">
        <v>7164</v>
      </c>
      <c r="L30" s="45">
        <v>0</v>
      </c>
      <c r="M30" s="45">
        <v>0</v>
      </c>
      <c r="O30" s="45">
        <v>7164</v>
      </c>
      <c r="P30" s="45">
        <v>0</v>
      </c>
      <c r="Q30" s="45">
        <v>0</v>
      </c>
      <c r="R30" s="45">
        <v>7261</v>
      </c>
      <c r="S30" s="45">
        <v>0</v>
      </c>
      <c r="T30" s="45">
        <v>0</v>
      </c>
      <c r="U30" s="45">
        <v>7256.6</v>
      </c>
      <c r="V30" s="45">
        <v>0</v>
      </c>
      <c r="W30" s="45">
        <v>0</v>
      </c>
      <c r="X30" s="45">
        <v>7164</v>
      </c>
      <c r="Y30" s="45">
        <v>0</v>
      </c>
      <c r="Z30" s="45">
        <v>1</v>
      </c>
      <c r="AB30" s="45">
        <v>7385.1</v>
      </c>
      <c r="AC30" s="45">
        <v>0</v>
      </c>
      <c r="AD30" s="45">
        <v>0</v>
      </c>
      <c r="AE30" s="45">
        <v>8039.3</v>
      </c>
      <c r="AF30" s="45">
        <v>0</v>
      </c>
      <c r="AG30" s="45">
        <v>1</v>
      </c>
      <c r="AH30" s="45">
        <v>7256.6</v>
      </c>
      <c r="AI30" s="45">
        <v>0</v>
      </c>
      <c r="AJ30" s="45">
        <v>0</v>
      </c>
      <c r="AK30" s="45">
        <v>7365.7</v>
      </c>
      <c r="AL30" s="45">
        <v>0</v>
      </c>
      <c r="AM30" s="45">
        <v>0</v>
      </c>
      <c r="AO30" s="45">
        <v>7740.3</v>
      </c>
      <c r="AP30" s="45">
        <v>5</v>
      </c>
      <c r="AQ30" s="45">
        <v>0</v>
      </c>
      <c r="AR30" s="45">
        <v>7164</v>
      </c>
      <c r="AS30" s="45">
        <v>0</v>
      </c>
      <c r="AT30" s="45">
        <v>0</v>
      </c>
      <c r="AU30" s="45">
        <v>7240.3</v>
      </c>
      <c r="AV30" s="45">
        <v>0</v>
      </c>
      <c r="AW30" s="45">
        <v>0</v>
      </c>
      <c r="AX30" s="45">
        <v>7240.3</v>
      </c>
      <c r="AY30" s="45">
        <v>0</v>
      </c>
      <c r="AZ30" s="45">
        <v>1</v>
      </c>
    </row>
    <row r="31" spans="2:52">
      <c r="B31" s="45">
        <v>9390.9</v>
      </c>
      <c r="C31" s="45">
        <v>4</v>
      </c>
      <c r="D31" s="45">
        <v>0</v>
      </c>
      <c r="E31" s="45">
        <v>9112.9</v>
      </c>
      <c r="F31" s="45">
        <v>4</v>
      </c>
      <c r="G31" s="45">
        <v>0</v>
      </c>
      <c r="H31" s="45">
        <v>8605.2999999999993</v>
      </c>
      <c r="I31" s="45">
        <v>0</v>
      </c>
      <c r="J31" s="45">
        <v>1</v>
      </c>
      <c r="K31" s="45">
        <v>8611.9</v>
      </c>
      <c r="L31" s="45">
        <v>0</v>
      </c>
      <c r="M31" s="45">
        <v>0</v>
      </c>
      <c r="O31" s="45">
        <v>9232.5</v>
      </c>
      <c r="P31" s="45">
        <v>5</v>
      </c>
      <c r="Q31" s="45">
        <v>0</v>
      </c>
      <c r="R31" s="45">
        <v>8605.2999999999993</v>
      </c>
      <c r="S31" s="45">
        <v>0</v>
      </c>
      <c r="T31" s="45">
        <v>0</v>
      </c>
      <c r="U31" s="45">
        <v>9032.5</v>
      </c>
      <c r="V31" s="45">
        <v>3</v>
      </c>
      <c r="W31" s="45">
        <v>1</v>
      </c>
      <c r="X31" s="45">
        <v>13370</v>
      </c>
      <c r="Y31" s="45">
        <v>49</v>
      </c>
      <c r="Z31" s="45">
        <v>0</v>
      </c>
      <c r="AB31" s="45">
        <v>8605.2999999999993</v>
      </c>
      <c r="AC31" s="45">
        <v>0</v>
      </c>
      <c r="AD31" s="45">
        <v>0</v>
      </c>
      <c r="AE31" s="45">
        <v>9017.5</v>
      </c>
      <c r="AF31" s="45">
        <v>0</v>
      </c>
      <c r="AG31" s="45">
        <v>1</v>
      </c>
      <c r="AH31" s="45">
        <v>8605.2999999999993</v>
      </c>
      <c r="AI31" s="45">
        <v>0</v>
      </c>
      <c r="AJ31" s="45">
        <v>0</v>
      </c>
      <c r="AK31" s="45">
        <v>9135.4</v>
      </c>
      <c r="AL31" s="45">
        <v>0</v>
      </c>
      <c r="AM31" s="45">
        <v>0</v>
      </c>
      <c r="AO31" s="45">
        <v>9112.4</v>
      </c>
      <c r="AP31" s="45">
        <v>4</v>
      </c>
      <c r="AQ31" s="45">
        <v>0</v>
      </c>
      <c r="AR31" s="45">
        <v>9032.5</v>
      </c>
      <c r="AS31" s="45">
        <v>3</v>
      </c>
      <c r="AT31" s="45">
        <v>0</v>
      </c>
      <c r="AU31" s="45">
        <v>9112.4</v>
      </c>
      <c r="AV31" s="45">
        <v>4</v>
      </c>
      <c r="AW31" s="45">
        <v>0</v>
      </c>
      <c r="AX31" s="45">
        <v>8605.2999999999993</v>
      </c>
      <c r="AY31" s="45">
        <v>0</v>
      </c>
      <c r="AZ31" s="45">
        <v>0</v>
      </c>
    </row>
    <row r="32" spans="2:52">
      <c r="B32" s="45">
        <v>9211.9</v>
      </c>
      <c r="C32" s="45">
        <v>0</v>
      </c>
      <c r="D32" s="45">
        <v>0</v>
      </c>
      <c r="E32" s="45">
        <v>9022.9</v>
      </c>
      <c r="F32" s="45">
        <v>0</v>
      </c>
      <c r="G32" s="45">
        <v>0</v>
      </c>
      <c r="H32" s="45">
        <v>9154.2000000000007</v>
      </c>
      <c r="I32" s="45">
        <v>0</v>
      </c>
      <c r="J32" s="45">
        <v>0</v>
      </c>
      <c r="K32" s="45">
        <v>9131.5</v>
      </c>
      <c r="L32" s="45">
        <v>0</v>
      </c>
      <c r="M32" s="45">
        <v>0</v>
      </c>
      <c r="O32" s="45">
        <v>9154.2000000000007</v>
      </c>
      <c r="P32" s="45">
        <v>0</v>
      </c>
      <c r="Q32" s="45">
        <v>0</v>
      </c>
      <c r="R32" s="45">
        <v>9131.5</v>
      </c>
      <c r="S32" s="45">
        <v>0</v>
      </c>
      <c r="T32" s="45">
        <v>0</v>
      </c>
      <c r="U32" s="45">
        <v>8953.2000000000007</v>
      </c>
      <c r="V32" s="45">
        <v>0</v>
      </c>
      <c r="W32" s="45">
        <v>1</v>
      </c>
      <c r="X32" s="45">
        <v>8953.2000000000007</v>
      </c>
      <c r="Y32" s="45">
        <v>0</v>
      </c>
      <c r="Z32" s="45">
        <v>0</v>
      </c>
      <c r="AB32" s="45">
        <v>9470</v>
      </c>
      <c r="AC32" s="45">
        <v>0</v>
      </c>
      <c r="AD32" s="45">
        <v>0</v>
      </c>
      <c r="AE32" s="45">
        <v>9154.2000000000007</v>
      </c>
      <c r="AF32" s="45">
        <v>0</v>
      </c>
      <c r="AG32" s="45">
        <v>1</v>
      </c>
      <c r="AH32" s="45">
        <v>9389.5</v>
      </c>
      <c r="AI32" s="45">
        <v>0</v>
      </c>
      <c r="AJ32" s="45">
        <v>0</v>
      </c>
      <c r="AK32" s="45">
        <v>9131.5</v>
      </c>
      <c r="AL32" s="45">
        <v>0</v>
      </c>
      <c r="AM32" s="45">
        <v>0</v>
      </c>
      <c r="AO32" s="45">
        <v>8953.2000000000007</v>
      </c>
      <c r="AP32" s="45">
        <v>0</v>
      </c>
      <c r="AQ32" s="45">
        <v>1</v>
      </c>
      <c r="AR32" s="45">
        <v>9747</v>
      </c>
      <c r="AS32" s="45">
        <v>0</v>
      </c>
      <c r="AT32" s="45">
        <v>0</v>
      </c>
      <c r="AU32" s="45">
        <v>9131.5</v>
      </c>
      <c r="AV32" s="45">
        <v>0</v>
      </c>
      <c r="AW32" s="45">
        <v>0</v>
      </c>
      <c r="AX32" s="45">
        <v>9131.5</v>
      </c>
      <c r="AY32" s="45">
        <v>0</v>
      </c>
      <c r="AZ32" s="45">
        <v>0</v>
      </c>
    </row>
    <row r="33" spans="2:52">
      <c r="B33" s="45">
        <v>10558.2</v>
      </c>
      <c r="C33" s="45">
        <v>0</v>
      </c>
      <c r="D33" s="45">
        <v>1</v>
      </c>
      <c r="E33" s="45">
        <v>10604.4</v>
      </c>
      <c r="F33" s="45">
        <v>0</v>
      </c>
      <c r="G33" s="45">
        <v>0</v>
      </c>
      <c r="H33" s="45">
        <v>10558.2</v>
      </c>
      <c r="I33" s="45">
        <v>0</v>
      </c>
      <c r="J33" s="45">
        <v>0</v>
      </c>
      <c r="K33" s="45">
        <v>10558.2</v>
      </c>
      <c r="L33" s="45">
        <v>0</v>
      </c>
      <c r="M33" s="45">
        <v>0</v>
      </c>
      <c r="O33" s="45">
        <v>10604.4</v>
      </c>
      <c r="P33" s="45">
        <v>0</v>
      </c>
      <c r="Q33" s="45">
        <v>0</v>
      </c>
      <c r="R33" s="45">
        <v>10604.4</v>
      </c>
      <c r="S33" s="45">
        <v>0</v>
      </c>
      <c r="T33" s="45">
        <v>0</v>
      </c>
      <c r="U33" s="45">
        <v>12154.6</v>
      </c>
      <c r="V33" s="45">
        <v>0</v>
      </c>
      <c r="W33" s="45">
        <v>1</v>
      </c>
      <c r="X33" s="45">
        <v>10961.4</v>
      </c>
      <c r="Y33" s="45">
        <v>0</v>
      </c>
      <c r="Z33" s="45">
        <v>0</v>
      </c>
      <c r="AB33" s="45">
        <v>12404.8</v>
      </c>
      <c r="AC33" s="45">
        <v>0</v>
      </c>
      <c r="AD33" s="45">
        <v>0</v>
      </c>
      <c r="AE33" s="45">
        <v>10558.2</v>
      </c>
      <c r="AF33" s="45">
        <v>0</v>
      </c>
      <c r="AG33" s="45">
        <v>1</v>
      </c>
      <c r="AH33" s="45">
        <v>13084.8</v>
      </c>
      <c r="AI33" s="45">
        <v>0</v>
      </c>
      <c r="AJ33" s="45">
        <v>0</v>
      </c>
      <c r="AK33" s="45">
        <v>11070.2</v>
      </c>
      <c r="AL33" s="45">
        <v>0</v>
      </c>
      <c r="AM33" s="45">
        <v>0</v>
      </c>
      <c r="AO33" s="45">
        <v>10604.4</v>
      </c>
      <c r="AP33" s="45">
        <v>0</v>
      </c>
      <c r="AQ33" s="45">
        <v>0</v>
      </c>
      <c r="AR33" s="45">
        <v>10558.2</v>
      </c>
      <c r="AS33" s="45">
        <v>0</v>
      </c>
      <c r="AT33" s="45">
        <v>0</v>
      </c>
      <c r="AU33" s="45">
        <v>10604.4</v>
      </c>
      <c r="AV33" s="45">
        <v>0</v>
      </c>
      <c r="AW33" s="45">
        <v>1</v>
      </c>
      <c r="AX33" s="45">
        <v>11690.2</v>
      </c>
      <c r="AY33" s="45">
        <v>0</v>
      </c>
      <c r="AZ33" s="45">
        <v>0</v>
      </c>
    </row>
    <row r="34" spans="2:52">
      <c r="B34" s="45">
        <v>9156.9</v>
      </c>
      <c r="C34" s="45">
        <v>0</v>
      </c>
      <c r="D34" s="45">
        <v>0</v>
      </c>
      <c r="E34" s="45">
        <v>9957.7000000000007</v>
      </c>
      <c r="F34" s="45">
        <v>0</v>
      </c>
      <c r="G34" s="45">
        <v>0</v>
      </c>
      <c r="H34" s="45">
        <v>9982.7999999999993</v>
      </c>
      <c r="I34" s="45">
        <v>0</v>
      </c>
      <c r="J34" s="45">
        <v>0</v>
      </c>
      <c r="K34" s="45">
        <v>9156.9</v>
      </c>
      <c r="L34" s="45">
        <v>0</v>
      </c>
      <c r="M34" s="45">
        <v>1</v>
      </c>
      <c r="O34" s="45">
        <v>9925</v>
      </c>
      <c r="P34" s="45">
        <v>0</v>
      </c>
      <c r="Q34" s="45">
        <v>0</v>
      </c>
      <c r="R34" s="45">
        <v>8882</v>
      </c>
      <c r="S34" s="45">
        <v>0</v>
      </c>
      <c r="T34" s="45">
        <v>0</v>
      </c>
      <c r="U34" s="45">
        <v>8882</v>
      </c>
      <c r="V34" s="45">
        <v>0</v>
      </c>
      <c r="W34" s="45">
        <v>1</v>
      </c>
      <c r="X34" s="45">
        <v>9156.9</v>
      </c>
      <c r="Y34" s="45">
        <v>0</v>
      </c>
      <c r="Z34" s="45">
        <v>0</v>
      </c>
      <c r="AB34" s="45">
        <v>10339.4</v>
      </c>
      <c r="AC34" s="45">
        <v>0</v>
      </c>
      <c r="AD34" s="45">
        <v>0</v>
      </c>
      <c r="AE34" s="45">
        <v>9492</v>
      </c>
      <c r="AF34" s="45">
        <v>0</v>
      </c>
      <c r="AG34" s="45">
        <v>1</v>
      </c>
      <c r="AH34" s="45">
        <v>9882.4</v>
      </c>
      <c r="AI34" s="45">
        <v>0</v>
      </c>
      <c r="AJ34" s="45">
        <v>0</v>
      </c>
      <c r="AK34" s="45">
        <v>10230.1</v>
      </c>
      <c r="AL34" s="45">
        <v>0</v>
      </c>
      <c r="AM34" s="45">
        <v>0</v>
      </c>
      <c r="AO34" s="45">
        <v>9560.7000000000007</v>
      </c>
      <c r="AP34" s="45">
        <v>0</v>
      </c>
      <c r="AQ34" s="45">
        <v>0</v>
      </c>
      <c r="AR34" s="45">
        <v>9494.4</v>
      </c>
      <c r="AS34" s="45">
        <v>0</v>
      </c>
      <c r="AT34" s="45">
        <v>0</v>
      </c>
      <c r="AU34" s="45">
        <v>9905.7999999999993</v>
      </c>
      <c r="AV34" s="45">
        <v>0</v>
      </c>
      <c r="AW34" s="45">
        <v>0</v>
      </c>
      <c r="AX34" s="45">
        <v>9156.9</v>
      </c>
      <c r="AY34" s="45">
        <v>0</v>
      </c>
      <c r="AZ34" s="45">
        <v>0</v>
      </c>
    </row>
    <row r="35" spans="2:52">
      <c r="B35" s="45">
        <v>8611</v>
      </c>
      <c r="C35" s="45">
        <v>0</v>
      </c>
      <c r="D35" s="45">
        <v>0</v>
      </c>
      <c r="E35" s="45">
        <v>7333.5</v>
      </c>
      <c r="F35" s="45">
        <v>0</v>
      </c>
      <c r="G35" s="45">
        <v>0</v>
      </c>
      <c r="H35" s="45">
        <v>7333.5</v>
      </c>
      <c r="I35" s="45">
        <v>0</v>
      </c>
      <c r="J35" s="45">
        <v>0</v>
      </c>
      <c r="K35" s="45">
        <v>7333.5</v>
      </c>
      <c r="L35" s="45">
        <v>0</v>
      </c>
      <c r="M35" s="45">
        <v>0</v>
      </c>
      <c r="O35" s="45">
        <v>7333.5</v>
      </c>
      <c r="P35" s="45">
        <v>0</v>
      </c>
      <c r="Q35" s="45">
        <v>0</v>
      </c>
      <c r="R35" s="45">
        <v>7333.5</v>
      </c>
      <c r="S35" s="45">
        <v>0</v>
      </c>
      <c r="T35" s="45">
        <v>0</v>
      </c>
      <c r="U35" s="45">
        <v>7841.4</v>
      </c>
      <c r="V35" s="45">
        <v>0</v>
      </c>
      <c r="W35" s="45">
        <v>1</v>
      </c>
      <c r="X35" s="45">
        <v>7333.5</v>
      </c>
      <c r="Y35" s="45">
        <v>0</v>
      </c>
      <c r="Z35" s="45">
        <v>0</v>
      </c>
      <c r="AB35" s="45">
        <v>8931.7000000000007</v>
      </c>
      <c r="AC35" s="45">
        <v>0</v>
      </c>
      <c r="AD35" s="45">
        <v>0</v>
      </c>
      <c r="AE35" s="45">
        <v>9677.7999999999993</v>
      </c>
      <c r="AF35" s="45">
        <v>0</v>
      </c>
      <c r="AG35" s="45">
        <v>1</v>
      </c>
      <c r="AH35" s="45">
        <v>8811.2999999999993</v>
      </c>
      <c r="AI35" s="45">
        <v>0</v>
      </c>
      <c r="AJ35" s="45">
        <v>0</v>
      </c>
      <c r="AK35" s="45">
        <v>8919.5</v>
      </c>
      <c r="AL35" s="45">
        <v>0</v>
      </c>
      <c r="AM35" s="45">
        <v>0</v>
      </c>
      <c r="AO35" s="45">
        <v>7333.5</v>
      </c>
      <c r="AP35" s="45">
        <v>0</v>
      </c>
      <c r="AQ35" s="45">
        <v>0</v>
      </c>
      <c r="AR35" s="45">
        <v>7987.2</v>
      </c>
      <c r="AS35" s="45">
        <v>0</v>
      </c>
      <c r="AT35" s="45">
        <v>1</v>
      </c>
      <c r="AU35" s="45">
        <v>7987.2</v>
      </c>
      <c r="AV35" s="45">
        <v>0</v>
      </c>
      <c r="AW35" s="45">
        <v>0</v>
      </c>
      <c r="AX35" s="45">
        <v>7987.2</v>
      </c>
      <c r="AY35" s="45">
        <v>0</v>
      </c>
      <c r="AZ35" s="45">
        <v>0</v>
      </c>
    </row>
    <row r="36" spans="2:52">
      <c r="B36" s="45">
        <v>10561.9</v>
      </c>
      <c r="C36" s="45">
        <v>0</v>
      </c>
      <c r="D36" s="45">
        <v>0</v>
      </c>
      <c r="E36" s="45">
        <v>10874.6</v>
      </c>
      <c r="F36" s="45">
        <v>0</v>
      </c>
      <c r="G36" s="45">
        <v>0</v>
      </c>
      <c r="H36" s="45">
        <v>11058.2</v>
      </c>
      <c r="I36" s="45">
        <v>0</v>
      </c>
      <c r="J36" s="45">
        <v>1</v>
      </c>
      <c r="K36" s="45">
        <v>10561.9</v>
      </c>
      <c r="L36" s="45">
        <v>0</v>
      </c>
      <c r="M36" s="45">
        <v>0</v>
      </c>
      <c r="O36" s="45">
        <v>11067.8</v>
      </c>
      <c r="P36" s="45">
        <v>0</v>
      </c>
      <c r="Q36" s="45">
        <v>0</v>
      </c>
      <c r="R36" s="45">
        <v>10666.2</v>
      </c>
      <c r="S36" s="45">
        <v>0</v>
      </c>
      <c r="T36" s="45">
        <v>1</v>
      </c>
      <c r="U36" s="45">
        <v>11067.8</v>
      </c>
      <c r="V36" s="45">
        <v>0</v>
      </c>
      <c r="W36" s="45">
        <v>0</v>
      </c>
      <c r="X36" s="45">
        <v>10561.9</v>
      </c>
      <c r="Y36" s="45">
        <v>0</v>
      </c>
      <c r="Z36" s="45">
        <v>0</v>
      </c>
      <c r="AB36" s="45">
        <v>12357.9</v>
      </c>
      <c r="AC36" s="45">
        <v>0</v>
      </c>
      <c r="AD36" s="45">
        <v>1</v>
      </c>
      <c r="AE36" s="45">
        <v>12672.7</v>
      </c>
      <c r="AF36" s="45">
        <v>0</v>
      </c>
      <c r="AG36" s="45">
        <v>0</v>
      </c>
      <c r="AH36" s="45">
        <v>12161.4</v>
      </c>
      <c r="AI36" s="45">
        <v>0</v>
      </c>
      <c r="AJ36" s="45">
        <v>0</v>
      </c>
      <c r="AK36" s="45">
        <v>12452.3</v>
      </c>
      <c r="AL36" s="45">
        <v>0</v>
      </c>
      <c r="AM36" s="45">
        <v>0</v>
      </c>
      <c r="AO36" s="45">
        <v>13574.6</v>
      </c>
      <c r="AP36" s="45">
        <v>27</v>
      </c>
      <c r="AQ36" s="45">
        <v>0</v>
      </c>
      <c r="AR36" s="45">
        <v>11133.6</v>
      </c>
      <c r="AS36" s="45">
        <v>0</v>
      </c>
      <c r="AT36" s="45">
        <v>0</v>
      </c>
      <c r="AU36" s="45">
        <v>10561.9</v>
      </c>
      <c r="AV36" s="45">
        <v>0</v>
      </c>
      <c r="AW36" s="45">
        <v>0</v>
      </c>
      <c r="AX36" s="45">
        <v>10561.9</v>
      </c>
      <c r="AY36" s="45">
        <v>0</v>
      </c>
      <c r="AZ36" s="45">
        <v>1</v>
      </c>
    </row>
    <row r="37" spans="2:52">
      <c r="B37" s="45">
        <v>10350.4</v>
      </c>
      <c r="C37" s="45">
        <v>0</v>
      </c>
      <c r="D37" s="45">
        <v>0</v>
      </c>
      <c r="E37" s="45">
        <v>10658.1</v>
      </c>
      <c r="F37" s="45">
        <v>0</v>
      </c>
      <c r="G37" s="45">
        <v>0</v>
      </c>
      <c r="H37" s="45">
        <v>10350.4</v>
      </c>
      <c r="I37" s="45">
        <v>0</v>
      </c>
      <c r="J37" s="45">
        <v>0</v>
      </c>
      <c r="K37" s="45">
        <v>10687.2</v>
      </c>
      <c r="L37" s="45">
        <v>0</v>
      </c>
      <c r="M37" s="45">
        <v>0</v>
      </c>
      <c r="O37" s="45">
        <v>10849.4</v>
      </c>
      <c r="P37" s="45">
        <v>0</v>
      </c>
      <c r="Q37" s="45">
        <v>0</v>
      </c>
      <c r="R37" s="45">
        <v>10658</v>
      </c>
      <c r="S37" s="45">
        <v>0</v>
      </c>
      <c r="T37" s="45">
        <v>1</v>
      </c>
      <c r="U37" s="45">
        <v>10350.4</v>
      </c>
      <c r="V37" s="45">
        <v>0</v>
      </c>
      <c r="W37" s="45">
        <v>0</v>
      </c>
      <c r="X37" s="45">
        <v>10350.4</v>
      </c>
      <c r="Y37" s="45">
        <v>0</v>
      </c>
      <c r="Z37" s="45">
        <v>0</v>
      </c>
      <c r="AB37" s="45">
        <v>10648.1</v>
      </c>
      <c r="AC37" s="45">
        <v>0</v>
      </c>
      <c r="AD37" s="45">
        <v>1</v>
      </c>
      <c r="AE37" s="45">
        <v>11228.9</v>
      </c>
      <c r="AF37" s="45">
        <v>0</v>
      </c>
      <c r="AG37" s="45">
        <v>0</v>
      </c>
      <c r="AH37" s="45">
        <v>10956.5</v>
      </c>
      <c r="AI37" s="45">
        <v>0</v>
      </c>
      <c r="AJ37" s="45">
        <v>0</v>
      </c>
      <c r="AK37" s="45">
        <v>10524.6</v>
      </c>
      <c r="AL37" s="45">
        <v>0</v>
      </c>
      <c r="AM37" s="45">
        <v>1</v>
      </c>
      <c r="AO37" s="45">
        <v>10525.1</v>
      </c>
      <c r="AP37" s="45">
        <v>0</v>
      </c>
      <c r="AQ37" s="45">
        <v>0</v>
      </c>
      <c r="AR37" s="45">
        <v>10648.1</v>
      </c>
      <c r="AS37" s="45">
        <v>0</v>
      </c>
      <c r="AT37" s="45">
        <v>0</v>
      </c>
      <c r="AU37" s="45">
        <v>10648.1</v>
      </c>
      <c r="AV37" s="45">
        <v>0</v>
      </c>
      <c r="AW37" s="45">
        <v>0</v>
      </c>
      <c r="AX37" s="45">
        <v>10524.6</v>
      </c>
      <c r="AY37" s="45">
        <v>0</v>
      </c>
      <c r="AZ37" s="45">
        <v>0</v>
      </c>
    </row>
    <row r="38" spans="2:52">
      <c r="B38" s="45">
        <v>8331.2000000000007</v>
      </c>
      <c r="C38" s="45">
        <v>0</v>
      </c>
      <c r="D38" s="45">
        <v>1</v>
      </c>
      <c r="E38" s="45">
        <v>8331.2000000000007</v>
      </c>
      <c r="F38" s="45">
        <v>0</v>
      </c>
      <c r="G38" s="45">
        <v>0</v>
      </c>
      <c r="H38" s="45">
        <v>7959.6</v>
      </c>
      <c r="I38" s="45">
        <v>0</v>
      </c>
      <c r="J38" s="45">
        <v>0</v>
      </c>
      <c r="K38" s="45">
        <v>7959.6</v>
      </c>
      <c r="L38" s="45">
        <v>0</v>
      </c>
      <c r="M38" s="45">
        <v>0</v>
      </c>
      <c r="O38" s="45">
        <v>7959.6</v>
      </c>
      <c r="P38" s="45">
        <v>0</v>
      </c>
      <c r="Q38" s="45">
        <v>0</v>
      </c>
      <c r="R38" s="45">
        <v>9359.6</v>
      </c>
      <c r="S38" s="45">
        <v>14</v>
      </c>
      <c r="T38" s="45">
        <v>1</v>
      </c>
      <c r="U38" s="45">
        <v>7959.6</v>
      </c>
      <c r="V38" s="45">
        <v>0</v>
      </c>
      <c r="W38" s="45">
        <v>0</v>
      </c>
      <c r="X38" s="45">
        <v>7959.6</v>
      </c>
      <c r="Y38" s="45">
        <v>0</v>
      </c>
      <c r="Z38" s="45">
        <v>0</v>
      </c>
      <c r="AB38" s="45">
        <v>9564.4</v>
      </c>
      <c r="AC38" s="45">
        <v>0</v>
      </c>
      <c r="AD38" s="45">
        <v>0</v>
      </c>
      <c r="AE38" s="45">
        <v>9299.5</v>
      </c>
      <c r="AF38" s="45">
        <v>0</v>
      </c>
      <c r="AG38" s="45">
        <v>0</v>
      </c>
      <c r="AH38" s="45">
        <v>8810.2999999999993</v>
      </c>
      <c r="AI38" s="45">
        <v>0</v>
      </c>
      <c r="AJ38" s="45">
        <v>0</v>
      </c>
      <c r="AK38" s="45">
        <v>7959.6</v>
      </c>
      <c r="AL38" s="45">
        <v>0</v>
      </c>
      <c r="AM38" s="45">
        <v>1</v>
      </c>
      <c r="AO38" s="45">
        <v>8267.9</v>
      </c>
      <c r="AP38" s="45">
        <v>0</v>
      </c>
      <c r="AQ38" s="45">
        <v>0</v>
      </c>
      <c r="AR38" s="45">
        <v>8409</v>
      </c>
      <c r="AS38" s="45">
        <v>0</v>
      </c>
      <c r="AT38" s="45">
        <v>1</v>
      </c>
      <c r="AU38" s="45">
        <v>8182.6</v>
      </c>
      <c r="AV38" s="45">
        <v>0</v>
      </c>
      <c r="AW38" s="45">
        <v>0</v>
      </c>
      <c r="AX38" s="45">
        <v>7959.6</v>
      </c>
      <c r="AY38" s="45">
        <v>0</v>
      </c>
      <c r="AZ38" s="45">
        <v>0</v>
      </c>
    </row>
    <row r="39" spans="2:52">
      <c r="B39" s="45">
        <v>11415.1</v>
      </c>
      <c r="C39" s="45">
        <v>0</v>
      </c>
      <c r="D39" s="45">
        <v>0</v>
      </c>
      <c r="E39" s="45">
        <v>11511.9</v>
      </c>
      <c r="F39" s="45">
        <v>0</v>
      </c>
      <c r="G39" s="45">
        <v>0</v>
      </c>
      <c r="H39" s="45">
        <v>11258.6</v>
      </c>
      <c r="I39" s="45">
        <v>0</v>
      </c>
      <c r="J39" s="45">
        <v>1</v>
      </c>
      <c r="K39" s="45">
        <v>11258.6</v>
      </c>
      <c r="L39" s="45">
        <v>0</v>
      </c>
      <c r="M39" s="45">
        <v>0</v>
      </c>
      <c r="O39" s="45">
        <v>11252.7</v>
      </c>
      <c r="P39" s="45">
        <v>0</v>
      </c>
      <c r="Q39" s="45">
        <v>1</v>
      </c>
      <c r="R39" s="45">
        <v>11258.6</v>
      </c>
      <c r="S39" s="45">
        <v>0</v>
      </c>
      <c r="T39" s="45">
        <v>0</v>
      </c>
      <c r="U39" s="45">
        <v>11415.1</v>
      </c>
      <c r="V39" s="45">
        <v>0</v>
      </c>
      <c r="W39" s="45">
        <v>0</v>
      </c>
      <c r="X39" s="45">
        <v>11252.7</v>
      </c>
      <c r="Y39" s="45">
        <v>0</v>
      </c>
      <c r="Z39" s="45">
        <v>1</v>
      </c>
      <c r="AB39" s="45">
        <v>11415.1</v>
      </c>
      <c r="AC39" s="45">
        <v>0</v>
      </c>
      <c r="AD39" s="45">
        <v>0</v>
      </c>
      <c r="AE39" s="45">
        <v>11252.7</v>
      </c>
      <c r="AF39" s="45">
        <v>0</v>
      </c>
      <c r="AG39" s="45">
        <v>0</v>
      </c>
      <c r="AH39" s="45">
        <v>11447</v>
      </c>
      <c r="AI39" s="45">
        <v>0</v>
      </c>
      <c r="AJ39" s="45">
        <v>0</v>
      </c>
      <c r="AK39" s="45">
        <v>11252.7</v>
      </c>
      <c r="AL39" s="45">
        <v>0</v>
      </c>
      <c r="AM39" s="45">
        <v>1</v>
      </c>
      <c r="AO39" s="45">
        <v>11515.6</v>
      </c>
      <c r="AP39" s="45">
        <v>0</v>
      </c>
      <c r="AQ39" s="45">
        <v>0</v>
      </c>
      <c r="AR39" s="45">
        <v>11252.7</v>
      </c>
      <c r="AS39" s="45">
        <v>0</v>
      </c>
      <c r="AT39" s="45">
        <v>0</v>
      </c>
      <c r="AU39" s="45">
        <v>11252.7</v>
      </c>
      <c r="AV39" s="45">
        <v>0</v>
      </c>
      <c r="AW39" s="45">
        <v>0</v>
      </c>
      <c r="AX39" s="45">
        <v>11415.1</v>
      </c>
      <c r="AY39" s="45">
        <v>0</v>
      </c>
      <c r="AZ39" s="45">
        <v>1</v>
      </c>
    </row>
    <row r="40" spans="2:52">
      <c r="B40" s="45">
        <v>7619.4</v>
      </c>
      <c r="C40" s="45">
        <v>0</v>
      </c>
      <c r="D40" s="45">
        <v>0</v>
      </c>
      <c r="E40" s="45">
        <v>7660.4</v>
      </c>
      <c r="F40" s="45">
        <v>0</v>
      </c>
      <c r="G40" s="45">
        <v>0</v>
      </c>
      <c r="H40" s="45">
        <v>8214.4</v>
      </c>
      <c r="I40" s="45">
        <v>0</v>
      </c>
      <c r="J40" s="45">
        <v>0</v>
      </c>
      <c r="K40" s="45">
        <v>8166.9</v>
      </c>
      <c r="L40" s="45">
        <v>0</v>
      </c>
      <c r="M40" s="45">
        <v>1</v>
      </c>
      <c r="O40" s="45">
        <v>7619.4</v>
      </c>
      <c r="P40" s="45">
        <v>0</v>
      </c>
      <c r="Q40" s="45">
        <v>0</v>
      </c>
      <c r="R40" s="45">
        <v>7619.4</v>
      </c>
      <c r="S40" s="45">
        <v>0</v>
      </c>
      <c r="T40" s="45">
        <v>0</v>
      </c>
      <c r="U40" s="45">
        <v>8554.7000000000007</v>
      </c>
      <c r="V40" s="45">
        <v>0</v>
      </c>
      <c r="W40" s="45">
        <v>0</v>
      </c>
      <c r="X40" s="45">
        <v>8751.7999999999993</v>
      </c>
      <c r="Y40" s="45">
        <v>0</v>
      </c>
      <c r="Z40" s="45">
        <v>1</v>
      </c>
      <c r="AB40" s="45">
        <v>7801</v>
      </c>
      <c r="AC40" s="45">
        <v>0</v>
      </c>
      <c r="AD40" s="45">
        <v>0</v>
      </c>
      <c r="AE40" s="45">
        <v>9295.2000000000007</v>
      </c>
      <c r="AF40" s="45">
        <v>0</v>
      </c>
      <c r="AG40" s="45">
        <v>0</v>
      </c>
      <c r="AH40" s="45">
        <v>9182.4</v>
      </c>
      <c r="AI40" s="45">
        <v>0</v>
      </c>
      <c r="AJ40" s="45">
        <v>0</v>
      </c>
      <c r="AK40" s="45">
        <v>7801</v>
      </c>
      <c r="AL40" s="45">
        <v>0</v>
      </c>
      <c r="AM40" s="45">
        <v>1</v>
      </c>
      <c r="AO40" s="45">
        <v>7619.4</v>
      </c>
      <c r="AP40" s="45">
        <v>0</v>
      </c>
      <c r="AQ40" s="45">
        <v>0</v>
      </c>
      <c r="AR40" s="45">
        <v>7801</v>
      </c>
      <c r="AS40" s="45">
        <v>0</v>
      </c>
      <c r="AT40" s="45">
        <v>0</v>
      </c>
      <c r="AU40" s="45">
        <v>8214.4</v>
      </c>
      <c r="AV40" s="45">
        <v>0</v>
      </c>
      <c r="AW40" s="45">
        <v>0</v>
      </c>
      <c r="AX40" s="45">
        <v>7619.4</v>
      </c>
      <c r="AY40" s="45">
        <v>0</v>
      </c>
      <c r="AZ40" s="45">
        <v>0</v>
      </c>
    </row>
    <row r="41" spans="2:52">
      <c r="B41" s="45">
        <v>8192.9</v>
      </c>
      <c r="C41" s="45">
        <v>0</v>
      </c>
      <c r="D41" s="45">
        <v>0</v>
      </c>
      <c r="E41" s="45">
        <v>7561.6</v>
      </c>
      <c r="F41" s="45">
        <v>0</v>
      </c>
      <c r="G41" s="45">
        <v>0</v>
      </c>
      <c r="H41" s="45">
        <v>7910.2</v>
      </c>
      <c r="I41" s="45">
        <v>0</v>
      </c>
      <c r="J41" s="45">
        <v>0</v>
      </c>
      <c r="K41" s="45">
        <v>7612.1</v>
      </c>
      <c r="L41" s="45">
        <v>0</v>
      </c>
      <c r="M41" s="45">
        <v>0</v>
      </c>
      <c r="O41" s="45">
        <v>8020.1</v>
      </c>
      <c r="P41" s="45">
        <v>0</v>
      </c>
      <c r="Q41" s="45">
        <v>0</v>
      </c>
      <c r="R41" s="45">
        <v>7561.6</v>
      </c>
      <c r="S41" s="45">
        <v>0</v>
      </c>
      <c r="T41" s="45">
        <v>0</v>
      </c>
      <c r="U41" s="45">
        <v>7561.6</v>
      </c>
      <c r="V41" s="45">
        <v>0</v>
      </c>
      <c r="W41" s="45">
        <v>0</v>
      </c>
      <c r="X41" s="45">
        <v>7561.6</v>
      </c>
      <c r="Y41" s="45">
        <v>0</v>
      </c>
      <c r="Z41" s="45">
        <v>0</v>
      </c>
      <c r="AB41" s="45">
        <v>9009.7000000000007</v>
      </c>
      <c r="AC41" s="45">
        <v>0</v>
      </c>
      <c r="AD41" s="45">
        <v>0</v>
      </c>
      <c r="AE41" s="45">
        <v>7934</v>
      </c>
      <c r="AF41" s="45">
        <v>0</v>
      </c>
      <c r="AG41" s="45">
        <v>0</v>
      </c>
      <c r="AH41" s="45">
        <v>7910.2</v>
      </c>
      <c r="AI41" s="45">
        <v>0</v>
      </c>
      <c r="AJ41" s="45">
        <v>0</v>
      </c>
      <c r="AK41" s="45">
        <v>7833.9</v>
      </c>
      <c r="AL41" s="45">
        <v>0</v>
      </c>
      <c r="AM41" s="45">
        <v>1</v>
      </c>
      <c r="AO41" s="45">
        <v>7851.1</v>
      </c>
      <c r="AP41" s="45">
        <v>0</v>
      </c>
      <c r="AQ41" s="45">
        <v>0</v>
      </c>
      <c r="AR41" s="45">
        <v>8020.1</v>
      </c>
      <c r="AS41" s="45">
        <v>0</v>
      </c>
      <c r="AT41" s="45">
        <v>0</v>
      </c>
      <c r="AU41" s="45">
        <v>7612.1</v>
      </c>
      <c r="AV41" s="45">
        <v>0</v>
      </c>
      <c r="AW41" s="45">
        <v>1</v>
      </c>
      <c r="AX41" s="45">
        <v>7612.1</v>
      </c>
      <c r="AY41" s="45">
        <v>0</v>
      </c>
      <c r="AZ41" s="45">
        <v>0</v>
      </c>
    </row>
    <row r="42" spans="2:52">
      <c r="B42" s="45">
        <v>6802.3</v>
      </c>
      <c r="C42" s="45">
        <v>0</v>
      </c>
      <c r="D42" s="45">
        <v>0</v>
      </c>
      <c r="E42" s="45">
        <v>6214.5</v>
      </c>
      <c r="F42" s="45">
        <v>0</v>
      </c>
      <c r="G42" s="45">
        <v>0</v>
      </c>
      <c r="H42" s="45">
        <v>6356.4</v>
      </c>
      <c r="I42" s="45">
        <v>0</v>
      </c>
      <c r="J42" s="45">
        <v>1</v>
      </c>
      <c r="K42" s="45">
        <v>6533.8</v>
      </c>
      <c r="L42" s="45">
        <v>0</v>
      </c>
      <c r="M42" s="45">
        <v>0</v>
      </c>
      <c r="O42" s="45">
        <v>6318.2</v>
      </c>
      <c r="P42" s="45">
        <v>0</v>
      </c>
      <c r="Q42" s="45">
        <v>0</v>
      </c>
      <c r="R42" s="45">
        <v>6150.3</v>
      </c>
      <c r="S42" s="45">
        <v>0</v>
      </c>
      <c r="T42" s="45">
        <v>1</v>
      </c>
      <c r="U42" s="45">
        <v>6150.3</v>
      </c>
      <c r="V42" s="45">
        <v>0</v>
      </c>
      <c r="W42" s="45">
        <v>0</v>
      </c>
      <c r="X42" s="45">
        <v>6214.5</v>
      </c>
      <c r="Y42" s="45">
        <v>0</v>
      </c>
      <c r="Z42" s="45">
        <v>0</v>
      </c>
      <c r="AB42" s="45">
        <v>6150.3</v>
      </c>
      <c r="AC42" s="45">
        <v>0</v>
      </c>
      <c r="AD42" s="45">
        <v>0</v>
      </c>
      <c r="AE42" s="45">
        <v>6460.7</v>
      </c>
      <c r="AF42" s="45">
        <v>0</v>
      </c>
      <c r="AG42" s="45">
        <v>0</v>
      </c>
      <c r="AH42" s="45">
        <v>6420.5</v>
      </c>
      <c r="AI42" s="45">
        <v>0</v>
      </c>
      <c r="AJ42" s="45">
        <v>0</v>
      </c>
      <c r="AK42" s="45">
        <v>6819</v>
      </c>
      <c r="AL42" s="45">
        <v>0</v>
      </c>
      <c r="AM42" s="45">
        <v>1</v>
      </c>
      <c r="AO42" s="45">
        <v>6318.2</v>
      </c>
      <c r="AP42" s="45">
        <v>0</v>
      </c>
      <c r="AQ42" s="45">
        <v>0</v>
      </c>
      <c r="AR42" s="45">
        <v>6318.2</v>
      </c>
      <c r="AS42" s="45">
        <v>0</v>
      </c>
      <c r="AT42" s="45">
        <v>0</v>
      </c>
      <c r="AU42" s="45">
        <v>6554.7</v>
      </c>
      <c r="AV42" s="45">
        <v>0</v>
      </c>
      <c r="AW42" s="45">
        <v>0</v>
      </c>
      <c r="AX42" s="45">
        <v>6214.5</v>
      </c>
      <c r="AY42" s="45">
        <v>0</v>
      </c>
      <c r="AZ42" s="45">
        <v>0</v>
      </c>
    </row>
    <row r="43" spans="2:52">
      <c r="B43" s="45">
        <v>8553.2999999999993</v>
      </c>
      <c r="C43" s="45">
        <v>0</v>
      </c>
      <c r="D43" s="45">
        <v>0</v>
      </c>
      <c r="E43" s="45">
        <v>8494.2999999999993</v>
      </c>
      <c r="F43" s="45">
        <v>0</v>
      </c>
      <c r="G43" s="45">
        <v>0</v>
      </c>
      <c r="H43" s="45">
        <v>8494.2999999999993</v>
      </c>
      <c r="I43" s="45">
        <v>0</v>
      </c>
      <c r="J43" s="45">
        <v>0</v>
      </c>
      <c r="K43" s="45">
        <v>8494.2999999999993</v>
      </c>
      <c r="L43" s="45">
        <v>0</v>
      </c>
      <c r="M43" s="45">
        <v>0</v>
      </c>
      <c r="O43" s="45">
        <v>9154.7999999999993</v>
      </c>
      <c r="P43" s="45">
        <v>0</v>
      </c>
      <c r="Q43" s="45">
        <v>0</v>
      </c>
      <c r="R43" s="45">
        <v>8494.2999999999993</v>
      </c>
      <c r="S43" s="45">
        <v>0</v>
      </c>
      <c r="T43" s="45">
        <v>0</v>
      </c>
      <c r="U43" s="45">
        <v>8494.2999999999993</v>
      </c>
      <c r="V43" s="45">
        <v>0</v>
      </c>
      <c r="W43" s="45">
        <v>1</v>
      </c>
      <c r="X43" s="45">
        <v>8494.2999999999993</v>
      </c>
      <c r="Y43" s="45">
        <v>0</v>
      </c>
      <c r="Z43" s="45">
        <v>0</v>
      </c>
      <c r="AB43" s="45">
        <v>9114.5</v>
      </c>
      <c r="AC43" s="45">
        <v>0</v>
      </c>
      <c r="AD43" s="45">
        <v>0</v>
      </c>
      <c r="AE43" s="45">
        <v>9308.7000000000007</v>
      </c>
      <c r="AF43" s="45">
        <v>0</v>
      </c>
      <c r="AG43" s="45">
        <v>0</v>
      </c>
      <c r="AH43" s="45">
        <v>9920.2000000000007</v>
      </c>
      <c r="AI43" s="45">
        <v>0</v>
      </c>
      <c r="AJ43" s="45">
        <v>1</v>
      </c>
      <c r="AK43" s="45">
        <v>9456.2999999999993</v>
      </c>
      <c r="AL43" s="45">
        <v>0</v>
      </c>
      <c r="AM43" s="45">
        <v>0</v>
      </c>
      <c r="AO43" s="45">
        <v>8943.2999999999993</v>
      </c>
      <c r="AP43" s="45">
        <v>0</v>
      </c>
      <c r="AQ43" s="45">
        <v>1</v>
      </c>
      <c r="AR43" s="45">
        <v>8943.2999999999993</v>
      </c>
      <c r="AS43" s="45">
        <v>0</v>
      </c>
      <c r="AT43" s="45">
        <v>0</v>
      </c>
      <c r="AU43" s="45">
        <v>8906.1</v>
      </c>
      <c r="AV43" s="45">
        <v>0</v>
      </c>
      <c r="AW43" s="45">
        <v>0</v>
      </c>
      <c r="AX43" s="45">
        <v>8494.2999999999993</v>
      </c>
      <c r="AY43" s="45">
        <v>0</v>
      </c>
      <c r="AZ43" s="45">
        <v>0</v>
      </c>
    </row>
    <row r="44" spans="2:52">
      <c r="B44" s="45">
        <v>9654.9</v>
      </c>
      <c r="C44" s="45">
        <v>0</v>
      </c>
      <c r="D44" s="45">
        <v>0</v>
      </c>
      <c r="E44" s="45">
        <v>10662</v>
      </c>
      <c r="F44" s="45">
        <v>8</v>
      </c>
      <c r="G44" s="45">
        <v>1</v>
      </c>
      <c r="H44" s="45">
        <v>9675.6</v>
      </c>
      <c r="I44" s="45">
        <v>0</v>
      </c>
      <c r="J44" s="45">
        <v>0</v>
      </c>
      <c r="K44" s="45">
        <v>9605.2000000000007</v>
      </c>
      <c r="L44" s="45">
        <v>0</v>
      </c>
      <c r="M44" s="45">
        <v>0</v>
      </c>
      <c r="O44" s="45">
        <v>9625.7999999999993</v>
      </c>
      <c r="P44" s="45">
        <v>0</v>
      </c>
      <c r="Q44" s="45">
        <v>0</v>
      </c>
      <c r="R44" s="45">
        <v>9625.7999999999993</v>
      </c>
      <c r="S44" s="45">
        <v>0</v>
      </c>
      <c r="T44" s="45">
        <v>0</v>
      </c>
      <c r="U44" s="45">
        <v>9605.2000000000007</v>
      </c>
      <c r="V44" s="45">
        <v>0</v>
      </c>
      <c r="W44" s="45">
        <v>0</v>
      </c>
      <c r="X44" s="45">
        <v>9605.2000000000007</v>
      </c>
      <c r="Y44" s="45">
        <v>0</v>
      </c>
      <c r="Z44" s="45">
        <v>0</v>
      </c>
      <c r="AB44" s="45">
        <v>10471.200000000001</v>
      </c>
      <c r="AC44" s="45">
        <v>0</v>
      </c>
      <c r="AD44" s="45">
        <v>0</v>
      </c>
      <c r="AE44" s="45">
        <v>9904.5</v>
      </c>
      <c r="AF44" s="45">
        <v>0</v>
      </c>
      <c r="AG44" s="45">
        <v>0</v>
      </c>
      <c r="AH44" s="45">
        <v>9904.5</v>
      </c>
      <c r="AI44" s="45">
        <v>0</v>
      </c>
      <c r="AJ44" s="45">
        <v>1</v>
      </c>
      <c r="AK44" s="45">
        <v>10340</v>
      </c>
      <c r="AL44" s="45">
        <v>0</v>
      </c>
      <c r="AM44" s="45">
        <v>0</v>
      </c>
      <c r="AO44" s="45">
        <v>9625.7999999999993</v>
      </c>
      <c r="AP44" s="45">
        <v>0</v>
      </c>
      <c r="AQ44" s="45">
        <v>0</v>
      </c>
      <c r="AR44" s="45">
        <v>9856.5</v>
      </c>
      <c r="AS44" s="45">
        <v>0</v>
      </c>
      <c r="AT44" s="45">
        <v>0</v>
      </c>
      <c r="AU44" s="45">
        <v>9625.7999999999993</v>
      </c>
      <c r="AV44" s="45">
        <v>0</v>
      </c>
      <c r="AW44" s="45">
        <v>1</v>
      </c>
      <c r="AX44" s="45">
        <v>9583.1</v>
      </c>
      <c r="AY44" s="45">
        <v>0</v>
      </c>
      <c r="AZ44" s="45">
        <v>0</v>
      </c>
    </row>
    <row r="45" spans="2:52">
      <c r="B45" s="45">
        <v>9346.2999999999993</v>
      </c>
      <c r="C45" s="45">
        <v>0</v>
      </c>
      <c r="D45" s="45">
        <v>0</v>
      </c>
      <c r="E45" s="45">
        <v>9346.2999999999993</v>
      </c>
      <c r="F45" s="45">
        <v>0</v>
      </c>
      <c r="G45" s="45">
        <v>0</v>
      </c>
      <c r="H45" s="45">
        <v>9986.2000000000007</v>
      </c>
      <c r="I45" s="45">
        <v>0</v>
      </c>
      <c r="J45" s="45">
        <v>0</v>
      </c>
      <c r="K45" s="45">
        <v>9346.2999999999993</v>
      </c>
      <c r="L45" s="45">
        <v>0</v>
      </c>
      <c r="M45" s="45">
        <v>1</v>
      </c>
      <c r="O45" s="45">
        <v>9346.2999999999993</v>
      </c>
      <c r="P45" s="45">
        <v>0</v>
      </c>
      <c r="Q45" s="45">
        <v>1</v>
      </c>
      <c r="R45" s="45">
        <v>9346.2999999999993</v>
      </c>
      <c r="S45" s="45">
        <v>0</v>
      </c>
      <c r="T45" s="45">
        <v>0</v>
      </c>
      <c r="U45" s="45">
        <v>9346.2999999999993</v>
      </c>
      <c r="V45" s="45">
        <v>0</v>
      </c>
      <c r="W45" s="45">
        <v>0</v>
      </c>
      <c r="X45" s="45">
        <v>9396.7000000000007</v>
      </c>
      <c r="Y45" s="45">
        <v>0</v>
      </c>
      <c r="Z45" s="45">
        <v>0</v>
      </c>
      <c r="AB45" s="45">
        <v>10634.2</v>
      </c>
      <c r="AC45" s="45">
        <v>0</v>
      </c>
      <c r="AD45" s="45">
        <v>0</v>
      </c>
      <c r="AE45" s="45">
        <v>10511.9</v>
      </c>
      <c r="AF45" s="45">
        <v>0</v>
      </c>
      <c r="AG45" s="45">
        <v>0</v>
      </c>
      <c r="AH45" s="45">
        <v>10015.700000000001</v>
      </c>
      <c r="AI45" s="45">
        <v>0</v>
      </c>
      <c r="AJ45" s="45">
        <v>1</v>
      </c>
      <c r="AK45" s="45">
        <v>9346.2999999999993</v>
      </c>
      <c r="AL45" s="45">
        <v>0</v>
      </c>
      <c r="AM45" s="45">
        <v>0</v>
      </c>
      <c r="AO45" s="45">
        <v>9396.7000000000007</v>
      </c>
      <c r="AP45" s="45">
        <v>0</v>
      </c>
      <c r="AQ45" s="45">
        <v>0</v>
      </c>
      <c r="AR45" s="45">
        <v>10263.1</v>
      </c>
      <c r="AS45" s="45">
        <v>0</v>
      </c>
      <c r="AT45" s="45">
        <v>0</v>
      </c>
      <c r="AU45" s="45">
        <v>9396.7000000000007</v>
      </c>
      <c r="AV45" s="45">
        <v>0</v>
      </c>
      <c r="AW45" s="45">
        <v>0</v>
      </c>
      <c r="AX45" s="45">
        <v>9346.2999999999993</v>
      </c>
      <c r="AY45" s="45">
        <v>0</v>
      </c>
      <c r="AZ45" s="45">
        <v>0</v>
      </c>
    </row>
    <row r="46" spans="2:52">
      <c r="B46" s="45">
        <v>8014.3</v>
      </c>
      <c r="C46" s="45">
        <v>0</v>
      </c>
      <c r="D46" s="45">
        <v>0</v>
      </c>
      <c r="E46" s="45">
        <v>7309.4</v>
      </c>
      <c r="F46" s="45">
        <v>0</v>
      </c>
      <c r="G46" s="45">
        <v>0</v>
      </c>
      <c r="H46" s="45">
        <v>8140.8</v>
      </c>
      <c r="I46" s="45">
        <v>0</v>
      </c>
      <c r="J46" s="45">
        <v>0</v>
      </c>
      <c r="K46" s="45">
        <v>7126.5</v>
      </c>
      <c r="L46" s="45">
        <v>0</v>
      </c>
      <c r="M46" s="45">
        <v>0</v>
      </c>
      <c r="O46" s="45">
        <v>7475.5</v>
      </c>
      <c r="P46" s="45">
        <v>0</v>
      </c>
      <c r="Q46" s="45">
        <v>0</v>
      </c>
      <c r="R46" s="45">
        <v>8484.2000000000007</v>
      </c>
      <c r="S46" s="45">
        <v>14</v>
      </c>
      <c r="T46" s="45">
        <v>1</v>
      </c>
      <c r="U46" s="45">
        <v>7084.2</v>
      </c>
      <c r="V46" s="45">
        <v>0</v>
      </c>
      <c r="W46" s="45">
        <v>0</v>
      </c>
      <c r="X46" s="45">
        <v>7231.9</v>
      </c>
      <c r="Y46" s="45">
        <v>0</v>
      </c>
      <c r="Z46" s="45">
        <v>0</v>
      </c>
      <c r="AB46" s="45">
        <v>7566.1</v>
      </c>
      <c r="AC46" s="45">
        <v>0</v>
      </c>
      <c r="AD46" s="45">
        <v>0</v>
      </c>
      <c r="AE46" s="45">
        <v>8300.2000000000007</v>
      </c>
      <c r="AF46" s="45">
        <v>0</v>
      </c>
      <c r="AG46" s="45">
        <v>0</v>
      </c>
      <c r="AH46" s="45">
        <v>8488.9</v>
      </c>
      <c r="AI46" s="45">
        <v>0</v>
      </c>
      <c r="AJ46" s="45">
        <v>1</v>
      </c>
      <c r="AK46" s="45">
        <v>8310.2000000000007</v>
      </c>
      <c r="AL46" s="45">
        <v>0</v>
      </c>
      <c r="AM46" s="45">
        <v>0</v>
      </c>
      <c r="AO46" s="45">
        <v>7531.9</v>
      </c>
      <c r="AP46" s="45">
        <v>0</v>
      </c>
      <c r="AQ46" s="45">
        <v>0</v>
      </c>
      <c r="AR46" s="45">
        <v>8095.4</v>
      </c>
      <c r="AS46" s="45">
        <v>0</v>
      </c>
      <c r="AT46" s="45">
        <v>1</v>
      </c>
      <c r="AU46" s="45">
        <v>7126.5</v>
      </c>
      <c r="AV46" s="45">
        <v>0</v>
      </c>
      <c r="AW46" s="45">
        <v>0</v>
      </c>
      <c r="AX46" s="45">
        <v>7126.5</v>
      </c>
      <c r="AY46" s="45">
        <v>0</v>
      </c>
      <c r="AZ46" s="45">
        <v>0</v>
      </c>
    </row>
    <row r="47" spans="2:52">
      <c r="B47" s="45">
        <v>8953.7999999999993</v>
      </c>
      <c r="C47" s="45">
        <v>0</v>
      </c>
      <c r="D47" s="45">
        <v>1</v>
      </c>
      <c r="E47" s="45">
        <v>8957.4</v>
      </c>
      <c r="F47" s="45">
        <v>0</v>
      </c>
      <c r="G47" s="45">
        <v>0</v>
      </c>
      <c r="H47" s="45">
        <v>8918.2999999999993</v>
      </c>
      <c r="I47" s="45">
        <v>0</v>
      </c>
      <c r="J47" s="45">
        <v>0</v>
      </c>
      <c r="K47" s="45">
        <v>9837.4</v>
      </c>
      <c r="L47" s="45">
        <v>14</v>
      </c>
      <c r="M47" s="45">
        <v>0</v>
      </c>
      <c r="O47" s="45">
        <v>8437.4</v>
      </c>
      <c r="P47" s="45">
        <v>0</v>
      </c>
      <c r="Q47" s="45">
        <v>0</v>
      </c>
      <c r="R47" s="45">
        <v>9011</v>
      </c>
      <c r="S47" s="45">
        <v>0</v>
      </c>
      <c r="T47" s="45">
        <v>1</v>
      </c>
      <c r="U47" s="45">
        <v>8437.4</v>
      </c>
      <c r="V47" s="45">
        <v>0</v>
      </c>
      <c r="W47" s="45">
        <v>0</v>
      </c>
      <c r="X47" s="45">
        <v>9837.4</v>
      </c>
      <c r="Y47" s="45">
        <v>14</v>
      </c>
      <c r="Z47" s="45">
        <v>0</v>
      </c>
      <c r="AB47" s="45">
        <v>9210</v>
      </c>
      <c r="AC47" s="45">
        <v>0</v>
      </c>
      <c r="AD47" s="45">
        <v>0</v>
      </c>
      <c r="AE47" s="45">
        <v>9234.1</v>
      </c>
      <c r="AF47" s="45">
        <v>0</v>
      </c>
      <c r="AG47" s="45">
        <v>0</v>
      </c>
      <c r="AH47" s="45">
        <v>10083.799999999999</v>
      </c>
      <c r="AI47" s="45">
        <v>0</v>
      </c>
      <c r="AJ47" s="45">
        <v>1</v>
      </c>
      <c r="AK47" s="45">
        <v>9234.1</v>
      </c>
      <c r="AL47" s="45">
        <v>0</v>
      </c>
      <c r="AM47" s="45">
        <v>0</v>
      </c>
      <c r="AO47" s="45">
        <v>8867</v>
      </c>
      <c r="AP47" s="45">
        <v>0</v>
      </c>
      <c r="AQ47" s="45">
        <v>0</v>
      </c>
      <c r="AR47" s="45">
        <v>8830.5</v>
      </c>
      <c r="AS47" s="45">
        <v>0</v>
      </c>
      <c r="AT47" s="45">
        <v>0</v>
      </c>
      <c r="AU47" s="45">
        <v>8829</v>
      </c>
      <c r="AV47" s="45">
        <v>0</v>
      </c>
      <c r="AW47" s="45">
        <v>0</v>
      </c>
      <c r="AX47" s="45">
        <v>8918.2999999999993</v>
      </c>
      <c r="AY47" s="45">
        <v>0</v>
      </c>
      <c r="AZ47" s="45">
        <v>1</v>
      </c>
    </row>
    <row r="48" spans="2:52">
      <c r="B48" s="45">
        <v>8296</v>
      </c>
      <c r="C48" s="45">
        <v>0</v>
      </c>
      <c r="D48" s="45">
        <v>0</v>
      </c>
      <c r="E48" s="45">
        <v>8051.2</v>
      </c>
      <c r="F48" s="45">
        <v>0</v>
      </c>
      <c r="G48" s="45">
        <v>0</v>
      </c>
      <c r="H48" s="45">
        <v>7634.4</v>
      </c>
      <c r="I48" s="45">
        <v>0</v>
      </c>
      <c r="J48" s="45">
        <v>0</v>
      </c>
      <c r="K48" s="45">
        <v>7622.6</v>
      </c>
      <c r="L48" s="45">
        <v>0</v>
      </c>
      <c r="M48" s="45">
        <v>1</v>
      </c>
      <c r="O48" s="45">
        <v>7622.6</v>
      </c>
      <c r="P48" s="45">
        <v>0</v>
      </c>
      <c r="Q48" s="45">
        <v>1</v>
      </c>
      <c r="R48" s="45">
        <v>7841.6</v>
      </c>
      <c r="S48" s="45">
        <v>0</v>
      </c>
      <c r="T48" s="45">
        <v>0</v>
      </c>
      <c r="U48" s="45">
        <v>7622.6</v>
      </c>
      <c r="V48" s="45">
        <v>0</v>
      </c>
      <c r="W48" s="45">
        <v>0</v>
      </c>
      <c r="X48" s="45">
        <v>7622.6</v>
      </c>
      <c r="Y48" s="45">
        <v>0</v>
      </c>
      <c r="Z48" s="45">
        <v>0</v>
      </c>
      <c r="AB48" s="45">
        <v>8495</v>
      </c>
      <c r="AC48" s="45">
        <v>0</v>
      </c>
      <c r="AD48" s="45">
        <v>0</v>
      </c>
      <c r="AE48" s="45">
        <v>8306.6</v>
      </c>
      <c r="AF48" s="45">
        <v>0</v>
      </c>
      <c r="AG48" s="45">
        <v>1</v>
      </c>
      <c r="AH48" s="45">
        <v>8501.2999999999993</v>
      </c>
      <c r="AI48" s="45">
        <v>0</v>
      </c>
      <c r="AJ48" s="45">
        <v>0</v>
      </c>
      <c r="AK48" s="45">
        <v>9077.7999999999993</v>
      </c>
      <c r="AL48" s="45">
        <v>0</v>
      </c>
      <c r="AM48" s="45">
        <v>0</v>
      </c>
      <c r="AO48" s="45">
        <v>7634.4</v>
      </c>
      <c r="AP48" s="45">
        <v>0</v>
      </c>
      <c r="AQ48" s="45">
        <v>0</v>
      </c>
      <c r="AR48" s="45">
        <v>7634.4</v>
      </c>
      <c r="AS48" s="45">
        <v>0</v>
      </c>
      <c r="AT48" s="45">
        <v>0</v>
      </c>
      <c r="AU48" s="45">
        <v>8384.2999999999993</v>
      </c>
      <c r="AV48" s="45">
        <v>1</v>
      </c>
      <c r="AW48" s="45">
        <v>0</v>
      </c>
      <c r="AX48" s="45">
        <v>7622.6</v>
      </c>
      <c r="AY48" s="45">
        <v>0</v>
      </c>
      <c r="AZ48" s="45">
        <v>0</v>
      </c>
    </row>
    <row r="49" spans="2:52">
      <c r="B49" s="45">
        <v>7714.3</v>
      </c>
      <c r="C49" s="45">
        <v>0</v>
      </c>
      <c r="D49" s="45">
        <v>0</v>
      </c>
      <c r="E49" s="45">
        <v>8637.7000000000007</v>
      </c>
      <c r="F49" s="45">
        <v>0</v>
      </c>
      <c r="G49" s="45">
        <v>0</v>
      </c>
      <c r="H49" s="45">
        <v>8554.2999999999993</v>
      </c>
      <c r="I49" s="45">
        <v>0</v>
      </c>
      <c r="J49" s="45">
        <v>0</v>
      </c>
      <c r="K49" s="45">
        <v>8058.4</v>
      </c>
      <c r="L49" s="45">
        <v>2</v>
      </c>
      <c r="M49" s="45">
        <v>0</v>
      </c>
      <c r="O49" s="45">
        <v>7714.3</v>
      </c>
      <c r="P49" s="45">
        <v>0</v>
      </c>
      <c r="Q49" s="45">
        <v>1</v>
      </c>
      <c r="R49" s="45">
        <v>10746.8</v>
      </c>
      <c r="S49" s="45">
        <v>22</v>
      </c>
      <c r="T49" s="45">
        <v>0</v>
      </c>
      <c r="U49" s="45">
        <v>10014.299999999999</v>
      </c>
      <c r="V49" s="45">
        <v>23</v>
      </c>
      <c r="W49" s="45">
        <v>0</v>
      </c>
      <c r="X49" s="45">
        <v>10014.299999999999</v>
      </c>
      <c r="Y49" s="45">
        <v>23</v>
      </c>
      <c r="Z49" s="45">
        <v>0</v>
      </c>
      <c r="AB49" s="45">
        <v>8546.7999999999993</v>
      </c>
      <c r="AC49" s="45">
        <v>0</v>
      </c>
      <c r="AD49" s="45">
        <v>0</v>
      </c>
      <c r="AE49" s="45">
        <v>8546.7999999999993</v>
      </c>
      <c r="AF49" s="45">
        <v>0</v>
      </c>
      <c r="AG49" s="45">
        <v>1</v>
      </c>
      <c r="AH49" s="45">
        <v>8700.7000000000007</v>
      </c>
      <c r="AI49" s="45">
        <v>0</v>
      </c>
      <c r="AJ49" s="45">
        <v>0</v>
      </c>
      <c r="AK49" s="45">
        <v>9056.2999999999993</v>
      </c>
      <c r="AL49" s="45">
        <v>0</v>
      </c>
      <c r="AM49" s="45">
        <v>0</v>
      </c>
      <c r="AO49" s="45">
        <v>9286.1</v>
      </c>
      <c r="AP49" s="45">
        <v>0</v>
      </c>
      <c r="AQ49" s="45">
        <v>0</v>
      </c>
      <c r="AR49" s="45">
        <v>8151.7</v>
      </c>
      <c r="AS49" s="45">
        <v>0</v>
      </c>
      <c r="AT49" s="45">
        <v>0</v>
      </c>
      <c r="AU49" s="45">
        <v>8151.7</v>
      </c>
      <c r="AV49" s="45">
        <v>0</v>
      </c>
      <c r="AW49" s="45">
        <v>1</v>
      </c>
      <c r="AX49" s="45">
        <v>7914.3</v>
      </c>
      <c r="AY49" s="45">
        <v>2</v>
      </c>
      <c r="AZ49" s="45">
        <v>0</v>
      </c>
    </row>
    <row r="50" spans="2:52">
      <c r="B50" s="45">
        <v>6249.1</v>
      </c>
      <c r="C50" s="45">
        <v>0</v>
      </c>
      <c r="D50" s="45">
        <v>0</v>
      </c>
      <c r="E50" s="45">
        <v>6140.7</v>
      </c>
      <c r="F50" s="45">
        <v>0</v>
      </c>
      <c r="G50" s="45">
        <v>1</v>
      </c>
      <c r="H50" s="45">
        <v>6249.1</v>
      </c>
      <c r="I50" s="45">
        <v>0</v>
      </c>
      <c r="J50" s="45">
        <v>0</v>
      </c>
      <c r="K50" s="45">
        <v>6140.7</v>
      </c>
      <c r="L50" s="45">
        <v>0</v>
      </c>
      <c r="M50" s="45">
        <v>0</v>
      </c>
      <c r="O50" s="45">
        <v>6495.9</v>
      </c>
      <c r="P50" s="45">
        <v>0</v>
      </c>
      <c r="Q50" s="45">
        <v>0</v>
      </c>
      <c r="R50" s="45">
        <v>6140.7</v>
      </c>
      <c r="S50" s="45">
        <v>0</v>
      </c>
      <c r="T50" s="45">
        <v>1</v>
      </c>
      <c r="U50" s="45">
        <v>6823.4</v>
      </c>
      <c r="V50" s="45">
        <v>0</v>
      </c>
      <c r="W50" s="45">
        <v>0</v>
      </c>
      <c r="X50" s="45">
        <v>6140.7</v>
      </c>
      <c r="Y50" s="45">
        <v>0</v>
      </c>
      <c r="Z50" s="45">
        <v>0</v>
      </c>
      <c r="AB50" s="45">
        <v>7113.3</v>
      </c>
      <c r="AC50" s="45">
        <v>0</v>
      </c>
      <c r="AD50" s="45">
        <v>0</v>
      </c>
      <c r="AE50" s="45">
        <v>6249.1</v>
      </c>
      <c r="AF50" s="45">
        <v>0</v>
      </c>
      <c r="AG50" s="45">
        <v>1</v>
      </c>
      <c r="AH50" s="45">
        <v>6823.4</v>
      </c>
      <c r="AI50" s="45">
        <v>0</v>
      </c>
      <c r="AJ50" s="45">
        <v>0</v>
      </c>
      <c r="AK50" s="45">
        <v>7005.6</v>
      </c>
      <c r="AL50" s="45">
        <v>0</v>
      </c>
      <c r="AM50" s="45">
        <v>0</v>
      </c>
      <c r="AO50" s="45">
        <v>6249.1</v>
      </c>
      <c r="AP50" s="45">
        <v>0</v>
      </c>
      <c r="AQ50" s="45">
        <v>0</v>
      </c>
      <c r="AR50" s="45">
        <v>6140.7</v>
      </c>
      <c r="AS50" s="45">
        <v>0</v>
      </c>
      <c r="AT50" s="45">
        <v>0</v>
      </c>
      <c r="AU50" s="45">
        <v>6140.7</v>
      </c>
      <c r="AV50" s="45">
        <v>0</v>
      </c>
      <c r="AW50" s="45">
        <v>0</v>
      </c>
      <c r="AX50" s="45">
        <v>6140.7</v>
      </c>
      <c r="AY50" s="45">
        <v>0</v>
      </c>
      <c r="AZ50" s="45">
        <v>1</v>
      </c>
    </row>
    <row r="51" spans="2:52">
      <c r="B51" s="45">
        <v>9510.7000000000007</v>
      </c>
      <c r="C51" s="45">
        <v>0</v>
      </c>
      <c r="D51" s="45">
        <v>0</v>
      </c>
      <c r="E51" s="45">
        <v>9326.1</v>
      </c>
      <c r="F51" s="45">
        <v>0</v>
      </c>
      <c r="G51" s="45">
        <v>0</v>
      </c>
      <c r="H51" s="45">
        <v>9350.5</v>
      </c>
      <c r="I51" s="45">
        <v>0</v>
      </c>
      <c r="J51" s="45">
        <v>0</v>
      </c>
      <c r="K51" s="45">
        <v>9402.5</v>
      </c>
      <c r="L51" s="45">
        <v>0</v>
      </c>
      <c r="M51" s="45">
        <v>1</v>
      </c>
      <c r="O51" s="45">
        <v>9807.7999999999993</v>
      </c>
      <c r="P51" s="45">
        <v>0</v>
      </c>
      <c r="Q51" s="45">
        <v>0</v>
      </c>
      <c r="R51" s="45">
        <v>9326.1</v>
      </c>
      <c r="S51" s="45">
        <v>0</v>
      </c>
      <c r="T51" s="45">
        <v>0</v>
      </c>
      <c r="U51" s="45">
        <v>9529.5</v>
      </c>
      <c r="V51" s="45">
        <v>0</v>
      </c>
      <c r="W51" s="45">
        <v>1</v>
      </c>
      <c r="X51" s="45">
        <v>9684</v>
      </c>
      <c r="Y51" s="45">
        <v>0</v>
      </c>
      <c r="Z51" s="45">
        <v>0</v>
      </c>
      <c r="AB51" s="45">
        <v>10092.5</v>
      </c>
      <c r="AC51" s="45">
        <v>0</v>
      </c>
      <c r="AD51" s="45">
        <v>0</v>
      </c>
      <c r="AE51" s="45">
        <v>9510.7000000000007</v>
      </c>
      <c r="AF51" s="45">
        <v>0</v>
      </c>
      <c r="AG51" s="45">
        <v>1</v>
      </c>
      <c r="AH51" s="45">
        <v>10824.6</v>
      </c>
      <c r="AI51" s="45">
        <v>0</v>
      </c>
      <c r="AJ51" s="45">
        <v>0</v>
      </c>
      <c r="AK51" s="45">
        <v>10262.9</v>
      </c>
      <c r="AL51" s="45">
        <v>0</v>
      </c>
      <c r="AM51" s="45">
        <v>0</v>
      </c>
      <c r="AO51" s="45">
        <v>9919.2999999999993</v>
      </c>
      <c r="AP51" s="45">
        <v>0</v>
      </c>
      <c r="AQ51" s="45">
        <v>0</v>
      </c>
      <c r="AR51" s="45">
        <v>9510.7000000000007</v>
      </c>
      <c r="AS51" s="45">
        <v>0</v>
      </c>
      <c r="AT51" s="45">
        <v>0</v>
      </c>
      <c r="AU51" s="45">
        <v>9326.1</v>
      </c>
      <c r="AV51" s="45">
        <v>0</v>
      </c>
      <c r="AW51" s="45">
        <v>0</v>
      </c>
      <c r="AX51" s="45">
        <v>9510.7000000000007</v>
      </c>
      <c r="AY51" s="45">
        <v>0</v>
      </c>
      <c r="AZ51" s="45">
        <v>0</v>
      </c>
    </row>
    <row r="52" spans="2:52">
      <c r="B52" s="45">
        <v>7552.9</v>
      </c>
      <c r="C52" s="45">
        <v>0</v>
      </c>
      <c r="D52" s="45">
        <v>0</v>
      </c>
      <c r="E52" s="45">
        <v>6925.3</v>
      </c>
      <c r="F52" s="45">
        <v>0</v>
      </c>
      <c r="G52" s="45">
        <v>0</v>
      </c>
      <c r="H52" s="45">
        <v>6925.3</v>
      </c>
      <c r="I52" s="45">
        <v>0</v>
      </c>
      <c r="J52" s="45">
        <v>0</v>
      </c>
      <c r="K52" s="45">
        <v>6925.3</v>
      </c>
      <c r="L52" s="45">
        <v>0</v>
      </c>
      <c r="M52" s="45">
        <v>0</v>
      </c>
      <c r="O52" s="45">
        <v>6983.9</v>
      </c>
      <c r="P52" s="45">
        <v>0</v>
      </c>
      <c r="Q52" s="45">
        <v>0</v>
      </c>
      <c r="R52" s="45">
        <v>7339.1</v>
      </c>
      <c r="S52" s="45">
        <v>0</v>
      </c>
      <c r="T52" s="45">
        <v>0</v>
      </c>
      <c r="U52" s="45">
        <v>6925.3</v>
      </c>
      <c r="V52" s="45">
        <v>0</v>
      </c>
      <c r="W52" s="45">
        <v>0</v>
      </c>
      <c r="X52" s="45">
        <v>7158.1</v>
      </c>
      <c r="Y52" s="45">
        <v>0</v>
      </c>
      <c r="Z52" s="45">
        <v>1</v>
      </c>
      <c r="AB52" s="45">
        <v>7444.4</v>
      </c>
      <c r="AC52" s="45">
        <v>0</v>
      </c>
      <c r="AD52" s="45">
        <v>0</v>
      </c>
      <c r="AE52" s="45">
        <v>7728.7</v>
      </c>
      <c r="AF52" s="45">
        <v>0</v>
      </c>
      <c r="AG52" s="45">
        <v>1</v>
      </c>
      <c r="AH52" s="45">
        <v>8331.1</v>
      </c>
      <c r="AI52" s="45">
        <v>0</v>
      </c>
      <c r="AJ52" s="45">
        <v>0</v>
      </c>
      <c r="AK52" s="45">
        <v>7339.1</v>
      </c>
      <c r="AL52" s="45">
        <v>0</v>
      </c>
      <c r="AM52" s="45">
        <v>0</v>
      </c>
      <c r="AO52" s="45">
        <v>7515.8</v>
      </c>
      <c r="AP52" s="45">
        <v>0</v>
      </c>
      <c r="AQ52" s="45">
        <v>0</v>
      </c>
      <c r="AR52" s="45">
        <v>6925.3</v>
      </c>
      <c r="AS52" s="45">
        <v>0</v>
      </c>
      <c r="AT52" s="45">
        <v>0</v>
      </c>
      <c r="AU52" s="45">
        <v>6925.3</v>
      </c>
      <c r="AV52" s="45">
        <v>0</v>
      </c>
      <c r="AW52" s="45">
        <v>1</v>
      </c>
      <c r="AX52" s="45">
        <v>7389.1</v>
      </c>
      <c r="AY52" s="45">
        <v>0</v>
      </c>
      <c r="AZ52" s="45">
        <v>0</v>
      </c>
    </row>
    <row r="53" spans="2:52">
      <c r="B53" s="45">
        <v>9333.2999999999993</v>
      </c>
      <c r="C53" s="45">
        <v>0</v>
      </c>
      <c r="D53" s="45">
        <v>0</v>
      </c>
      <c r="E53" s="45">
        <v>10218.9</v>
      </c>
      <c r="F53" s="45">
        <v>0</v>
      </c>
      <c r="G53" s="45">
        <v>0</v>
      </c>
      <c r="H53" s="45">
        <v>9333.2999999999993</v>
      </c>
      <c r="I53" s="45">
        <v>0</v>
      </c>
      <c r="J53" s="45">
        <v>1</v>
      </c>
      <c r="K53" s="45">
        <v>9360</v>
      </c>
      <c r="L53" s="45">
        <v>0</v>
      </c>
      <c r="M53" s="45">
        <v>0</v>
      </c>
      <c r="O53" s="45">
        <v>9333.2999999999993</v>
      </c>
      <c r="P53" s="45">
        <v>0</v>
      </c>
      <c r="Q53" s="45">
        <v>0</v>
      </c>
      <c r="R53" s="45">
        <v>9333.2999999999993</v>
      </c>
      <c r="S53" s="45">
        <v>0</v>
      </c>
      <c r="T53" s="45">
        <v>0</v>
      </c>
      <c r="U53" s="45">
        <v>9333.2999999999993</v>
      </c>
      <c r="V53" s="45">
        <v>0</v>
      </c>
      <c r="W53" s="45">
        <v>0</v>
      </c>
      <c r="X53" s="45">
        <v>9333.2999999999993</v>
      </c>
      <c r="Y53" s="45">
        <v>0</v>
      </c>
      <c r="Z53" s="45">
        <v>0</v>
      </c>
      <c r="AB53" s="45">
        <v>12179.7</v>
      </c>
      <c r="AC53" s="45">
        <v>0</v>
      </c>
      <c r="AD53" s="45">
        <v>0</v>
      </c>
      <c r="AE53" s="45">
        <v>10909.2</v>
      </c>
      <c r="AF53" s="45">
        <v>0</v>
      </c>
      <c r="AG53" s="45">
        <v>1</v>
      </c>
      <c r="AH53" s="45">
        <v>10413.9</v>
      </c>
      <c r="AI53" s="45">
        <v>0</v>
      </c>
      <c r="AJ53" s="45">
        <v>0</v>
      </c>
      <c r="AK53" s="45">
        <v>10948.1</v>
      </c>
      <c r="AL53" s="45">
        <v>0</v>
      </c>
      <c r="AM53" s="45">
        <v>0</v>
      </c>
      <c r="AO53" s="45">
        <v>10218.9</v>
      </c>
      <c r="AP53" s="45">
        <v>0</v>
      </c>
      <c r="AQ53" s="45">
        <v>0</v>
      </c>
      <c r="AR53" s="45">
        <v>9333.2999999999993</v>
      </c>
      <c r="AS53" s="45">
        <v>0</v>
      </c>
      <c r="AT53" s="45">
        <v>0</v>
      </c>
      <c r="AU53" s="45">
        <v>10211.4</v>
      </c>
      <c r="AV53" s="45">
        <v>0</v>
      </c>
      <c r="AW53" s="45">
        <v>0</v>
      </c>
      <c r="AX53" s="45">
        <v>9333.2999999999993</v>
      </c>
      <c r="AY53" s="45">
        <v>0</v>
      </c>
      <c r="AZ53" s="45">
        <v>0</v>
      </c>
    </row>
    <row r="54" spans="2:52">
      <c r="B54" s="45">
        <v>10263.9</v>
      </c>
      <c r="C54" s="45">
        <v>0</v>
      </c>
      <c r="D54" s="45">
        <v>0</v>
      </c>
      <c r="E54" s="45">
        <v>10229.9</v>
      </c>
      <c r="F54" s="45">
        <v>0</v>
      </c>
      <c r="G54" s="45">
        <v>0</v>
      </c>
      <c r="H54" s="45">
        <v>9887.7999999999993</v>
      </c>
      <c r="I54" s="45">
        <v>0</v>
      </c>
      <c r="J54" s="45">
        <v>0</v>
      </c>
      <c r="K54" s="45">
        <v>9771.7000000000007</v>
      </c>
      <c r="L54" s="45">
        <v>0</v>
      </c>
      <c r="M54" s="45">
        <v>0</v>
      </c>
      <c r="O54" s="45">
        <v>10149.700000000001</v>
      </c>
      <c r="P54" s="45">
        <v>0</v>
      </c>
      <c r="Q54" s="45">
        <v>0</v>
      </c>
      <c r="R54" s="45">
        <v>10149.700000000001</v>
      </c>
      <c r="S54" s="45">
        <v>0</v>
      </c>
      <c r="T54" s="45">
        <v>1</v>
      </c>
      <c r="U54" s="45">
        <v>9887.7999999999993</v>
      </c>
      <c r="V54" s="45">
        <v>0</v>
      </c>
      <c r="W54" s="45">
        <v>0</v>
      </c>
      <c r="X54" s="45">
        <v>9887.7999999999993</v>
      </c>
      <c r="Y54" s="45">
        <v>0</v>
      </c>
      <c r="Z54" s="45">
        <v>0</v>
      </c>
      <c r="AB54" s="45">
        <v>9887.7999999999993</v>
      </c>
      <c r="AC54" s="45">
        <v>0</v>
      </c>
      <c r="AD54" s="45">
        <v>0</v>
      </c>
      <c r="AE54" s="45">
        <v>9887.7999999999993</v>
      </c>
      <c r="AF54" s="45">
        <v>0</v>
      </c>
      <c r="AG54" s="45">
        <v>1</v>
      </c>
      <c r="AH54" s="45">
        <v>9771.7000000000007</v>
      </c>
      <c r="AI54" s="45">
        <v>0</v>
      </c>
      <c r="AJ54" s="45">
        <v>0</v>
      </c>
      <c r="AK54" s="45">
        <v>11067.3</v>
      </c>
      <c r="AL54" s="45">
        <v>0</v>
      </c>
      <c r="AM54" s="45">
        <v>0</v>
      </c>
      <c r="AO54" s="45">
        <v>10513.1</v>
      </c>
      <c r="AP54" s="45">
        <v>0</v>
      </c>
      <c r="AQ54" s="45">
        <v>1</v>
      </c>
      <c r="AR54" s="45">
        <v>10263.9</v>
      </c>
      <c r="AS54" s="45">
        <v>0</v>
      </c>
      <c r="AT54" s="45">
        <v>0</v>
      </c>
      <c r="AU54" s="45">
        <v>9771.7000000000007</v>
      </c>
      <c r="AV54" s="45">
        <v>0</v>
      </c>
      <c r="AW54" s="45">
        <v>0</v>
      </c>
      <c r="AX54" s="45">
        <v>9887.7999999999993</v>
      </c>
      <c r="AY54" s="45">
        <v>0</v>
      </c>
      <c r="AZ54" s="45">
        <v>0</v>
      </c>
    </row>
    <row r="55" spans="2:52">
      <c r="B55" s="45">
        <v>7462.9</v>
      </c>
      <c r="C55" s="45">
        <v>0</v>
      </c>
      <c r="D55" s="45">
        <v>0</v>
      </c>
      <c r="E55" s="45">
        <v>7687.3</v>
      </c>
      <c r="F55" s="45">
        <v>0</v>
      </c>
      <c r="G55" s="45">
        <v>1</v>
      </c>
      <c r="H55" s="45">
        <v>7462.9</v>
      </c>
      <c r="I55" s="45">
        <v>0</v>
      </c>
      <c r="J55" s="45">
        <v>0</v>
      </c>
      <c r="K55" s="45">
        <v>7495</v>
      </c>
      <c r="L55" s="45">
        <v>0</v>
      </c>
      <c r="M55" s="45">
        <v>0</v>
      </c>
      <c r="O55" s="45">
        <v>7495</v>
      </c>
      <c r="P55" s="45">
        <v>0</v>
      </c>
      <c r="Q55" s="45">
        <v>0</v>
      </c>
      <c r="R55" s="45">
        <v>7467.1</v>
      </c>
      <c r="S55" s="45">
        <v>0</v>
      </c>
      <c r="T55" s="45">
        <v>0</v>
      </c>
      <c r="U55" s="45">
        <v>7467.1</v>
      </c>
      <c r="V55" s="45">
        <v>0</v>
      </c>
      <c r="W55" s="45">
        <v>0</v>
      </c>
      <c r="X55" s="45">
        <v>7467.1</v>
      </c>
      <c r="Y55" s="45">
        <v>0</v>
      </c>
      <c r="Z55" s="45">
        <v>1</v>
      </c>
      <c r="AB55" s="45">
        <v>7966.1</v>
      </c>
      <c r="AC55" s="45">
        <v>0</v>
      </c>
      <c r="AD55" s="45">
        <v>1</v>
      </c>
      <c r="AE55" s="45">
        <v>8409.7999999999993</v>
      </c>
      <c r="AF55" s="45">
        <v>0</v>
      </c>
      <c r="AG55" s="45">
        <v>0</v>
      </c>
      <c r="AH55" s="45">
        <v>7661.7</v>
      </c>
      <c r="AI55" s="45">
        <v>0</v>
      </c>
      <c r="AJ55" s="45">
        <v>0</v>
      </c>
      <c r="AK55" s="45">
        <v>7916.4</v>
      </c>
      <c r="AL55" s="45">
        <v>0</v>
      </c>
      <c r="AM55" s="45">
        <v>0</v>
      </c>
      <c r="AO55" s="45">
        <v>7644</v>
      </c>
      <c r="AP55" s="45">
        <v>0</v>
      </c>
      <c r="AQ55" s="45">
        <v>0</v>
      </c>
      <c r="AR55" s="45">
        <v>7644</v>
      </c>
      <c r="AS55" s="45">
        <v>0</v>
      </c>
      <c r="AT55" s="45">
        <v>0</v>
      </c>
      <c r="AU55" s="45">
        <v>7467.1</v>
      </c>
      <c r="AV55" s="45">
        <v>0</v>
      </c>
      <c r="AW55" s="45">
        <v>0</v>
      </c>
      <c r="AX55" s="45">
        <v>7495</v>
      </c>
      <c r="AY55" s="45">
        <v>0</v>
      </c>
      <c r="AZ55" s="45">
        <v>1</v>
      </c>
    </row>
    <row r="56" spans="2:52">
      <c r="B56" s="45">
        <v>10780.7</v>
      </c>
      <c r="C56" s="45">
        <v>0</v>
      </c>
      <c r="D56" s="45">
        <v>0</v>
      </c>
      <c r="E56" s="45">
        <v>11695.9</v>
      </c>
      <c r="F56" s="45">
        <v>0</v>
      </c>
      <c r="G56" s="45">
        <v>0</v>
      </c>
      <c r="H56" s="45">
        <v>11302.8</v>
      </c>
      <c r="I56" s="45">
        <v>0</v>
      </c>
      <c r="J56" s="45">
        <v>1</v>
      </c>
      <c r="K56" s="45">
        <v>11143.1</v>
      </c>
      <c r="L56" s="45">
        <v>0</v>
      </c>
      <c r="M56" s="45">
        <v>0</v>
      </c>
      <c r="O56" s="45">
        <v>11925.7</v>
      </c>
      <c r="P56" s="45">
        <v>0</v>
      </c>
      <c r="Q56" s="45">
        <v>0</v>
      </c>
      <c r="R56" s="45">
        <v>11410.6</v>
      </c>
      <c r="S56" s="45">
        <v>0</v>
      </c>
      <c r="T56" s="45">
        <v>0</v>
      </c>
      <c r="U56" s="45">
        <v>10780.7</v>
      </c>
      <c r="V56" s="45">
        <v>0</v>
      </c>
      <c r="W56" s="45">
        <v>0</v>
      </c>
      <c r="X56" s="45">
        <v>10780.7</v>
      </c>
      <c r="Y56" s="45">
        <v>0</v>
      </c>
      <c r="Z56" s="45">
        <v>0</v>
      </c>
      <c r="AB56" s="45">
        <v>11297.9</v>
      </c>
      <c r="AC56" s="45">
        <v>0</v>
      </c>
      <c r="AD56" s="45">
        <v>1</v>
      </c>
      <c r="AE56" s="45">
        <v>11032.1</v>
      </c>
      <c r="AF56" s="45">
        <v>0</v>
      </c>
      <c r="AG56" s="45">
        <v>0</v>
      </c>
      <c r="AH56" s="45">
        <v>10780.7</v>
      </c>
      <c r="AI56" s="45">
        <v>0</v>
      </c>
      <c r="AJ56" s="45">
        <v>0</v>
      </c>
      <c r="AK56" s="45">
        <v>10780.7</v>
      </c>
      <c r="AL56" s="45">
        <v>0</v>
      </c>
      <c r="AM56" s="45">
        <v>0</v>
      </c>
      <c r="AO56" s="45">
        <v>11762.3</v>
      </c>
      <c r="AP56" s="45">
        <v>0</v>
      </c>
      <c r="AQ56" s="45">
        <v>0</v>
      </c>
      <c r="AR56" s="45">
        <v>11297.9</v>
      </c>
      <c r="AS56" s="45">
        <v>0</v>
      </c>
      <c r="AT56" s="45">
        <v>0</v>
      </c>
      <c r="AU56" s="45">
        <v>11410.6</v>
      </c>
      <c r="AV56" s="45">
        <v>0</v>
      </c>
      <c r="AW56" s="45">
        <v>0</v>
      </c>
      <c r="AX56" s="45">
        <v>11032.1</v>
      </c>
      <c r="AY56" s="45">
        <v>0</v>
      </c>
      <c r="AZ56" s="45">
        <v>0</v>
      </c>
    </row>
    <row r="57" spans="2:52">
      <c r="B57" s="45">
        <v>7900.3</v>
      </c>
      <c r="C57" s="45">
        <v>0</v>
      </c>
      <c r="D57" s="45">
        <v>0</v>
      </c>
      <c r="E57" s="45">
        <v>8164</v>
      </c>
      <c r="F57" s="45">
        <v>0</v>
      </c>
      <c r="G57" s="45">
        <v>0</v>
      </c>
      <c r="H57" s="45">
        <v>7719</v>
      </c>
      <c r="I57" s="45">
        <v>0</v>
      </c>
      <c r="J57" s="45">
        <v>0</v>
      </c>
      <c r="K57" s="45">
        <v>7858.3</v>
      </c>
      <c r="L57" s="45">
        <v>0</v>
      </c>
      <c r="M57" s="45">
        <v>0</v>
      </c>
      <c r="O57" s="45">
        <v>8270.2000000000007</v>
      </c>
      <c r="P57" s="45">
        <v>0</v>
      </c>
      <c r="Q57" s="45">
        <v>1</v>
      </c>
      <c r="R57" s="45">
        <v>8091</v>
      </c>
      <c r="S57" s="45">
        <v>0</v>
      </c>
      <c r="T57" s="45">
        <v>0</v>
      </c>
      <c r="U57" s="45">
        <v>7858.3</v>
      </c>
      <c r="V57" s="45">
        <v>0</v>
      </c>
      <c r="W57" s="45">
        <v>0</v>
      </c>
      <c r="X57" s="45">
        <v>7858.3</v>
      </c>
      <c r="Y57" s="45">
        <v>0</v>
      </c>
      <c r="Z57" s="45">
        <v>0</v>
      </c>
      <c r="AB57" s="45">
        <v>9005.1</v>
      </c>
      <c r="AC57" s="45">
        <v>0</v>
      </c>
      <c r="AD57" s="45">
        <v>1</v>
      </c>
      <c r="AE57" s="45">
        <v>9165.2000000000007</v>
      </c>
      <c r="AF57" s="45">
        <v>0</v>
      </c>
      <c r="AG57" s="45">
        <v>0</v>
      </c>
      <c r="AH57" s="45">
        <v>9875.5</v>
      </c>
      <c r="AI57" s="45">
        <v>0</v>
      </c>
      <c r="AJ57" s="45">
        <v>0</v>
      </c>
      <c r="AK57" s="45">
        <v>8694.7999999999993</v>
      </c>
      <c r="AL57" s="45">
        <v>0</v>
      </c>
      <c r="AM57" s="45">
        <v>0</v>
      </c>
      <c r="AO57" s="45">
        <v>8582.4</v>
      </c>
      <c r="AP57" s="45">
        <v>0</v>
      </c>
      <c r="AQ57" s="45">
        <v>0</v>
      </c>
      <c r="AR57" s="45">
        <v>7719</v>
      </c>
      <c r="AS57" s="45">
        <v>0</v>
      </c>
      <c r="AT57" s="45">
        <v>1</v>
      </c>
      <c r="AU57" s="45">
        <v>7719</v>
      </c>
      <c r="AV57" s="45">
        <v>0</v>
      </c>
      <c r="AW57" s="45">
        <v>0</v>
      </c>
      <c r="AX57" s="45">
        <v>8503.1</v>
      </c>
      <c r="AY57" s="45">
        <v>0</v>
      </c>
      <c r="AZ57" s="45">
        <v>0</v>
      </c>
    </row>
    <row r="58" spans="2:52">
      <c r="B58" s="45">
        <v>10564.4</v>
      </c>
      <c r="C58" s="45">
        <v>0</v>
      </c>
      <c r="D58" s="45">
        <v>0</v>
      </c>
      <c r="E58" s="45">
        <v>10228.200000000001</v>
      </c>
      <c r="F58" s="45">
        <v>0</v>
      </c>
      <c r="G58" s="45">
        <v>1</v>
      </c>
      <c r="H58" s="45">
        <v>10185.9</v>
      </c>
      <c r="I58" s="45">
        <v>0</v>
      </c>
      <c r="J58" s="45">
        <v>0</v>
      </c>
      <c r="K58" s="45">
        <v>10269.799999999999</v>
      </c>
      <c r="L58" s="45">
        <v>0</v>
      </c>
      <c r="M58" s="45">
        <v>0</v>
      </c>
      <c r="O58" s="45">
        <v>10185.9</v>
      </c>
      <c r="P58" s="45">
        <v>0</v>
      </c>
      <c r="Q58" s="45">
        <v>0</v>
      </c>
      <c r="R58" s="45">
        <v>10185.9</v>
      </c>
      <c r="S58" s="45">
        <v>0</v>
      </c>
      <c r="T58" s="45">
        <v>0</v>
      </c>
      <c r="U58" s="45">
        <v>10228.200000000001</v>
      </c>
      <c r="V58" s="45">
        <v>0</v>
      </c>
      <c r="W58" s="45">
        <v>1</v>
      </c>
      <c r="X58" s="45">
        <v>10228.200000000001</v>
      </c>
      <c r="Y58" s="45">
        <v>0</v>
      </c>
      <c r="Z58" s="45">
        <v>0</v>
      </c>
      <c r="AB58" s="45">
        <v>11403.7</v>
      </c>
      <c r="AC58" s="45">
        <v>0</v>
      </c>
      <c r="AD58" s="45">
        <v>1</v>
      </c>
      <c r="AE58" s="45">
        <v>11055.1</v>
      </c>
      <c r="AF58" s="45">
        <v>0</v>
      </c>
      <c r="AG58" s="45">
        <v>0</v>
      </c>
      <c r="AH58" s="45">
        <v>10228.200000000001</v>
      </c>
      <c r="AI58" s="45">
        <v>0</v>
      </c>
      <c r="AJ58" s="45">
        <v>0</v>
      </c>
      <c r="AK58" s="45">
        <v>10796.6</v>
      </c>
      <c r="AL58" s="45">
        <v>0</v>
      </c>
      <c r="AM58" s="45">
        <v>0</v>
      </c>
      <c r="AO58" s="45">
        <v>10185.9</v>
      </c>
      <c r="AP58" s="45">
        <v>0</v>
      </c>
      <c r="AQ58" s="45">
        <v>0</v>
      </c>
      <c r="AR58" s="45">
        <v>10185.9</v>
      </c>
      <c r="AS58" s="45">
        <v>0</v>
      </c>
      <c r="AT58" s="45">
        <v>0</v>
      </c>
      <c r="AU58" s="45">
        <v>10201</v>
      </c>
      <c r="AV58" s="45">
        <v>0</v>
      </c>
      <c r="AW58" s="45">
        <v>0</v>
      </c>
      <c r="AX58" s="45">
        <v>10185.9</v>
      </c>
      <c r="AY58" s="45">
        <v>0</v>
      </c>
      <c r="AZ58" s="45">
        <v>1</v>
      </c>
    </row>
    <row r="59" spans="2:52">
      <c r="B59" s="45">
        <v>10373.4</v>
      </c>
      <c r="C59" s="45">
        <v>0</v>
      </c>
      <c r="D59" s="45">
        <v>0</v>
      </c>
      <c r="E59" s="45">
        <v>10346.4</v>
      </c>
      <c r="F59" s="45">
        <v>0</v>
      </c>
      <c r="G59" s="45">
        <v>0</v>
      </c>
      <c r="H59" s="45">
        <v>10168.9</v>
      </c>
      <c r="I59" s="45">
        <v>0</v>
      </c>
      <c r="J59" s="45">
        <v>0</v>
      </c>
      <c r="K59" s="45">
        <v>10168.9</v>
      </c>
      <c r="L59" s="45">
        <v>0</v>
      </c>
      <c r="M59" s="45">
        <v>0</v>
      </c>
      <c r="O59" s="45">
        <v>10346.4</v>
      </c>
      <c r="P59" s="45">
        <v>0</v>
      </c>
      <c r="Q59" s="45">
        <v>0</v>
      </c>
      <c r="R59" s="45">
        <v>10168.9</v>
      </c>
      <c r="S59" s="45">
        <v>0</v>
      </c>
      <c r="T59" s="45">
        <v>0</v>
      </c>
      <c r="U59" s="45">
        <v>10346.4</v>
      </c>
      <c r="V59" s="45">
        <v>0</v>
      </c>
      <c r="W59" s="45">
        <v>0</v>
      </c>
      <c r="X59" s="45">
        <v>10168.9</v>
      </c>
      <c r="Y59" s="45">
        <v>0</v>
      </c>
      <c r="Z59" s="45">
        <v>1</v>
      </c>
      <c r="AB59" s="45">
        <v>10913.9</v>
      </c>
      <c r="AC59" s="45">
        <v>0</v>
      </c>
      <c r="AD59" s="45">
        <v>1</v>
      </c>
      <c r="AE59" s="45">
        <v>10695.4</v>
      </c>
      <c r="AF59" s="45">
        <v>0</v>
      </c>
      <c r="AG59" s="45">
        <v>0</v>
      </c>
      <c r="AH59" s="45">
        <v>11817.7</v>
      </c>
      <c r="AI59" s="45">
        <v>0</v>
      </c>
      <c r="AJ59" s="45">
        <v>0</v>
      </c>
      <c r="AK59" s="45">
        <v>10346.4</v>
      </c>
      <c r="AL59" s="45">
        <v>0</v>
      </c>
      <c r="AM59" s="45">
        <v>1</v>
      </c>
      <c r="AO59" s="45">
        <v>10479.799999999999</v>
      </c>
      <c r="AP59" s="45">
        <v>0</v>
      </c>
      <c r="AQ59" s="45">
        <v>0</v>
      </c>
      <c r="AR59" s="45">
        <v>10346.4</v>
      </c>
      <c r="AS59" s="45">
        <v>0</v>
      </c>
      <c r="AT59" s="45">
        <v>0</v>
      </c>
      <c r="AU59" s="45">
        <v>10346.4</v>
      </c>
      <c r="AV59" s="45">
        <v>0</v>
      </c>
      <c r="AW59" s="45">
        <v>0</v>
      </c>
      <c r="AX59" s="45">
        <v>10421.700000000001</v>
      </c>
      <c r="AY59" s="45">
        <v>0</v>
      </c>
      <c r="AZ59" s="45">
        <v>0</v>
      </c>
    </row>
    <row r="60" spans="2:52">
      <c r="B60" s="45">
        <v>11521.4</v>
      </c>
      <c r="C60" s="45">
        <v>0</v>
      </c>
      <c r="D60" s="45">
        <v>1</v>
      </c>
      <c r="E60" s="45">
        <v>13338.6</v>
      </c>
      <c r="F60" s="45">
        <v>17</v>
      </c>
      <c r="G60" s="45">
        <v>0</v>
      </c>
      <c r="H60" s="45">
        <v>11638.6</v>
      </c>
      <c r="I60" s="45">
        <v>0</v>
      </c>
      <c r="J60" s="45">
        <v>0</v>
      </c>
      <c r="K60" s="45">
        <v>11521.4</v>
      </c>
      <c r="L60" s="45">
        <v>0</v>
      </c>
      <c r="M60" s="45">
        <v>0</v>
      </c>
      <c r="O60" s="45">
        <v>11521.4</v>
      </c>
      <c r="P60" s="45">
        <v>0</v>
      </c>
      <c r="Q60" s="45">
        <v>0</v>
      </c>
      <c r="R60" s="45">
        <v>11521.4</v>
      </c>
      <c r="S60" s="45">
        <v>0</v>
      </c>
      <c r="T60" s="45">
        <v>0</v>
      </c>
      <c r="U60" s="45">
        <v>13338.6</v>
      </c>
      <c r="V60" s="45">
        <v>17</v>
      </c>
      <c r="W60" s="45">
        <v>0</v>
      </c>
      <c r="X60" s="45">
        <v>11444.9</v>
      </c>
      <c r="Y60" s="45">
        <v>0</v>
      </c>
      <c r="Z60" s="45">
        <v>0</v>
      </c>
      <c r="AB60" s="45">
        <v>11638.6</v>
      </c>
      <c r="AC60" s="45">
        <v>0</v>
      </c>
      <c r="AD60" s="45">
        <v>0</v>
      </c>
      <c r="AE60" s="45">
        <v>12677.7</v>
      </c>
      <c r="AF60" s="45">
        <v>0</v>
      </c>
      <c r="AG60" s="45">
        <v>0</v>
      </c>
      <c r="AH60" s="45">
        <v>12271.2</v>
      </c>
      <c r="AI60" s="45">
        <v>0</v>
      </c>
      <c r="AJ60" s="45">
        <v>0</v>
      </c>
      <c r="AK60" s="45">
        <v>11521.4</v>
      </c>
      <c r="AL60" s="45">
        <v>0</v>
      </c>
      <c r="AM60" s="45">
        <v>1</v>
      </c>
      <c r="AO60" s="45">
        <v>11521.4</v>
      </c>
      <c r="AP60" s="45">
        <v>0</v>
      </c>
      <c r="AQ60" s="45">
        <v>0</v>
      </c>
      <c r="AR60" s="45">
        <v>11638.6</v>
      </c>
      <c r="AS60" s="45">
        <v>0</v>
      </c>
      <c r="AT60" s="45">
        <v>0</v>
      </c>
      <c r="AU60" s="45">
        <v>11779.7</v>
      </c>
      <c r="AV60" s="45">
        <v>0</v>
      </c>
      <c r="AW60" s="45">
        <v>1</v>
      </c>
      <c r="AX60" s="45">
        <v>11521.4</v>
      </c>
      <c r="AY60" s="45">
        <v>0</v>
      </c>
      <c r="AZ60" s="45">
        <v>0</v>
      </c>
    </row>
    <row r="61" spans="2:52">
      <c r="B61" s="45">
        <v>10909.3</v>
      </c>
      <c r="C61" s="45">
        <v>0</v>
      </c>
      <c r="D61" s="45">
        <v>0</v>
      </c>
      <c r="E61" s="45">
        <v>10909.3</v>
      </c>
      <c r="F61" s="45">
        <v>0</v>
      </c>
      <c r="G61" s="45">
        <v>0</v>
      </c>
      <c r="H61" s="45">
        <v>10909.3</v>
      </c>
      <c r="I61" s="45">
        <v>0</v>
      </c>
      <c r="J61" s="45">
        <v>1</v>
      </c>
      <c r="K61" s="45">
        <v>10909.3</v>
      </c>
      <c r="L61" s="45">
        <v>0</v>
      </c>
      <c r="M61" s="45">
        <v>0</v>
      </c>
      <c r="O61" s="45">
        <v>11179.6</v>
      </c>
      <c r="P61" s="45">
        <v>0</v>
      </c>
      <c r="Q61" s="45">
        <v>1</v>
      </c>
      <c r="R61" s="45">
        <v>10980.9</v>
      </c>
      <c r="S61" s="45">
        <v>0</v>
      </c>
      <c r="T61" s="45">
        <v>0</v>
      </c>
      <c r="U61" s="45">
        <v>10824</v>
      </c>
      <c r="V61" s="45">
        <v>3</v>
      </c>
      <c r="W61" s="45">
        <v>0</v>
      </c>
      <c r="X61" s="45">
        <v>10909.3</v>
      </c>
      <c r="Y61" s="45">
        <v>0</v>
      </c>
      <c r="Z61" s="45">
        <v>0</v>
      </c>
      <c r="AB61" s="45">
        <v>11668.7</v>
      </c>
      <c r="AC61" s="45">
        <v>0</v>
      </c>
      <c r="AD61" s="45">
        <v>0</v>
      </c>
      <c r="AE61" s="45">
        <v>12137.6</v>
      </c>
      <c r="AF61" s="45">
        <v>0</v>
      </c>
      <c r="AG61" s="45">
        <v>0</v>
      </c>
      <c r="AH61" s="45">
        <v>11369.4</v>
      </c>
      <c r="AI61" s="45">
        <v>0</v>
      </c>
      <c r="AJ61" s="45">
        <v>0</v>
      </c>
      <c r="AK61" s="45">
        <v>11585.1</v>
      </c>
      <c r="AL61" s="45">
        <v>0</v>
      </c>
      <c r="AM61" s="45">
        <v>1</v>
      </c>
      <c r="AO61" s="45">
        <v>11034</v>
      </c>
      <c r="AP61" s="45">
        <v>0</v>
      </c>
      <c r="AQ61" s="45">
        <v>0</v>
      </c>
      <c r="AR61" s="45">
        <v>10909.3</v>
      </c>
      <c r="AS61" s="45">
        <v>0</v>
      </c>
      <c r="AT61" s="45">
        <v>1</v>
      </c>
      <c r="AU61" s="45">
        <v>10909.3</v>
      </c>
      <c r="AV61" s="45">
        <v>0</v>
      </c>
      <c r="AW61" s="45">
        <v>0</v>
      </c>
      <c r="AX61" s="45">
        <v>10980.9</v>
      </c>
      <c r="AY61" s="45">
        <v>0</v>
      </c>
      <c r="AZ61" s="45">
        <v>0</v>
      </c>
    </row>
    <row r="62" spans="2:52">
      <c r="B62" s="45">
        <v>12605.6</v>
      </c>
      <c r="C62" s="45">
        <v>0</v>
      </c>
      <c r="D62" s="45">
        <v>0</v>
      </c>
      <c r="E62" s="45">
        <v>12951.5</v>
      </c>
      <c r="F62" s="45">
        <v>0</v>
      </c>
      <c r="G62" s="45">
        <v>0</v>
      </c>
      <c r="H62" s="45">
        <v>12782.1</v>
      </c>
      <c r="I62" s="45">
        <v>0</v>
      </c>
      <c r="J62" s="45">
        <v>0</v>
      </c>
      <c r="K62" s="45">
        <v>13001.3</v>
      </c>
      <c r="L62" s="45">
        <v>0</v>
      </c>
      <c r="M62" s="45">
        <v>0</v>
      </c>
      <c r="O62" s="45">
        <v>12496.2</v>
      </c>
      <c r="P62" s="45">
        <v>0</v>
      </c>
      <c r="Q62" s="45">
        <v>0</v>
      </c>
      <c r="R62" s="45">
        <v>12782.1</v>
      </c>
      <c r="S62" s="45">
        <v>0</v>
      </c>
      <c r="T62" s="45">
        <v>0</v>
      </c>
      <c r="U62" s="45">
        <v>12951.5</v>
      </c>
      <c r="V62" s="45">
        <v>0</v>
      </c>
      <c r="W62" s="45">
        <v>1</v>
      </c>
      <c r="X62" s="45">
        <v>12782.1</v>
      </c>
      <c r="Y62" s="45">
        <v>0</v>
      </c>
      <c r="Z62" s="45">
        <v>0</v>
      </c>
      <c r="AB62" s="45">
        <v>13129.8</v>
      </c>
      <c r="AC62" s="45">
        <v>0</v>
      </c>
      <c r="AD62" s="45">
        <v>0</v>
      </c>
      <c r="AE62" s="45">
        <v>13298.2</v>
      </c>
      <c r="AF62" s="45">
        <v>0</v>
      </c>
      <c r="AG62" s="45">
        <v>0</v>
      </c>
      <c r="AH62" s="45">
        <v>12496.2</v>
      </c>
      <c r="AI62" s="45">
        <v>0</v>
      </c>
      <c r="AJ62" s="45">
        <v>0</v>
      </c>
      <c r="AK62" s="45">
        <v>13829.2</v>
      </c>
      <c r="AL62" s="45">
        <v>0</v>
      </c>
      <c r="AM62" s="45">
        <v>1</v>
      </c>
      <c r="AO62" s="45">
        <v>13051.8</v>
      </c>
      <c r="AP62" s="45">
        <v>0</v>
      </c>
      <c r="AQ62" s="45">
        <v>0</v>
      </c>
      <c r="AR62" s="45">
        <v>12782.1</v>
      </c>
      <c r="AS62" s="45">
        <v>0</v>
      </c>
      <c r="AT62" s="45">
        <v>1</v>
      </c>
      <c r="AU62" s="45">
        <v>13001.3</v>
      </c>
      <c r="AV62" s="45">
        <v>0</v>
      </c>
      <c r="AW62" s="45">
        <v>0</v>
      </c>
      <c r="AX62" s="45">
        <v>13051.8</v>
      </c>
      <c r="AY62" s="45">
        <v>0</v>
      </c>
      <c r="AZ62" s="45">
        <v>0</v>
      </c>
    </row>
    <row r="63" spans="2:52">
      <c r="B63" s="45">
        <v>10132.200000000001</v>
      </c>
      <c r="C63" s="45">
        <v>0</v>
      </c>
      <c r="D63" s="45">
        <v>0</v>
      </c>
      <c r="E63" s="45">
        <v>10275.200000000001</v>
      </c>
      <c r="F63" s="45">
        <v>0</v>
      </c>
      <c r="G63" s="45">
        <v>1</v>
      </c>
      <c r="H63" s="45">
        <v>10115.4</v>
      </c>
      <c r="I63" s="45">
        <v>0</v>
      </c>
      <c r="J63" s="45">
        <v>0</v>
      </c>
      <c r="K63" s="45">
        <v>10333</v>
      </c>
      <c r="L63" s="45">
        <v>0</v>
      </c>
      <c r="M63" s="45">
        <v>0</v>
      </c>
      <c r="O63" s="45">
        <v>9880.9</v>
      </c>
      <c r="P63" s="45">
        <v>0</v>
      </c>
      <c r="Q63" s="45">
        <v>0</v>
      </c>
      <c r="R63" s="45">
        <v>9880.9</v>
      </c>
      <c r="S63" s="45">
        <v>0</v>
      </c>
      <c r="T63" s="45">
        <v>0</v>
      </c>
      <c r="U63" s="45">
        <v>9965.7999999999993</v>
      </c>
      <c r="V63" s="45">
        <v>0</v>
      </c>
      <c r="W63" s="45">
        <v>0</v>
      </c>
      <c r="X63" s="45">
        <v>9880.9</v>
      </c>
      <c r="Y63" s="45">
        <v>0</v>
      </c>
      <c r="Z63" s="45">
        <v>1</v>
      </c>
      <c r="AB63" s="45">
        <v>11016</v>
      </c>
      <c r="AC63" s="45">
        <v>0</v>
      </c>
      <c r="AD63" s="45">
        <v>0</v>
      </c>
      <c r="AE63" s="45">
        <v>11918</v>
      </c>
      <c r="AF63" s="45">
        <v>0</v>
      </c>
      <c r="AG63" s="45">
        <v>0</v>
      </c>
      <c r="AH63" s="45">
        <v>11432.6</v>
      </c>
      <c r="AI63" s="45">
        <v>0</v>
      </c>
      <c r="AJ63" s="45">
        <v>0</v>
      </c>
      <c r="AK63" s="45">
        <v>11263.3</v>
      </c>
      <c r="AL63" s="45">
        <v>0</v>
      </c>
      <c r="AM63" s="45">
        <v>1</v>
      </c>
      <c r="AO63" s="45">
        <v>9880.9</v>
      </c>
      <c r="AP63" s="45">
        <v>0</v>
      </c>
      <c r="AQ63" s="45">
        <v>0</v>
      </c>
      <c r="AR63" s="45">
        <v>10183.6</v>
      </c>
      <c r="AS63" s="45">
        <v>0</v>
      </c>
      <c r="AT63" s="45">
        <v>1</v>
      </c>
      <c r="AU63" s="45">
        <v>9880.9</v>
      </c>
      <c r="AV63" s="45">
        <v>0</v>
      </c>
      <c r="AW63" s="45">
        <v>0</v>
      </c>
      <c r="AX63" s="45">
        <v>10333</v>
      </c>
      <c r="AY63" s="45">
        <v>0</v>
      </c>
      <c r="AZ63" s="45">
        <v>0</v>
      </c>
    </row>
    <row r="64" spans="2:52">
      <c r="B64" s="45">
        <v>12274</v>
      </c>
      <c r="C64" s="45">
        <v>0</v>
      </c>
      <c r="D64" s="45">
        <v>0</v>
      </c>
      <c r="E64" s="45">
        <v>12369.8</v>
      </c>
      <c r="F64" s="45">
        <v>0</v>
      </c>
      <c r="G64" s="45">
        <v>0</v>
      </c>
      <c r="H64" s="45">
        <v>12788.7</v>
      </c>
      <c r="I64" s="45">
        <v>0</v>
      </c>
      <c r="J64" s="45">
        <v>0</v>
      </c>
      <c r="K64" s="45">
        <v>12788.7</v>
      </c>
      <c r="L64" s="45">
        <v>0</v>
      </c>
      <c r="M64" s="45">
        <v>0</v>
      </c>
      <c r="O64" s="45">
        <v>13034.5</v>
      </c>
      <c r="P64" s="45">
        <v>0</v>
      </c>
      <c r="Q64" s="45">
        <v>0</v>
      </c>
      <c r="R64" s="45">
        <v>12272.8</v>
      </c>
      <c r="S64" s="45">
        <v>0</v>
      </c>
      <c r="T64" s="45">
        <v>0</v>
      </c>
      <c r="U64" s="45">
        <v>12272.8</v>
      </c>
      <c r="V64" s="45">
        <v>0</v>
      </c>
      <c r="W64" s="45">
        <v>0</v>
      </c>
      <c r="X64" s="45">
        <v>12622.2</v>
      </c>
      <c r="Y64" s="45">
        <v>0</v>
      </c>
      <c r="Z64" s="45">
        <v>0</v>
      </c>
      <c r="AB64" s="45">
        <v>14021.3</v>
      </c>
      <c r="AC64" s="45">
        <v>0</v>
      </c>
      <c r="AD64" s="45">
        <v>0</v>
      </c>
      <c r="AE64" s="45">
        <v>12827.5</v>
      </c>
      <c r="AF64" s="45">
        <v>0</v>
      </c>
      <c r="AG64" s="45">
        <v>0</v>
      </c>
      <c r="AH64" s="45">
        <v>13758.2</v>
      </c>
      <c r="AI64" s="45">
        <v>0</v>
      </c>
      <c r="AJ64" s="45">
        <v>0</v>
      </c>
      <c r="AK64" s="45">
        <v>13159.6</v>
      </c>
      <c r="AL64" s="45">
        <v>0</v>
      </c>
      <c r="AM64" s="45">
        <v>1</v>
      </c>
      <c r="AO64" s="45">
        <v>12274</v>
      </c>
      <c r="AP64" s="45">
        <v>0</v>
      </c>
      <c r="AQ64" s="45">
        <v>1</v>
      </c>
      <c r="AR64" s="45">
        <v>12933.5</v>
      </c>
      <c r="AS64" s="45">
        <v>0</v>
      </c>
      <c r="AT64" s="45">
        <v>0</v>
      </c>
      <c r="AU64" s="45">
        <v>12674.4</v>
      </c>
      <c r="AV64" s="45">
        <v>0</v>
      </c>
      <c r="AW64" s="45">
        <v>0</v>
      </c>
      <c r="AX64" s="45">
        <v>12272.8</v>
      </c>
      <c r="AY64" s="45">
        <v>0</v>
      </c>
      <c r="AZ64" s="45">
        <v>0</v>
      </c>
    </row>
    <row r="65" spans="2:52">
      <c r="B65" s="45">
        <v>11076.9</v>
      </c>
      <c r="C65" s="45">
        <v>0</v>
      </c>
      <c r="D65" s="45">
        <v>1</v>
      </c>
      <c r="E65" s="45">
        <v>11487.7</v>
      </c>
      <c r="F65" s="45">
        <v>0</v>
      </c>
      <c r="G65" s="45">
        <v>0</v>
      </c>
      <c r="H65" s="45">
        <v>11017.5</v>
      </c>
      <c r="I65" s="45">
        <v>0</v>
      </c>
      <c r="J65" s="45">
        <v>0</v>
      </c>
      <c r="K65" s="45">
        <v>11241.8</v>
      </c>
      <c r="L65" s="45">
        <v>0</v>
      </c>
      <c r="M65" s="45">
        <v>0</v>
      </c>
      <c r="O65" s="45">
        <v>11557.9</v>
      </c>
      <c r="P65" s="45">
        <v>0</v>
      </c>
      <c r="Q65" s="45">
        <v>0</v>
      </c>
      <c r="R65" s="45">
        <v>11017.5</v>
      </c>
      <c r="S65" s="45">
        <v>0</v>
      </c>
      <c r="T65" s="45">
        <v>1</v>
      </c>
      <c r="U65" s="45">
        <v>11076.9</v>
      </c>
      <c r="V65" s="45">
        <v>0</v>
      </c>
      <c r="W65" s="45">
        <v>0</v>
      </c>
      <c r="X65" s="45">
        <v>11095.7</v>
      </c>
      <c r="Y65" s="45">
        <v>0</v>
      </c>
      <c r="Z65" s="45">
        <v>0</v>
      </c>
      <c r="AB65" s="45">
        <v>11564.2</v>
      </c>
      <c r="AC65" s="45">
        <v>0</v>
      </c>
      <c r="AD65" s="45">
        <v>0</v>
      </c>
      <c r="AE65" s="45">
        <v>12754.8</v>
      </c>
      <c r="AF65" s="45">
        <v>0</v>
      </c>
      <c r="AG65" s="45">
        <v>0</v>
      </c>
      <c r="AH65" s="45">
        <v>11998.6</v>
      </c>
      <c r="AI65" s="45">
        <v>0</v>
      </c>
      <c r="AJ65" s="45">
        <v>0</v>
      </c>
      <c r="AK65" s="45">
        <v>11557.9</v>
      </c>
      <c r="AL65" s="45">
        <v>0</v>
      </c>
      <c r="AM65" s="45">
        <v>1</v>
      </c>
      <c r="AO65" s="45">
        <v>11497.7</v>
      </c>
      <c r="AP65" s="45">
        <v>0</v>
      </c>
      <c r="AQ65" s="45">
        <v>1</v>
      </c>
      <c r="AR65" s="45">
        <v>11846.7</v>
      </c>
      <c r="AS65" s="45">
        <v>0</v>
      </c>
      <c r="AT65" s="45">
        <v>0</v>
      </c>
      <c r="AU65" s="45">
        <v>11017.5</v>
      </c>
      <c r="AV65" s="45">
        <v>0</v>
      </c>
      <c r="AW65" s="45">
        <v>0</v>
      </c>
      <c r="AX65" s="45">
        <v>11017.5</v>
      </c>
      <c r="AY65" s="45">
        <v>0</v>
      </c>
      <c r="AZ65" s="45">
        <v>0</v>
      </c>
    </row>
    <row r="66" spans="2:52">
      <c r="B66" s="45">
        <v>9838</v>
      </c>
      <c r="C66" s="45">
        <v>0</v>
      </c>
      <c r="D66" s="45">
        <v>0</v>
      </c>
      <c r="E66" s="45">
        <v>9752.2000000000007</v>
      </c>
      <c r="F66" s="45">
        <v>0</v>
      </c>
      <c r="G66" s="45">
        <v>0</v>
      </c>
      <c r="H66" s="45">
        <v>9501.7000000000007</v>
      </c>
      <c r="I66" s="45">
        <v>0</v>
      </c>
      <c r="J66" s="45">
        <v>0</v>
      </c>
      <c r="K66" s="45">
        <v>9386.5</v>
      </c>
      <c r="L66" s="45">
        <v>0</v>
      </c>
      <c r="M66" s="45">
        <v>1</v>
      </c>
      <c r="O66" s="45">
        <v>9797.9</v>
      </c>
      <c r="P66" s="45">
        <v>0</v>
      </c>
      <c r="Q66" s="45">
        <v>0</v>
      </c>
      <c r="R66" s="45">
        <v>9386.5</v>
      </c>
      <c r="S66" s="45">
        <v>0</v>
      </c>
      <c r="T66" s="45">
        <v>0</v>
      </c>
      <c r="U66" s="45">
        <v>9797.9</v>
      </c>
      <c r="V66" s="45">
        <v>0</v>
      </c>
      <c r="W66" s="45">
        <v>1</v>
      </c>
      <c r="X66" s="45">
        <v>9386.5</v>
      </c>
      <c r="Y66" s="45">
        <v>0</v>
      </c>
      <c r="Z66" s="45">
        <v>0</v>
      </c>
      <c r="AB66" s="45">
        <v>10844.1</v>
      </c>
      <c r="AC66" s="45">
        <v>0</v>
      </c>
      <c r="AD66" s="45">
        <v>0</v>
      </c>
      <c r="AE66" s="45">
        <v>10749.1</v>
      </c>
      <c r="AF66" s="45">
        <v>0</v>
      </c>
      <c r="AG66" s="45">
        <v>0</v>
      </c>
      <c r="AH66" s="45">
        <v>10343.700000000001</v>
      </c>
      <c r="AI66" s="45">
        <v>0</v>
      </c>
      <c r="AJ66" s="45">
        <v>0</v>
      </c>
      <c r="AK66" s="45">
        <v>10823.4</v>
      </c>
      <c r="AL66" s="45">
        <v>0</v>
      </c>
      <c r="AM66" s="45">
        <v>1</v>
      </c>
      <c r="AO66" s="45">
        <v>9386.5</v>
      </c>
      <c r="AP66" s="45">
        <v>0</v>
      </c>
      <c r="AQ66" s="45">
        <v>1</v>
      </c>
      <c r="AR66" s="45">
        <v>9386.5</v>
      </c>
      <c r="AS66" s="45">
        <v>0</v>
      </c>
      <c r="AT66" s="45">
        <v>0</v>
      </c>
      <c r="AU66" s="45">
        <v>9793</v>
      </c>
      <c r="AV66" s="45">
        <v>0</v>
      </c>
      <c r="AW66" s="45">
        <v>0</v>
      </c>
      <c r="AX66" s="45">
        <v>9797.9</v>
      </c>
      <c r="AY66" s="45">
        <v>0</v>
      </c>
      <c r="AZ66" s="45">
        <v>0</v>
      </c>
    </row>
    <row r="67" spans="2:52">
      <c r="B67" s="45">
        <v>12649.2</v>
      </c>
      <c r="C67" s="45">
        <v>0</v>
      </c>
      <c r="D67" s="45">
        <v>0</v>
      </c>
      <c r="E67" s="45">
        <v>12113.7</v>
      </c>
      <c r="F67" s="45">
        <v>0</v>
      </c>
      <c r="G67" s="45">
        <v>0</v>
      </c>
      <c r="H67" s="45">
        <v>12453.1</v>
      </c>
      <c r="I67" s="45">
        <v>0</v>
      </c>
      <c r="J67" s="45">
        <v>0</v>
      </c>
      <c r="K67" s="45">
        <v>12601.9</v>
      </c>
      <c r="L67" s="45">
        <v>0</v>
      </c>
      <c r="M67" s="45">
        <v>0</v>
      </c>
      <c r="O67" s="45">
        <v>12113.7</v>
      </c>
      <c r="P67" s="45">
        <v>0</v>
      </c>
      <c r="Q67" s="45">
        <v>0</v>
      </c>
      <c r="R67" s="45">
        <v>12113.7</v>
      </c>
      <c r="S67" s="45">
        <v>0</v>
      </c>
      <c r="T67" s="45">
        <v>0</v>
      </c>
      <c r="U67" s="45">
        <v>12113.7</v>
      </c>
      <c r="V67" s="45">
        <v>0</v>
      </c>
      <c r="W67" s="45">
        <v>0</v>
      </c>
      <c r="X67" s="45">
        <v>12941.5</v>
      </c>
      <c r="Y67" s="45">
        <v>0</v>
      </c>
      <c r="Z67" s="45">
        <v>1</v>
      </c>
      <c r="AB67" s="45">
        <v>14301.4</v>
      </c>
      <c r="AC67" s="45">
        <v>0</v>
      </c>
      <c r="AD67" s="45">
        <v>0</v>
      </c>
      <c r="AE67" s="45">
        <v>13762.6</v>
      </c>
      <c r="AF67" s="45">
        <v>0</v>
      </c>
      <c r="AG67" s="45">
        <v>0</v>
      </c>
      <c r="AH67" s="45">
        <v>14156.4</v>
      </c>
      <c r="AI67" s="45">
        <v>0</v>
      </c>
      <c r="AJ67" s="45">
        <v>1</v>
      </c>
      <c r="AK67" s="45">
        <v>12941.5</v>
      </c>
      <c r="AL67" s="45">
        <v>0</v>
      </c>
      <c r="AM67" s="45">
        <v>0</v>
      </c>
      <c r="AO67" s="45">
        <v>12113.7</v>
      </c>
      <c r="AP67" s="45">
        <v>0</v>
      </c>
      <c r="AQ67" s="45">
        <v>1</v>
      </c>
      <c r="AR67" s="45">
        <v>12736.6</v>
      </c>
      <c r="AS67" s="45">
        <v>0</v>
      </c>
      <c r="AT67" s="45">
        <v>0</v>
      </c>
      <c r="AU67" s="45">
        <v>13749.4</v>
      </c>
      <c r="AV67" s="45">
        <v>0</v>
      </c>
      <c r="AW67" s="45">
        <v>0</v>
      </c>
      <c r="AX67" s="45">
        <v>12113.7</v>
      </c>
      <c r="AY67" s="45">
        <v>0</v>
      </c>
      <c r="AZ67" s="45">
        <v>1</v>
      </c>
    </row>
    <row r="68" spans="2:52">
      <c r="B68" s="45">
        <v>9548.5</v>
      </c>
      <c r="C68" s="45">
        <v>0</v>
      </c>
      <c r="D68" s="45">
        <v>0</v>
      </c>
      <c r="E68" s="45">
        <v>9255.2999999999993</v>
      </c>
      <c r="F68" s="45">
        <v>0</v>
      </c>
      <c r="G68" s="45">
        <v>0</v>
      </c>
      <c r="H68" s="45">
        <v>9255.2999999999993</v>
      </c>
      <c r="I68" s="45">
        <v>0</v>
      </c>
      <c r="J68" s="45">
        <v>0</v>
      </c>
      <c r="K68" s="45">
        <v>9566.9</v>
      </c>
      <c r="L68" s="45">
        <v>0</v>
      </c>
      <c r="M68" s="45">
        <v>1</v>
      </c>
      <c r="O68" s="45">
        <v>9255.2999999999993</v>
      </c>
      <c r="P68" s="45">
        <v>0</v>
      </c>
      <c r="Q68" s="45">
        <v>0</v>
      </c>
      <c r="R68" s="45">
        <v>9255.2999999999993</v>
      </c>
      <c r="S68" s="45">
        <v>0</v>
      </c>
      <c r="T68" s="45">
        <v>0</v>
      </c>
      <c r="U68" s="45">
        <v>9255.2999999999993</v>
      </c>
      <c r="V68" s="45">
        <v>0</v>
      </c>
      <c r="W68" s="45">
        <v>0</v>
      </c>
      <c r="X68" s="45">
        <v>9564.7000000000007</v>
      </c>
      <c r="Y68" s="45">
        <v>0</v>
      </c>
      <c r="Z68" s="45">
        <v>0</v>
      </c>
      <c r="AB68" s="45">
        <v>10862</v>
      </c>
      <c r="AC68" s="45">
        <v>0</v>
      </c>
      <c r="AD68" s="45">
        <v>0</v>
      </c>
      <c r="AE68" s="45">
        <v>9623.5</v>
      </c>
      <c r="AF68" s="45">
        <v>0</v>
      </c>
      <c r="AG68" s="45">
        <v>0</v>
      </c>
      <c r="AH68" s="45">
        <v>10461.700000000001</v>
      </c>
      <c r="AI68" s="45">
        <v>0</v>
      </c>
      <c r="AJ68" s="45">
        <v>1</v>
      </c>
      <c r="AK68" s="45">
        <v>9623.5</v>
      </c>
      <c r="AL68" s="45">
        <v>0</v>
      </c>
      <c r="AM68" s="45">
        <v>0</v>
      </c>
      <c r="AO68" s="45">
        <v>9255.2999999999993</v>
      </c>
      <c r="AP68" s="45">
        <v>0</v>
      </c>
      <c r="AQ68" s="45">
        <v>0</v>
      </c>
      <c r="AR68" s="45">
        <v>10233.700000000001</v>
      </c>
      <c r="AS68" s="45">
        <v>0</v>
      </c>
      <c r="AT68" s="45">
        <v>0</v>
      </c>
      <c r="AU68" s="45">
        <v>9255.2999999999993</v>
      </c>
      <c r="AV68" s="45">
        <v>0</v>
      </c>
      <c r="AW68" s="45">
        <v>0</v>
      </c>
      <c r="AX68" s="45">
        <v>9255.2999999999993</v>
      </c>
      <c r="AY68" s="45">
        <v>0</v>
      </c>
      <c r="AZ68" s="45">
        <v>1</v>
      </c>
    </row>
    <row r="69" spans="2:52">
      <c r="B69" s="45">
        <v>9652.7000000000007</v>
      </c>
      <c r="C69" s="45">
        <v>0</v>
      </c>
      <c r="D69" s="45">
        <v>0</v>
      </c>
      <c r="E69" s="45">
        <v>9850.9</v>
      </c>
      <c r="F69" s="45">
        <v>0</v>
      </c>
      <c r="G69" s="45">
        <v>0</v>
      </c>
      <c r="H69" s="45">
        <v>9607.7999999999993</v>
      </c>
      <c r="I69" s="45">
        <v>0</v>
      </c>
      <c r="J69" s="45">
        <v>0</v>
      </c>
      <c r="K69" s="45">
        <v>9607.7999999999993</v>
      </c>
      <c r="L69" s="45">
        <v>0</v>
      </c>
      <c r="M69" s="45">
        <v>0</v>
      </c>
      <c r="O69" s="45">
        <v>9607.7999999999993</v>
      </c>
      <c r="P69" s="45">
        <v>0</v>
      </c>
      <c r="Q69" s="45">
        <v>1</v>
      </c>
      <c r="R69" s="45">
        <v>9625.4</v>
      </c>
      <c r="S69" s="45">
        <v>0</v>
      </c>
      <c r="T69" s="45">
        <v>0</v>
      </c>
      <c r="U69" s="45">
        <v>9607.7999999999993</v>
      </c>
      <c r="V69" s="45">
        <v>0</v>
      </c>
      <c r="W69" s="45">
        <v>0</v>
      </c>
      <c r="X69" s="45">
        <v>9837.1</v>
      </c>
      <c r="Y69" s="45">
        <v>0</v>
      </c>
      <c r="Z69" s="45">
        <v>0</v>
      </c>
      <c r="AB69" s="45">
        <v>10537.5</v>
      </c>
      <c r="AC69" s="45">
        <v>0</v>
      </c>
      <c r="AD69" s="45">
        <v>0</v>
      </c>
      <c r="AE69" s="45">
        <v>9652.7000000000007</v>
      </c>
      <c r="AF69" s="45">
        <v>0</v>
      </c>
      <c r="AG69" s="45">
        <v>0</v>
      </c>
      <c r="AH69" s="45">
        <v>10527.5</v>
      </c>
      <c r="AI69" s="45">
        <v>0</v>
      </c>
      <c r="AJ69" s="45">
        <v>1</v>
      </c>
      <c r="AK69" s="45">
        <v>10872.7</v>
      </c>
      <c r="AL69" s="45">
        <v>0</v>
      </c>
      <c r="AM69" s="45">
        <v>0</v>
      </c>
      <c r="AO69" s="45">
        <v>9607.7999999999993</v>
      </c>
      <c r="AP69" s="45">
        <v>0</v>
      </c>
      <c r="AQ69" s="45">
        <v>0</v>
      </c>
      <c r="AR69" s="45">
        <v>9620.5</v>
      </c>
      <c r="AS69" s="45">
        <v>0</v>
      </c>
      <c r="AT69" s="45">
        <v>0</v>
      </c>
      <c r="AU69" s="45">
        <v>9661</v>
      </c>
      <c r="AV69" s="45">
        <v>0</v>
      </c>
      <c r="AW69" s="45">
        <v>0</v>
      </c>
      <c r="AX69" s="45">
        <v>9652.7000000000007</v>
      </c>
      <c r="AY69" s="45">
        <v>0</v>
      </c>
      <c r="AZ69" s="45">
        <v>1</v>
      </c>
    </row>
    <row r="70" spans="2:52">
      <c r="B70" s="45">
        <v>11333.6</v>
      </c>
      <c r="C70" s="45">
        <v>0</v>
      </c>
      <c r="D70" s="45">
        <v>0</v>
      </c>
      <c r="E70" s="45">
        <v>10362.799999999999</v>
      </c>
      <c r="F70" s="45">
        <v>0</v>
      </c>
      <c r="G70" s="45">
        <v>0</v>
      </c>
      <c r="H70" s="45">
        <v>10365.799999999999</v>
      </c>
      <c r="I70" s="45">
        <v>0</v>
      </c>
      <c r="J70" s="45">
        <v>1</v>
      </c>
      <c r="K70" s="45">
        <v>10362.799999999999</v>
      </c>
      <c r="L70" s="45">
        <v>0</v>
      </c>
      <c r="M70" s="45">
        <v>0</v>
      </c>
      <c r="O70" s="45">
        <v>10612</v>
      </c>
      <c r="P70" s="45">
        <v>0</v>
      </c>
      <c r="Q70" s="45">
        <v>0</v>
      </c>
      <c r="R70" s="45">
        <v>10362.799999999999</v>
      </c>
      <c r="S70" s="45">
        <v>0</v>
      </c>
      <c r="T70" s="45">
        <v>1</v>
      </c>
      <c r="U70" s="45">
        <v>10612</v>
      </c>
      <c r="V70" s="45">
        <v>0</v>
      </c>
      <c r="W70" s="45">
        <v>0</v>
      </c>
      <c r="X70" s="45">
        <v>10791.2</v>
      </c>
      <c r="Y70" s="45">
        <v>0</v>
      </c>
      <c r="Z70" s="45">
        <v>0</v>
      </c>
      <c r="AB70" s="45">
        <v>11463.9</v>
      </c>
      <c r="AC70" s="45">
        <v>0</v>
      </c>
      <c r="AD70" s="45">
        <v>0</v>
      </c>
      <c r="AE70" s="45">
        <v>11286.4</v>
      </c>
      <c r="AF70" s="45">
        <v>0</v>
      </c>
      <c r="AG70" s="45">
        <v>0</v>
      </c>
      <c r="AH70" s="45">
        <v>11053.6</v>
      </c>
      <c r="AI70" s="45">
        <v>0</v>
      </c>
      <c r="AJ70" s="45">
        <v>1</v>
      </c>
      <c r="AK70" s="45">
        <v>11827.7</v>
      </c>
      <c r="AL70" s="45">
        <v>0</v>
      </c>
      <c r="AM70" s="45">
        <v>0</v>
      </c>
      <c r="AO70" s="45">
        <v>10834.5</v>
      </c>
      <c r="AP70" s="45">
        <v>0</v>
      </c>
      <c r="AQ70" s="45">
        <v>0</v>
      </c>
      <c r="AR70" s="45">
        <v>10922.7</v>
      </c>
      <c r="AS70" s="45">
        <v>0</v>
      </c>
      <c r="AT70" s="45">
        <v>0</v>
      </c>
      <c r="AU70" s="45">
        <v>10769.1</v>
      </c>
      <c r="AV70" s="45">
        <v>0</v>
      </c>
      <c r="AW70" s="45">
        <v>1</v>
      </c>
      <c r="AX70" s="45">
        <v>10362.799999999999</v>
      </c>
      <c r="AY70" s="45">
        <v>0</v>
      </c>
      <c r="AZ70" s="45">
        <v>0</v>
      </c>
    </row>
    <row r="71" spans="2:52">
      <c r="B71" s="45">
        <v>11923.6</v>
      </c>
      <c r="C71" s="45">
        <v>0</v>
      </c>
      <c r="D71" s="45">
        <v>0</v>
      </c>
      <c r="E71" s="45">
        <v>12438.8</v>
      </c>
      <c r="F71" s="45">
        <v>0</v>
      </c>
      <c r="G71" s="45">
        <v>0</v>
      </c>
      <c r="H71" s="45">
        <v>12307.4</v>
      </c>
      <c r="I71" s="45">
        <v>0</v>
      </c>
      <c r="J71" s="45">
        <v>0</v>
      </c>
      <c r="K71" s="45">
        <v>12438.8</v>
      </c>
      <c r="L71" s="45">
        <v>0</v>
      </c>
      <c r="M71" s="45">
        <v>0</v>
      </c>
      <c r="O71" s="45">
        <v>11923.6</v>
      </c>
      <c r="P71" s="45">
        <v>0</v>
      </c>
      <c r="Q71" s="45">
        <v>0</v>
      </c>
      <c r="R71" s="45">
        <v>11923.6</v>
      </c>
      <c r="S71" s="45">
        <v>0</v>
      </c>
      <c r="T71" s="45">
        <v>1</v>
      </c>
      <c r="U71" s="45">
        <v>11923.6</v>
      </c>
      <c r="V71" s="45">
        <v>0</v>
      </c>
      <c r="W71" s="45">
        <v>0</v>
      </c>
      <c r="X71" s="45">
        <v>11923.6</v>
      </c>
      <c r="Y71" s="45">
        <v>0</v>
      </c>
      <c r="Z71" s="45">
        <v>0</v>
      </c>
      <c r="AB71" s="45">
        <v>12694.4</v>
      </c>
      <c r="AC71" s="45">
        <v>0</v>
      </c>
      <c r="AD71" s="45">
        <v>0</v>
      </c>
      <c r="AE71" s="45">
        <v>11923.6</v>
      </c>
      <c r="AF71" s="45">
        <v>0</v>
      </c>
      <c r="AG71" s="45">
        <v>0</v>
      </c>
      <c r="AH71" s="45">
        <v>13242.3</v>
      </c>
      <c r="AI71" s="45">
        <v>0</v>
      </c>
      <c r="AJ71" s="45">
        <v>1</v>
      </c>
      <c r="AK71" s="45">
        <v>13391.3</v>
      </c>
      <c r="AL71" s="45">
        <v>0</v>
      </c>
      <c r="AM71" s="45">
        <v>0</v>
      </c>
      <c r="AO71" s="45">
        <v>12662.9</v>
      </c>
      <c r="AP71" s="45">
        <v>0</v>
      </c>
      <c r="AQ71" s="45">
        <v>0</v>
      </c>
      <c r="AR71" s="45">
        <v>11923.6</v>
      </c>
      <c r="AS71" s="45">
        <v>0</v>
      </c>
      <c r="AT71" s="45">
        <v>0</v>
      </c>
      <c r="AU71" s="45">
        <v>11923.6</v>
      </c>
      <c r="AV71" s="45">
        <v>0</v>
      </c>
      <c r="AW71" s="45">
        <v>1</v>
      </c>
      <c r="AX71" s="45">
        <v>11923.6</v>
      </c>
      <c r="AY71" s="45">
        <v>0</v>
      </c>
      <c r="AZ71" s="45">
        <v>0</v>
      </c>
    </row>
    <row r="72" spans="2:52">
      <c r="B72" s="45">
        <v>6417.5</v>
      </c>
      <c r="C72" s="45">
        <v>0</v>
      </c>
      <c r="D72" s="45">
        <v>1</v>
      </c>
      <c r="E72" s="45">
        <v>5805</v>
      </c>
      <c r="F72" s="45">
        <v>0</v>
      </c>
      <c r="G72" s="45">
        <v>0</v>
      </c>
      <c r="H72" s="45">
        <v>6399.4</v>
      </c>
      <c r="I72" s="45">
        <v>0</v>
      </c>
      <c r="J72" s="45">
        <v>0</v>
      </c>
      <c r="K72" s="45">
        <v>6121.2</v>
      </c>
      <c r="L72" s="45">
        <v>0</v>
      </c>
      <c r="M72" s="45">
        <v>0</v>
      </c>
      <c r="O72" s="45">
        <v>6261.2</v>
      </c>
      <c r="P72" s="45">
        <v>0</v>
      </c>
      <c r="Q72" s="45">
        <v>0</v>
      </c>
      <c r="R72" s="45">
        <v>6023.1</v>
      </c>
      <c r="S72" s="45">
        <v>0</v>
      </c>
      <c r="T72" s="45">
        <v>0</v>
      </c>
      <c r="U72" s="45">
        <v>6023.1</v>
      </c>
      <c r="V72" s="45">
        <v>0</v>
      </c>
      <c r="W72" s="45">
        <v>1</v>
      </c>
      <c r="X72" s="45">
        <v>5805</v>
      </c>
      <c r="Y72" s="45">
        <v>0</v>
      </c>
      <c r="Z72" s="45">
        <v>0</v>
      </c>
      <c r="AB72" s="45">
        <v>6859.9</v>
      </c>
      <c r="AC72" s="45">
        <v>0</v>
      </c>
      <c r="AD72" s="45">
        <v>0</v>
      </c>
      <c r="AE72" s="45">
        <v>6685.5</v>
      </c>
      <c r="AF72" s="45">
        <v>0</v>
      </c>
      <c r="AG72" s="45">
        <v>1</v>
      </c>
      <c r="AH72" s="45">
        <v>5805</v>
      </c>
      <c r="AI72" s="45">
        <v>0</v>
      </c>
      <c r="AJ72" s="45">
        <v>0</v>
      </c>
      <c r="AK72" s="45">
        <v>6217.8</v>
      </c>
      <c r="AL72" s="45">
        <v>0</v>
      </c>
      <c r="AM72" s="45">
        <v>0</v>
      </c>
      <c r="AO72" s="45">
        <v>6023.1</v>
      </c>
      <c r="AP72" s="45">
        <v>0</v>
      </c>
      <c r="AQ72" s="45">
        <v>0</v>
      </c>
      <c r="AR72" s="45">
        <v>6261.2</v>
      </c>
      <c r="AS72" s="45">
        <v>0</v>
      </c>
      <c r="AT72" s="45">
        <v>0</v>
      </c>
      <c r="AU72" s="45">
        <v>6023.1</v>
      </c>
      <c r="AV72" s="45">
        <v>0</v>
      </c>
      <c r="AW72" s="45">
        <v>1</v>
      </c>
      <c r="AX72" s="45">
        <v>5805</v>
      </c>
      <c r="AY72" s="45">
        <v>0</v>
      </c>
      <c r="AZ72" s="45">
        <v>0</v>
      </c>
    </row>
    <row r="73" spans="2:52">
      <c r="B73" s="45">
        <v>10483.200000000001</v>
      </c>
      <c r="C73" s="45">
        <v>0</v>
      </c>
      <c r="D73" s="45">
        <v>0</v>
      </c>
      <c r="E73" s="45">
        <v>10330</v>
      </c>
      <c r="F73" s="45">
        <v>0</v>
      </c>
      <c r="G73" s="45">
        <v>0</v>
      </c>
      <c r="H73" s="45">
        <v>10330</v>
      </c>
      <c r="I73" s="45">
        <v>0</v>
      </c>
      <c r="J73" s="45">
        <v>0</v>
      </c>
      <c r="K73" s="45">
        <v>10505</v>
      </c>
      <c r="L73" s="45">
        <v>0</v>
      </c>
      <c r="M73" s="45">
        <v>1</v>
      </c>
      <c r="O73" s="45">
        <v>10327.799999999999</v>
      </c>
      <c r="P73" s="45">
        <v>0</v>
      </c>
      <c r="Q73" s="45">
        <v>0</v>
      </c>
      <c r="R73" s="45">
        <v>10327.799999999999</v>
      </c>
      <c r="S73" s="45">
        <v>0</v>
      </c>
      <c r="T73" s="45">
        <v>0</v>
      </c>
      <c r="U73" s="45">
        <v>10653.2</v>
      </c>
      <c r="V73" s="45">
        <v>0</v>
      </c>
      <c r="W73" s="45">
        <v>1</v>
      </c>
      <c r="X73" s="45">
        <v>10327.799999999999</v>
      </c>
      <c r="Y73" s="45">
        <v>0</v>
      </c>
      <c r="Z73" s="45">
        <v>0</v>
      </c>
      <c r="AB73" s="45">
        <v>12232.8</v>
      </c>
      <c r="AC73" s="45">
        <v>0</v>
      </c>
      <c r="AD73" s="45">
        <v>0</v>
      </c>
      <c r="AE73" s="45">
        <v>11513.8</v>
      </c>
      <c r="AF73" s="45">
        <v>0</v>
      </c>
      <c r="AG73" s="45">
        <v>1</v>
      </c>
      <c r="AH73" s="45">
        <v>10483.200000000001</v>
      </c>
      <c r="AI73" s="45">
        <v>0</v>
      </c>
      <c r="AJ73" s="45">
        <v>0</v>
      </c>
      <c r="AK73" s="45">
        <v>11366.6</v>
      </c>
      <c r="AL73" s="45">
        <v>0</v>
      </c>
      <c r="AM73" s="45">
        <v>0</v>
      </c>
      <c r="AO73" s="45">
        <v>10327.799999999999</v>
      </c>
      <c r="AP73" s="45">
        <v>0</v>
      </c>
      <c r="AQ73" s="45">
        <v>0</v>
      </c>
      <c r="AR73" s="45">
        <v>10461.6</v>
      </c>
      <c r="AS73" s="45">
        <v>0</v>
      </c>
      <c r="AT73" s="45">
        <v>0</v>
      </c>
      <c r="AU73" s="45">
        <v>10327.799999999999</v>
      </c>
      <c r="AV73" s="45">
        <v>0</v>
      </c>
      <c r="AW73" s="45">
        <v>1</v>
      </c>
      <c r="AX73" s="45">
        <v>10327.799999999999</v>
      </c>
      <c r="AY73" s="45">
        <v>0</v>
      </c>
      <c r="AZ73" s="45">
        <v>0</v>
      </c>
    </row>
    <row r="74" spans="2:52">
      <c r="B74" s="45">
        <v>9699</v>
      </c>
      <c r="C74" s="45">
        <v>0</v>
      </c>
      <c r="D74" s="45">
        <v>0</v>
      </c>
      <c r="E74" s="45">
        <v>9376.7999999999993</v>
      </c>
      <c r="F74" s="45">
        <v>0</v>
      </c>
      <c r="G74" s="45">
        <v>0</v>
      </c>
      <c r="H74" s="45">
        <v>9636.2999999999993</v>
      </c>
      <c r="I74" s="45">
        <v>0</v>
      </c>
      <c r="J74" s="45">
        <v>0</v>
      </c>
      <c r="K74" s="45">
        <v>9364.2000000000007</v>
      </c>
      <c r="L74" s="45">
        <v>0</v>
      </c>
      <c r="M74" s="45">
        <v>0</v>
      </c>
      <c r="O74" s="45">
        <v>9581.6</v>
      </c>
      <c r="P74" s="45">
        <v>0</v>
      </c>
      <c r="Q74" s="45">
        <v>0</v>
      </c>
      <c r="R74" s="45">
        <v>9619.4</v>
      </c>
      <c r="S74" s="45">
        <v>0</v>
      </c>
      <c r="T74" s="45">
        <v>0</v>
      </c>
      <c r="U74" s="45">
        <v>9137</v>
      </c>
      <c r="V74" s="45">
        <v>0</v>
      </c>
      <c r="W74" s="45">
        <v>1</v>
      </c>
      <c r="X74" s="45">
        <v>9137</v>
      </c>
      <c r="Y74" s="45">
        <v>0</v>
      </c>
      <c r="Z74" s="45">
        <v>0</v>
      </c>
      <c r="AB74" s="45">
        <v>10307</v>
      </c>
      <c r="AC74" s="45">
        <v>0</v>
      </c>
      <c r="AD74" s="45">
        <v>0</v>
      </c>
      <c r="AE74" s="45">
        <v>10544.5</v>
      </c>
      <c r="AF74" s="45">
        <v>0</v>
      </c>
      <c r="AG74" s="45">
        <v>1</v>
      </c>
      <c r="AH74" s="45">
        <v>9137</v>
      </c>
      <c r="AI74" s="45">
        <v>0</v>
      </c>
      <c r="AJ74" s="45">
        <v>0</v>
      </c>
      <c r="AK74" s="45">
        <v>9814.2999999999993</v>
      </c>
      <c r="AL74" s="45">
        <v>0</v>
      </c>
      <c r="AM74" s="45">
        <v>0</v>
      </c>
      <c r="AO74" s="45">
        <v>9754</v>
      </c>
      <c r="AP74" s="45">
        <v>0</v>
      </c>
      <c r="AQ74" s="45">
        <v>0</v>
      </c>
      <c r="AR74" s="45">
        <v>9768.7000000000007</v>
      </c>
      <c r="AS74" s="45">
        <v>0</v>
      </c>
      <c r="AT74" s="45">
        <v>1</v>
      </c>
      <c r="AU74" s="45">
        <v>9137</v>
      </c>
      <c r="AV74" s="45">
        <v>0</v>
      </c>
      <c r="AW74" s="45">
        <v>0</v>
      </c>
      <c r="AX74" s="45">
        <v>9659.6</v>
      </c>
      <c r="AY74" s="45">
        <v>0</v>
      </c>
      <c r="AZ74" s="45">
        <v>0</v>
      </c>
    </row>
    <row r="75" spans="2:52">
      <c r="B75" s="45">
        <v>6301.1</v>
      </c>
      <c r="C75" s="45">
        <v>0</v>
      </c>
      <c r="D75" s="45">
        <v>1</v>
      </c>
      <c r="E75" s="45">
        <v>6301.1</v>
      </c>
      <c r="F75" s="45">
        <v>0</v>
      </c>
      <c r="G75" s="45">
        <v>0</v>
      </c>
      <c r="H75" s="45">
        <v>6301.1</v>
      </c>
      <c r="I75" s="45">
        <v>0</v>
      </c>
      <c r="J75" s="45">
        <v>0</v>
      </c>
      <c r="K75" s="45">
        <v>8701.1</v>
      </c>
      <c r="L75" s="45">
        <v>24</v>
      </c>
      <c r="M75" s="45">
        <v>0</v>
      </c>
      <c r="O75" s="45">
        <v>6448.4</v>
      </c>
      <c r="P75" s="45">
        <v>0</v>
      </c>
      <c r="Q75" s="45">
        <v>0</v>
      </c>
      <c r="R75" s="45">
        <v>5932.4</v>
      </c>
      <c r="S75" s="45">
        <v>0</v>
      </c>
      <c r="T75" s="45">
        <v>1</v>
      </c>
      <c r="U75" s="45">
        <v>6301.1</v>
      </c>
      <c r="V75" s="45">
        <v>0</v>
      </c>
      <c r="W75" s="45">
        <v>0</v>
      </c>
      <c r="X75" s="45">
        <v>6473.3</v>
      </c>
      <c r="Y75" s="45">
        <v>0</v>
      </c>
      <c r="Z75" s="45">
        <v>0</v>
      </c>
      <c r="AB75" s="45">
        <v>6473.3</v>
      </c>
      <c r="AC75" s="45">
        <v>0</v>
      </c>
      <c r="AD75" s="45">
        <v>0</v>
      </c>
      <c r="AE75" s="45">
        <v>7243.9</v>
      </c>
      <c r="AF75" s="45">
        <v>0</v>
      </c>
      <c r="AG75" s="45">
        <v>1</v>
      </c>
      <c r="AH75" s="45">
        <v>8265</v>
      </c>
      <c r="AI75" s="45">
        <v>0</v>
      </c>
      <c r="AJ75" s="45">
        <v>0</v>
      </c>
      <c r="AK75" s="45">
        <v>6448.4</v>
      </c>
      <c r="AL75" s="45">
        <v>0</v>
      </c>
      <c r="AM75" s="45">
        <v>0</v>
      </c>
      <c r="AO75" s="45">
        <v>6632.4</v>
      </c>
      <c r="AP75" s="45">
        <v>0</v>
      </c>
      <c r="AQ75" s="45">
        <v>0</v>
      </c>
      <c r="AR75" s="45">
        <v>6448.4</v>
      </c>
      <c r="AS75" s="45">
        <v>0</v>
      </c>
      <c r="AT75" s="45">
        <v>1</v>
      </c>
      <c r="AU75" s="45">
        <v>9116.5</v>
      </c>
      <c r="AV75" s="45">
        <v>24</v>
      </c>
      <c r="AW75" s="45">
        <v>0</v>
      </c>
      <c r="AX75" s="45">
        <v>5932.4</v>
      </c>
      <c r="AY75" s="45">
        <v>0</v>
      </c>
      <c r="AZ75" s="45">
        <v>0</v>
      </c>
    </row>
    <row r="76" spans="2:52">
      <c r="B76" s="45">
        <v>11116.2</v>
      </c>
      <c r="C76" s="45">
        <v>0</v>
      </c>
      <c r="D76" s="45">
        <v>0</v>
      </c>
      <c r="E76" s="45">
        <v>12983.4</v>
      </c>
      <c r="F76" s="45">
        <v>25</v>
      </c>
      <c r="G76" s="45">
        <v>0</v>
      </c>
      <c r="H76" s="45">
        <v>13519.5</v>
      </c>
      <c r="I76" s="45">
        <v>25</v>
      </c>
      <c r="J76" s="45">
        <v>1</v>
      </c>
      <c r="K76" s="45">
        <v>10875.4</v>
      </c>
      <c r="L76" s="45">
        <v>0</v>
      </c>
      <c r="M76" s="45">
        <v>0</v>
      </c>
      <c r="O76" s="45">
        <v>11323.7</v>
      </c>
      <c r="P76" s="45">
        <v>0</v>
      </c>
      <c r="Q76" s="45">
        <v>0</v>
      </c>
      <c r="R76" s="45">
        <v>10483.4</v>
      </c>
      <c r="S76" s="45">
        <v>0</v>
      </c>
      <c r="T76" s="45">
        <v>1</v>
      </c>
      <c r="U76" s="45">
        <v>11019.5</v>
      </c>
      <c r="V76" s="45">
        <v>0</v>
      </c>
      <c r="W76" s="45">
        <v>0</v>
      </c>
      <c r="X76" s="45">
        <v>11508.3</v>
      </c>
      <c r="Y76" s="45">
        <v>5</v>
      </c>
      <c r="Z76" s="45">
        <v>0</v>
      </c>
      <c r="AB76" s="45">
        <v>11524</v>
      </c>
      <c r="AC76" s="45">
        <v>0</v>
      </c>
      <c r="AD76" s="45">
        <v>0</v>
      </c>
      <c r="AE76" s="45">
        <v>11354.6</v>
      </c>
      <c r="AF76" s="45">
        <v>0</v>
      </c>
      <c r="AG76" s="45">
        <v>1</v>
      </c>
      <c r="AH76" s="45">
        <v>11551.3</v>
      </c>
      <c r="AI76" s="45">
        <v>0</v>
      </c>
      <c r="AJ76" s="45">
        <v>0</v>
      </c>
      <c r="AK76" s="45">
        <v>11398.1</v>
      </c>
      <c r="AL76" s="45">
        <v>0</v>
      </c>
      <c r="AM76" s="45">
        <v>0</v>
      </c>
      <c r="AO76" s="45">
        <v>11398.1</v>
      </c>
      <c r="AP76" s="45">
        <v>0</v>
      </c>
      <c r="AQ76" s="45">
        <v>1</v>
      </c>
      <c r="AR76" s="45">
        <v>11439.2</v>
      </c>
      <c r="AS76" s="45">
        <v>0</v>
      </c>
      <c r="AT76" s="45">
        <v>0</v>
      </c>
      <c r="AU76" s="45">
        <v>10483.4</v>
      </c>
      <c r="AV76" s="45">
        <v>0</v>
      </c>
      <c r="AW76" s="45">
        <v>0</v>
      </c>
      <c r="AX76" s="45">
        <v>10483.4</v>
      </c>
      <c r="AY76" s="45">
        <v>0</v>
      </c>
      <c r="AZ76" s="45">
        <v>0</v>
      </c>
    </row>
    <row r="77" spans="2:52">
      <c r="B77" s="45">
        <v>6666.6</v>
      </c>
      <c r="C77" s="45">
        <v>0</v>
      </c>
      <c r="D77" s="45">
        <v>0</v>
      </c>
      <c r="E77" s="45">
        <v>7033.1</v>
      </c>
      <c r="F77" s="45">
        <v>0</v>
      </c>
      <c r="G77" s="45">
        <v>0</v>
      </c>
      <c r="H77" s="45">
        <v>7640.8</v>
      </c>
      <c r="I77" s="45">
        <v>0</v>
      </c>
      <c r="J77" s="45">
        <v>0</v>
      </c>
      <c r="K77" s="45">
        <v>6623.4</v>
      </c>
      <c r="L77" s="45">
        <v>0</v>
      </c>
      <c r="M77" s="45">
        <v>0</v>
      </c>
      <c r="O77" s="45">
        <v>6623.4</v>
      </c>
      <c r="P77" s="45">
        <v>0</v>
      </c>
      <c r="Q77" s="45">
        <v>1</v>
      </c>
      <c r="R77" s="45">
        <v>6754.9</v>
      </c>
      <c r="S77" s="45">
        <v>0</v>
      </c>
      <c r="T77" s="45">
        <v>0</v>
      </c>
      <c r="U77" s="45">
        <v>6623.4</v>
      </c>
      <c r="V77" s="45">
        <v>0</v>
      </c>
      <c r="W77" s="45">
        <v>0</v>
      </c>
      <c r="X77" s="45">
        <v>6623.4</v>
      </c>
      <c r="Y77" s="45">
        <v>0</v>
      </c>
      <c r="Z77" s="45">
        <v>0</v>
      </c>
      <c r="AB77" s="45">
        <v>8056.7</v>
      </c>
      <c r="AC77" s="45">
        <v>0</v>
      </c>
      <c r="AD77" s="45">
        <v>0</v>
      </c>
      <c r="AE77" s="45">
        <v>7782.8</v>
      </c>
      <c r="AF77" s="45">
        <v>0</v>
      </c>
      <c r="AG77" s="45">
        <v>1</v>
      </c>
      <c r="AH77" s="45">
        <v>7865.5</v>
      </c>
      <c r="AI77" s="45">
        <v>0</v>
      </c>
      <c r="AJ77" s="45">
        <v>0</v>
      </c>
      <c r="AK77" s="45">
        <v>7481.4</v>
      </c>
      <c r="AL77" s="45">
        <v>0</v>
      </c>
      <c r="AM77" s="45">
        <v>0</v>
      </c>
      <c r="AO77" s="45">
        <v>6754.9</v>
      </c>
      <c r="AP77" s="45">
        <v>0</v>
      </c>
      <c r="AQ77" s="45">
        <v>1</v>
      </c>
      <c r="AR77" s="45">
        <v>6874.8</v>
      </c>
      <c r="AS77" s="45">
        <v>0</v>
      </c>
      <c r="AT77" s="45">
        <v>0</v>
      </c>
      <c r="AU77" s="45">
        <v>6874.8</v>
      </c>
      <c r="AV77" s="45">
        <v>0</v>
      </c>
      <c r="AW77" s="45">
        <v>0</v>
      </c>
      <c r="AX77" s="45">
        <v>7033.1</v>
      </c>
      <c r="AY77" s="45">
        <v>0</v>
      </c>
      <c r="AZ77" s="45">
        <v>1</v>
      </c>
    </row>
    <row r="78" spans="2:52">
      <c r="B78" s="45">
        <v>11251.6</v>
      </c>
      <c r="C78" s="45">
        <v>0</v>
      </c>
      <c r="D78" s="45">
        <v>1</v>
      </c>
      <c r="E78" s="45">
        <v>11469.2</v>
      </c>
      <c r="F78" s="45">
        <v>0</v>
      </c>
      <c r="G78" s="45">
        <v>0</v>
      </c>
      <c r="H78" s="45">
        <v>13447.1</v>
      </c>
      <c r="I78" s="45">
        <v>23</v>
      </c>
      <c r="J78" s="45">
        <v>0</v>
      </c>
      <c r="K78" s="45">
        <v>12247.1</v>
      </c>
      <c r="L78" s="45">
        <v>11</v>
      </c>
      <c r="M78" s="45">
        <v>0</v>
      </c>
      <c r="O78" s="45">
        <v>13647.1</v>
      </c>
      <c r="P78" s="45">
        <v>25</v>
      </c>
      <c r="Q78" s="45">
        <v>1</v>
      </c>
      <c r="R78" s="45">
        <v>11469.2</v>
      </c>
      <c r="S78" s="45">
        <v>0</v>
      </c>
      <c r="T78" s="45">
        <v>0</v>
      </c>
      <c r="U78" s="45">
        <v>11469.2</v>
      </c>
      <c r="V78" s="45">
        <v>0</v>
      </c>
      <c r="W78" s="45">
        <v>1</v>
      </c>
      <c r="X78" s="45">
        <v>11751.6</v>
      </c>
      <c r="Y78" s="45">
        <v>5</v>
      </c>
      <c r="Z78" s="45">
        <v>0</v>
      </c>
      <c r="AB78" s="45">
        <v>13333.7</v>
      </c>
      <c r="AC78" s="45">
        <v>0</v>
      </c>
      <c r="AD78" s="45">
        <v>1</v>
      </c>
      <c r="AE78" s="45">
        <v>12848.3</v>
      </c>
      <c r="AF78" s="45">
        <v>0</v>
      </c>
      <c r="AG78" s="45">
        <v>0</v>
      </c>
      <c r="AH78" s="45">
        <v>14037.6</v>
      </c>
      <c r="AI78" s="45">
        <v>0</v>
      </c>
      <c r="AJ78" s="45">
        <v>0</v>
      </c>
      <c r="AK78" s="45">
        <v>12300.1</v>
      </c>
      <c r="AL78" s="45">
        <v>0</v>
      </c>
      <c r="AM78" s="45">
        <v>0</v>
      </c>
      <c r="AO78" s="45">
        <v>13447.1</v>
      </c>
      <c r="AP78" s="45">
        <v>23</v>
      </c>
      <c r="AQ78" s="45">
        <v>0</v>
      </c>
      <c r="AR78" s="45">
        <v>11751.6</v>
      </c>
      <c r="AS78" s="45">
        <v>5</v>
      </c>
      <c r="AT78" s="45">
        <v>0</v>
      </c>
      <c r="AU78" s="45">
        <v>11469.2</v>
      </c>
      <c r="AV78" s="45">
        <v>0</v>
      </c>
      <c r="AW78" s="45">
        <v>1</v>
      </c>
      <c r="AX78" s="45">
        <v>11751.6</v>
      </c>
      <c r="AY78" s="45">
        <v>5</v>
      </c>
      <c r="AZ78" s="45">
        <v>0</v>
      </c>
    </row>
    <row r="79" spans="2:52">
      <c r="B79" s="45">
        <v>6655</v>
      </c>
      <c r="C79" s="45">
        <v>0</v>
      </c>
      <c r="D79" s="45">
        <v>0</v>
      </c>
      <c r="E79" s="45">
        <v>6655</v>
      </c>
      <c r="F79" s="45">
        <v>0</v>
      </c>
      <c r="G79" s="45">
        <v>0</v>
      </c>
      <c r="H79" s="45">
        <v>6655</v>
      </c>
      <c r="I79" s="45">
        <v>0</v>
      </c>
      <c r="J79" s="45">
        <v>1</v>
      </c>
      <c r="K79" s="45">
        <v>6694</v>
      </c>
      <c r="L79" s="45">
        <v>0</v>
      </c>
      <c r="M79" s="45">
        <v>0</v>
      </c>
      <c r="O79" s="45">
        <v>6655</v>
      </c>
      <c r="P79" s="45">
        <v>0</v>
      </c>
      <c r="Q79" s="45">
        <v>0</v>
      </c>
      <c r="R79" s="45">
        <v>7094</v>
      </c>
      <c r="S79" s="45">
        <v>0</v>
      </c>
      <c r="T79" s="45">
        <v>1</v>
      </c>
      <c r="U79" s="45">
        <v>6655</v>
      </c>
      <c r="V79" s="45">
        <v>0</v>
      </c>
      <c r="W79" s="45">
        <v>0</v>
      </c>
      <c r="X79" s="45">
        <v>6655</v>
      </c>
      <c r="Y79" s="45">
        <v>0</v>
      </c>
      <c r="Z79" s="45">
        <v>0</v>
      </c>
      <c r="AB79" s="45">
        <v>8107.4</v>
      </c>
      <c r="AC79" s="45">
        <v>0</v>
      </c>
      <c r="AD79" s="45">
        <v>1</v>
      </c>
      <c r="AE79" s="45">
        <v>8643.7999999999993</v>
      </c>
      <c r="AF79" s="45">
        <v>0</v>
      </c>
      <c r="AG79" s="45">
        <v>0</v>
      </c>
      <c r="AH79" s="45">
        <v>7666.5</v>
      </c>
      <c r="AI79" s="45">
        <v>0</v>
      </c>
      <c r="AJ79" s="45">
        <v>0</v>
      </c>
      <c r="AK79" s="45">
        <v>7347.3</v>
      </c>
      <c r="AL79" s="45">
        <v>0</v>
      </c>
      <c r="AM79" s="45">
        <v>0</v>
      </c>
      <c r="AO79" s="45">
        <v>6655</v>
      </c>
      <c r="AP79" s="45">
        <v>0</v>
      </c>
      <c r="AQ79" s="45">
        <v>0</v>
      </c>
      <c r="AR79" s="45">
        <v>7094</v>
      </c>
      <c r="AS79" s="45">
        <v>0</v>
      </c>
      <c r="AT79" s="45">
        <v>0</v>
      </c>
      <c r="AU79" s="45">
        <v>7094</v>
      </c>
      <c r="AV79" s="45">
        <v>0</v>
      </c>
      <c r="AW79" s="45">
        <v>1</v>
      </c>
      <c r="AX79" s="45">
        <v>6655</v>
      </c>
      <c r="AY79" s="45">
        <v>0</v>
      </c>
      <c r="AZ79" s="45">
        <v>0</v>
      </c>
    </row>
    <row r="80" spans="2:52">
      <c r="B80" s="45">
        <v>9860.4</v>
      </c>
      <c r="C80" s="45">
        <v>16</v>
      </c>
      <c r="D80" s="45">
        <v>0</v>
      </c>
      <c r="E80" s="45">
        <v>8247.7999999999993</v>
      </c>
      <c r="F80" s="45">
        <v>0</v>
      </c>
      <c r="G80" s="45">
        <v>0</v>
      </c>
      <c r="H80" s="45">
        <v>8097.1</v>
      </c>
      <c r="I80" s="45">
        <v>0</v>
      </c>
      <c r="J80" s="45">
        <v>0</v>
      </c>
      <c r="K80" s="45">
        <v>8097.1</v>
      </c>
      <c r="L80" s="45">
        <v>0</v>
      </c>
      <c r="M80" s="45">
        <v>0</v>
      </c>
      <c r="O80" s="45">
        <v>8097.1</v>
      </c>
      <c r="P80" s="45">
        <v>0</v>
      </c>
      <c r="Q80" s="45">
        <v>0</v>
      </c>
      <c r="R80" s="45">
        <v>8097.1</v>
      </c>
      <c r="S80" s="45">
        <v>0</v>
      </c>
      <c r="T80" s="45">
        <v>1</v>
      </c>
      <c r="U80" s="45">
        <v>8097.1</v>
      </c>
      <c r="V80" s="45">
        <v>0</v>
      </c>
      <c r="W80" s="45">
        <v>0</v>
      </c>
      <c r="X80" s="45">
        <v>8247.7999999999993</v>
      </c>
      <c r="Y80" s="45">
        <v>0</v>
      </c>
      <c r="Z80" s="45">
        <v>0</v>
      </c>
      <c r="AB80" s="45">
        <v>8315</v>
      </c>
      <c r="AC80" s="45">
        <v>0</v>
      </c>
      <c r="AD80" s="45">
        <v>1</v>
      </c>
      <c r="AE80" s="45">
        <v>9239.6</v>
      </c>
      <c r="AF80" s="45">
        <v>0</v>
      </c>
      <c r="AG80" s="45">
        <v>0</v>
      </c>
      <c r="AH80" s="45">
        <v>8376.2000000000007</v>
      </c>
      <c r="AI80" s="45">
        <v>0</v>
      </c>
      <c r="AJ80" s="45">
        <v>0</v>
      </c>
      <c r="AK80" s="45">
        <v>8927</v>
      </c>
      <c r="AL80" s="45">
        <v>0</v>
      </c>
      <c r="AM80" s="45">
        <v>1</v>
      </c>
      <c r="AO80" s="45">
        <v>8476.2000000000007</v>
      </c>
      <c r="AP80" s="45">
        <v>0</v>
      </c>
      <c r="AQ80" s="45">
        <v>0</v>
      </c>
      <c r="AR80" s="45">
        <v>8097.1</v>
      </c>
      <c r="AS80" s="45">
        <v>0</v>
      </c>
      <c r="AT80" s="45">
        <v>1</v>
      </c>
      <c r="AU80" s="45">
        <v>8247.7999999999993</v>
      </c>
      <c r="AV80" s="45">
        <v>0</v>
      </c>
      <c r="AW80" s="45">
        <v>0</v>
      </c>
      <c r="AX80" s="45">
        <v>8233.4</v>
      </c>
      <c r="AY80" s="45">
        <v>0</v>
      </c>
      <c r="AZ80" s="45">
        <v>0</v>
      </c>
    </row>
    <row r="81" spans="2:52">
      <c r="B81" s="45">
        <v>9217.9</v>
      </c>
      <c r="C81" s="45">
        <v>0</v>
      </c>
      <c r="D81" s="45">
        <v>1</v>
      </c>
      <c r="E81" s="45">
        <v>9246.7999999999993</v>
      </c>
      <c r="F81" s="45">
        <v>4</v>
      </c>
      <c r="G81" s="45">
        <v>0</v>
      </c>
      <c r="H81" s="45">
        <v>9133.4</v>
      </c>
      <c r="I81" s="45">
        <v>3</v>
      </c>
      <c r="J81" s="45">
        <v>0</v>
      </c>
      <c r="K81" s="45">
        <v>8882.6</v>
      </c>
      <c r="L81" s="45">
        <v>0</v>
      </c>
      <c r="M81" s="45">
        <v>0</v>
      </c>
      <c r="O81" s="45">
        <v>9217.9</v>
      </c>
      <c r="P81" s="45">
        <v>0</v>
      </c>
      <c r="Q81" s="45">
        <v>1</v>
      </c>
      <c r="R81" s="45">
        <v>9005.2999999999993</v>
      </c>
      <c r="S81" s="45">
        <v>0</v>
      </c>
      <c r="T81" s="45">
        <v>0</v>
      </c>
      <c r="U81" s="45">
        <v>9005.2999999999993</v>
      </c>
      <c r="V81" s="45">
        <v>0</v>
      </c>
      <c r="W81" s="45">
        <v>0</v>
      </c>
      <c r="X81" s="45">
        <v>9161.7999999999993</v>
      </c>
      <c r="Y81" s="45">
        <v>4</v>
      </c>
      <c r="Z81" s="45">
        <v>1</v>
      </c>
      <c r="AB81" s="45">
        <v>9929.2000000000007</v>
      </c>
      <c r="AC81" s="45">
        <v>0</v>
      </c>
      <c r="AD81" s="45">
        <v>0</v>
      </c>
      <c r="AE81" s="45">
        <v>10121.6</v>
      </c>
      <c r="AF81" s="45">
        <v>0</v>
      </c>
      <c r="AG81" s="45">
        <v>0</v>
      </c>
      <c r="AH81" s="45">
        <v>10079.700000000001</v>
      </c>
      <c r="AI81" s="45">
        <v>0</v>
      </c>
      <c r="AJ81" s="45">
        <v>0</v>
      </c>
      <c r="AK81" s="45">
        <v>10236.6</v>
      </c>
      <c r="AL81" s="45">
        <v>0</v>
      </c>
      <c r="AM81" s="45">
        <v>1</v>
      </c>
      <c r="AO81" s="45">
        <v>9921.6</v>
      </c>
      <c r="AP81" s="45">
        <v>0</v>
      </c>
      <c r="AQ81" s="45">
        <v>0</v>
      </c>
      <c r="AR81" s="45">
        <v>8882.6</v>
      </c>
      <c r="AS81" s="45">
        <v>0</v>
      </c>
      <c r="AT81" s="45">
        <v>1</v>
      </c>
      <c r="AU81" s="45">
        <v>8882.6</v>
      </c>
      <c r="AV81" s="45">
        <v>0</v>
      </c>
      <c r="AW81" s="45">
        <v>0</v>
      </c>
      <c r="AX81" s="45">
        <v>9181</v>
      </c>
      <c r="AY81" s="45">
        <v>0</v>
      </c>
      <c r="AZ81" s="45">
        <v>0</v>
      </c>
    </row>
    <row r="82" spans="2:52">
      <c r="B82" s="45">
        <v>10800.7</v>
      </c>
      <c r="C82" s="45">
        <v>0</v>
      </c>
      <c r="D82" s="45">
        <v>0</v>
      </c>
      <c r="E82" s="45">
        <v>11269.8</v>
      </c>
      <c r="F82" s="45">
        <v>0</v>
      </c>
      <c r="G82" s="45">
        <v>0</v>
      </c>
      <c r="H82" s="45">
        <v>11002.9</v>
      </c>
      <c r="I82" s="45">
        <v>0</v>
      </c>
      <c r="J82" s="45">
        <v>1</v>
      </c>
      <c r="K82" s="45">
        <v>10822.2</v>
      </c>
      <c r="L82" s="45">
        <v>0</v>
      </c>
      <c r="M82" s="45">
        <v>0</v>
      </c>
      <c r="O82" s="45">
        <v>10723.4</v>
      </c>
      <c r="P82" s="45">
        <v>0</v>
      </c>
      <c r="Q82" s="45">
        <v>0</v>
      </c>
      <c r="R82" s="45">
        <v>10776.7</v>
      </c>
      <c r="S82" s="45">
        <v>0</v>
      </c>
      <c r="T82" s="45">
        <v>0</v>
      </c>
      <c r="U82" s="45">
        <v>10723.4</v>
      </c>
      <c r="V82" s="45">
        <v>0</v>
      </c>
      <c r="W82" s="45">
        <v>1</v>
      </c>
      <c r="X82" s="45">
        <v>11504.1</v>
      </c>
      <c r="Y82" s="45">
        <v>6</v>
      </c>
      <c r="Z82" s="45">
        <v>0</v>
      </c>
      <c r="AB82" s="45">
        <v>11984.5</v>
      </c>
      <c r="AC82" s="45">
        <v>0</v>
      </c>
      <c r="AD82" s="45">
        <v>0</v>
      </c>
      <c r="AE82" s="45">
        <v>11735.3</v>
      </c>
      <c r="AF82" s="45">
        <v>0</v>
      </c>
      <c r="AG82" s="45">
        <v>0</v>
      </c>
      <c r="AH82" s="45">
        <v>11004.6</v>
      </c>
      <c r="AI82" s="45">
        <v>0</v>
      </c>
      <c r="AJ82" s="45">
        <v>0</v>
      </c>
      <c r="AK82" s="45">
        <v>11155.2</v>
      </c>
      <c r="AL82" s="45">
        <v>0</v>
      </c>
      <c r="AM82" s="45">
        <v>1</v>
      </c>
      <c r="AO82" s="45">
        <v>11155.2</v>
      </c>
      <c r="AP82" s="45">
        <v>0</v>
      </c>
      <c r="AQ82" s="45">
        <v>0</v>
      </c>
      <c r="AR82" s="45">
        <v>10723.4</v>
      </c>
      <c r="AS82" s="45">
        <v>0</v>
      </c>
      <c r="AT82" s="45">
        <v>0</v>
      </c>
      <c r="AU82" s="45">
        <v>10924.5</v>
      </c>
      <c r="AV82" s="45">
        <v>0</v>
      </c>
      <c r="AW82" s="45">
        <v>1</v>
      </c>
      <c r="AX82" s="45">
        <v>10822.2</v>
      </c>
      <c r="AY82" s="45">
        <v>0</v>
      </c>
      <c r="AZ82" s="45">
        <v>0</v>
      </c>
    </row>
    <row r="83" spans="2:52">
      <c r="B83" s="45">
        <v>10367.1</v>
      </c>
      <c r="C83" s="45">
        <v>0</v>
      </c>
      <c r="D83" s="45">
        <v>0</v>
      </c>
      <c r="E83" s="45">
        <v>9608.6</v>
      </c>
      <c r="F83" s="45">
        <v>0</v>
      </c>
      <c r="G83" s="45">
        <v>0</v>
      </c>
      <c r="H83" s="45">
        <v>9147.7999999999993</v>
      </c>
      <c r="I83" s="45">
        <v>0</v>
      </c>
      <c r="J83" s="45">
        <v>0</v>
      </c>
      <c r="K83" s="45">
        <v>8995.7999999999993</v>
      </c>
      <c r="L83" s="45">
        <v>0</v>
      </c>
      <c r="M83" s="45">
        <v>1</v>
      </c>
      <c r="O83" s="45">
        <v>9147.7999999999993</v>
      </c>
      <c r="P83" s="45">
        <v>0</v>
      </c>
      <c r="Q83" s="45">
        <v>0</v>
      </c>
      <c r="R83" s="45">
        <v>9035.7999999999993</v>
      </c>
      <c r="S83" s="45">
        <v>0</v>
      </c>
      <c r="T83" s="45">
        <v>0</v>
      </c>
      <c r="U83" s="45">
        <v>9511</v>
      </c>
      <c r="V83" s="45">
        <v>0</v>
      </c>
      <c r="W83" s="45">
        <v>1</v>
      </c>
      <c r="X83" s="45">
        <v>9608.6</v>
      </c>
      <c r="Y83" s="45">
        <v>0</v>
      </c>
      <c r="Z83" s="45">
        <v>0</v>
      </c>
      <c r="AB83" s="45">
        <v>11215.1</v>
      </c>
      <c r="AC83" s="45">
        <v>0</v>
      </c>
      <c r="AD83" s="45">
        <v>0</v>
      </c>
      <c r="AE83" s="45">
        <v>10675.4</v>
      </c>
      <c r="AF83" s="45">
        <v>0</v>
      </c>
      <c r="AG83" s="45">
        <v>0</v>
      </c>
      <c r="AH83" s="45">
        <v>10788.2</v>
      </c>
      <c r="AI83" s="45">
        <v>0</v>
      </c>
      <c r="AJ83" s="45">
        <v>1</v>
      </c>
      <c r="AK83" s="45">
        <v>10296.1</v>
      </c>
      <c r="AL83" s="45">
        <v>0</v>
      </c>
      <c r="AM83" s="45">
        <v>0</v>
      </c>
      <c r="AO83" s="45">
        <v>9917.9</v>
      </c>
      <c r="AP83" s="45">
        <v>0</v>
      </c>
      <c r="AQ83" s="45">
        <v>0</v>
      </c>
      <c r="AR83" s="45">
        <v>9608.6</v>
      </c>
      <c r="AS83" s="45">
        <v>0</v>
      </c>
      <c r="AT83" s="45">
        <v>0</v>
      </c>
      <c r="AU83" s="45">
        <v>9608.6</v>
      </c>
      <c r="AV83" s="45">
        <v>0</v>
      </c>
      <c r="AW83" s="45">
        <v>0</v>
      </c>
      <c r="AX83" s="45">
        <v>9608.6</v>
      </c>
      <c r="AY83" s="45">
        <v>0</v>
      </c>
      <c r="AZ83" s="45">
        <v>1</v>
      </c>
    </row>
    <row r="84" spans="2:52">
      <c r="B84" s="45">
        <v>7368.8</v>
      </c>
      <c r="C84" s="45">
        <v>0</v>
      </c>
      <c r="D84" s="45">
        <v>0</v>
      </c>
      <c r="E84" s="45">
        <v>7115.1</v>
      </c>
      <c r="F84" s="45">
        <v>0</v>
      </c>
      <c r="G84" s="45">
        <v>0</v>
      </c>
      <c r="H84" s="45">
        <v>7115.1</v>
      </c>
      <c r="I84" s="45">
        <v>0</v>
      </c>
      <c r="J84" s="45">
        <v>0</v>
      </c>
      <c r="K84" s="45">
        <v>7040.7</v>
      </c>
      <c r="L84" s="45">
        <v>0</v>
      </c>
      <c r="M84" s="45">
        <v>0</v>
      </c>
      <c r="O84" s="45">
        <v>6947.1</v>
      </c>
      <c r="P84" s="45">
        <v>0</v>
      </c>
      <c r="Q84" s="45">
        <v>0</v>
      </c>
      <c r="R84" s="45">
        <v>6947.1</v>
      </c>
      <c r="S84" s="45">
        <v>0</v>
      </c>
      <c r="T84" s="45">
        <v>1</v>
      </c>
      <c r="U84" s="45">
        <v>7075.1</v>
      </c>
      <c r="V84" s="45">
        <v>0</v>
      </c>
      <c r="W84" s="45">
        <v>0</v>
      </c>
      <c r="X84" s="45">
        <v>7027.1</v>
      </c>
      <c r="Y84" s="45">
        <v>0</v>
      </c>
      <c r="Z84" s="45">
        <v>0</v>
      </c>
      <c r="AB84" s="45">
        <v>7982.1</v>
      </c>
      <c r="AC84" s="45">
        <v>0</v>
      </c>
      <c r="AD84" s="45">
        <v>0</v>
      </c>
      <c r="AE84" s="45">
        <v>7191.7</v>
      </c>
      <c r="AF84" s="45">
        <v>0</v>
      </c>
      <c r="AG84" s="45">
        <v>0</v>
      </c>
      <c r="AH84" s="45">
        <v>8171.4</v>
      </c>
      <c r="AI84" s="45">
        <v>0</v>
      </c>
      <c r="AJ84" s="45">
        <v>1</v>
      </c>
      <c r="AK84" s="45">
        <v>7437</v>
      </c>
      <c r="AL84" s="45">
        <v>0</v>
      </c>
      <c r="AM84" s="45">
        <v>0</v>
      </c>
      <c r="AO84" s="45">
        <v>7368.8</v>
      </c>
      <c r="AP84" s="45">
        <v>0</v>
      </c>
      <c r="AQ84" s="45">
        <v>0</v>
      </c>
      <c r="AR84" s="45">
        <v>7191.7</v>
      </c>
      <c r="AS84" s="45">
        <v>0</v>
      </c>
      <c r="AT84" s="45">
        <v>0</v>
      </c>
      <c r="AU84" s="45">
        <v>7480.4</v>
      </c>
      <c r="AV84" s="45">
        <v>0</v>
      </c>
      <c r="AW84" s="45">
        <v>0</v>
      </c>
      <c r="AX84" s="45">
        <v>7139.2</v>
      </c>
      <c r="AY84" s="45">
        <v>0</v>
      </c>
      <c r="AZ84" s="45">
        <v>1</v>
      </c>
    </row>
    <row r="85" spans="2:52">
      <c r="B85" s="45">
        <v>10952.6</v>
      </c>
      <c r="C85" s="45">
        <v>0</v>
      </c>
      <c r="D85" s="45">
        <v>1</v>
      </c>
      <c r="E85" s="45">
        <v>10711.2</v>
      </c>
      <c r="F85" s="45">
        <v>0</v>
      </c>
      <c r="G85" s="45">
        <v>0</v>
      </c>
      <c r="H85" s="45">
        <v>10711.2</v>
      </c>
      <c r="I85" s="45">
        <v>0</v>
      </c>
      <c r="J85" s="45">
        <v>0</v>
      </c>
      <c r="K85" s="45">
        <v>10860.9</v>
      </c>
      <c r="L85" s="45">
        <v>0</v>
      </c>
      <c r="M85" s="45">
        <v>0</v>
      </c>
      <c r="O85" s="45">
        <v>10711.2</v>
      </c>
      <c r="P85" s="45">
        <v>0</v>
      </c>
      <c r="Q85" s="45">
        <v>1</v>
      </c>
      <c r="R85" s="45">
        <v>10860.9</v>
      </c>
      <c r="S85" s="45">
        <v>0</v>
      </c>
      <c r="T85" s="45">
        <v>0</v>
      </c>
      <c r="U85" s="45">
        <v>10711.2</v>
      </c>
      <c r="V85" s="45">
        <v>0</v>
      </c>
      <c r="W85" s="45">
        <v>0</v>
      </c>
      <c r="X85" s="45">
        <v>10711.2</v>
      </c>
      <c r="Y85" s="45">
        <v>0</v>
      </c>
      <c r="Z85" s="45">
        <v>1</v>
      </c>
      <c r="AB85" s="45">
        <v>13176.2</v>
      </c>
      <c r="AC85" s="45">
        <v>0</v>
      </c>
      <c r="AD85" s="45">
        <v>0</v>
      </c>
      <c r="AE85" s="45">
        <v>11492.6</v>
      </c>
      <c r="AF85" s="45">
        <v>0</v>
      </c>
      <c r="AG85" s="45">
        <v>0</v>
      </c>
      <c r="AH85" s="45">
        <v>11492.6</v>
      </c>
      <c r="AI85" s="45">
        <v>0</v>
      </c>
      <c r="AJ85" s="45">
        <v>1</v>
      </c>
      <c r="AK85" s="45">
        <v>12744.9</v>
      </c>
      <c r="AL85" s="45">
        <v>0</v>
      </c>
      <c r="AM85" s="45">
        <v>0</v>
      </c>
      <c r="AO85" s="45">
        <v>10711.2</v>
      </c>
      <c r="AP85" s="45">
        <v>0</v>
      </c>
      <c r="AQ85" s="45">
        <v>0</v>
      </c>
      <c r="AR85" s="45">
        <v>10711.2</v>
      </c>
      <c r="AS85" s="45">
        <v>0</v>
      </c>
      <c r="AT85" s="45">
        <v>0</v>
      </c>
      <c r="AU85" s="45">
        <v>10860.9</v>
      </c>
      <c r="AV85" s="45">
        <v>0</v>
      </c>
      <c r="AW85" s="45">
        <v>0</v>
      </c>
      <c r="AX85" s="45">
        <v>10711.2</v>
      </c>
      <c r="AY85" s="45">
        <v>0</v>
      </c>
      <c r="AZ85" s="45">
        <v>1</v>
      </c>
    </row>
    <row r="86" spans="2:52">
      <c r="B86" s="45">
        <v>9139.1</v>
      </c>
      <c r="C86" s="45">
        <v>0</v>
      </c>
      <c r="D86" s="45">
        <v>0</v>
      </c>
      <c r="E86" s="45">
        <v>9139.1</v>
      </c>
      <c r="F86" s="45">
        <v>0</v>
      </c>
      <c r="G86" s="45">
        <v>1</v>
      </c>
      <c r="H86" s="45">
        <v>9017.2000000000007</v>
      </c>
      <c r="I86" s="45">
        <v>0</v>
      </c>
      <c r="J86" s="45">
        <v>0</v>
      </c>
      <c r="K86" s="45">
        <v>8876.2000000000007</v>
      </c>
      <c r="L86" s="45">
        <v>0</v>
      </c>
      <c r="M86" s="45">
        <v>0</v>
      </c>
      <c r="O86" s="45">
        <v>9088.5</v>
      </c>
      <c r="P86" s="45">
        <v>0</v>
      </c>
      <c r="Q86" s="45">
        <v>0</v>
      </c>
      <c r="R86" s="45">
        <v>9309.7999999999993</v>
      </c>
      <c r="S86" s="45">
        <v>0</v>
      </c>
      <c r="T86" s="45">
        <v>0</v>
      </c>
      <c r="U86" s="45">
        <v>8576</v>
      </c>
      <c r="V86" s="45">
        <v>0</v>
      </c>
      <c r="W86" s="45">
        <v>0</v>
      </c>
      <c r="X86" s="45">
        <v>8853.7999999999993</v>
      </c>
      <c r="Y86" s="45">
        <v>0</v>
      </c>
      <c r="Z86" s="45">
        <v>0</v>
      </c>
      <c r="AB86" s="45">
        <v>11428.6</v>
      </c>
      <c r="AC86" s="45">
        <v>0</v>
      </c>
      <c r="AD86" s="45">
        <v>0</v>
      </c>
      <c r="AE86" s="45">
        <v>10886.6</v>
      </c>
      <c r="AF86" s="45">
        <v>0</v>
      </c>
      <c r="AG86" s="45">
        <v>1</v>
      </c>
      <c r="AH86" s="45">
        <v>9521.2000000000007</v>
      </c>
      <c r="AI86" s="45">
        <v>0</v>
      </c>
      <c r="AJ86" s="45">
        <v>0</v>
      </c>
      <c r="AK86" s="45">
        <v>10875.8</v>
      </c>
      <c r="AL86" s="45">
        <v>0</v>
      </c>
      <c r="AM86" s="45">
        <v>0</v>
      </c>
      <c r="AO86" s="45">
        <v>9449</v>
      </c>
      <c r="AP86" s="45">
        <v>0</v>
      </c>
      <c r="AQ86" s="45">
        <v>0</v>
      </c>
      <c r="AR86" s="45">
        <v>8648</v>
      </c>
      <c r="AS86" s="45">
        <v>0</v>
      </c>
      <c r="AT86" s="45">
        <v>0</v>
      </c>
      <c r="AU86" s="45">
        <v>9088.5</v>
      </c>
      <c r="AV86" s="45">
        <v>0</v>
      </c>
      <c r="AW86" s="45">
        <v>0</v>
      </c>
      <c r="AX86" s="45">
        <v>9430.1</v>
      </c>
      <c r="AY86" s="45">
        <v>0</v>
      </c>
      <c r="AZ86" s="45">
        <v>1</v>
      </c>
    </row>
    <row r="87" spans="2:52">
      <c r="B87" s="45">
        <v>9831.7999999999993</v>
      </c>
      <c r="C87" s="45">
        <v>0</v>
      </c>
      <c r="D87" s="45">
        <v>0</v>
      </c>
      <c r="E87" s="45">
        <v>12290.2</v>
      </c>
      <c r="F87" s="45">
        <v>18</v>
      </c>
      <c r="G87" s="45">
        <v>0</v>
      </c>
      <c r="H87" s="45">
        <v>14467.1</v>
      </c>
      <c r="I87" s="45">
        <v>41</v>
      </c>
      <c r="J87" s="45">
        <v>1</v>
      </c>
      <c r="K87" s="45">
        <v>9831.7999999999993</v>
      </c>
      <c r="L87" s="45">
        <v>0</v>
      </c>
      <c r="M87" s="45">
        <v>0</v>
      </c>
      <c r="O87" s="45">
        <v>9831.7999999999993</v>
      </c>
      <c r="P87" s="45">
        <v>0</v>
      </c>
      <c r="Q87" s="45">
        <v>1</v>
      </c>
      <c r="R87" s="45">
        <v>10346.700000000001</v>
      </c>
      <c r="S87" s="45">
        <v>0</v>
      </c>
      <c r="T87" s="45">
        <v>0</v>
      </c>
      <c r="U87" s="45">
        <v>9831.7999999999993</v>
      </c>
      <c r="V87" s="45">
        <v>0</v>
      </c>
      <c r="W87" s="45">
        <v>0</v>
      </c>
      <c r="X87" s="45">
        <v>9831.7999999999993</v>
      </c>
      <c r="Y87" s="45">
        <v>0</v>
      </c>
      <c r="Z87" s="45">
        <v>0</v>
      </c>
      <c r="AB87" s="45">
        <v>10412.5</v>
      </c>
      <c r="AC87" s="45">
        <v>0</v>
      </c>
      <c r="AD87" s="45">
        <v>0</v>
      </c>
      <c r="AE87" s="45">
        <v>10604.1</v>
      </c>
      <c r="AF87" s="45">
        <v>0</v>
      </c>
      <c r="AG87" s="45">
        <v>1</v>
      </c>
      <c r="AH87" s="45">
        <v>10822.6</v>
      </c>
      <c r="AI87" s="45">
        <v>0</v>
      </c>
      <c r="AJ87" s="45">
        <v>0</v>
      </c>
      <c r="AK87" s="45">
        <v>10610.6</v>
      </c>
      <c r="AL87" s="45">
        <v>0</v>
      </c>
      <c r="AM87" s="45">
        <v>0</v>
      </c>
      <c r="AO87" s="45">
        <v>10632.1</v>
      </c>
      <c r="AP87" s="45">
        <v>0</v>
      </c>
      <c r="AQ87" s="45">
        <v>0</v>
      </c>
      <c r="AR87" s="45">
        <v>10412.5</v>
      </c>
      <c r="AS87" s="45">
        <v>0</v>
      </c>
      <c r="AT87" s="45">
        <v>0</v>
      </c>
      <c r="AU87" s="45">
        <v>10346.700000000001</v>
      </c>
      <c r="AV87" s="45">
        <v>0</v>
      </c>
      <c r="AW87" s="45">
        <v>0</v>
      </c>
      <c r="AX87" s="45">
        <v>13258.2</v>
      </c>
      <c r="AY87" s="45">
        <v>31</v>
      </c>
      <c r="AZ87" s="45">
        <v>1</v>
      </c>
    </row>
    <row r="88" spans="2:52">
      <c r="B88" s="45">
        <v>6341.4</v>
      </c>
      <c r="C88" s="45">
        <v>0</v>
      </c>
      <c r="D88" s="45">
        <v>0</v>
      </c>
      <c r="E88" s="45">
        <v>6155.2</v>
      </c>
      <c r="F88" s="45">
        <v>0</v>
      </c>
      <c r="G88" s="45">
        <v>0</v>
      </c>
      <c r="H88" s="45">
        <v>6187.8</v>
      </c>
      <c r="I88" s="45">
        <v>0</v>
      </c>
      <c r="J88" s="45">
        <v>1</v>
      </c>
      <c r="K88" s="45">
        <v>6487.8</v>
      </c>
      <c r="L88" s="45">
        <v>3</v>
      </c>
      <c r="M88" s="45">
        <v>0</v>
      </c>
      <c r="O88" s="45">
        <v>6144.9</v>
      </c>
      <c r="P88" s="45">
        <v>0</v>
      </c>
      <c r="Q88" s="45">
        <v>0</v>
      </c>
      <c r="R88" s="45">
        <v>6114.7</v>
      </c>
      <c r="S88" s="45">
        <v>0</v>
      </c>
      <c r="T88" s="45">
        <v>1</v>
      </c>
      <c r="U88" s="45">
        <v>6114.7</v>
      </c>
      <c r="V88" s="45">
        <v>0</v>
      </c>
      <c r="W88" s="45">
        <v>0</v>
      </c>
      <c r="X88" s="45">
        <v>6114.7</v>
      </c>
      <c r="Y88" s="45">
        <v>0</v>
      </c>
      <c r="Z88" s="45">
        <v>0</v>
      </c>
      <c r="AB88" s="45">
        <v>6994.2</v>
      </c>
      <c r="AC88" s="45">
        <v>0</v>
      </c>
      <c r="AD88" s="45">
        <v>1</v>
      </c>
      <c r="AE88" s="45">
        <v>6374</v>
      </c>
      <c r="AF88" s="45">
        <v>0</v>
      </c>
      <c r="AG88" s="45">
        <v>0</v>
      </c>
      <c r="AH88" s="45">
        <v>6871.2</v>
      </c>
      <c r="AI88" s="45">
        <v>0</v>
      </c>
      <c r="AJ88" s="45">
        <v>0</v>
      </c>
      <c r="AK88" s="45">
        <v>6615.8</v>
      </c>
      <c r="AL88" s="45">
        <v>0</v>
      </c>
      <c r="AM88" s="45">
        <v>0</v>
      </c>
      <c r="AO88" s="45">
        <v>6114.7</v>
      </c>
      <c r="AP88" s="45">
        <v>0</v>
      </c>
      <c r="AQ88" s="45">
        <v>0</v>
      </c>
      <c r="AR88" s="45">
        <v>6226.1</v>
      </c>
      <c r="AS88" s="45">
        <v>1</v>
      </c>
      <c r="AT88" s="45">
        <v>0</v>
      </c>
      <c r="AU88" s="45">
        <v>6187.8</v>
      </c>
      <c r="AV88" s="45">
        <v>0</v>
      </c>
      <c r="AW88" s="45">
        <v>0</v>
      </c>
      <c r="AX88" s="45">
        <v>6114.7</v>
      </c>
      <c r="AY88" s="45">
        <v>0</v>
      </c>
      <c r="AZ88" s="45">
        <v>0</v>
      </c>
    </row>
    <row r="89" spans="2:52">
      <c r="B89" s="45">
        <v>9976.2000000000007</v>
      </c>
      <c r="C89" s="45">
        <v>0</v>
      </c>
      <c r="D89" s="45">
        <v>0</v>
      </c>
      <c r="E89" s="45">
        <v>10699.4</v>
      </c>
      <c r="F89" s="45">
        <v>0</v>
      </c>
      <c r="G89" s="45">
        <v>0</v>
      </c>
      <c r="H89" s="45">
        <v>9853</v>
      </c>
      <c r="I89" s="45">
        <v>0</v>
      </c>
      <c r="J89" s="45">
        <v>0</v>
      </c>
      <c r="K89" s="45">
        <v>9853</v>
      </c>
      <c r="L89" s="45">
        <v>0</v>
      </c>
      <c r="M89" s="45">
        <v>1</v>
      </c>
      <c r="O89" s="45">
        <v>9853</v>
      </c>
      <c r="P89" s="45">
        <v>0</v>
      </c>
      <c r="Q89" s="45">
        <v>0</v>
      </c>
      <c r="R89" s="45">
        <v>9853</v>
      </c>
      <c r="S89" s="45">
        <v>0</v>
      </c>
      <c r="T89" s="45">
        <v>0</v>
      </c>
      <c r="U89" s="45">
        <v>10146</v>
      </c>
      <c r="V89" s="45">
        <v>0</v>
      </c>
      <c r="W89" s="45">
        <v>1</v>
      </c>
      <c r="X89" s="45">
        <v>9853</v>
      </c>
      <c r="Y89" s="45">
        <v>0</v>
      </c>
      <c r="Z89" s="45">
        <v>0</v>
      </c>
      <c r="AB89" s="45">
        <v>10743.8</v>
      </c>
      <c r="AC89" s="45">
        <v>0</v>
      </c>
      <c r="AD89" s="45">
        <v>1</v>
      </c>
      <c r="AE89" s="45">
        <v>10388.4</v>
      </c>
      <c r="AF89" s="45">
        <v>0</v>
      </c>
      <c r="AG89" s="45">
        <v>0</v>
      </c>
      <c r="AH89" s="45">
        <v>10620</v>
      </c>
      <c r="AI89" s="45">
        <v>0</v>
      </c>
      <c r="AJ89" s="45">
        <v>0</v>
      </c>
      <c r="AK89" s="45">
        <v>10699.4</v>
      </c>
      <c r="AL89" s="45">
        <v>0</v>
      </c>
      <c r="AM89" s="45">
        <v>0</v>
      </c>
      <c r="AO89" s="45">
        <v>10388.4</v>
      </c>
      <c r="AP89" s="45">
        <v>0</v>
      </c>
      <c r="AQ89" s="45">
        <v>1</v>
      </c>
      <c r="AR89" s="45">
        <v>9853</v>
      </c>
      <c r="AS89" s="45">
        <v>0</v>
      </c>
      <c r="AT89" s="45">
        <v>0</v>
      </c>
      <c r="AU89" s="45">
        <v>10388.4</v>
      </c>
      <c r="AV89" s="45">
        <v>0</v>
      </c>
      <c r="AW89" s="45">
        <v>0</v>
      </c>
      <c r="AX89" s="45">
        <v>9853</v>
      </c>
      <c r="AY89" s="45">
        <v>0</v>
      </c>
      <c r="AZ89" s="45">
        <v>0</v>
      </c>
    </row>
    <row r="90" spans="2:52">
      <c r="B90" s="45">
        <v>7411.2</v>
      </c>
      <c r="C90" s="45">
        <v>0</v>
      </c>
      <c r="D90" s="45">
        <v>0</v>
      </c>
      <c r="E90" s="45">
        <v>7411.2</v>
      </c>
      <c r="F90" s="45">
        <v>0</v>
      </c>
      <c r="G90" s="45">
        <v>0</v>
      </c>
      <c r="H90" s="45">
        <v>7411.2</v>
      </c>
      <c r="I90" s="45">
        <v>0</v>
      </c>
      <c r="J90" s="45">
        <v>0</v>
      </c>
      <c r="K90" s="45">
        <v>7411.2</v>
      </c>
      <c r="L90" s="45">
        <v>0</v>
      </c>
      <c r="M90" s="45">
        <v>0</v>
      </c>
      <c r="O90" s="45">
        <v>7804</v>
      </c>
      <c r="P90" s="45">
        <v>0</v>
      </c>
      <c r="Q90" s="45">
        <v>0</v>
      </c>
      <c r="R90" s="45">
        <v>7199.7</v>
      </c>
      <c r="S90" s="45">
        <v>0</v>
      </c>
      <c r="T90" s="45">
        <v>0</v>
      </c>
      <c r="U90" s="45">
        <v>7199.7</v>
      </c>
      <c r="V90" s="45">
        <v>0</v>
      </c>
      <c r="W90" s="45">
        <v>0</v>
      </c>
      <c r="X90" s="45">
        <v>7804</v>
      </c>
      <c r="Y90" s="45">
        <v>0</v>
      </c>
      <c r="Z90" s="45">
        <v>0</v>
      </c>
      <c r="AB90" s="45">
        <v>8941</v>
      </c>
      <c r="AC90" s="45">
        <v>0</v>
      </c>
      <c r="AD90" s="45">
        <v>1</v>
      </c>
      <c r="AE90" s="45">
        <v>8143.7</v>
      </c>
      <c r="AF90" s="45">
        <v>0</v>
      </c>
      <c r="AG90" s="45">
        <v>0</v>
      </c>
      <c r="AH90" s="45">
        <v>7876.6</v>
      </c>
      <c r="AI90" s="45">
        <v>0</v>
      </c>
      <c r="AJ90" s="45">
        <v>0</v>
      </c>
      <c r="AK90" s="45">
        <v>7844.6</v>
      </c>
      <c r="AL90" s="45">
        <v>0</v>
      </c>
      <c r="AM90" s="45">
        <v>1</v>
      </c>
      <c r="AO90" s="45">
        <v>7411.2</v>
      </c>
      <c r="AP90" s="45">
        <v>0</v>
      </c>
      <c r="AQ90" s="45">
        <v>0</v>
      </c>
      <c r="AR90" s="45">
        <v>7411.2</v>
      </c>
      <c r="AS90" s="45">
        <v>0</v>
      </c>
      <c r="AT90" s="45">
        <v>1</v>
      </c>
      <c r="AU90" s="45">
        <v>7199.7</v>
      </c>
      <c r="AV90" s="45">
        <v>0</v>
      </c>
      <c r="AW90" s="45">
        <v>0</v>
      </c>
      <c r="AX90" s="45">
        <v>7411.2</v>
      </c>
      <c r="AY90" s="45">
        <v>0</v>
      </c>
      <c r="AZ90" s="45">
        <v>0</v>
      </c>
    </row>
    <row r="91" spans="2:52">
      <c r="B91" s="45">
        <v>11003.5</v>
      </c>
      <c r="C91" s="45">
        <v>0</v>
      </c>
      <c r="D91" s="45">
        <v>0</v>
      </c>
      <c r="E91" s="45">
        <v>10805.5</v>
      </c>
      <c r="F91" s="45">
        <v>0</v>
      </c>
      <c r="G91" s="45">
        <v>1</v>
      </c>
      <c r="H91" s="45">
        <v>10516.7</v>
      </c>
      <c r="I91" s="45">
        <v>0</v>
      </c>
      <c r="J91" s="45">
        <v>0</v>
      </c>
      <c r="K91" s="45">
        <v>10406.1</v>
      </c>
      <c r="L91" s="45">
        <v>0</v>
      </c>
      <c r="M91" s="45">
        <v>0</v>
      </c>
      <c r="O91" s="45">
        <v>10735.9</v>
      </c>
      <c r="P91" s="45">
        <v>0</v>
      </c>
      <c r="Q91" s="45">
        <v>1</v>
      </c>
      <c r="R91" s="45">
        <v>10260.700000000001</v>
      </c>
      <c r="S91" s="45">
        <v>0</v>
      </c>
      <c r="T91" s="45">
        <v>0</v>
      </c>
      <c r="U91" s="45">
        <v>10406.1</v>
      </c>
      <c r="V91" s="45">
        <v>0</v>
      </c>
      <c r="W91" s="45">
        <v>0</v>
      </c>
      <c r="X91" s="45">
        <v>10276.700000000001</v>
      </c>
      <c r="Y91" s="45">
        <v>0</v>
      </c>
      <c r="Z91" s="45">
        <v>0</v>
      </c>
      <c r="AB91" s="45">
        <v>10974.4</v>
      </c>
      <c r="AC91" s="45">
        <v>0</v>
      </c>
      <c r="AD91" s="45">
        <v>0</v>
      </c>
      <c r="AE91" s="45">
        <v>10942.9</v>
      </c>
      <c r="AF91" s="45">
        <v>0</v>
      </c>
      <c r="AG91" s="45">
        <v>0</v>
      </c>
      <c r="AH91" s="45">
        <v>11670.3</v>
      </c>
      <c r="AI91" s="45">
        <v>0</v>
      </c>
      <c r="AJ91" s="45">
        <v>0</v>
      </c>
      <c r="AK91" s="45">
        <v>11311.4</v>
      </c>
      <c r="AL91" s="45">
        <v>0</v>
      </c>
      <c r="AM91" s="45">
        <v>1</v>
      </c>
      <c r="AO91" s="45">
        <v>10406.1</v>
      </c>
      <c r="AP91" s="45">
        <v>0</v>
      </c>
      <c r="AQ91" s="45">
        <v>0</v>
      </c>
      <c r="AR91" s="45">
        <v>10406.1</v>
      </c>
      <c r="AS91" s="45">
        <v>0</v>
      </c>
      <c r="AT91" s="45">
        <v>0</v>
      </c>
      <c r="AU91" s="45">
        <v>10735.9</v>
      </c>
      <c r="AV91" s="45">
        <v>0</v>
      </c>
      <c r="AW91" s="45">
        <v>0</v>
      </c>
      <c r="AX91" s="45">
        <v>10406.1</v>
      </c>
      <c r="AY91" s="45">
        <v>0</v>
      </c>
      <c r="AZ91" s="45">
        <v>1</v>
      </c>
    </row>
    <row r="92" spans="2:52">
      <c r="B92" s="45">
        <v>8923.1</v>
      </c>
      <c r="C92" s="45">
        <v>0</v>
      </c>
      <c r="D92" s="45">
        <v>0</v>
      </c>
      <c r="E92" s="45">
        <v>8923.1</v>
      </c>
      <c r="F92" s="45">
        <v>0</v>
      </c>
      <c r="G92" s="45">
        <v>0</v>
      </c>
      <c r="H92" s="45">
        <v>9144.7000000000007</v>
      </c>
      <c r="I92" s="45">
        <v>0</v>
      </c>
      <c r="J92" s="45">
        <v>0</v>
      </c>
      <c r="K92" s="45">
        <v>9144.7000000000007</v>
      </c>
      <c r="L92" s="45">
        <v>0</v>
      </c>
      <c r="M92" s="45">
        <v>1</v>
      </c>
      <c r="O92" s="45">
        <v>9353.6</v>
      </c>
      <c r="P92" s="45">
        <v>0</v>
      </c>
      <c r="Q92" s="45">
        <v>0</v>
      </c>
      <c r="R92" s="45">
        <v>9578.2999999999993</v>
      </c>
      <c r="S92" s="45">
        <v>0</v>
      </c>
      <c r="T92" s="45">
        <v>0</v>
      </c>
      <c r="U92" s="45">
        <v>8923.1</v>
      </c>
      <c r="V92" s="45">
        <v>0</v>
      </c>
      <c r="W92" s="45">
        <v>1</v>
      </c>
      <c r="X92" s="45">
        <v>8923.1</v>
      </c>
      <c r="Y92" s="45">
        <v>0</v>
      </c>
      <c r="Z92" s="45">
        <v>0</v>
      </c>
      <c r="AB92" s="45">
        <v>11277</v>
      </c>
      <c r="AC92" s="45">
        <v>0</v>
      </c>
      <c r="AD92" s="45">
        <v>0</v>
      </c>
      <c r="AE92" s="45">
        <v>9701</v>
      </c>
      <c r="AF92" s="45">
        <v>0</v>
      </c>
      <c r="AG92" s="45">
        <v>0</v>
      </c>
      <c r="AH92" s="45">
        <v>10574</v>
      </c>
      <c r="AI92" s="45">
        <v>0</v>
      </c>
      <c r="AJ92" s="45">
        <v>0</v>
      </c>
      <c r="AK92" s="45">
        <v>10323.1</v>
      </c>
      <c r="AL92" s="45">
        <v>0</v>
      </c>
      <c r="AM92" s="45">
        <v>1</v>
      </c>
      <c r="AO92" s="45">
        <v>9701</v>
      </c>
      <c r="AP92" s="45">
        <v>0</v>
      </c>
      <c r="AQ92" s="45">
        <v>0</v>
      </c>
      <c r="AR92" s="45">
        <v>9353.6</v>
      </c>
      <c r="AS92" s="45">
        <v>0</v>
      </c>
      <c r="AT92" s="45">
        <v>0</v>
      </c>
      <c r="AU92" s="45">
        <v>9578.2999999999993</v>
      </c>
      <c r="AV92" s="45">
        <v>0</v>
      </c>
      <c r="AW92" s="45">
        <v>0</v>
      </c>
      <c r="AX92" s="45">
        <v>9353.6</v>
      </c>
      <c r="AY92" s="45">
        <v>0</v>
      </c>
      <c r="AZ92" s="45">
        <v>0</v>
      </c>
    </row>
    <row r="93" spans="2:52">
      <c r="B93" s="45">
        <v>8219.7999999999993</v>
      </c>
      <c r="C93" s="45">
        <v>0</v>
      </c>
      <c r="D93" s="45">
        <v>0</v>
      </c>
      <c r="E93" s="45">
        <v>8236.4</v>
      </c>
      <c r="F93" s="45">
        <v>0</v>
      </c>
      <c r="G93" s="45">
        <v>0</v>
      </c>
      <c r="H93" s="45">
        <v>7568.6</v>
      </c>
      <c r="I93" s="45">
        <v>0</v>
      </c>
      <c r="J93" s="45">
        <v>0</v>
      </c>
      <c r="K93" s="45">
        <v>7568.6</v>
      </c>
      <c r="L93" s="45">
        <v>0</v>
      </c>
      <c r="M93" s="45">
        <v>0</v>
      </c>
      <c r="O93" s="45">
        <v>8338.7999999999993</v>
      </c>
      <c r="P93" s="45">
        <v>0</v>
      </c>
      <c r="Q93" s="45">
        <v>0</v>
      </c>
      <c r="R93" s="45">
        <v>7568.6</v>
      </c>
      <c r="S93" s="45">
        <v>0</v>
      </c>
      <c r="T93" s="45">
        <v>0</v>
      </c>
      <c r="U93" s="45">
        <v>7568.6</v>
      </c>
      <c r="V93" s="45">
        <v>0</v>
      </c>
      <c r="W93" s="45">
        <v>1</v>
      </c>
      <c r="X93" s="45">
        <v>7568.6</v>
      </c>
      <c r="Y93" s="45">
        <v>0</v>
      </c>
      <c r="Z93" s="45">
        <v>0</v>
      </c>
      <c r="AB93" s="45">
        <v>9065.2000000000007</v>
      </c>
      <c r="AC93" s="45">
        <v>0</v>
      </c>
      <c r="AD93" s="45">
        <v>0</v>
      </c>
      <c r="AE93" s="45">
        <v>7568.6</v>
      </c>
      <c r="AF93" s="45">
        <v>0</v>
      </c>
      <c r="AG93" s="45">
        <v>0</v>
      </c>
      <c r="AH93" s="45">
        <v>8286.4</v>
      </c>
      <c r="AI93" s="45">
        <v>0</v>
      </c>
      <c r="AJ93" s="45">
        <v>1</v>
      </c>
      <c r="AK93" s="45">
        <v>9251.1</v>
      </c>
      <c r="AL93" s="45">
        <v>0</v>
      </c>
      <c r="AM93" s="45">
        <v>0</v>
      </c>
      <c r="AO93" s="45">
        <v>7568.6</v>
      </c>
      <c r="AP93" s="45">
        <v>0</v>
      </c>
      <c r="AQ93" s="45">
        <v>1</v>
      </c>
      <c r="AR93" s="45">
        <v>7568.6</v>
      </c>
      <c r="AS93" s="45">
        <v>0</v>
      </c>
      <c r="AT93" s="45">
        <v>0</v>
      </c>
      <c r="AU93" s="45">
        <v>7568.6</v>
      </c>
      <c r="AV93" s="45">
        <v>0</v>
      </c>
      <c r="AW93" s="45">
        <v>0</v>
      </c>
      <c r="AX93" s="45">
        <v>7728.8</v>
      </c>
      <c r="AY93" s="45">
        <v>0</v>
      </c>
      <c r="AZ93" s="45">
        <v>0</v>
      </c>
    </row>
    <row r="94" spans="2:52">
      <c r="B94" s="45">
        <v>10074.1</v>
      </c>
      <c r="C94" s="45">
        <v>0</v>
      </c>
      <c r="D94" s="45">
        <v>1</v>
      </c>
      <c r="E94" s="45">
        <v>9627.7000000000007</v>
      </c>
      <c r="F94" s="45">
        <v>0</v>
      </c>
      <c r="G94" s="45">
        <v>0</v>
      </c>
      <c r="H94" s="45">
        <v>9899.6</v>
      </c>
      <c r="I94" s="45">
        <v>0</v>
      </c>
      <c r="J94" s="45">
        <v>0</v>
      </c>
      <c r="K94" s="45">
        <v>9704.6</v>
      </c>
      <c r="L94" s="45">
        <v>0</v>
      </c>
      <c r="M94" s="45">
        <v>0</v>
      </c>
      <c r="O94" s="45">
        <v>9712.5</v>
      </c>
      <c r="P94" s="45">
        <v>0</v>
      </c>
      <c r="Q94" s="45">
        <v>0</v>
      </c>
      <c r="R94" s="45">
        <v>10293.799999999999</v>
      </c>
      <c r="S94" s="45">
        <v>0</v>
      </c>
      <c r="T94" s="45">
        <v>0</v>
      </c>
      <c r="U94" s="45">
        <v>10131.200000000001</v>
      </c>
      <c r="V94" s="45">
        <v>0</v>
      </c>
      <c r="W94" s="45">
        <v>1</v>
      </c>
      <c r="X94" s="45">
        <v>9586.2000000000007</v>
      </c>
      <c r="Y94" s="45">
        <v>0</v>
      </c>
      <c r="Z94" s="45">
        <v>0</v>
      </c>
      <c r="AB94" s="45">
        <v>10095.200000000001</v>
      </c>
      <c r="AC94" s="45">
        <v>0</v>
      </c>
      <c r="AD94" s="45">
        <v>0</v>
      </c>
      <c r="AE94" s="45">
        <v>12236</v>
      </c>
      <c r="AF94" s="45">
        <v>0</v>
      </c>
      <c r="AG94" s="45">
        <v>0</v>
      </c>
      <c r="AH94" s="45">
        <v>10095.200000000001</v>
      </c>
      <c r="AI94" s="45">
        <v>0</v>
      </c>
      <c r="AJ94" s="45">
        <v>1</v>
      </c>
      <c r="AK94" s="45">
        <v>9712.5</v>
      </c>
      <c r="AL94" s="45">
        <v>0</v>
      </c>
      <c r="AM94" s="45">
        <v>0</v>
      </c>
      <c r="AO94" s="45">
        <v>9712.5</v>
      </c>
      <c r="AP94" s="45">
        <v>0</v>
      </c>
      <c r="AQ94" s="45">
        <v>0</v>
      </c>
      <c r="AR94" s="45">
        <v>9712.5</v>
      </c>
      <c r="AS94" s="45">
        <v>0</v>
      </c>
      <c r="AT94" s="45">
        <v>0</v>
      </c>
      <c r="AU94" s="45">
        <v>9712.5</v>
      </c>
      <c r="AV94" s="45">
        <v>0</v>
      </c>
      <c r="AW94" s="45">
        <v>1</v>
      </c>
      <c r="AX94" s="45">
        <v>9712.5</v>
      </c>
      <c r="AY94" s="45">
        <v>0</v>
      </c>
      <c r="AZ94" s="45">
        <v>0</v>
      </c>
    </row>
    <row r="95" spans="2:52">
      <c r="B95" s="45">
        <v>11291.5</v>
      </c>
      <c r="C95" s="45">
        <v>28</v>
      </c>
      <c r="D95" s="45">
        <v>0</v>
      </c>
      <c r="E95" s="45">
        <v>8532.7999999999993</v>
      </c>
      <c r="F95" s="45">
        <v>0</v>
      </c>
      <c r="G95" s="45">
        <v>1</v>
      </c>
      <c r="H95" s="45">
        <v>11078.9</v>
      </c>
      <c r="I95" s="45">
        <v>28</v>
      </c>
      <c r="J95" s="45">
        <v>0</v>
      </c>
      <c r="K95" s="45">
        <v>8532.7999999999993</v>
      </c>
      <c r="L95" s="45">
        <v>0</v>
      </c>
      <c r="M95" s="45">
        <v>0</v>
      </c>
      <c r="O95" s="45">
        <v>8608.2000000000007</v>
      </c>
      <c r="P95" s="45">
        <v>0</v>
      </c>
      <c r="Q95" s="45">
        <v>0</v>
      </c>
      <c r="R95" s="45">
        <v>11090.9</v>
      </c>
      <c r="S95" s="45">
        <v>29</v>
      </c>
      <c r="T95" s="45">
        <v>1</v>
      </c>
      <c r="U95" s="45">
        <v>8383</v>
      </c>
      <c r="V95" s="45">
        <v>0</v>
      </c>
      <c r="W95" s="45">
        <v>0</v>
      </c>
      <c r="X95" s="45">
        <v>11540.7</v>
      </c>
      <c r="Y95" s="45">
        <v>32</v>
      </c>
      <c r="Z95" s="45">
        <v>0</v>
      </c>
      <c r="AB95" s="45">
        <v>8983.2999999999993</v>
      </c>
      <c r="AC95" s="45">
        <v>0</v>
      </c>
      <c r="AD95" s="45">
        <v>0</v>
      </c>
      <c r="AE95" s="45">
        <v>9741.2000000000007</v>
      </c>
      <c r="AF95" s="45">
        <v>0</v>
      </c>
      <c r="AG95" s="45">
        <v>0</v>
      </c>
      <c r="AH95" s="45">
        <v>9290.1</v>
      </c>
      <c r="AI95" s="45">
        <v>0</v>
      </c>
      <c r="AJ95" s="45">
        <v>1</v>
      </c>
      <c r="AK95" s="45">
        <v>10045.4</v>
      </c>
      <c r="AL95" s="45">
        <v>0</v>
      </c>
      <c r="AM95" s="45">
        <v>0</v>
      </c>
      <c r="AO95" s="45">
        <v>8383</v>
      </c>
      <c r="AP95" s="45">
        <v>0</v>
      </c>
      <c r="AQ95" s="45">
        <v>0</v>
      </c>
      <c r="AR95" s="45">
        <v>10990.9</v>
      </c>
      <c r="AS95" s="45">
        <v>28</v>
      </c>
      <c r="AT95" s="45">
        <v>0</v>
      </c>
      <c r="AU95" s="45">
        <v>8905.9</v>
      </c>
      <c r="AV95" s="45">
        <v>0</v>
      </c>
      <c r="AW95" s="45">
        <v>0</v>
      </c>
      <c r="AX95" s="45">
        <v>8905.9</v>
      </c>
      <c r="AY95" s="45">
        <v>0</v>
      </c>
      <c r="AZ95" s="45">
        <v>1</v>
      </c>
    </row>
    <row r="96" spans="2:52">
      <c r="B96" s="45">
        <v>7018</v>
      </c>
      <c r="C96" s="45">
        <v>0</v>
      </c>
      <c r="D96" s="45">
        <v>0</v>
      </c>
      <c r="E96" s="45">
        <v>7210.1</v>
      </c>
      <c r="F96" s="45">
        <v>0</v>
      </c>
      <c r="G96" s="45">
        <v>0</v>
      </c>
      <c r="H96" s="45">
        <v>7679.1</v>
      </c>
      <c r="I96" s="45">
        <v>0</v>
      </c>
      <c r="J96" s="45">
        <v>0</v>
      </c>
      <c r="K96" s="45">
        <v>6932.9</v>
      </c>
      <c r="L96" s="45">
        <v>0</v>
      </c>
      <c r="M96" s="45">
        <v>1</v>
      </c>
      <c r="O96" s="45">
        <v>7202.4</v>
      </c>
      <c r="P96" s="45">
        <v>0</v>
      </c>
      <c r="Q96" s="45">
        <v>1</v>
      </c>
      <c r="R96" s="45">
        <v>6885.5</v>
      </c>
      <c r="S96" s="45">
        <v>0</v>
      </c>
      <c r="T96" s="45">
        <v>0</v>
      </c>
      <c r="U96" s="45">
        <v>6932.9</v>
      </c>
      <c r="V96" s="45">
        <v>0</v>
      </c>
      <c r="W96" s="45">
        <v>0</v>
      </c>
      <c r="X96" s="45">
        <v>7489.2</v>
      </c>
      <c r="Y96" s="45">
        <v>9</v>
      </c>
      <c r="Z96" s="45">
        <v>1</v>
      </c>
      <c r="AB96" s="45">
        <v>9526.4</v>
      </c>
      <c r="AC96" s="45">
        <v>0</v>
      </c>
      <c r="AD96" s="45">
        <v>0</v>
      </c>
      <c r="AE96" s="45">
        <v>8232.7999999999993</v>
      </c>
      <c r="AF96" s="45">
        <v>0</v>
      </c>
      <c r="AG96" s="45">
        <v>1</v>
      </c>
      <c r="AH96" s="45">
        <v>7995.3</v>
      </c>
      <c r="AI96" s="45">
        <v>0</v>
      </c>
      <c r="AJ96" s="45">
        <v>0</v>
      </c>
      <c r="AK96" s="45">
        <v>8587</v>
      </c>
      <c r="AL96" s="45">
        <v>0</v>
      </c>
      <c r="AM96" s="45">
        <v>0</v>
      </c>
      <c r="AO96" s="45">
        <v>9765.7000000000007</v>
      </c>
      <c r="AP96" s="45">
        <v>17</v>
      </c>
      <c r="AQ96" s="45">
        <v>0</v>
      </c>
      <c r="AR96" s="45">
        <v>6932.9</v>
      </c>
      <c r="AS96" s="45">
        <v>0</v>
      </c>
      <c r="AT96" s="45">
        <v>0</v>
      </c>
      <c r="AU96" s="45">
        <v>6885.5</v>
      </c>
      <c r="AV96" s="45">
        <v>0</v>
      </c>
      <c r="AW96" s="45">
        <v>0</v>
      </c>
      <c r="AX96" s="45">
        <v>7018</v>
      </c>
      <c r="AY96" s="45">
        <v>0</v>
      </c>
      <c r="AZ96" s="45">
        <v>0</v>
      </c>
    </row>
    <row r="97" spans="2:52">
      <c r="B97" s="45">
        <v>13178.6</v>
      </c>
      <c r="C97" s="45">
        <v>0</v>
      </c>
      <c r="D97" s="45">
        <v>0</v>
      </c>
      <c r="E97" s="45">
        <v>13028.5</v>
      </c>
      <c r="F97" s="45">
        <v>0</v>
      </c>
      <c r="G97" s="45">
        <v>0</v>
      </c>
      <c r="H97" s="45">
        <v>13087</v>
      </c>
      <c r="I97" s="45">
        <v>0</v>
      </c>
      <c r="J97" s="45">
        <v>0</v>
      </c>
      <c r="K97" s="45">
        <v>13087</v>
      </c>
      <c r="L97" s="45">
        <v>0</v>
      </c>
      <c r="M97" s="45">
        <v>0</v>
      </c>
      <c r="O97" s="45">
        <v>13327.9</v>
      </c>
      <c r="P97" s="45">
        <v>0</v>
      </c>
      <c r="Q97" s="45">
        <v>0</v>
      </c>
      <c r="R97" s="45">
        <v>13028.5</v>
      </c>
      <c r="S97" s="45">
        <v>0</v>
      </c>
      <c r="T97" s="45">
        <v>0</v>
      </c>
      <c r="U97" s="45">
        <v>13794.6</v>
      </c>
      <c r="V97" s="45">
        <v>8</v>
      </c>
      <c r="W97" s="45">
        <v>1</v>
      </c>
      <c r="X97" s="45">
        <v>13738.6</v>
      </c>
      <c r="Y97" s="45">
        <v>8</v>
      </c>
      <c r="Z97" s="45">
        <v>0</v>
      </c>
      <c r="AB97" s="45">
        <v>14167.3</v>
      </c>
      <c r="AC97" s="45">
        <v>0</v>
      </c>
      <c r="AD97" s="45">
        <v>0</v>
      </c>
      <c r="AE97" s="45">
        <v>14476.6</v>
      </c>
      <c r="AF97" s="45">
        <v>0</v>
      </c>
      <c r="AG97" s="45">
        <v>1</v>
      </c>
      <c r="AH97" s="45">
        <v>13281.6</v>
      </c>
      <c r="AI97" s="45">
        <v>0</v>
      </c>
      <c r="AJ97" s="45">
        <v>0</v>
      </c>
      <c r="AK97" s="45">
        <v>13452.8</v>
      </c>
      <c r="AL97" s="45">
        <v>0</v>
      </c>
      <c r="AM97" s="45">
        <v>0</v>
      </c>
      <c r="AO97" s="45">
        <v>13427.7</v>
      </c>
      <c r="AP97" s="45">
        <v>0</v>
      </c>
      <c r="AQ97" s="45">
        <v>0</v>
      </c>
      <c r="AR97" s="45">
        <v>13331.6</v>
      </c>
      <c r="AS97" s="45">
        <v>0</v>
      </c>
      <c r="AT97" s="45">
        <v>1</v>
      </c>
      <c r="AU97" s="45">
        <v>14395</v>
      </c>
      <c r="AV97" s="45">
        <v>13</v>
      </c>
      <c r="AW97" s="45">
        <v>0</v>
      </c>
      <c r="AX97" s="45">
        <v>13095</v>
      </c>
      <c r="AY97" s="45">
        <v>0</v>
      </c>
      <c r="AZ97" s="45">
        <v>0</v>
      </c>
    </row>
    <row r="98" spans="2:52">
      <c r="B98" s="45">
        <v>9430.6</v>
      </c>
      <c r="C98" s="45">
        <v>0</v>
      </c>
      <c r="D98" s="45">
        <v>1</v>
      </c>
      <c r="E98" s="45">
        <v>9169.7000000000007</v>
      </c>
      <c r="F98" s="45">
        <v>0</v>
      </c>
      <c r="G98" s="45">
        <v>0</v>
      </c>
      <c r="H98" s="45">
        <v>9169.7000000000007</v>
      </c>
      <c r="I98" s="45">
        <v>0</v>
      </c>
      <c r="J98" s="45">
        <v>0</v>
      </c>
      <c r="K98" s="45">
        <v>9169.7000000000007</v>
      </c>
      <c r="L98" s="45">
        <v>0</v>
      </c>
      <c r="M98" s="45">
        <v>0</v>
      </c>
      <c r="O98" s="45">
        <v>9058</v>
      </c>
      <c r="P98" s="45">
        <v>0</v>
      </c>
      <c r="Q98" s="45">
        <v>0</v>
      </c>
      <c r="R98" s="45">
        <v>9169.7000000000007</v>
      </c>
      <c r="S98" s="45">
        <v>0</v>
      </c>
      <c r="T98" s="45">
        <v>0</v>
      </c>
      <c r="U98" s="45">
        <v>9445.6</v>
      </c>
      <c r="V98" s="45">
        <v>0</v>
      </c>
      <c r="W98" s="45">
        <v>1</v>
      </c>
      <c r="X98" s="45">
        <v>9663.2000000000007</v>
      </c>
      <c r="Y98" s="45">
        <v>0</v>
      </c>
      <c r="Z98" s="45">
        <v>0</v>
      </c>
      <c r="AB98" s="45">
        <v>9298</v>
      </c>
      <c r="AC98" s="45">
        <v>0</v>
      </c>
      <c r="AD98" s="45">
        <v>1</v>
      </c>
      <c r="AE98" s="45">
        <v>10475.4</v>
      </c>
      <c r="AF98" s="45">
        <v>0</v>
      </c>
      <c r="AG98" s="45">
        <v>0</v>
      </c>
      <c r="AH98" s="45">
        <v>9686.7999999999993</v>
      </c>
      <c r="AI98" s="45">
        <v>0</v>
      </c>
      <c r="AJ98" s="45">
        <v>0</v>
      </c>
      <c r="AK98" s="45">
        <v>9858.1</v>
      </c>
      <c r="AL98" s="45">
        <v>0</v>
      </c>
      <c r="AM98" s="45">
        <v>0</v>
      </c>
      <c r="AO98" s="45">
        <v>9179.2000000000007</v>
      </c>
      <c r="AP98" s="45">
        <v>0</v>
      </c>
      <c r="AQ98" s="45">
        <v>0</v>
      </c>
      <c r="AR98" s="45">
        <v>9179.2000000000007</v>
      </c>
      <c r="AS98" s="45">
        <v>0</v>
      </c>
      <c r="AT98" s="45">
        <v>0</v>
      </c>
      <c r="AU98" s="45">
        <v>9179.2000000000007</v>
      </c>
      <c r="AV98" s="45">
        <v>0</v>
      </c>
      <c r="AW98" s="45">
        <v>1</v>
      </c>
      <c r="AX98" s="45">
        <v>9223.6</v>
      </c>
      <c r="AY98" s="45">
        <v>0</v>
      </c>
      <c r="AZ98" s="45">
        <v>0</v>
      </c>
    </row>
    <row r="99" spans="2:52">
      <c r="B99" s="45">
        <v>8804.2999999999993</v>
      </c>
      <c r="C99" s="45">
        <v>0</v>
      </c>
      <c r="D99" s="45">
        <v>1</v>
      </c>
      <c r="E99" s="45">
        <v>8781.5</v>
      </c>
      <c r="F99" s="45">
        <v>0</v>
      </c>
      <c r="G99" s="45">
        <v>0</v>
      </c>
      <c r="H99" s="45">
        <v>8804.2999999999993</v>
      </c>
      <c r="I99" s="45">
        <v>0</v>
      </c>
      <c r="J99" s="45">
        <v>0</v>
      </c>
      <c r="K99" s="45">
        <v>8610.7999999999993</v>
      </c>
      <c r="L99" s="45">
        <v>0</v>
      </c>
      <c r="M99" s="45">
        <v>0</v>
      </c>
      <c r="O99" s="45">
        <v>8610.7999999999993</v>
      </c>
      <c r="P99" s="45">
        <v>0</v>
      </c>
      <c r="Q99" s="45">
        <v>0</v>
      </c>
      <c r="R99" s="45">
        <v>8610.7999999999993</v>
      </c>
      <c r="S99" s="45">
        <v>0</v>
      </c>
      <c r="T99" s="45">
        <v>1</v>
      </c>
      <c r="U99" s="45">
        <v>8610.7999999999993</v>
      </c>
      <c r="V99" s="45">
        <v>0</v>
      </c>
      <c r="W99" s="45">
        <v>0</v>
      </c>
      <c r="X99" s="45">
        <v>8512</v>
      </c>
      <c r="Y99" s="45">
        <v>0</v>
      </c>
      <c r="Z99" s="45">
        <v>0</v>
      </c>
      <c r="AB99" s="45">
        <v>9507.4</v>
      </c>
      <c r="AC99" s="45">
        <v>0</v>
      </c>
      <c r="AD99" s="45">
        <v>1</v>
      </c>
      <c r="AE99" s="45">
        <v>9507.4</v>
      </c>
      <c r="AF99" s="45">
        <v>0</v>
      </c>
      <c r="AG99" s="45">
        <v>0</v>
      </c>
      <c r="AH99" s="45">
        <v>9995.2000000000007</v>
      </c>
      <c r="AI99" s="45">
        <v>0</v>
      </c>
      <c r="AJ99" s="45">
        <v>0</v>
      </c>
      <c r="AK99" s="45">
        <v>10481.299999999999</v>
      </c>
      <c r="AL99" s="45">
        <v>0</v>
      </c>
      <c r="AM99" s="45">
        <v>0</v>
      </c>
      <c r="AO99" s="45">
        <v>8610.7999999999993</v>
      </c>
      <c r="AP99" s="45">
        <v>0</v>
      </c>
      <c r="AQ99" s="45">
        <v>0</v>
      </c>
      <c r="AR99" s="45">
        <v>8610.7999999999993</v>
      </c>
      <c r="AS99" s="45">
        <v>0</v>
      </c>
      <c r="AT99" s="45">
        <v>0</v>
      </c>
      <c r="AU99" s="45">
        <v>9326.9</v>
      </c>
      <c r="AV99" s="45">
        <v>0</v>
      </c>
      <c r="AW99" s="45">
        <v>0</v>
      </c>
      <c r="AX99" s="45">
        <v>9326.9</v>
      </c>
      <c r="AY99" s="45">
        <v>0</v>
      </c>
      <c r="AZ99" s="45">
        <v>0</v>
      </c>
    </row>
    <row r="100" spans="2:52">
      <c r="B100" s="45">
        <v>9577.2000000000007</v>
      </c>
      <c r="C100" s="45">
        <v>0</v>
      </c>
      <c r="D100" s="45">
        <v>0</v>
      </c>
      <c r="E100" s="45">
        <v>9693.7000000000007</v>
      </c>
      <c r="F100" s="45">
        <v>0</v>
      </c>
      <c r="G100" s="45">
        <v>1</v>
      </c>
      <c r="H100" s="45">
        <v>9689</v>
      </c>
      <c r="I100" s="45">
        <v>0</v>
      </c>
      <c r="J100" s="45">
        <v>0</v>
      </c>
      <c r="K100" s="45">
        <v>9183.7000000000007</v>
      </c>
      <c r="L100" s="45">
        <v>0</v>
      </c>
      <c r="M100" s="45">
        <v>0</v>
      </c>
      <c r="O100" s="45">
        <v>9898.5</v>
      </c>
      <c r="P100" s="45">
        <v>0</v>
      </c>
      <c r="Q100" s="45">
        <v>0</v>
      </c>
      <c r="R100" s="45">
        <v>9183.7000000000007</v>
      </c>
      <c r="S100" s="45">
        <v>0</v>
      </c>
      <c r="T100" s="45">
        <v>1</v>
      </c>
      <c r="U100" s="45">
        <v>9183.7000000000007</v>
      </c>
      <c r="V100" s="45">
        <v>0</v>
      </c>
      <c r="W100" s="45">
        <v>0</v>
      </c>
      <c r="X100" s="45">
        <v>9649</v>
      </c>
      <c r="Y100" s="45">
        <v>0</v>
      </c>
      <c r="Z100" s="45">
        <v>0</v>
      </c>
      <c r="AB100" s="45">
        <v>9786.1</v>
      </c>
      <c r="AC100" s="45">
        <v>0</v>
      </c>
      <c r="AD100" s="45">
        <v>1</v>
      </c>
      <c r="AE100" s="45">
        <v>10503</v>
      </c>
      <c r="AF100" s="45">
        <v>0</v>
      </c>
      <c r="AG100" s="45">
        <v>0</v>
      </c>
      <c r="AH100" s="45">
        <v>10500.4</v>
      </c>
      <c r="AI100" s="45">
        <v>0</v>
      </c>
      <c r="AJ100" s="45">
        <v>0</v>
      </c>
      <c r="AK100" s="45">
        <v>10714.1</v>
      </c>
      <c r="AL100" s="45">
        <v>0</v>
      </c>
      <c r="AM100" s="45">
        <v>1</v>
      </c>
      <c r="AO100" s="45">
        <v>10214.200000000001</v>
      </c>
      <c r="AP100" s="45">
        <v>0</v>
      </c>
      <c r="AQ100" s="45">
        <v>1</v>
      </c>
      <c r="AR100" s="45">
        <v>9183.7000000000007</v>
      </c>
      <c r="AS100" s="45">
        <v>0</v>
      </c>
      <c r="AT100" s="45">
        <v>0</v>
      </c>
      <c r="AU100" s="45">
        <v>9183.7000000000007</v>
      </c>
      <c r="AV100" s="45">
        <v>0</v>
      </c>
      <c r="AW100" s="45">
        <v>0</v>
      </c>
      <c r="AX100" s="45">
        <v>9183.7000000000007</v>
      </c>
      <c r="AY100" s="45">
        <v>0</v>
      </c>
      <c r="AZ100" s="45">
        <v>0</v>
      </c>
    </row>
    <row r="101" spans="2:52">
      <c r="B101" s="45">
        <v>7872</v>
      </c>
      <c r="C101" s="45">
        <v>0</v>
      </c>
      <c r="D101" s="45">
        <v>0</v>
      </c>
      <c r="E101" s="45">
        <v>7872</v>
      </c>
      <c r="F101" s="45">
        <v>0</v>
      </c>
      <c r="G101" s="45">
        <v>0</v>
      </c>
      <c r="H101" s="45">
        <v>7872</v>
      </c>
      <c r="I101" s="45">
        <v>0</v>
      </c>
      <c r="J101" s="45">
        <v>1</v>
      </c>
      <c r="K101" s="45">
        <v>7409.5</v>
      </c>
      <c r="L101" s="45">
        <v>0</v>
      </c>
      <c r="M101" s="45">
        <v>0</v>
      </c>
      <c r="O101" s="45">
        <v>7369.5</v>
      </c>
      <c r="P101" s="45">
        <v>0</v>
      </c>
      <c r="Q101" s="45">
        <v>1</v>
      </c>
      <c r="R101" s="45">
        <v>7651.4</v>
      </c>
      <c r="S101" s="45">
        <v>0</v>
      </c>
      <c r="T101" s="45">
        <v>0</v>
      </c>
      <c r="U101" s="45">
        <v>7651.4</v>
      </c>
      <c r="V101" s="45">
        <v>0</v>
      </c>
      <c r="W101" s="45">
        <v>0</v>
      </c>
      <c r="X101" s="45">
        <v>7473.5</v>
      </c>
      <c r="Y101" s="45">
        <v>0</v>
      </c>
      <c r="Z101" s="45">
        <v>1</v>
      </c>
      <c r="AB101" s="45">
        <v>8652.9</v>
      </c>
      <c r="AC101" s="45">
        <v>0</v>
      </c>
      <c r="AD101" s="45">
        <v>0</v>
      </c>
      <c r="AE101" s="45">
        <v>9315.5</v>
      </c>
      <c r="AF101" s="45">
        <v>0</v>
      </c>
      <c r="AG101" s="45">
        <v>0</v>
      </c>
      <c r="AH101" s="45">
        <v>9042</v>
      </c>
      <c r="AI101" s="45">
        <v>0</v>
      </c>
      <c r="AJ101" s="45">
        <v>0</v>
      </c>
      <c r="AK101" s="45">
        <v>7473.5</v>
      </c>
      <c r="AL101" s="45">
        <v>0</v>
      </c>
      <c r="AM101" s="45">
        <v>1</v>
      </c>
      <c r="AO101" s="45">
        <v>7969.4</v>
      </c>
      <c r="AP101" s="45">
        <v>0</v>
      </c>
      <c r="AQ101" s="45">
        <v>0</v>
      </c>
      <c r="AR101" s="45">
        <v>7907.2</v>
      </c>
      <c r="AS101" s="45">
        <v>0</v>
      </c>
      <c r="AT101" s="45">
        <v>0</v>
      </c>
      <c r="AU101" s="45">
        <v>7872</v>
      </c>
      <c r="AV101" s="45">
        <v>0</v>
      </c>
      <c r="AW101" s="45">
        <v>1</v>
      </c>
      <c r="AX101" s="45">
        <v>7651.4</v>
      </c>
      <c r="AY101" s="45">
        <v>0</v>
      </c>
      <c r="AZ101" s="45">
        <v>0</v>
      </c>
    </row>
    <row r="102" spans="2:52">
      <c r="B102" s="45">
        <v>10490.6</v>
      </c>
      <c r="C102" s="45">
        <v>0</v>
      </c>
      <c r="D102" s="45">
        <v>0</v>
      </c>
      <c r="E102" s="45">
        <v>10283.799999999999</v>
      </c>
      <c r="F102" s="45">
        <v>0</v>
      </c>
      <c r="G102" s="45">
        <v>0</v>
      </c>
      <c r="H102" s="45">
        <v>10283.799999999999</v>
      </c>
      <c r="I102" s="45">
        <v>0</v>
      </c>
      <c r="J102" s="45">
        <v>0</v>
      </c>
      <c r="K102" s="45">
        <v>10283.799999999999</v>
      </c>
      <c r="L102" s="45">
        <v>0</v>
      </c>
      <c r="M102" s="45">
        <v>0</v>
      </c>
      <c r="O102" s="45">
        <v>10415.9</v>
      </c>
      <c r="P102" s="45">
        <v>0</v>
      </c>
      <c r="Q102" s="45">
        <v>0</v>
      </c>
      <c r="R102" s="45">
        <v>9916.2000000000007</v>
      </c>
      <c r="S102" s="45">
        <v>0</v>
      </c>
      <c r="T102" s="45">
        <v>0</v>
      </c>
      <c r="U102" s="45">
        <v>10071.6</v>
      </c>
      <c r="V102" s="45">
        <v>0</v>
      </c>
      <c r="W102" s="45">
        <v>0</v>
      </c>
      <c r="X102" s="45">
        <v>10119.6</v>
      </c>
      <c r="Y102" s="45">
        <v>0</v>
      </c>
      <c r="Z102" s="45">
        <v>1</v>
      </c>
      <c r="AB102" s="45">
        <v>12009.7</v>
      </c>
      <c r="AC102" s="45">
        <v>0</v>
      </c>
      <c r="AD102" s="45">
        <v>0</v>
      </c>
      <c r="AE102" s="45">
        <v>10677.6</v>
      </c>
      <c r="AF102" s="45">
        <v>0</v>
      </c>
      <c r="AG102" s="45">
        <v>0</v>
      </c>
      <c r="AH102" s="45">
        <v>11456.2</v>
      </c>
      <c r="AI102" s="45">
        <v>0</v>
      </c>
      <c r="AJ102" s="45">
        <v>0</v>
      </c>
      <c r="AK102" s="45">
        <v>10119.6</v>
      </c>
      <c r="AL102" s="45">
        <v>0</v>
      </c>
      <c r="AM102" s="45">
        <v>1</v>
      </c>
      <c r="AO102" s="45">
        <v>10677.6</v>
      </c>
      <c r="AP102" s="45">
        <v>0</v>
      </c>
      <c r="AQ102" s="45">
        <v>0</v>
      </c>
      <c r="AR102" s="45">
        <v>10498.5</v>
      </c>
      <c r="AS102" s="45">
        <v>0</v>
      </c>
      <c r="AT102" s="45">
        <v>0</v>
      </c>
      <c r="AU102" s="45">
        <v>10119.6</v>
      </c>
      <c r="AV102" s="45">
        <v>0</v>
      </c>
      <c r="AW102" s="45">
        <v>0</v>
      </c>
      <c r="AX102" s="45">
        <v>10490.6</v>
      </c>
      <c r="AY102" s="45">
        <v>0</v>
      </c>
      <c r="AZ102" s="45">
        <v>0</v>
      </c>
    </row>
    <row r="103" spans="2:52">
      <c r="B103" s="45">
        <v>10656.9</v>
      </c>
      <c r="C103" s="45">
        <v>0</v>
      </c>
      <c r="D103" s="45">
        <v>0</v>
      </c>
      <c r="E103" s="45">
        <v>10072.299999999999</v>
      </c>
      <c r="F103" s="45">
        <v>0</v>
      </c>
      <c r="G103" s="45">
        <v>1</v>
      </c>
      <c r="H103" s="45">
        <v>10413.9</v>
      </c>
      <c r="I103" s="45">
        <v>0</v>
      </c>
      <c r="J103" s="45">
        <v>0</v>
      </c>
      <c r="K103" s="45">
        <v>10072.299999999999</v>
      </c>
      <c r="L103" s="45">
        <v>0</v>
      </c>
      <c r="M103" s="45">
        <v>0</v>
      </c>
      <c r="O103" s="45">
        <v>10072.299999999999</v>
      </c>
      <c r="P103" s="45">
        <v>0</v>
      </c>
      <c r="Q103" s="45">
        <v>0</v>
      </c>
      <c r="R103" s="45">
        <v>10072.299999999999</v>
      </c>
      <c r="S103" s="45">
        <v>0</v>
      </c>
      <c r="T103" s="45">
        <v>0</v>
      </c>
      <c r="U103" s="45">
        <v>10072.299999999999</v>
      </c>
      <c r="V103" s="45">
        <v>0</v>
      </c>
      <c r="W103" s="45">
        <v>1</v>
      </c>
      <c r="X103" s="45">
        <v>10072.299999999999</v>
      </c>
      <c r="Y103" s="45">
        <v>0</v>
      </c>
      <c r="Z103" s="45">
        <v>0</v>
      </c>
      <c r="AB103" s="45">
        <v>10232.200000000001</v>
      </c>
      <c r="AC103" s="45">
        <v>0</v>
      </c>
      <c r="AD103" s="45">
        <v>0</v>
      </c>
      <c r="AE103" s="45">
        <v>11040.9</v>
      </c>
      <c r="AF103" s="45">
        <v>0</v>
      </c>
      <c r="AG103" s="45">
        <v>0</v>
      </c>
      <c r="AH103" s="45">
        <v>11211.1</v>
      </c>
      <c r="AI103" s="45">
        <v>0</v>
      </c>
      <c r="AJ103" s="45">
        <v>1</v>
      </c>
      <c r="AK103" s="45">
        <v>10567.7</v>
      </c>
      <c r="AL103" s="45">
        <v>0</v>
      </c>
      <c r="AM103" s="45">
        <v>0</v>
      </c>
      <c r="AO103" s="45">
        <v>10544.8</v>
      </c>
      <c r="AP103" s="45">
        <v>0</v>
      </c>
      <c r="AQ103" s="45">
        <v>1</v>
      </c>
      <c r="AR103" s="45">
        <v>10017.6</v>
      </c>
      <c r="AS103" s="45">
        <v>0</v>
      </c>
      <c r="AT103" s="45">
        <v>0</v>
      </c>
      <c r="AU103" s="45">
        <v>10556.7</v>
      </c>
      <c r="AV103" s="45">
        <v>0</v>
      </c>
      <c r="AW103" s="45">
        <v>0</v>
      </c>
      <c r="AX103" s="45">
        <v>10425</v>
      </c>
      <c r="AY103" s="45">
        <v>0</v>
      </c>
      <c r="AZ103" s="45">
        <v>0</v>
      </c>
    </row>
    <row r="104" spans="2:52">
      <c r="B104" s="45">
        <v>8930.4</v>
      </c>
      <c r="C104" s="45">
        <v>0</v>
      </c>
      <c r="D104" s="45">
        <v>0</v>
      </c>
      <c r="E104" s="45">
        <v>9442</v>
      </c>
      <c r="F104" s="45">
        <v>0</v>
      </c>
      <c r="G104" s="45">
        <v>0</v>
      </c>
      <c r="H104" s="45">
        <v>9355.5</v>
      </c>
      <c r="I104" s="45">
        <v>0</v>
      </c>
      <c r="J104" s="45">
        <v>1</v>
      </c>
      <c r="K104" s="45">
        <v>9125</v>
      </c>
      <c r="L104" s="45">
        <v>0</v>
      </c>
      <c r="M104" s="45">
        <v>0</v>
      </c>
      <c r="O104" s="45">
        <v>9442</v>
      </c>
      <c r="P104" s="45">
        <v>0</v>
      </c>
      <c r="Q104" s="45">
        <v>0</v>
      </c>
      <c r="R104" s="45">
        <v>9355.5</v>
      </c>
      <c r="S104" s="45">
        <v>0</v>
      </c>
      <c r="T104" s="45">
        <v>0</v>
      </c>
      <c r="U104" s="45">
        <v>9250</v>
      </c>
      <c r="V104" s="45">
        <v>0</v>
      </c>
      <c r="W104" s="45">
        <v>1</v>
      </c>
      <c r="X104" s="45">
        <v>9250</v>
      </c>
      <c r="Y104" s="45">
        <v>0</v>
      </c>
      <c r="Z104" s="45">
        <v>0</v>
      </c>
      <c r="AB104" s="45">
        <v>10277.4</v>
      </c>
      <c r="AC104" s="45">
        <v>0</v>
      </c>
      <c r="AD104" s="45">
        <v>0</v>
      </c>
      <c r="AE104" s="45">
        <v>10387.6</v>
      </c>
      <c r="AF104" s="45">
        <v>0</v>
      </c>
      <c r="AG104" s="45">
        <v>0</v>
      </c>
      <c r="AH104" s="45">
        <v>9873.1</v>
      </c>
      <c r="AI104" s="45">
        <v>0</v>
      </c>
      <c r="AJ104" s="45">
        <v>1</v>
      </c>
      <c r="AK104" s="45">
        <v>9753.1</v>
      </c>
      <c r="AL104" s="45">
        <v>0</v>
      </c>
      <c r="AM104" s="45">
        <v>0</v>
      </c>
      <c r="AO104" s="45">
        <v>9132.2000000000007</v>
      </c>
      <c r="AP104" s="45">
        <v>0</v>
      </c>
      <c r="AQ104" s="45">
        <v>0</v>
      </c>
      <c r="AR104" s="45">
        <v>9355.5</v>
      </c>
      <c r="AS104" s="45">
        <v>0</v>
      </c>
      <c r="AT104" s="45">
        <v>1</v>
      </c>
      <c r="AU104" s="45">
        <v>9442</v>
      </c>
      <c r="AV104" s="45">
        <v>0</v>
      </c>
      <c r="AW104" s="45">
        <v>0</v>
      </c>
      <c r="AX104" s="45">
        <v>9296.2999999999993</v>
      </c>
      <c r="AY104" s="45">
        <v>0</v>
      </c>
      <c r="AZ104" s="45">
        <v>0</v>
      </c>
    </row>
    <row r="105" spans="2:52">
      <c r="B105" s="45">
        <v>11681.5</v>
      </c>
      <c r="C105" s="45">
        <v>0</v>
      </c>
      <c r="D105" s="45">
        <v>0</v>
      </c>
      <c r="E105" s="45">
        <v>11783.6</v>
      </c>
      <c r="F105" s="45">
        <v>0</v>
      </c>
      <c r="G105" s="45">
        <v>0</v>
      </c>
      <c r="H105" s="45">
        <v>10996.8</v>
      </c>
      <c r="I105" s="45">
        <v>0</v>
      </c>
      <c r="J105" s="45">
        <v>0</v>
      </c>
      <c r="K105" s="45">
        <v>11753.1</v>
      </c>
      <c r="L105" s="45">
        <v>0</v>
      </c>
      <c r="M105" s="45">
        <v>0</v>
      </c>
      <c r="O105" s="45">
        <v>12050.3</v>
      </c>
      <c r="P105" s="45">
        <v>0</v>
      </c>
      <c r="Q105" s="45">
        <v>0</v>
      </c>
      <c r="R105" s="45">
        <v>11100.8</v>
      </c>
      <c r="S105" s="45">
        <v>0</v>
      </c>
      <c r="T105" s="45">
        <v>1</v>
      </c>
      <c r="U105" s="45">
        <v>11776.1</v>
      </c>
      <c r="V105" s="45">
        <v>0</v>
      </c>
      <c r="W105" s="45">
        <v>0</v>
      </c>
      <c r="X105" s="45">
        <v>11100.8</v>
      </c>
      <c r="Y105" s="45">
        <v>0</v>
      </c>
      <c r="Z105" s="45">
        <v>0</v>
      </c>
      <c r="AB105" s="45">
        <v>11753.1</v>
      </c>
      <c r="AC105" s="45">
        <v>0</v>
      </c>
      <c r="AD105" s="45">
        <v>0</v>
      </c>
      <c r="AE105" s="45">
        <v>12350.6</v>
      </c>
      <c r="AF105" s="45">
        <v>0</v>
      </c>
      <c r="AG105" s="45">
        <v>0</v>
      </c>
      <c r="AH105" s="45">
        <v>12044.9</v>
      </c>
      <c r="AI105" s="45">
        <v>0</v>
      </c>
      <c r="AJ105" s="45">
        <v>1</v>
      </c>
      <c r="AK105" s="45">
        <v>13642.2</v>
      </c>
      <c r="AL105" s="45">
        <v>0</v>
      </c>
      <c r="AM105" s="45">
        <v>0</v>
      </c>
      <c r="AO105" s="45">
        <v>11917.6</v>
      </c>
      <c r="AP105" s="45">
        <v>0</v>
      </c>
      <c r="AQ105" s="45">
        <v>0</v>
      </c>
      <c r="AR105" s="45">
        <v>11859.7</v>
      </c>
      <c r="AS105" s="45">
        <v>0</v>
      </c>
      <c r="AT105" s="45">
        <v>0</v>
      </c>
      <c r="AU105" s="45">
        <v>11783.6</v>
      </c>
      <c r="AV105" s="45">
        <v>0</v>
      </c>
      <c r="AW105" s="45">
        <v>0</v>
      </c>
      <c r="AX105" s="45">
        <v>11982.8</v>
      </c>
      <c r="AY105" s="45">
        <v>0</v>
      </c>
      <c r="AZ105" s="45">
        <v>1</v>
      </c>
    </row>
    <row r="106" spans="2:52">
      <c r="B106" s="45">
        <v>8131</v>
      </c>
      <c r="C106" s="45">
        <v>0</v>
      </c>
      <c r="D106" s="45">
        <v>1</v>
      </c>
      <c r="E106" s="45">
        <v>8131</v>
      </c>
      <c r="F106" s="45">
        <v>0</v>
      </c>
      <c r="G106" s="45">
        <v>0</v>
      </c>
      <c r="H106" s="45">
        <v>8131</v>
      </c>
      <c r="I106" s="45">
        <v>0</v>
      </c>
      <c r="J106" s="45">
        <v>0</v>
      </c>
      <c r="K106" s="45">
        <v>8987.6</v>
      </c>
      <c r="L106" s="45">
        <v>0</v>
      </c>
      <c r="M106" s="45">
        <v>0</v>
      </c>
      <c r="O106" s="45">
        <v>9168.4</v>
      </c>
      <c r="P106" s="45">
        <v>0</v>
      </c>
      <c r="Q106" s="45">
        <v>0</v>
      </c>
      <c r="R106" s="45">
        <v>8002.8</v>
      </c>
      <c r="S106" s="45">
        <v>0</v>
      </c>
      <c r="T106" s="45">
        <v>1</v>
      </c>
      <c r="U106" s="45">
        <v>8402.7999999999993</v>
      </c>
      <c r="V106" s="45">
        <v>4</v>
      </c>
      <c r="W106" s="45">
        <v>0</v>
      </c>
      <c r="X106" s="45">
        <v>8066.8</v>
      </c>
      <c r="Y106" s="45">
        <v>0</v>
      </c>
      <c r="Z106" s="45">
        <v>0</v>
      </c>
      <c r="AB106" s="45">
        <v>8796</v>
      </c>
      <c r="AC106" s="45">
        <v>0</v>
      </c>
      <c r="AD106" s="45">
        <v>0</v>
      </c>
      <c r="AE106" s="45">
        <v>9609.7999999999993</v>
      </c>
      <c r="AF106" s="45">
        <v>0</v>
      </c>
      <c r="AG106" s="45">
        <v>0</v>
      </c>
      <c r="AH106" s="45">
        <v>9224.4</v>
      </c>
      <c r="AI106" s="45">
        <v>0</v>
      </c>
      <c r="AJ106" s="45">
        <v>1</v>
      </c>
      <c r="AK106" s="45">
        <v>9425.2000000000007</v>
      </c>
      <c r="AL106" s="45">
        <v>0</v>
      </c>
      <c r="AM106" s="45">
        <v>0</v>
      </c>
      <c r="AO106" s="45">
        <v>8957.7999999999993</v>
      </c>
      <c r="AP106" s="45">
        <v>0</v>
      </c>
      <c r="AQ106" s="45">
        <v>0</v>
      </c>
      <c r="AR106" s="45">
        <v>8957.7999999999993</v>
      </c>
      <c r="AS106" s="45">
        <v>0</v>
      </c>
      <c r="AT106" s="45">
        <v>0</v>
      </c>
      <c r="AU106" s="45">
        <v>8673.5</v>
      </c>
      <c r="AV106" s="45">
        <v>0</v>
      </c>
      <c r="AW106" s="45">
        <v>0</v>
      </c>
      <c r="AX106" s="45">
        <v>8500.7999999999993</v>
      </c>
      <c r="AY106" s="45">
        <v>0</v>
      </c>
      <c r="AZ106" s="45">
        <v>0</v>
      </c>
    </row>
    <row r="107" spans="2:52">
      <c r="B107" s="45">
        <v>10234.299999999999</v>
      </c>
      <c r="C107" s="45">
        <v>0</v>
      </c>
      <c r="D107" s="45">
        <v>0</v>
      </c>
      <c r="E107" s="45">
        <v>9780.5</v>
      </c>
      <c r="F107" s="45">
        <v>0</v>
      </c>
      <c r="G107" s="45">
        <v>0</v>
      </c>
      <c r="H107" s="45">
        <v>10234.299999999999</v>
      </c>
      <c r="I107" s="45">
        <v>0</v>
      </c>
      <c r="J107" s="45">
        <v>1</v>
      </c>
      <c r="K107" s="45">
        <v>9780.5</v>
      </c>
      <c r="L107" s="45">
        <v>0</v>
      </c>
      <c r="M107" s="45">
        <v>0</v>
      </c>
      <c r="O107" s="45">
        <v>10234.299999999999</v>
      </c>
      <c r="P107" s="45">
        <v>0</v>
      </c>
      <c r="Q107" s="45">
        <v>1</v>
      </c>
      <c r="R107" s="45">
        <v>9780.5</v>
      </c>
      <c r="S107" s="45">
        <v>0</v>
      </c>
      <c r="T107" s="45">
        <v>0</v>
      </c>
      <c r="U107" s="45">
        <v>9780.5</v>
      </c>
      <c r="V107" s="45">
        <v>0</v>
      </c>
      <c r="W107" s="45">
        <v>0</v>
      </c>
      <c r="X107" s="45">
        <v>9780.5</v>
      </c>
      <c r="Y107" s="45">
        <v>0</v>
      </c>
      <c r="Z107" s="45">
        <v>0</v>
      </c>
      <c r="AB107" s="45">
        <v>11340.9</v>
      </c>
      <c r="AC107" s="45">
        <v>0</v>
      </c>
      <c r="AD107" s="45">
        <v>0</v>
      </c>
      <c r="AE107" s="45">
        <v>11533.5</v>
      </c>
      <c r="AF107" s="45">
        <v>0</v>
      </c>
      <c r="AG107" s="45">
        <v>1</v>
      </c>
      <c r="AH107" s="45">
        <v>10553</v>
      </c>
      <c r="AI107" s="45">
        <v>0</v>
      </c>
      <c r="AJ107" s="45">
        <v>0</v>
      </c>
      <c r="AK107" s="45">
        <v>10553</v>
      </c>
      <c r="AL107" s="45">
        <v>0</v>
      </c>
      <c r="AM107" s="45">
        <v>0</v>
      </c>
      <c r="AO107" s="45">
        <v>11073.5</v>
      </c>
      <c r="AP107" s="45">
        <v>0</v>
      </c>
      <c r="AQ107" s="45">
        <v>0</v>
      </c>
      <c r="AR107" s="45">
        <v>10595.4</v>
      </c>
      <c r="AS107" s="45">
        <v>0</v>
      </c>
      <c r="AT107" s="45">
        <v>1</v>
      </c>
      <c r="AU107" s="45">
        <v>10234.299999999999</v>
      </c>
      <c r="AV107" s="45">
        <v>0</v>
      </c>
      <c r="AW107" s="45">
        <v>0</v>
      </c>
      <c r="AX107" s="45">
        <v>9780.5</v>
      </c>
      <c r="AY107" s="45">
        <v>0</v>
      </c>
      <c r="AZ107" s="45">
        <v>0</v>
      </c>
    </row>
    <row r="108" spans="2:52">
      <c r="B108" s="45">
        <v>12479.5</v>
      </c>
      <c r="C108" s="45">
        <v>0</v>
      </c>
      <c r="D108" s="45">
        <v>0</v>
      </c>
      <c r="E108" s="45">
        <v>11578.3</v>
      </c>
      <c r="F108" s="45">
        <v>0</v>
      </c>
      <c r="G108" s="45">
        <v>0</v>
      </c>
      <c r="H108" s="45">
        <v>11413</v>
      </c>
      <c r="I108" s="45">
        <v>0</v>
      </c>
      <c r="J108" s="45">
        <v>0</v>
      </c>
      <c r="K108" s="45">
        <v>12598.1</v>
      </c>
      <c r="L108" s="45">
        <v>0</v>
      </c>
      <c r="M108" s="45">
        <v>1</v>
      </c>
      <c r="O108" s="45">
        <v>12452.4</v>
      </c>
      <c r="P108" s="45">
        <v>0</v>
      </c>
      <c r="Q108" s="45">
        <v>1</v>
      </c>
      <c r="R108" s="45">
        <v>11413</v>
      </c>
      <c r="S108" s="45">
        <v>0</v>
      </c>
      <c r="T108" s="45">
        <v>0</v>
      </c>
      <c r="U108" s="45">
        <v>11413</v>
      </c>
      <c r="V108" s="45">
        <v>0</v>
      </c>
      <c r="W108" s="45">
        <v>0</v>
      </c>
      <c r="X108" s="45">
        <v>11818.3</v>
      </c>
      <c r="Y108" s="45">
        <v>0</v>
      </c>
      <c r="Z108" s="45">
        <v>1</v>
      </c>
      <c r="AB108" s="45">
        <v>13280.1</v>
      </c>
      <c r="AC108" s="45">
        <v>0</v>
      </c>
      <c r="AD108" s="45">
        <v>0</v>
      </c>
      <c r="AE108" s="45">
        <v>12912</v>
      </c>
      <c r="AF108" s="45">
        <v>0</v>
      </c>
      <c r="AG108" s="45">
        <v>1</v>
      </c>
      <c r="AH108" s="45">
        <v>13395.4</v>
      </c>
      <c r="AI108" s="45">
        <v>0</v>
      </c>
      <c r="AJ108" s="45">
        <v>0</v>
      </c>
      <c r="AK108" s="45">
        <v>11453</v>
      </c>
      <c r="AL108" s="45">
        <v>0</v>
      </c>
      <c r="AM108" s="45">
        <v>0</v>
      </c>
      <c r="AO108" s="45">
        <v>12340.9</v>
      </c>
      <c r="AP108" s="45">
        <v>0</v>
      </c>
      <c r="AQ108" s="45">
        <v>0</v>
      </c>
      <c r="AR108" s="45">
        <v>12649.1</v>
      </c>
      <c r="AS108" s="45">
        <v>0</v>
      </c>
      <c r="AT108" s="45">
        <v>0</v>
      </c>
      <c r="AU108" s="45">
        <v>12479.5</v>
      </c>
      <c r="AV108" s="45">
        <v>0</v>
      </c>
      <c r="AW108" s="45">
        <v>1</v>
      </c>
      <c r="AX108" s="45">
        <v>12479.5</v>
      </c>
      <c r="AY108" s="45">
        <v>0</v>
      </c>
      <c r="AZ108" s="45">
        <v>0</v>
      </c>
    </row>
    <row r="109" spans="2:52">
      <c r="B109" s="45">
        <v>10963.2</v>
      </c>
      <c r="C109" s="45">
        <v>0</v>
      </c>
      <c r="D109" s="45">
        <v>0</v>
      </c>
      <c r="E109" s="45">
        <v>11450.6</v>
      </c>
      <c r="F109" s="45">
        <v>0</v>
      </c>
      <c r="G109" s="45">
        <v>0</v>
      </c>
      <c r="H109" s="45">
        <v>10963.2</v>
      </c>
      <c r="I109" s="45">
        <v>0</v>
      </c>
      <c r="J109" s="45">
        <v>0</v>
      </c>
      <c r="K109" s="45">
        <v>11262.8</v>
      </c>
      <c r="L109" s="45">
        <v>0</v>
      </c>
      <c r="M109" s="45">
        <v>0</v>
      </c>
      <c r="O109" s="45">
        <v>11675.8</v>
      </c>
      <c r="P109" s="45">
        <v>0</v>
      </c>
      <c r="Q109" s="45">
        <v>0</v>
      </c>
      <c r="R109" s="45">
        <v>11332.5</v>
      </c>
      <c r="S109" s="45">
        <v>0</v>
      </c>
      <c r="T109" s="45">
        <v>0</v>
      </c>
      <c r="U109" s="45">
        <v>11262.8</v>
      </c>
      <c r="V109" s="45">
        <v>0</v>
      </c>
      <c r="W109" s="45">
        <v>0</v>
      </c>
      <c r="X109" s="45">
        <v>10963.2</v>
      </c>
      <c r="Y109" s="45">
        <v>0</v>
      </c>
      <c r="Z109" s="45">
        <v>1</v>
      </c>
      <c r="AB109" s="45">
        <v>12419</v>
      </c>
      <c r="AC109" s="45">
        <v>0</v>
      </c>
      <c r="AD109" s="45">
        <v>1</v>
      </c>
      <c r="AE109" s="45">
        <v>12786.7</v>
      </c>
      <c r="AF109" s="45">
        <v>0</v>
      </c>
      <c r="AG109" s="45">
        <v>0</v>
      </c>
      <c r="AH109" s="45">
        <v>12128.8</v>
      </c>
      <c r="AI109" s="45">
        <v>0</v>
      </c>
      <c r="AJ109" s="45">
        <v>0</v>
      </c>
      <c r="AK109" s="45">
        <v>11942.6</v>
      </c>
      <c r="AL109" s="45">
        <v>0</v>
      </c>
      <c r="AM109" s="45">
        <v>0</v>
      </c>
      <c r="AO109" s="45">
        <v>11131.2</v>
      </c>
      <c r="AP109" s="45">
        <v>0</v>
      </c>
      <c r="AQ109" s="45">
        <v>0</v>
      </c>
      <c r="AR109" s="45">
        <v>11730</v>
      </c>
      <c r="AS109" s="45">
        <v>0</v>
      </c>
      <c r="AT109" s="45">
        <v>0</v>
      </c>
      <c r="AU109" s="45">
        <v>11262.8</v>
      </c>
      <c r="AV109" s="45">
        <v>0</v>
      </c>
      <c r="AW109" s="45">
        <v>0</v>
      </c>
      <c r="AX109" s="45">
        <v>11262.8</v>
      </c>
      <c r="AY109" s="45">
        <v>0</v>
      </c>
      <c r="AZ109" s="45">
        <v>1</v>
      </c>
    </row>
    <row r="110" spans="2:52">
      <c r="B110" s="45">
        <v>13543.6</v>
      </c>
      <c r="C110" s="45">
        <v>0</v>
      </c>
      <c r="D110" s="45">
        <v>0</v>
      </c>
      <c r="E110" s="45">
        <v>14381.6</v>
      </c>
      <c r="F110" s="45">
        <v>0</v>
      </c>
      <c r="G110" s="45">
        <v>0</v>
      </c>
      <c r="H110" s="45">
        <v>13767.6</v>
      </c>
      <c r="I110" s="45">
        <v>0</v>
      </c>
      <c r="J110" s="45">
        <v>1</v>
      </c>
      <c r="K110" s="45">
        <v>13767.6</v>
      </c>
      <c r="L110" s="45">
        <v>0</v>
      </c>
      <c r="M110" s="45">
        <v>0</v>
      </c>
      <c r="O110" s="45">
        <v>13520.6</v>
      </c>
      <c r="P110" s="45">
        <v>0</v>
      </c>
      <c r="Q110" s="45">
        <v>0</v>
      </c>
      <c r="R110" s="45">
        <v>13520.6</v>
      </c>
      <c r="S110" s="45">
        <v>0</v>
      </c>
      <c r="T110" s="45">
        <v>0</v>
      </c>
      <c r="U110" s="45">
        <v>13988.8</v>
      </c>
      <c r="V110" s="45">
        <v>0</v>
      </c>
      <c r="W110" s="45">
        <v>1</v>
      </c>
      <c r="X110" s="45">
        <v>13520.6</v>
      </c>
      <c r="Y110" s="45">
        <v>0</v>
      </c>
      <c r="Z110" s="45">
        <v>0</v>
      </c>
      <c r="AB110" s="45">
        <v>16002.5</v>
      </c>
      <c r="AC110" s="45">
        <v>0</v>
      </c>
      <c r="AD110" s="45">
        <v>1</v>
      </c>
      <c r="AE110" s="45">
        <v>15185</v>
      </c>
      <c r="AF110" s="45">
        <v>0</v>
      </c>
      <c r="AG110" s="45">
        <v>0</v>
      </c>
      <c r="AH110" s="45">
        <v>14884</v>
      </c>
      <c r="AI110" s="45">
        <v>0</v>
      </c>
      <c r="AJ110" s="45">
        <v>0</v>
      </c>
      <c r="AK110" s="45">
        <v>15648</v>
      </c>
      <c r="AL110" s="45">
        <v>0</v>
      </c>
      <c r="AM110" s="45">
        <v>0</v>
      </c>
      <c r="AO110" s="45">
        <v>13520.6</v>
      </c>
      <c r="AP110" s="45">
        <v>0</v>
      </c>
      <c r="AQ110" s="45">
        <v>0</v>
      </c>
      <c r="AR110" s="45">
        <v>13988.8</v>
      </c>
      <c r="AS110" s="45">
        <v>0</v>
      </c>
      <c r="AT110" s="45">
        <v>0</v>
      </c>
      <c r="AU110" s="45">
        <v>13988.8</v>
      </c>
      <c r="AV110" s="45">
        <v>0</v>
      </c>
      <c r="AW110" s="45">
        <v>0</v>
      </c>
      <c r="AX110" s="45">
        <v>13988.8</v>
      </c>
      <c r="AY110" s="45">
        <v>0</v>
      </c>
      <c r="AZ110" s="45">
        <v>0</v>
      </c>
    </row>
    <row r="111" spans="2:52">
      <c r="B111" s="45">
        <v>8440.9</v>
      </c>
      <c r="C111" s="45">
        <v>0</v>
      </c>
      <c r="D111" s="45">
        <v>0</v>
      </c>
      <c r="E111" s="45">
        <v>8280.2999999999993</v>
      </c>
      <c r="F111" s="45">
        <v>0</v>
      </c>
      <c r="G111" s="45">
        <v>0</v>
      </c>
      <c r="H111" s="45">
        <v>8312.9</v>
      </c>
      <c r="I111" s="45">
        <v>0</v>
      </c>
      <c r="J111" s="45">
        <v>0</v>
      </c>
      <c r="K111" s="45">
        <v>8519.9</v>
      </c>
      <c r="L111" s="45">
        <v>0</v>
      </c>
      <c r="M111" s="45">
        <v>0</v>
      </c>
      <c r="O111" s="45">
        <v>8076.1</v>
      </c>
      <c r="P111" s="45">
        <v>0</v>
      </c>
      <c r="Q111" s="45">
        <v>0</v>
      </c>
      <c r="R111" s="45">
        <v>8216.7999999999993</v>
      </c>
      <c r="S111" s="45">
        <v>0</v>
      </c>
      <c r="T111" s="45">
        <v>0</v>
      </c>
      <c r="U111" s="45">
        <v>8088.8</v>
      </c>
      <c r="V111" s="45">
        <v>0</v>
      </c>
      <c r="W111" s="45">
        <v>1</v>
      </c>
      <c r="X111" s="45">
        <v>8312.9</v>
      </c>
      <c r="Y111" s="45">
        <v>0</v>
      </c>
      <c r="Z111" s="45">
        <v>0</v>
      </c>
      <c r="AB111" s="45">
        <v>9455.5</v>
      </c>
      <c r="AC111" s="45">
        <v>0</v>
      </c>
      <c r="AD111" s="45">
        <v>1</v>
      </c>
      <c r="AE111" s="45">
        <v>8839.6</v>
      </c>
      <c r="AF111" s="45">
        <v>0</v>
      </c>
      <c r="AG111" s="45">
        <v>0</v>
      </c>
      <c r="AH111" s="45">
        <v>9543.2000000000007</v>
      </c>
      <c r="AI111" s="45">
        <v>0</v>
      </c>
      <c r="AJ111" s="45">
        <v>0</v>
      </c>
      <c r="AK111" s="45">
        <v>10099.799999999999</v>
      </c>
      <c r="AL111" s="45">
        <v>0</v>
      </c>
      <c r="AM111" s="45">
        <v>1</v>
      </c>
      <c r="AO111" s="45">
        <v>8879.1</v>
      </c>
      <c r="AP111" s="45">
        <v>0</v>
      </c>
      <c r="AQ111" s="45">
        <v>1</v>
      </c>
      <c r="AR111" s="45">
        <v>8475.2999999999993</v>
      </c>
      <c r="AS111" s="45">
        <v>0</v>
      </c>
      <c r="AT111" s="45">
        <v>0</v>
      </c>
      <c r="AU111" s="45">
        <v>8492.9</v>
      </c>
      <c r="AV111" s="45">
        <v>0</v>
      </c>
      <c r="AW111" s="45">
        <v>0</v>
      </c>
      <c r="AX111" s="45">
        <v>8475.2999999999993</v>
      </c>
      <c r="AY111" s="45">
        <v>0</v>
      </c>
      <c r="AZ111" s="45">
        <v>0</v>
      </c>
    </row>
    <row r="112" spans="2:52">
      <c r="B112" s="45">
        <v>9233.7999999999993</v>
      </c>
      <c r="C112" s="45">
        <v>0</v>
      </c>
      <c r="D112" s="45">
        <v>0</v>
      </c>
      <c r="E112" s="45">
        <v>9234.4</v>
      </c>
      <c r="F112" s="45">
        <v>0</v>
      </c>
      <c r="G112" s="45">
        <v>1</v>
      </c>
      <c r="H112" s="45">
        <v>9921.9</v>
      </c>
      <c r="I112" s="45">
        <v>0</v>
      </c>
      <c r="J112" s="45">
        <v>0</v>
      </c>
      <c r="K112" s="45">
        <v>9233.7999999999993</v>
      </c>
      <c r="L112" s="45">
        <v>0</v>
      </c>
      <c r="M112" s="45">
        <v>0</v>
      </c>
      <c r="O112" s="45">
        <v>9538.7000000000007</v>
      </c>
      <c r="P112" s="45">
        <v>0</v>
      </c>
      <c r="Q112" s="45">
        <v>0</v>
      </c>
      <c r="R112" s="45">
        <v>9233.7999999999993</v>
      </c>
      <c r="S112" s="45">
        <v>0</v>
      </c>
      <c r="T112" s="45">
        <v>1</v>
      </c>
      <c r="U112" s="45">
        <v>9233.7999999999993</v>
      </c>
      <c r="V112" s="45">
        <v>0</v>
      </c>
      <c r="W112" s="45">
        <v>0</v>
      </c>
      <c r="X112" s="45">
        <v>9123.4</v>
      </c>
      <c r="Y112" s="45">
        <v>0</v>
      </c>
      <c r="Z112" s="45">
        <v>0</v>
      </c>
      <c r="AB112" s="45">
        <v>10409.9</v>
      </c>
      <c r="AC112" s="45">
        <v>0</v>
      </c>
      <c r="AD112" s="45">
        <v>0</v>
      </c>
      <c r="AE112" s="45">
        <v>9921.9</v>
      </c>
      <c r="AF112" s="45">
        <v>0</v>
      </c>
      <c r="AG112" s="45">
        <v>0</v>
      </c>
      <c r="AH112" s="45">
        <v>10488.1</v>
      </c>
      <c r="AI112" s="45">
        <v>0</v>
      </c>
      <c r="AJ112" s="45">
        <v>0</v>
      </c>
      <c r="AK112" s="45">
        <v>10073.6</v>
      </c>
      <c r="AL112" s="45">
        <v>0</v>
      </c>
      <c r="AM112" s="45">
        <v>1</v>
      </c>
      <c r="AO112" s="45">
        <v>9538.7000000000007</v>
      </c>
      <c r="AP112" s="45">
        <v>0</v>
      </c>
      <c r="AQ112" s="45">
        <v>0</v>
      </c>
      <c r="AR112" s="45">
        <v>9233.7999999999993</v>
      </c>
      <c r="AS112" s="45">
        <v>0</v>
      </c>
      <c r="AT112" s="45">
        <v>1</v>
      </c>
      <c r="AU112" s="45">
        <v>10073.6</v>
      </c>
      <c r="AV112" s="45">
        <v>0</v>
      </c>
      <c r="AW112" s="45">
        <v>0</v>
      </c>
      <c r="AX112" s="45">
        <v>9329.9</v>
      </c>
      <c r="AY112" s="45">
        <v>0</v>
      </c>
      <c r="AZ112" s="45">
        <v>0</v>
      </c>
    </row>
    <row r="113" spans="2:52">
      <c r="B113" s="45">
        <v>9392</v>
      </c>
      <c r="C113" s="45">
        <v>0</v>
      </c>
      <c r="D113" s="45">
        <v>0</v>
      </c>
      <c r="E113" s="45">
        <v>9755.5</v>
      </c>
      <c r="F113" s="45">
        <v>0</v>
      </c>
      <c r="G113" s="45">
        <v>0</v>
      </c>
      <c r="H113" s="45">
        <v>9648</v>
      </c>
      <c r="I113" s="45">
        <v>0</v>
      </c>
      <c r="J113" s="45">
        <v>0</v>
      </c>
      <c r="K113" s="45">
        <v>9392</v>
      </c>
      <c r="L113" s="45">
        <v>0</v>
      </c>
      <c r="M113" s="45">
        <v>1</v>
      </c>
      <c r="O113" s="45">
        <v>9755.5</v>
      </c>
      <c r="P113" s="45">
        <v>0</v>
      </c>
      <c r="Q113" s="45">
        <v>0</v>
      </c>
      <c r="R113" s="45">
        <v>10136.4</v>
      </c>
      <c r="S113" s="45">
        <v>10</v>
      </c>
      <c r="T113" s="45">
        <v>1</v>
      </c>
      <c r="U113" s="45">
        <v>9392</v>
      </c>
      <c r="V113" s="45">
        <v>0</v>
      </c>
      <c r="W113" s="45">
        <v>0</v>
      </c>
      <c r="X113" s="45">
        <v>10135.299999999999</v>
      </c>
      <c r="Y113" s="45">
        <v>10</v>
      </c>
      <c r="Z113" s="45">
        <v>0</v>
      </c>
      <c r="AB113" s="45">
        <v>9392</v>
      </c>
      <c r="AC113" s="45">
        <v>0</v>
      </c>
      <c r="AD113" s="45">
        <v>0</v>
      </c>
      <c r="AE113" s="45">
        <v>10011.799999999999</v>
      </c>
      <c r="AF113" s="45">
        <v>0</v>
      </c>
      <c r="AG113" s="45">
        <v>0</v>
      </c>
      <c r="AH113" s="45">
        <v>10190.299999999999</v>
      </c>
      <c r="AI113" s="45">
        <v>0</v>
      </c>
      <c r="AJ113" s="45">
        <v>0</v>
      </c>
      <c r="AK113" s="45">
        <v>10559.5</v>
      </c>
      <c r="AL113" s="45">
        <v>0</v>
      </c>
      <c r="AM113" s="45">
        <v>1</v>
      </c>
      <c r="AO113" s="45">
        <v>9392</v>
      </c>
      <c r="AP113" s="45">
        <v>0</v>
      </c>
      <c r="AQ113" s="45">
        <v>0</v>
      </c>
      <c r="AR113" s="45">
        <v>9392</v>
      </c>
      <c r="AS113" s="45">
        <v>0</v>
      </c>
      <c r="AT113" s="45">
        <v>0</v>
      </c>
      <c r="AU113" s="45">
        <v>9755.5</v>
      </c>
      <c r="AV113" s="45">
        <v>0</v>
      </c>
      <c r="AW113" s="45">
        <v>1</v>
      </c>
      <c r="AX113" s="45">
        <v>9755.5</v>
      </c>
      <c r="AY113" s="45">
        <v>0</v>
      </c>
      <c r="AZ113" s="45">
        <v>0</v>
      </c>
    </row>
    <row r="114" spans="2:52">
      <c r="B114" s="45">
        <v>9506.4</v>
      </c>
      <c r="C114" s="45">
        <v>0</v>
      </c>
      <c r="D114" s="45">
        <v>0</v>
      </c>
      <c r="E114" s="45">
        <v>9623.5</v>
      </c>
      <c r="F114" s="45">
        <v>0</v>
      </c>
      <c r="G114" s="45">
        <v>0</v>
      </c>
      <c r="H114" s="45">
        <v>9519.5</v>
      </c>
      <c r="I114" s="45">
        <v>0</v>
      </c>
      <c r="J114" s="45">
        <v>0</v>
      </c>
      <c r="K114" s="45">
        <v>9324.5</v>
      </c>
      <c r="L114" s="45">
        <v>0</v>
      </c>
      <c r="M114" s="45">
        <v>0</v>
      </c>
      <c r="O114" s="45">
        <v>9324.5</v>
      </c>
      <c r="P114" s="45">
        <v>0</v>
      </c>
      <c r="Q114" s="45">
        <v>1</v>
      </c>
      <c r="R114" s="45">
        <v>9614.1</v>
      </c>
      <c r="S114" s="45">
        <v>0</v>
      </c>
      <c r="T114" s="45">
        <v>0</v>
      </c>
      <c r="U114" s="45">
        <v>9614.1</v>
      </c>
      <c r="V114" s="45">
        <v>0</v>
      </c>
      <c r="W114" s="45">
        <v>0</v>
      </c>
      <c r="X114" s="45">
        <v>9324.5</v>
      </c>
      <c r="Y114" s="45">
        <v>0</v>
      </c>
      <c r="Z114" s="45">
        <v>1</v>
      </c>
      <c r="AB114" s="45">
        <v>9975.7000000000007</v>
      </c>
      <c r="AC114" s="45">
        <v>0</v>
      </c>
      <c r="AD114" s="45">
        <v>0</v>
      </c>
      <c r="AE114" s="45">
        <v>11478.8</v>
      </c>
      <c r="AF114" s="45">
        <v>0</v>
      </c>
      <c r="AG114" s="45">
        <v>0</v>
      </c>
      <c r="AH114" s="45">
        <v>10551.5</v>
      </c>
      <c r="AI114" s="45">
        <v>0</v>
      </c>
      <c r="AJ114" s="45">
        <v>1</v>
      </c>
      <c r="AK114" s="45">
        <v>9614.1</v>
      </c>
      <c r="AL114" s="45">
        <v>0</v>
      </c>
      <c r="AM114" s="45">
        <v>0</v>
      </c>
      <c r="AO114" s="45">
        <v>10520.8</v>
      </c>
      <c r="AP114" s="45">
        <v>0</v>
      </c>
      <c r="AQ114" s="45">
        <v>0</v>
      </c>
      <c r="AR114" s="45">
        <v>9324.5</v>
      </c>
      <c r="AS114" s="45">
        <v>0</v>
      </c>
      <c r="AT114" s="45">
        <v>0</v>
      </c>
      <c r="AU114" s="45">
        <v>10016.799999999999</v>
      </c>
      <c r="AV114" s="45">
        <v>0</v>
      </c>
      <c r="AW114" s="45">
        <v>0</v>
      </c>
      <c r="AX114" s="45">
        <v>9546.1</v>
      </c>
      <c r="AY114" s="45">
        <v>0</v>
      </c>
      <c r="AZ114" s="45">
        <v>1</v>
      </c>
    </row>
    <row r="115" spans="2:52">
      <c r="B115" s="45">
        <v>14896.3</v>
      </c>
      <c r="C115" s="45">
        <v>0</v>
      </c>
      <c r="D115" s="45">
        <v>0</v>
      </c>
      <c r="E115" s="45">
        <v>14433.1</v>
      </c>
      <c r="F115" s="45">
        <v>0</v>
      </c>
      <c r="G115" s="45">
        <v>0</v>
      </c>
      <c r="H115" s="45">
        <v>14433.1</v>
      </c>
      <c r="I115" s="45">
        <v>0</v>
      </c>
      <c r="J115" s="45">
        <v>1</v>
      </c>
      <c r="K115" s="45">
        <v>14848.1</v>
      </c>
      <c r="L115" s="45">
        <v>0</v>
      </c>
      <c r="M115" s="45">
        <v>0</v>
      </c>
      <c r="O115" s="45">
        <v>14433.1</v>
      </c>
      <c r="P115" s="45">
        <v>0</v>
      </c>
      <c r="Q115" s="45">
        <v>0</v>
      </c>
      <c r="R115" s="45">
        <v>14590.3</v>
      </c>
      <c r="S115" s="45">
        <v>0</v>
      </c>
      <c r="T115" s="45">
        <v>0</v>
      </c>
      <c r="U115" s="45">
        <v>14433.1</v>
      </c>
      <c r="V115" s="45">
        <v>0</v>
      </c>
      <c r="W115" s="45">
        <v>0</v>
      </c>
      <c r="X115" s="45">
        <v>14433.1</v>
      </c>
      <c r="Y115" s="45">
        <v>0</v>
      </c>
      <c r="Z115" s="45">
        <v>1</v>
      </c>
      <c r="AB115" s="45">
        <v>15766.3</v>
      </c>
      <c r="AC115" s="45">
        <v>0</v>
      </c>
      <c r="AD115" s="45">
        <v>0</v>
      </c>
      <c r="AE115" s="45">
        <v>14848.1</v>
      </c>
      <c r="AF115" s="45">
        <v>0</v>
      </c>
      <c r="AG115" s="45">
        <v>0</v>
      </c>
      <c r="AH115" s="45">
        <v>15766.3</v>
      </c>
      <c r="AI115" s="45">
        <v>0</v>
      </c>
      <c r="AJ115" s="45">
        <v>1</v>
      </c>
      <c r="AK115" s="45">
        <v>14561</v>
      </c>
      <c r="AL115" s="45">
        <v>0</v>
      </c>
      <c r="AM115" s="45">
        <v>0</v>
      </c>
      <c r="AO115" s="45">
        <v>14433.1</v>
      </c>
      <c r="AP115" s="45">
        <v>0</v>
      </c>
      <c r="AQ115" s="45">
        <v>0</v>
      </c>
      <c r="AR115" s="45">
        <v>14433.1</v>
      </c>
      <c r="AS115" s="45">
        <v>0</v>
      </c>
      <c r="AT115" s="45">
        <v>0</v>
      </c>
      <c r="AU115" s="45">
        <v>14848.1</v>
      </c>
      <c r="AV115" s="45">
        <v>0</v>
      </c>
      <c r="AW115" s="45">
        <v>0</v>
      </c>
      <c r="AX115" s="45">
        <v>14561</v>
      </c>
      <c r="AY115" s="45">
        <v>0</v>
      </c>
      <c r="AZ115" s="45">
        <v>0</v>
      </c>
    </row>
    <row r="116" spans="2:52">
      <c r="B116" s="45">
        <v>12012.6</v>
      </c>
      <c r="C116" s="45">
        <v>0</v>
      </c>
      <c r="D116" s="45">
        <v>0</v>
      </c>
      <c r="E116" s="45">
        <v>11032.9</v>
      </c>
      <c r="F116" s="45">
        <v>0</v>
      </c>
      <c r="G116" s="45">
        <v>0</v>
      </c>
      <c r="H116" s="45">
        <v>11239.8</v>
      </c>
      <c r="I116" s="45">
        <v>0</v>
      </c>
      <c r="J116" s="45">
        <v>0</v>
      </c>
      <c r="K116" s="45">
        <v>11042.1</v>
      </c>
      <c r="L116" s="45">
        <v>0</v>
      </c>
      <c r="M116" s="45">
        <v>0</v>
      </c>
      <c r="O116" s="45">
        <v>11736.4</v>
      </c>
      <c r="P116" s="45">
        <v>0</v>
      </c>
      <c r="Q116" s="45">
        <v>0</v>
      </c>
      <c r="R116" s="45">
        <v>11732.9</v>
      </c>
      <c r="S116" s="45">
        <v>7</v>
      </c>
      <c r="T116" s="45">
        <v>0</v>
      </c>
      <c r="U116" s="45">
        <v>11217.9</v>
      </c>
      <c r="V116" s="45">
        <v>0</v>
      </c>
      <c r="W116" s="45">
        <v>1</v>
      </c>
      <c r="X116" s="45">
        <v>11032.9</v>
      </c>
      <c r="Y116" s="45">
        <v>0</v>
      </c>
      <c r="Z116" s="45">
        <v>0</v>
      </c>
      <c r="AB116" s="45">
        <v>12883.1</v>
      </c>
      <c r="AC116" s="45">
        <v>0</v>
      </c>
      <c r="AD116" s="45">
        <v>0</v>
      </c>
      <c r="AE116" s="45">
        <v>12459.6</v>
      </c>
      <c r="AF116" s="45">
        <v>0</v>
      </c>
      <c r="AG116" s="45">
        <v>0</v>
      </c>
      <c r="AH116" s="45">
        <v>12038.5</v>
      </c>
      <c r="AI116" s="45">
        <v>0</v>
      </c>
      <c r="AJ116" s="45">
        <v>1</v>
      </c>
      <c r="AK116" s="45">
        <v>13088</v>
      </c>
      <c r="AL116" s="45">
        <v>0</v>
      </c>
      <c r="AM116" s="45">
        <v>0</v>
      </c>
      <c r="AO116" s="45">
        <v>11217.9</v>
      </c>
      <c r="AP116" s="45">
        <v>0</v>
      </c>
      <c r="AQ116" s="45">
        <v>1</v>
      </c>
      <c r="AR116" s="45">
        <v>11032.9</v>
      </c>
      <c r="AS116" s="45">
        <v>0</v>
      </c>
      <c r="AT116" s="45">
        <v>0</v>
      </c>
      <c r="AU116" s="45">
        <v>11032.9</v>
      </c>
      <c r="AV116" s="45">
        <v>0</v>
      </c>
      <c r="AW116" s="45">
        <v>0</v>
      </c>
      <c r="AX116" s="45">
        <v>11032.9</v>
      </c>
      <c r="AY116" s="45">
        <v>0</v>
      </c>
      <c r="AZ116" s="45">
        <v>0</v>
      </c>
    </row>
    <row r="117" spans="2:52">
      <c r="B117" s="45">
        <v>8508.5</v>
      </c>
      <c r="C117" s="45">
        <v>0</v>
      </c>
      <c r="D117" s="45">
        <v>1</v>
      </c>
      <c r="E117" s="45">
        <v>9102.2999999999993</v>
      </c>
      <c r="F117" s="45">
        <v>0</v>
      </c>
      <c r="G117" s="45">
        <v>0</v>
      </c>
      <c r="H117" s="45">
        <v>8550.2999999999993</v>
      </c>
      <c r="I117" s="45">
        <v>0</v>
      </c>
      <c r="J117" s="45">
        <v>0</v>
      </c>
      <c r="K117" s="45">
        <v>8802.5</v>
      </c>
      <c r="L117" s="45">
        <v>0</v>
      </c>
      <c r="M117" s="45">
        <v>0</v>
      </c>
      <c r="O117" s="45">
        <v>8508.5</v>
      </c>
      <c r="P117" s="45">
        <v>0</v>
      </c>
      <c r="Q117" s="45">
        <v>0</v>
      </c>
      <c r="R117" s="45">
        <v>9951.7000000000007</v>
      </c>
      <c r="S117" s="45">
        <v>0</v>
      </c>
      <c r="T117" s="45">
        <v>1</v>
      </c>
      <c r="U117" s="45">
        <v>8675.2000000000007</v>
      </c>
      <c r="V117" s="45">
        <v>0</v>
      </c>
      <c r="W117" s="45">
        <v>0</v>
      </c>
      <c r="X117" s="45">
        <v>8580.5</v>
      </c>
      <c r="Y117" s="45">
        <v>0</v>
      </c>
      <c r="Z117" s="45">
        <v>0</v>
      </c>
      <c r="AB117" s="45">
        <v>11137.6</v>
      </c>
      <c r="AC117" s="45">
        <v>0</v>
      </c>
      <c r="AD117" s="45">
        <v>0</v>
      </c>
      <c r="AE117" s="45">
        <v>10598.7</v>
      </c>
      <c r="AF117" s="45">
        <v>0</v>
      </c>
      <c r="AG117" s="45">
        <v>1</v>
      </c>
      <c r="AH117" s="45">
        <v>10457.4</v>
      </c>
      <c r="AI117" s="45">
        <v>0</v>
      </c>
      <c r="AJ117" s="45">
        <v>0</v>
      </c>
      <c r="AK117" s="45">
        <v>10075.6</v>
      </c>
      <c r="AL117" s="45">
        <v>0</v>
      </c>
      <c r="AM117" s="45">
        <v>0</v>
      </c>
      <c r="AO117" s="45">
        <v>9750.1</v>
      </c>
      <c r="AP117" s="45">
        <v>0</v>
      </c>
      <c r="AQ117" s="45">
        <v>0</v>
      </c>
      <c r="AR117" s="45">
        <v>11156.2</v>
      </c>
      <c r="AS117" s="45">
        <v>22</v>
      </c>
      <c r="AT117" s="45">
        <v>1</v>
      </c>
      <c r="AU117" s="45">
        <v>9920.2999999999993</v>
      </c>
      <c r="AV117" s="45">
        <v>0</v>
      </c>
      <c r="AW117" s="45">
        <v>0</v>
      </c>
      <c r="AX117" s="45">
        <v>8675.2000000000007</v>
      </c>
      <c r="AY117" s="45">
        <v>0</v>
      </c>
      <c r="AZ117" s="45">
        <v>0</v>
      </c>
    </row>
    <row r="118" spans="2:52">
      <c r="B118" s="45">
        <v>9947.6</v>
      </c>
      <c r="C118" s="45">
        <v>0</v>
      </c>
      <c r="D118" s="45">
        <v>0</v>
      </c>
      <c r="E118" s="45">
        <v>9795.5</v>
      </c>
      <c r="F118" s="45">
        <v>0</v>
      </c>
      <c r="G118" s="45">
        <v>0</v>
      </c>
      <c r="H118" s="45">
        <v>9563.9</v>
      </c>
      <c r="I118" s="45">
        <v>0</v>
      </c>
      <c r="J118" s="45">
        <v>0</v>
      </c>
      <c r="K118" s="45">
        <v>9458.2000000000007</v>
      </c>
      <c r="L118" s="45">
        <v>0</v>
      </c>
      <c r="M118" s="45">
        <v>1</v>
      </c>
      <c r="O118" s="45">
        <v>9210.2000000000007</v>
      </c>
      <c r="P118" s="45">
        <v>0</v>
      </c>
      <c r="Q118" s="45">
        <v>0</v>
      </c>
      <c r="R118" s="45">
        <v>9322.2000000000007</v>
      </c>
      <c r="S118" s="45">
        <v>0</v>
      </c>
      <c r="T118" s="45">
        <v>1</v>
      </c>
      <c r="U118" s="45">
        <v>9606.6</v>
      </c>
      <c r="V118" s="45">
        <v>0</v>
      </c>
      <c r="W118" s="45">
        <v>0</v>
      </c>
      <c r="X118" s="45">
        <v>9764.7000000000007</v>
      </c>
      <c r="Y118" s="45">
        <v>0</v>
      </c>
      <c r="Z118" s="45">
        <v>0</v>
      </c>
      <c r="AB118" s="45">
        <v>9187.2000000000007</v>
      </c>
      <c r="AC118" s="45">
        <v>0</v>
      </c>
      <c r="AD118" s="45">
        <v>0</v>
      </c>
      <c r="AE118" s="45">
        <v>9323.2000000000007</v>
      </c>
      <c r="AF118" s="45">
        <v>0</v>
      </c>
      <c r="AG118" s="45">
        <v>1</v>
      </c>
      <c r="AH118" s="45">
        <v>10551.1</v>
      </c>
      <c r="AI118" s="45">
        <v>0</v>
      </c>
      <c r="AJ118" s="45">
        <v>0</v>
      </c>
      <c r="AK118" s="45">
        <v>10991.9</v>
      </c>
      <c r="AL118" s="45">
        <v>0</v>
      </c>
      <c r="AM118" s="45">
        <v>0</v>
      </c>
      <c r="AO118" s="45">
        <v>9540.2999999999993</v>
      </c>
      <c r="AP118" s="45">
        <v>0</v>
      </c>
      <c r="AQ118" s="45">
        <v>0</v>
      </c>
      <c r="AR118" s="45">
        <v>10042.299999999999</v>
      </c>
      <c r="AS118" s="45">
        <v>0</v>
      </c>
      <c r="AT118" s="45">
        <v>0</v>
      </c>
      <c r="AU118" s="45">
        <v>10141.1</v>
      </c>
      <c r="AV118" s="45">
        <v>0</v>
      </c>
      <c r="AW118" s="45">
        <v>0</v>
      </c>
      <c r="AX118" s="45">
        <v>9923.7999999999993</v>
      </c>
      <c r="AY118" s="45">
        <v>0</v>
      </c>
      <c r="AZ118" s="45">
        <v>1</v>
      </c>
    </row>
    <row r="119" spans="2:52">
      <c r="B119" s="45">
        <v>8230.4</v>
      </c>
      <c r="C119" s="45">
        <v>0</v>
      </c>
      <c r="D119" s="45">
        <v>0</v>
      </c>
      <c r="E119" s="45">
        <v>7953.3</v>
      </c>
      <c r="F119" s="45">
        <v>0</v>
      </c>
      <c r="G119" s="45">
        <v>0</v>
      </c>
      <c r="H119" s="45">
        <v>7998.4</v>
      </c>
      <c r="I119" s="45">
        <v>0</v>
      </c>
      <c r="J119" s="45">
        <v>0</v>
      </c>
      <c r="K119" s="45">
        <v>8154.9</v>
      </c>
      <c r="L119" s="45">
        <v>0</v>
      </c>
      <c r="M119" s="45">
        <v>0</v>
      </c>
      <c r="O119" s="45">
        <v>7953.3</v>
      </c>
      <c r="P119" s="45">
        <v>0</v>
      </c>
      <c r="Q119" s="45">
        <v>1</v>
      </c>
      <c r="R119" s="45">
        <v>7953.3</v>
      </c>
      <c r="S119" s="45">
        <v>0</v>
      </c>
      <c r="T119" s="45">
        <v>0</v>
      </c>
      <c r="U119" s="45">
        <v>7953.3</v>
      </c>
      <c r="V119" s="45">
        <v>0</v>
      </c>
      <c r="W119" s="45">
        <v>0</v>
      </c>
      <c r="X119" s="45">
        <v>7953.3</v>
      </c>
      <c r="Y119" s="45">
        <v>0</v>
      </c>
      <c r="Z119" s="45">
        <v>0</v>
      </c>
      <c r="AB119" s="45">
        <v>8676.7999999999993</v>
      </c>
      <c r="AC119" s="45">
        <v>0</v>
      </c>
      <c r="AD119" s="45">
        <v>1</v>
      </c>
      <c r="AE119" s="45">
        <v>8576.6</v>
      </c>
      <c r="AF119" s="45">
        <v>0</v>
      </c>
      <c r="AG119" s="45">
        <v>0</v>
      </c>
      <c r="AH119" s="45">
        <v>9729.2999999999993</v>
      </c>
      <c r="AI119" s="45">
        <v>0</v>
      </c>
      <c r="AJ119" s="45">
        <v>0</v>
      </c>
      <c r="AK119" s="45">
        <v>9938</v>
      </c>
      <c r="AL119" s="45">
        <v>0</v>
      </c>
      <c r="AM119" s="45">
        <v>0</v>
      </c>
      <c r="AO119" s="45">
        <v>8590.5</v>
      </c>
      <c r="AP119" s="45">
        <v>0</v>
      </c>
      <c r="AQ119" s="45">
        <v>0</v>
      </c>
      <c r="AR119" s="45">
        <v>8178.1</v>
      </c>
      <c r="AS119" s="45">
        <v>0</v>
      </c>
      <c r="AT119" s="45">
        <v>0</v>
      </c>
      <c r="AU119" s="45">
        <v>7953.3</v>
      </c>
      <c r="AV119" s="45">
        <v>0</v>
      </c>
      <c r="AW119" s="45">
        <v>0</v>
      </c>
      <c r="AX119" s="45">
        <v>7998.4</v>
      </c>
      <c r="AY119" s="45">
        <v>0</v>
      </c>
      <c r="AZ119" s="45">
        <v>0</v>
      </c>
    </row>
    <row r="120" spans="2:52">
      <c r="B120" s="45">
        <v>13519.4</v>
      </c>
      <c r="C120" s="45">
        <v>0</v>
      </c>
      <c r="D120" s="45">
        <v>0</v>
      </c>
      <c r="E120" s="45">
        <v>14058.3</v>
      </c>
      <c r="F120" s="45">
        <v>5</v>
      </c>
      <c r="G120" s="45">
        <v>1</v>
      </c>
      <c r="H120" s="45">
        <v>13554.3</v>
      </c>
      <c r="I120" s="45">
        <v>0</v>
      </c>
      <c r="J120" s="45">
        <v>0</v>
      </c>
      <c r="K120" s="45">
        <v>13554.3</v>
      </c>
      <c r="L120" s="45">
        <v>0</v>
      </c>
      <c r="M120" s="45">
        <v>0</v>
      </c>
      <c r="O120" s="45">
        <v>13643.3</v>
      </c>
      <c r="P120" s="45">
        <v>0</v>
      </c>
      <c r="Q120" s="45">
        <v>1</v>
      </c>
      <c r="R120" s="45">
        <v>13554.3</v>
      </c>
      <c r="S120" s="45">
        <v>0</v>
      </c>
      <c r="T120" s="45">
        <v>0</v>
      </c>
      <c r="U120" s="45">
        <v>13519.4</v>
      </c>
      <c r="V120" s="45">
        <v>0</v>
      </c>
      <c r="W120" s="45">
        <v>0</v>
      </c>
      <c r="X120" s="45">
        <v>13612.7</v>
      </c>
      <c r="Y120" s="45">
        <v>0</v>
      </c>
      <c r="Z120" s="45">
        <v>0</v>
      </c>
      <c r="AB120" s="45">
        <v>15162.9</v>
      </c>
      <c r="AC120" s="45">
        <v>0</v>
      </c>
      <c r="AD120" s="45">
        <v>1</v>
      </c>
      <c r="AE120" s="45">
        <v>13325</v>
      </c>
      <c r="AF120" s="45">
        <v>0</v>
      </c>
      <c r="AG120" s="45">
        <v>0</v>
      </c>
      <c r="AH120" s="45">
        <v>15247.6</v>
      </c>
      <c r="AI120" s="45">
        <v>0</v>
      </c>
      <c r="AJ120" s="45">
        <v>0</v>
      </c>
      <c r="AK120" s="45">
        <v>14162.9</v>
      </c>
      <c r="AL120" s="45">
        <v>0</v>
      </c>
      <c r="AM120" s="45">
        <v>0</v>
      </c>
      <c r="AO120" s="45">
        <v>13554.3</v>
      </c>
      <c r="AP120" s="45">
        <v>0</v>
      </c>
      <c r="AQ120" s="45">
        <v>1</v>
      </c>
      <c r="AR120" s="45">
        <v>13519.4</v>
      </c>
      <c r="AS120" s="45">
        <v>0</v>
      </c>
      <c r="AT120" s="45">
        <v>0</v>
      </c>
      <c r="AU120" s="45">
        <v>13519.4</v>
      </c>
      <c r="AV120" s="45">
        <v>0</v>
      </c>
      <c r="AW120" s="45">
        <v>0</v>
      </c>
      <c r="AX120" s="45">
        <v>13612.7</v>
      </c>
      <c r="AY120" s="45">
        <v>0</v>
      </c>
      <c r="AZ120" s="45">
        <v>1</v>
      </c>
    </row>
    <row r="121" spans="2:52">
      <c r="B121" s="45">
        <v>9439.2000000000007</v>
      </c>
      <c r="C121" s="45">
        <v>0</v>
      </c>
      <c r="D121" s="45">
        <v>0</v>
      </c>
      <c r="E121" s="45">
        <v>9439.2000000000007</v>
      </c>
      <c r="F121" s="45">
        <v>0</v>
      </c>
      <c r="G121" s="45">
        <v>0</v>
      </c>
      <c r="H121" s="45">
        <v>9307.5</v>
      </c>
      <c r="I121" s="45">
        <v>0</v>
      </c>
      <c r="J121" s="45">
        <v>0</v>
      </c>
      <c r="K121" s="45">
        <v>9439.2000000000007</v>
      </c>
      <c r="L121" s="45">
        <v>0</v>
      </c>
      <c r="M121" s="45">
        <v>1</v>
      </c>
      <c r="O121" s="45">
        <v>9545.1</v>
      </c>
      <c r="P121" s="45">
        <v>0</v>
      </c>
      <c r="Q121" s="45">
        <v>0</v>
      </c>
      <c r="R121" s="45">
        <v>9653.6</v>
      </c>
      <c r="S121" s="45">
        <v>0</v>
      </c>
      <c r="T121" s="45">
        <v>1</v>
      </c>
      <c r="U121" s="45">
        <v>9439.2000000000007</v>
      </c>
      <c r="V121" s="45">
        <v>0</v>
      </c>
      <c r="W121" s="45">
        <v>0</v>
      </c>
      <c r="X121" s="45">
        <v>9439.2000000000007</v>
      </c>
      <c r="Y121" s="45">
        <v>0</v>
      </c>
      <c r="Z121" s="45">
        <v>0</v>
      </c>
      <c r="AB121" s="45">
        <v>10348.299999999999</v>
      </c>
      <c r="AC121" s="45">
        <v>0</v>
      </c>
      <c r="AD121" s="45">
        <v>1</v>
      </c>
      <c r="AE121" s="45">
        <v>10562.7</v>
      </c>
      <c r="AF121" s="45">
        <v>0</v>
      </c>
      <c r="AG121" s="45">
        <v>0</v>
      </c>
      <c r="AH121" s="45">
        <v>9981.4</v>
      </c>
      <c r="AI121" s="45">
        <v>0</v>
      </c>
      <c r="AJ121" s="45">
        <v>0</v>
      </c>
      <c r="AK121" s="45">
        <v>9439.2000000000007</v>
      </c>
      <c r="AL121" s="45">
        <v>0</v>
      </c>
      <c r="AM121" s="45">
        <v>1</v>
      </c>
      <c r="AO121" s="45">
        <v>9653.6</v>
      </c>
      <c r="AP121" s="45">
        <v>0</v>
      </c>
      <c r="AQ121" s="45">
        <v>0</v>
      </c>
      <c r="AR121" s="45">
        <v>9721.2000000000007</v>
      </c>
      <c r="AS121" s="45">
        <v>0</v>
      </c>
      <c r="AT121" s="45">
        <v>0</v>
      </c>
      <c r="AU121" s="45">
        <v>9653.6</v>
      </c>
      <c r="AV121" s="45">
        <v>0</v>
      </c>
      <c r="AW121" s="45">
        <v>0</v>
      </c>
      <c r="AX121" s="45">
        <v>9408.2000000000007</v>
      </c>
      <c r="AY121" s="45">
        <v>0</v>
      </c>
      <c r="AZ121" s="45">
        <v>1</v>
      </c>
    </row>
    <row r="122" spans="2:52">
      <c r="B122" s="45">
        <v>11435.8</v>
      </c>
      <c r="C122" s="45">
        <v>0</v>
      </c>
      <c r="D122" s="45">
        <v>0</v>
      </c>
      <c r="E122" s="45">
        <v>12199.2</v>
      </c>
      <c r="F122" s="45">
        <v>0</v>
      </c>
      <c r="G122" s="45">
        <v>0</v>
      </c>
      <c r="H122" s="45">
        <v>11589.1</v>
      </c>
      <c r="I122" s="45">
        <v>0</v>
      </c>
      <c r="J122" s="45">
        <v>0</v>
      </c>
      <c r="K122" s="45">
        <v>11694.6</v>
      </c>
      <c r="L122" s="45">
        <v>0</v>
      </c>
      <c r="M122" s="45">
        <v>0</v>
      </c>
      <c r="O122" s="45">
        <v>11512.4</v>
      </c>
      <c r="P122" s="45">
        <v>0</v>
      </c>
      <c r="Q122" s="45">
        <v>0</v>
      </c>
      <c r="R122" s="45">
        <v>11698.1</v>
      </c>
      <c r="S122" s="45">
        <v>0</v>
      </c>
      <c r="T122" s="45">
        <v>0</v>
      </c>
      <c r="U122" s="45">
        <v>11435.8</v>
      </c>
      <c r="V122" s="45">
        <v>0</v>
      </c>
      <c r="W122" s="45">
        <v>1</v>
      </c>
      <c r="X122" s="45">
        <v>11573.4</v>
      </c>
      <c r="Y122" s="45">
        <v>0</v>
      </c>
      <c r="Z122" s="45">
        <v>0</v>
      </c>
      <c r="AB122" s="45">
        <v>12733.9</v>
      </c>
      <c r="AC122" s="45">
        <v>0</v>
      </c>
      <c r="AD122" s="45">
        <v>0</v>
      </c>
      <c r="AE122" s="45">
        <v>12113.5</v>
      </c>
      <c r="AF122" s="45">
        <v>0</v>
      </c>
      <c r="AG122" s="45">
        <v>0</v>
      </c>
      <c r="AH122" s="45">
        <v>12822.3</v>
      </c>
      <c r="AI122" s="45">
        <v>0</v>
      </c>
      <c r="AJ122" s="45">
        <v>0</v>
      </c>
      <c r="AK122" s="45">
        <v>11610.1</v>
      </c>
      <c r="AL122" s="45">
        <v>0</v>
      </c>
      <c r="AM122" s="45">
        <v>1</v>
      </c>
      <c r="AO122" s="45">
        <v>11435.8</v>
      </c>
      <c r="AP122" s="45">
        <v>0</v>
      </c>
      <c r="AQ122" s="45">
        <v>0</v>
      </c>
      <c r="AR122" s="45">
        <v>11930.9</v>
      </c>
      <c r="AS122" s="45">
        <v>0</v>
      </c>
      <c r="AT122" s="45">
        <v>0</v>
      </c>
      <c r="AU122" s="45">
        <v>11435.8</v>
      </c>
      <c r="AV122" s="45">
        <v>0</v>
      </c>
      <c r="AW122" s="45">
        <v>1</v>
      </c>
      <c r="AX122" s="45">
        <v>11512.4</v>
      </c>
      <c r="AY122" s="45">
        <v>0</v>
      </c>
      <c r="AZ122" s="45">
        <v>0</v>
      </c>
    </row>
    <row r="123" spans="2:52">
      <c r="B123" s="45">
        <v>8410</v>
      </c>
      <c r="C123" s="45">
        <v>0</v>
      </c>
      <c r="D123" s="45">
        <v>1</v>
      </c>
      <c r="E123" s="45">
        <v>7940</v>
      </c>
      <c r="F123" s="45">
        <v>0</v>
      </c>
      <c r="G123" s="45">
        <v>0</v>
      </c>
      <c r="H123" s="45">
        <v>7904.2</v>
      </c>
      <c r="I123" s="45">
        <v>0</v>
      </c>
      <c r="J123" s="45">
        <v>0</v>
      </c>
      <c r="K123" s="45">
        <v>7619.5</v>
      </c>
      <c r="L123" s="45">
        <v>0</v>
      </c>
      <c r="M123" s="45">
        <v>0</v>
      </c>
      <c r="O123" s="45">
        <v>7803.5</v>
      </c>
      <c r="P123" s="45">
        <v>0</v>
      </c>
      <c r="Q123" s="45">
        <v>0</v>
      </c>
      <c r="R123" s="45">
        <v>8019.5</v>
      </c>
      <c r="S123" s="45">
        <v>0</v>
      </c>
      <c r="T123" s="45">
        <v>0</v>
      </c>
      <c r="U123" s="45">
        <v>8019.5</v>
      </c>
      <c r="V123" s="45">
        <v>0</v>
      </c>
      <c r="W123" s="45">
        <v>0</v>
      </c>
      <c r="X123" s="45">
        <v>7619.5</v>
      </c>
      <c r="Y123" s="45">
        <v>0</v>
      </c>
      <c r="Z123" s="45">
        <v>1</v>
      </c>
      <c r="AB123" s="45">
        <v>9893.7999999999993</v>
      </c>
      <c r="AC123" s="45">
        <v>0</v>
      </c>
      <c r="AD123" s="45">
        <v>0</v>
      </c>
      <c r="AE123" s="45">
        <v>8870.7999999999993</v>
      </c>
      <c r="AF123" s="45">
        <v>0</v>
      </c>
      <c r="AG123" s="45">
        <v>0</v>
      </c>
      <c r="AH123" s="45">
        <v>8495</v>
      </c>
      <c r="AI123" s="45">
        <v>0</v>
      </c>
      <c r="AJ123" s="45">
        <v>0</v>
      </c>
      <c r="AK123" s="45">
        <v>9890.2999999999993</v>
      </c>
      <c r="AL123" s="45">
        <v>0</v>
      </c>
      <c r="AM123" s="45">
        <v>1</v>
      </c>
      <c r="AO123" s="45">
        <v>8065.9</v>
      </c>
      <c r="AP123" s="45">
        <v>0</v>
      </c>
      <c r="AQ123" s="45">
        <v>0</v>
      </c>
      <c r="AR123" s="45">
        <v>8483.1</v>
      </c>
      <c r="AS123" s="45">
        <v>0</v>
      </c>
      <c r="AT123" s="45">
        <v>0</v>
      </c>
      <c r="AU123" s="45">
        <v>7619.5</v>
      </c>
      <c r="AV123" s="45">
        <v>0</v>
      </c>
      <c r="AW123" s="45">
        <v>1</v>
      </c>
      <c r="AX123" s="45">
        <v>7940</v>
      </c>
      <c r="AY123" s="45">
        <v>0</v>
      </c>
      <c r="AZ123" s="45">
        <v>0</v>
      </c>
    </row>
    <row r="124" spans="2:52">
      <c r="B124" s="45">
        <v>10982.8</v>
      </c>
      <c r="C124" s="45">
        <v>0</v>
      </c>
      <c r="D124" s="45">
        <v>0</v>
      </c>
      <c r="E124" s="45">
        <v>10231.799999999999</v>
      </c>
      <c r="F124" s="45">
        <v>0</v>
      </c>
      <c r="G124" s="45">
        <v>0</v>
      </c>
      <c r="H124" s="45">
        <v>11306.4</v>
      </c>
      <c r="I124" s="45">
        <v>0</v>
      </c>
      <c r="J124" s="45">
        <v>1</v>
      </c>
      <c r="K124" s="45">
        <v>10648.8</v>
      </c>
      <c r="L124" s="45">
        <v>0</v>
      </c>
      <c r="M124" s="45">
        <v>0</v>
      </c>
      <c r="O124" s="45">
        <v>11443.4</v>
      </c>
      <c r="P124" s="45">
        <v>9</v>
      </c>
      <c r="Q124" s="45">
        <v>0</v>
      </c>
      <c r="R124" s="45">
        <v>11493.5</v>
      </c>
      <c r="S124" s="45">
        <v>0</v>
      </c>
      <c r="T124" s="45">
        <v>0</v>
      </c>
      <c r="U124" s="45">
        <v>11131.8</v>
      </c>
      <c r="V124" s="45">
        <v>9</v>
      </c>
      <c r="W124" s="45">
        <v>0</v>
      </c>
      <c r="X124" s="45">
        <v>10682.1</v>
      </c>
      <c r="Y124" s="45">
        <v>0</v>
      </c>
      <c r="Z124" s="45">
        <v>1</v>
      </c>
      <c r="AB124" s="45">
        <v>10682.1</v>
      </c>
      <c r="AC124" s="45">
        <v>0</v>
      </c>
      <c r="AD124" s="45">
        <v>0</v>
      </c>
      <c r="AE124" s="45">
        <v>12085.9</v>
      </c>
      <c r="AF124" s="45">
        <v>0</v>
      </c>
      <c r="AG124" s="45">
        <v>0</v>
      </c>
      <c r="AH124" s="45">
        <v>12019.8</v>
      </c>
      <c r="AI124" s="45">
        <v>0</v>
      </c>
      <c r="AJ124" s="45">
        <v>0</v>
      </c>
      <c r="AK124" s="45">
        <v>12305</v>
      </c>
      <c r="AL124" s="45">
        <v>0</v>
      </c>
      <c r="AM124" s="45">
        <v>1</v>
      </c>
      <c r="AO124" s="45">
        <v>10543.4</v>
      </c>
      <c r="AP124" s="45">
        <v>0</v>
      </c>
      <c r="AQ124" s="45">
        <v>0</v>
      </c>
      <c r="AR124" s="45">
        <v>12343.4</v>
      </c>
      <c r="AS124" s="45">
        <v>18</v>
      </c>
      <c r="AT124" s="45">
        <v>1</v>
      </c>
      <c r="AU124" s="45">
        <v>10682.1</v>
      </c>
      <c r="AV124" s="45">
        <v>0</v>
      </c>
      <c r="AW124" s="45">
        <v>0</v>
      </c>
      <c r="AX124" s="45">
        <v>10231.799999999999</v>
      </c>
      <c r="AY124" s="45">
        <v>0</v>
      </c>
      <c r="AZ124" s="45">
        <v>0</v>
      </c>
    </row>
    <row r="125" spans="2:52">
      <c r="B125" s="45">
        <v>7024.2</v>
      </c>
      <c r="C125" s="45">
        <v>0</v>
      </c>
      <c r="D125" s="45">
        <v>0</v>
      </c>
      <c r="E125" s="45">
        <v>7782.1</v>
      </c>
      <c r="F125" s="45">
        <v>0</v>
      </c>
      <c r="G125" s="45">
        <v>0</v>
      </c>
      <c r="H125" s="45">
        <v>7409.6</v>
      </c>
      <c r="I125" s="45">
        <v>0</v>
      </c>
      <c r="J125" s="45">
        <v>0</v>
      </c>
      <c r="K125" s="45">
        <v>7024.2</v>
      </c>
      <c r="L125" s="45">
        <v>0</v>
      </c>
      <c r="M125" s="45">
        <v>0</v>
      </c>
      <c r="O125" s="45">
        <v>7024.2</v>
      </c>
      <c r="P125" s="45">
        <v>0</v>
      </c>
      <c r="Q125" s="45">
        <v>0</v>
      </c>
      <c r="R125" s="45">
        <v>7024.2</v>
      </c>
      <c r="S125" s="45">
        <v>0</v>
      </c>
      <c r="T125" s="45">
        <v>0</v>
      </c>
      <c r="U125" s="45">
        <v>7024.2</v>
      </c>
      <c r="V125" s="45">
        <v>0</v>
      </c>
      <c r="W125" s="45">
        <v>0</v>
      </c>
      <c r="X125" s="45">
        <v>7409.6</v>
      </c>
      <c r="Y125" s="45">
        <v>0</v>
      </c>
      <c r="Z125" s="45">
        <v>0</v>
      </c>
      <c r="AB125" s="45">
        <v>8968.4</v>
      </c>
      <c r="AC125" s="45">
        <v>0</v>
      </c>
      <c r="AD125" s="45">
        <v>0</v>
      </c>
      <c r="AE125" s="45">
        <v>8686.2000000000007</v>
      </c>
      <c r="AF125" s="45">
        <v>0</v>
      </c>
      <c r="AG125" s="45">
        <v>0</v>
      </c>
      <c r="AH125" s="45">
        <v>8542.4</v>
      </c>
      <c r="AI125" s="45">
        <v>0</v>
      </c>
      <c r="AJ125" s="45">
        <v>1</v>
      </c>
      <c r="AK125" s="45">
        <v>9659.4</v>
      </c>
      <c r="AL125" s="45">
        <v>0</v>
      </c>
      <c r="AM125" s="45">
        <v>0</v>
      </c>
      <c r="AO125" s="45">
        <v>7024.2</v>
      </c>
      <c r="AP125" s="45">
        <v>0</v>
      </c>
      <c r="AQ125" s="45">
        <v>0</v>
      </c>
      <c r="AR125" s="45">
        <v>7655.7</v>
      </c>
      <c r="AS125" s="45">
        <v>0</v>
      </c>
      <c r="AT125" s="45">
        <v>1</v>
      </c>
      <c r="AU125" s="45">
        <v>7655.7</v>
      </c>
      <c r="AV125" s="45">
        <v>0</v>
      </c>
      <c r="AW125" s="45">
        <v>0</v>
      </c>
      <c r="AX125" s="45">
        <v>7024.2</v>
      </c>
      <c r="AY125" s="45">
        <v>0</v>
      </c>
      <c r="AZ125" s="45">
        <v>0</v>
      </c>
    </row>
    <row r="126" spans="2:52">
      <c r="B126" s="45">
        <v>11133.9</v>
      </c>
      <c r="C126" s="45">
        <v>0</v>
      </c>
      <c r="D126" s="45">
        <v>1</v>
      </c>
      <c r="E126" s="45">
        <v>12039.2</v>
      </c>
      <c r="F126" s="45">
        <v>25</v>
      </c>
      <c r="G126" s="45">
        <v>0</v>
      </c>
      <c r="H126" s="45">
        <v>10039.200000000001</v>
      </c>
      <c r="I126" s="45">
        <v>5</v>
      </c>
      <c r="J126" s="45">
        <v>0</v>
      </c>
      <c r="K126" s="45">
        <v>12039.2</v>
      </c>
      <c r="L126" s="45">
        <v>25</v>
      </c>
      <c r="M126" s="45">
        <v>0</v>
      </c>
      <c r="O126" s="45">
        <v>10039.200000000001</v>
      </c>
      <c r="P126" s="45">
        <v>5</v>
      </c>
      <c r="Q126" s="45">
        <v>1</v>
      </c>
      <c r="R126" s="45">
        <v>11439.2</v>
      </c>
      <c r="S126" s="45">
        <v>19</v>
      </c>
      <c r="T126" s="45">
        <v>0</v>
      </c>
      <c r="U126" s="45">
        <v>12883</v>
      </c>
      <c r="V126" s="45">
        <v>22</v>
      </c>
      <c r="W126" s="45">
        <v>0</v>
      </c>
      <c r="X126" s="45">
        <v>10975.4</v>
      </c>
      <c r="Y126" s="45">
        <v>5</v>
      </c>
      <c r="Z126" s="45">
        <v>0</v>
      </c>
      <c r="AB126" s="45">
        <v>11921.2</v>
      </c>
      <c r="AC126" s="45">
        <v>0</v>
      </c>
      <c r="AD126" s="45">
        <v>0</v>
      </c>
      <c r="AE126" s="45">
        <v>11799.3</v>
      </c>
      <c r="AF126" s="45">
        <v>0</v>
      </c>
      <c r="AG126" s="45">
        <v>0</v>
      </c>
      <c r="AH126" s="45">
        <v>11494.3</v>
      </c>
      <c r="AI126" s="45">
        <v>0</v>
      </c>
      <c r="AJ126" s="45">
        <v>1</v>
      </c>
      <c r="AK126" s="45">
        <v>11586.4</v>
      </c>
      <c r="AL126" s="45">
        <v>0</v>
      </c>
      <c r="AM126" s="45">
        <v>0</v>
      </c>
      <c r="AO126" s="45">
        <v>11133.9</v>
      </c>
      <c r="AP126" s="45">
        <v>0</v>
      </c>
      <c r="AQ126" s="45">
        <v>1</v>
      </c>
      <c r="AR126" s="45">
        <v>12039.2</v>
      </c>
      <c r="AS126" s="45">
        <v>25</v>
      </c>
      <c r="AT126" s="45">
        <v>0</v>
      </c>
      <c r="AU126" s="45">
        <v>11775.4</v>
      </c>
      <c r="AV126" s="45">
        <v>13</v>
      </c>
      <c r="AW126" s="45">
        <v>0</v>
      </c>
      <c r="AX126" s="45">
        <v>10839.2</v>
      </c>
      <c r="AY126" s="45">
        <v>13</v>
      </c>
      <c r="AZ126" s="45">
        <v>1</v>
      </c>
    </row>
    <row r="127" spans="2:52">
      <c r="B127" s="45">
        <v>7802.8</v>
      </c>
      <c r="C127" s="45">
        <v>0</v>
      </c>
      <c r="D127" s="45">
        <v>1</v>
      </c>
      <c r="E127" s="45">
        <v>8043.4</v>
      </c>
      <c r="F127" s="45">
        <v>0</v>
      </c>
      <c r="G127" s="45">
        <v>0</v>
      </c>
      <c r="H127" s="45">
        <v>8043.4</v>
      </c>
      <c r="I127" s="45">
        <v>0</v>
      </c>
      <c r="J127" s="45">
        <v>0</v>
      </c>
      <c r="K127" s="45">
        <v>8043.4</v>
      </c>
      <c r="L127" s="45">
        <v>0</v>
      </c>
      <c r="M127" s="45">
        <v>0</v>
      </c>
      <c r="O127" s="45">
        <v>8043.4</v>
      </c>
      <c r="P127" s="45">
        <v>0</v>
      </c>
      <c r="Q127" s="45">
        <v>1</v>
      </c>
      <c r="R127" s="45">
        <v>7787.4</v>
      </c>
      <c r="S127" s="45">
        <v>0</v>
      </c>
      <c r="T127" s="45">
        <v>0</v>
      </c>
      <c r="U127" s="45">
        <v>7747.9</v>
      </c>
      <c r="V127" s="45">
        <v>0</v>
      </c>
      <c r="W127" s="45">
        <v>0</v>
      </c>
      <c r="X127" s="45">
        <v>10647.9</v>
      </c>
      <c r="Y127" s="45">
        <v>29</v>
      </c>
      <c r="Z127" s="45">
        <v>0</v>
      </c>
      <c r="AB127" s="45">
        <v>9189.6</v>
      </c>
      <c r="AC127" s="45">
        <v>0</v>
      </c>
      <c r="AD127" s="45">
        <v>0</v>
      </c>
      <c r="AE127" s="45">
        <v>7667</v>
      </c>
      <c r="AF127" s="45">
        <v>0</v>
      </c>
      <c r="AG127" s="45">
        <v>0</v>
      </c>
      <c r="AH127" s="45">
        <v>10226.700000000001</v>
      </c>
      <c r="AI127" s="45">
        <v>0</v>
      </c>
      <c r="AJ127" s="45">
        <v>1</v>
      </c>
      <c r="AK127" s="45">
        <v>9163.6</v>
      </c>
      <c r="AL127" s="45">
        <v>0</v>
      </c>
      <c r="AM127" s="45">
        <v>0</v>
      </c>
      <c r="AO127" s="45">
        <v>8559.5</v>
      </c>
      <c r="AP127" s="45">
        <v>0</v>
      </c>
      <c r="AQ127" s="45">
        <v>0</v>
      </c>
      <c r="AR127" s="45">
        <v>8361.5</v>
      </c>
      <c r="AS127" s="45">
        <v>0</v>
      </c>
      <c r="AT127" s="45">
        <v>0</v>
      </c>
      <c r="AU127" s="45">
        <v>8361.5</v>
      </c>
      <c r="AV127" s="45">
        <v>0</v>
      </c>
      <c r="AW127" s="45">
        <v>1</v>
      </c>
      <c r="AX127" s="45">
        <v>8043.4</v>
      </c>
      <c r="AY127" s="45">
        <v>0</v>
      </c>
      <c r="AZ127" s="45">
        <v>0</v>
      </c>
    </row>
    <row r="128" spans="2:52">
      <c r="B128" s="45">
        <v>10463.799999999999</v>
      </c>
      <c r="C128" s="45">
        <v>0</v>
      </c>
      <c r="D128" s="45">
        <v>1</v>
      </c>
      <c r="E128" s="45">
        <v>9867.1</v>
      </c>
      <c r="F128" s="45">
        <v>0</v>
      </c>
      <c r="G128" s="45">
        <v>0</v>
      </c>
      <c r="H128" s="45">
        <v>9623.7999999999993</v>
      </c>
      <c r="I128" s="45">
        <v>0</v>
      </c>
      <c r="J128" s="45">
        <v>0</v>
      </c>
      <c r="K128" s="45">
        <v>9487.6</v>
      </c>
      <c r="L128" s="45">
        <v>0</v>
      </c>
      <c r="M128" s="45">
        <v>0</v>
      </c>
      <c r="O128" s="45">
        <v>9487.6</v>
      </c>
      <c r="P128" s="45">
        <v>0</v>
      </c>
      <c r="Q128" s="45">
        <v>0</v>
      </c>
      <c r="R128" s="45">
        <v>10419.6</v>
      </c>
      <c r="S128" s="45">
        <v>0</v>
      </c>
      <c r="T128" s="45">
        <v>1</v>
      </c>
      <c r="U128" s="45">
        <v>9487.6</v>
      </c>
      <c r="V128" s="45">
        <v>0</v>
      </c>
      <c r="W128" s="45">
        <v>0</v>
      </c>
      <c r="X128" s="45">
        <v>9867.1</v>
      </c>
      <c r="Y128" s="45">
        <v>0</v>
      </c>
      <c r="Z128" s="45">
        <v>0</v>
      </c>
      <c r="AB128" s="45">
        <v>11180</v>
      </c>
      <c r="AC128" s="45">
        <v>0</v>
      </c>
      <c r="AD128" s="45">
        <v>0</v>
      </c>
      <c r="AE128" s="45">
        <v>11764.2</v>
      </c>
      <c r="AF128" s="45">
        <v>0</v>
      </c>
      <c r="AG128" s="45">
        <v>1</v>
      </c>
      <c r="AH128" s="45">
        <v>12182</v>
      </c>
      <c r="AI128" s="45">
        <v>0</v>
      </c>
      <c r="AJ128" s="45">
        <v>0</v>
      </c>
      <c r="AK128" s="45">
        <v>10779.3</v>
      </c>
      <c r="AL128" s="45">
        <v>0</v>
      </c>
      <c r="AM128" s="45">
        <v>0</v>
      </c>
      <c r="AO128" s="45">
        <v>10158.5</v>
      </c>
      <c r="AP128" s="45">
        <v>0</v>
      </c>
      <c r="AQ128" s="45">
        <v>0</v>
      </c>
      <c r="AR128" s="45">
        <v>10158.5</v>
      </c>
      <c r="AS128" s="45">
        <v>0</v>
      </c>
      <c r="AT128" s="45">
        <v>0</v>
      </c>
      <c r="AU128" s="45">
        <v>10241.299999999999</v>
      </c>
      <c r="AV128" s="45">
        <v>0</v>
      </c>
      <c r="AW128" s="45">
        <v>1</v>
      </c>
      <c r="AX128" s="45">
        <v>10144.799999999999</v>
      </c>
      <c r="AY128" s="45">
        <v>0</v>
      </c>
      <c r="AZ128" s="45">
        <v>0</v>
      </c>
    </row>
    <row r="129" spans="2:52">
      <c r="B129" s="45">
        <v>11448.3</v>
      </c>
      <c r="C129" s="45">
        <v>0</v>
      </c>
      <c r="D129" s="45">
        <v>1</v>
      </c>
      <c r="E129" s="45">
        <v>11209.7</v>
      </c>
      <c r="F129" s="45">
        <v>0</v>
      </c>
      <c r="G129" s="45">
        <v>0</v>
      </c>
      <c r="H129" s="45">
        <v>11334.8</v>
      </c>
      <c r="I129" s="45">
        <v>0</v>
      </c>
      <c r="J129" s="45">
        <v>0</v>
      </c>
      <c r="K129" s="45">
        <v>11334.8</v>
      </c>
      <c r="L129" s="45">
        <v>0</v>
      </c>
      <c r="M129" s="45">
        <v>0</v>
      </c>
      <c r="O129" s="45">
        <v>11624.9</v>
      </c>
      <c r="P129" s="45">
        <v>0</v>
      </c>
      <c r="Q129" s="45">
        <v>0</v>
      </c>
      <c r="R129" s="45">
        <v>11334.8</v>
      </c>
      <c r="S129" s="45">
        <v>0</v>
      </c>
      <c r="T129" s="45">
        <v>0</v>
      </c>
      <c r="U129" s="45">
        <v>11334.8</v>
      </c>
      <c r="V129" s="45">
        <v>0</v>
      </c>
      <c r="W129" s="45">
        <v>1</v>
      </c>
      <c r="X129" s="45">
        <v>11448.3</v>
      </c>
      <c r="Y129" s="45">
        <v>0</v>
      </c>
      <c r="Z129" s="45">
        <v>0</v>
      </c>
      <c r="AB129" s="45">
        <v>12622.3</v>
      </c>
      <c r="AC129" s="45">
        <v>0</v>
      </c>
      <c r="AD129" s="45">
        <v>0</v>
      </c>
      <c r="AE129" s="45">
        <v>12618.3</v>
      </c>
      <c r="AF129" s="45">
        <v>0</v>
      </c>
      <c r="AG129" s="45">
        <v>1</v>
      </c>
      <c r="AH129" s="45">
        <v>11448.3</v>
      </c>
      <c r="AI129" s="45">
        <v>0</v>
      </c>
      <c r="AJ129" s="45">
        <v>0</v>
      </c>
      <c r="AK129" s="45">
        <v>12720.5</v>
      </c>
      <c r="AL129" s="45">
        <v>0</v>
      </c>
      <c r="AM129" s="45">
        <v>0</v>
      </c>
      <c r="AO129" s="45">
        <v>13328.6</v>
      </c>
      <c r="AP129" s="45">
        <v>0</v>
      </c>
      <c r="AQ129" s="45">
        <v>0</v>
      </c>
      <c r="AR129" s="45">
        <v>11334.8</v>
      </c>
      <c r="AS129" s="45">
        <v>0</v>
      </c>
      <c r="AT129" s="45">
        <v>1</v>
      </c>
      <c r="AU129" s="45">
        <v>11497.3</v>
      </c>
      <c r="AV129" s="45">
        <v>0</v>
      </c>
      <c r="AW129" s="45">
        <v>0</v>
      </c>
      <c r="AX129" s="45">
        <v>11334.8</v>
      </c>
      <c r="AY129" s="45">
        <v>0</v>
      </c>
      <c r="AZ129" s="45">
        <v>0</v>
      </c>
    </row>
    <row r="130" spans="2:52">
      <c r="B130" s="45">
        <v>12344.8</v>
      </c>
      <c r="C130" s="45">
        <v>0</v>
      </c>
      <c r="D130" s="45">
        <v>0</v>
      </c>
      <c r="E130" s="45">
        <v>11800.5</v>
      </c>
      <c r="F130" s="45">
        <v>0</v>
      </c>
      <c r="G130" s="45">
        <v>0</v>
      </c>
      <c r="H130" s="45">
        <v>11800.5</v>
      </c>
      <c r="I130" s="45">
        <v>0</v>
      </c>
      <c r="J130" s="45">
        <v>1</v>
      </c>
      <c r="K130" s="45">
        <v>11915.9</v>
      </c>
      <c r="L130" s="45">
        <v>0</v>
      </c>
      <c r="M130" s="45">
        <v>0</v>
      </c>
      <c r="O130" s="45">
        <v>11800.5</v>
      </c>
      <c r="P130" s="45">
        <v>0</v>
      </c>
      <c r="Q130" s="45">
        <v>0</v>
      </c>
      <c r="R130" s="45">
        <v>12056.6</v>
      </c>
      <c r="S130" s="45">
        <v>0</v>
      </c>
      <c r="T130" s="45">
        <v>0</v>
      </c>
      <c r="U130" s="45">
        <v>11800.5</v>
      </c>
      <c r="V130" s="45">
        <v>0</v>
      </c>
      <c r="W130" s="45">
        <v>0</v>
      </c>
      <c r="X130" s="45">
        <v>11800.5</v>
      </c>
      <c r="Y130" s="45">
        <v>0</v>
      </c>
      <c r="Z130" s="45">
        <v>1</v>
      </c>
      <c r="AB130" s="45">
        <v>11915.9</v>
      </c>
      <c r="AC130" s="45">
        <v>0</v>
      </c>
      <c r="AD130" s="45">
        <v>0</v>
      </c>
      <c r="AE130" s="45">
        <v>13236.6</v>
      </c>
      <c r="AF130" s="45">
        <v>0</v>
      </c>
      <c r="AG130" s="45">
        <v>1</v>
      </c>
      <c r="AH130" s="45">
        <v>12828.7</v>
      </c>
      <c r="AI130" s="45">
        <v>0</v>
      </c>
      <c r="AJ130" s="45">
        <v>0</v>
      </c>
      <c r="AK130" s="45">
        <v>13450</v>
      </c>
      <c r="AL130" s="45">
        <v>0</v>
      </c>
      <c r="AM130" s="45">
        <v>0</v>
      </c>
      <c r="AO130" s="45">
        <v>11800.5</v>
      </c>
      <c r="AP130" s="45">
        <v>0</v>
      </c>
      <c r="AQ130" s="45">
        <v>0</v>
      </c>
      <c r="AR130" s="45">
        <v>12384.8</v>
      </c>
      <c r="AS130" s="45">
        <v>0</v>
      </c>
      <c r="AT130" s="45">
        <v>1</v>
      </c>
      <c r="AU130" s="45">
        <v>11800.5</v>
      </c>
      <c r="AV130" s="45">
        <v>0</v>
      </c>
      <c r="AW130" s="45">
        <v>0</v>
      </c>
      <c r="AX130" s="45">
        <v>11800.5</v>
      </c>
      <c r="AY130" s="45">
        <v>0</v>
      </c>
      <c r="AZ130" s="45">
        <v>0</v>
      </c>
    </row>
    <row r="131" spans="2:52">
      <c r="B131" s="45">
        <v>13227.1</v>
      </c>
      <c r="C131" s="45">
        <v>0</v>
      </c>
      <c r="D131" s="45">
        <v>0</v>
      </c>
      <c r="E131" s="45">
        <v>13227.1</v>
      </c>
      <c r="F131" s="45">
        <v>0</v>
      </c>
      <c r="G131" s="45">
        <v>0</v>
      </c>
      <c r="H131" s="45">
        <v>12982.8</v>
      </c>
      <c r="I131" s="45">
        <v>0</v>
      </c>
      <c r="J131" s="45">
        <v>0</v>
      </c>
      <c r="K131" s="45">
        <v>13227.1</v>
      </c>
      <c r="L131" s="45">
        <v>0</v>
      </c>
      <c r="M131" s="45">
        <v>0</v>
      </c>
      <c r="O131" s="45">
        <v>12335.2</v>
      </c>
      <c r="P131" s="45">
        <v>0</v>
      </c>
      <c r="Q131" s="45">
        <v>0</v>
      </c>
      <c r="R131" s="45">
        <v>13742.4</v>
      </c>
      <c r="S131" s="45">
        <v>0</v>
      </c>
      <c r="T131" s="45">
        <v>0</v>
      </c>
      <c r="U131" s="45">
        <v>12335.2</v>
      </c>
      <c r="V131" s="45">
        <v>0</v>
      </c>
      <c r="W131" s="45">
        <v>0</v>
      </c>
      <c r="X131" s="45">
        <v>13966.4</v>
      </c>
      <c r="Y131" s="45">
        <v>0</v>
      </c>
      <c r="Z131" s="45">
        <v>0</v>
      </c>
      <c r="AB131" s="45">
        <v>15785</v>
      </c>
      <c r="AC131" s="45">
        <v>0</v>
      </c>
      <c r="AD131" s="45">
        <v>1</v>
      </c>
      <c r="AE131" s="45">
        <v>14792.8</v>
      </c>
      <c r="AF131" s="45">
        <v>0</v>
      </c>
      <c r="AG131" s="45">
        <v>0</v>
      </c>
      <c r="AH131" s="45">
        <v>15618</v>
      </c>
      <c r="AI131" s="45">
        <v>0</v>
      </c>
      <c r="AJ131" s="45">
        <v>0</v>
      </c>
      <c r="AK131" s="45">
        <v>14646.8</v>
      </c>
      <c r="AL131" s="45">
        <v>0</v>
      </c>
      <c r="AM131" s="45">
        <v>0</v>
      </c>
      <c r="AO131" s="45">
        <v>13663.8</v>
      </c>
      <c r="AP131" s="45">
        <v>0</v>
      </c>
      <c r="AQ131" s="45">
        <v>1</v>
      </c>
      <c r="AR131" s="45">
        <v>14295.4</v>
      </c>
      <c r="AS131" s="45">
        <v>0</v>
      </c>
      <c r="AT131" s="45">
        <v>0</v>
      </c>
      <c r="AU131" s="45">
        <v>12319.2</v>
      </c>
      <c r="AV131" s="45">
        <v>0</v>
      </c>
      <c r="AW131" s="45">
        <v>0</v>
      </c>
      <c r="AX131" s="45">
        <v>13227.1</v>
      </c>
      <c r="AY131" s="45">
        <v>0</v>
      </c>
      <c r="AZ131" s="45">
        <v>0</v>
      </c>
    </row>
    <row r="132" spans="2:52">
      <c r="B132" s="45">
        <v>10550.2</v>
      </c>
      <c r="C132" s="45">
        <v>0</v>
      </c>
      <c r="D132" s="45">
        <v>1</v>
      </c>
      <c r="E132" s="45">
        <v>9867.7999999999993</v>
      </c>
      <c r="F132" s="45">
        <v>0</v>
      </c>
      <c r="G132" s="45">
        <v>0</v>
      </c>
      <c r="H132" s="45">
        <v>9803.7000000000007</v>
      </c>
      <c r="I132" s="45">
        <v>0</v>
      </c>
      <c r="J132" s="45">
        <v>0</v>
      </c>
      <c r="K132" s="45">
        <v>12007.4</v>
      </c>
      <c r="L132" s="45">
        <v>26</v>
      </c>
      <c r="M132" s="45">
        <v>0</v>
      </c>
      <c r="O132" s="45">
        <v>10804</v>
      </c>
      <c r="P132" s="45">
        <v>0</v>
      </c>
      <c r="Q132" s="45">
        <v>0</v>
      </c>
      <c r="R132" s="45">
        <v>9803.7000000000007</v>
      </c>
      <c r="S132" s="45">
        <v>0</v>
      </c>
      <c r="T132" s="45">
        <v>1</v>
      </c>
      <c r="U132" s="45">
        <v>9867.7999999999993</v>
      </c>
      <c r="V132" s="45">
        <v>0</v>
      </c>
      <c r="W132" s="45">
        <v>0</v>
      </c>
      <c r="X132" s="45">
        <v>12087.8</v>
      </c>
      <c r="Y132" s="45">
        <v>26</v>
      </c>
      <c r="Z132" s="45">
        <v>0</v>
      </c>
      <c r="AB132" s="45">
        <v>10487.4</v>
      </c>
      <c r="AC132" s="45">
        <v>0</v>
      </c>
      <c r="AD132" s="45">
        <v>1</v>
      </c>
      <c r="AE132" s="45">
        <v>10994</v>
      </c>
      <c r="AF132" s="45">
        <v>0</v>
      </c>
      <c r="AG132" s="45">
        <v>0</v>
      </c>
      <c r="AH132" s="45">
        <v>11165.5</v>
      </c>
      <c r="AI132" s="45">
        <v>0</v>
      </c>
      <c r="AJ132" s="45">
        <v>0</v>
      </c>
      <c r="AK132" s="45">
        <v>9884.5</v>
      </c>
      <c r="AL132" s="45">
        <v>0</v>
      </c>
      <c r="AM132" s="45">
        <v>0</v>
      </c>
      <c r="AO132" s="45">
        <v>9803.7000000000007</v>
      </c>
      <c r="AP132" s="45">
        <v>0</v>
      </c>
      <c r="AQ132" s="45">
        <v>1</v>
      </c>
      <c r="AR132" s="45">
        <v>9258.6</v>
      </c>
      <c r="AS132" s="45">
        <v>5</v>
      </c>
      <c r="AT132" s="45">
        <v>0</v>
      </c>
      <c r="AU132" s="45">
        <v>9803.7000000000007</v>
      </c>
      <c r="AV132" s="45">
        <v>0</v>
      </c>
      <c r="AW132" s="45">
        <v>0</v>
      </c>
      <c r="AX132" s="45">
        <v>10532.9</v>
      </c>
      <c r="AY132" s="45">
        <v>0</v>
      </c>
      <c r="AZ132" s="45">
        <v>1</v>
      </c>
    </row>
    <row r="133" spans="2:52">
      <c r="B133" s="45">
        <v>11753.9</v>
      </c>
      <c r="C133" s="45">
        <v>0</v>
      </c>
      <c r="D133" s="45">
        <v>0</v>
      </c>
      <c r="E133" s="45">
        <v>11996</v>
      </c>
      <c r="F133" s="45">
        <v>0</v>
      </c>
      <c r="G133" s="45">
        <v>0</v>
      </c>
      <c r="H133" s="45">
        <v>12109.8</v>
      </c>
      <c r="I133" s="45">
        <v>0</v>
      </c>
      <c r="J133" s="45">
        <v>1</v>
      </c>
      <c r="K133" s="45">
        <v>11636</v>
      </c>
      <c r="L133" s="45">
        <v>0</v>
      </c>
      <c r="M133" s="45">
        <v>0</v>
      </c>
      <c r="O133" s="45">
        <v>11182.9</v>
      </c>
      <c r="P133" s="45">
        <v>0</v>
      </c>
      <c r="Q133" s="45">
        <v>0</v>
      </c>
      <c r="R133" s="45">
        <v>12370.3</v>
      </c>
      <c r="S133" s="45">
        <v>0</v>
      </c>
      <c r="T133" s="45">
        <v>0</v>
      </c>
      <c r="U133" s="45">
        <v>11675.9</v>
      </c>
      <c r="V133" s="45">
        <v>0</v>
      </c>
      <c r="W133" s="45">
        <v>1</v>
      </c>
      <c r="X133" s="45">
        <v>11675.9</v>
      </c>
      <c r="Y133" s="45">
        <v>0</v>
      </c>
      <c r="Z133" s="45">
        <v>0</v>
      </c>
      <c r="AB133" s="45">
        <v>12370.3</v>
      </c>
      <c r="AC133" s="45">
        <v>0</v>
      </c>
      <c r="AD133" s="45">
        <v>1</v>
      </c>
      <c r="AE133" s="45">
        <v>12585.6</v>
      </c>
      <c r="AF133" s="45">
        <v>0</v>
      </c>
      <c r="AG133" s="45">
        <v>0</v>
      </c>
      <c r="AH133" s="45">
        <v>12823</v>
      </c>
      <c r="AI133" s="45">
        <v>0</v>
      </c>
      <c r="AJ133" s="45">
        <v>0</v>
      </c>
      <c r="AK133" s="45">
        <v>13294.9</v>
      </c>
      <c r="AL133" s="45">
        <v>0</v>
      </c>
      <c r="AM133" s="45">
        <v>1</v>
      </c>
      <c r="AO133" s="45">
        <v>12579.6</v>
      </c>
      <c r="AP133" s="45">
        <v>0</v>
      </c>
      <c r="AQ133" s="45">
        <v>0</v>
      </c>
      <c r="AR133" s="45">
        <v>12086.6</v>
      </c>
      <c r="AS133" s="45">
        <v>0</v>
      </c>
      <c r="AT133" s="45">
        <v>0</v>
      </c>
      <c r="AU133" s="45">
        <v>11675.9</v>
      </c>
      <c r="AV133" s="45">
        <v>0</v>
      </c>
      <c r="AW133" s="45">
        <v>0</v>
      </c>
      <c r="AX133" s="45">
        <v>11675.9</v>
      </c>
      <c r="AY133" s="45">
        <v>0</v>
      </c>
      <c r="AZ133" s="45">
        <v>1</v>
      </c>
    </row>
    <row r="134" spans="2:52">
      <c r="B134" s="45">
        <v>10412.1</v>
      </c>
      <c r="C134" s="45">
        <v>0</v>
      </c>
      <c r="D134" s="45">
        <v>0</v>
      </c>
      <c r="E134" s="45">
        <v>10553.3</v>
      </c>
      <c r="F134" s="45">
        <v>0</v>
      </c>
      <c r="G134" s="45">
        <v>0</v>
      </c>
      <c r="H134" s="45">
        <v>10574.9</v>
      </c>
      <c r="I134" s="45">
        <v>0</v>
      </c>
      <c r="J134" s="45">
        <v>0</v>
      </c>
      <c r="K134" s="45">
        <v>10193.799999999999</v>
      </c>
      <c r="L134" s="45">
        <v>0</v>
      </c>
      <c r="M134" s="45">
        <v>0</v>
      </c>
      <c r="O134" s="45">
        <v>10507.5</v>
      </c>
      <c r="P134" s="45">
        <v>1</v>
      </c>
      <c r="Q134" s="45">
        <v>0</v>
      </c>
      <c r="R134" s="45">
        <v>10307.1</v>
      </c>
      <c r="S134" s="45">
        <v>0</v>
      </c>
      <c r="T134" s="45">
        <v>0</v>
      </c>
      <c r="U134" s="45">
        <v>10193.799999999999</v>
      </c>
      <c r="V134" s="45">
        <v>0</v>
      </c>
      <c r="W134" s="45">
        <v>0</v>
      </c>
      <c r="X134" s="45">
        <v>10193.799999999999</v>
      </c>
      <c r="Y134" s="45">
        <v>0</v>
      </c>
      <c r="Z134" s="45">
        <v>1</v>
      </c>
      <c r="AB134" s="45">
        <v>10794.3</v>
      </c>
      <c r="AC134" s="45">
        <v>0</v>
      </c>
      <c r="AD134" s="45">
        <v>0</v>
      </c>
      <c r="AE134" s="45">
        <v>11590.7</v>
      </c>
      <c r="AF134" s="45">
        <v>0</v>
      </c>
      <c r="AG134" s="45">
        <v>0</v>
      </c>
      <c r="AH134" s="45">
        <v>12307.8</v>
      </c>
      <c r="AI134" s="45">
        <v>0</v>
      </c>
      <c r="AJ134" s="45">
        <v>0</v>
      </c>
      <c r="AK134" s="45">
        <v>11272.9</v>
      </c>
      <c r="AL134" s="45">
        <v>0</v>
      </c>
      <c r="AM134" s="45">
        <v>1</v>
      </c>
      <c r="AO134" s="45">
        <v>9989.1</v>
      </c>
      <c r="AP134" s="45">
        <v>0</v>
      </c>
      <c r="AQ134" s="45">
        <v>0</v>
      </c>
      <c r="AR134" s="45">
        <v>10412.1</v>
      </c>
      <c r="AS134" s="45">
        <v>0</v>
      </c>
      <c r="AT134" s="45">
        <v>0</v>
      </c>
      <c r="AU134" s="45">
        <v>9989.1</v>
      </c>
      <c r="AV134" s="45">
        <v>0</v>
      </c>
      <c r="AW134" s="45">
        <v>1</v>
      </c>
      <c r="AX134" s="45">
        <v>11229.3</v>
      </c>
      <c r="AY134" s="45">
        <v>0</v>
      </c>
      <c r="AZ134" s="45">
        <v>0</v>
      </c>
    </row>
    <row r="135" spans="2:52">
      <c r="B135" s="45">
        <v>9762.9</v>
      </c>
      <c r="C135" s="45">
        <v>0</v>
      </c>
      <c r="D135" s="45">
        <v>0</v>
      </c>
      <c r="E135" s="45">
        <v>9923.1</v>
      </c>
      <c r="F135" s="45">
        <v>0</v>
      </c>
      <c r="G135" s="45">
        <v>1</v>
      </c>
      <c r="H135" s="45">
        <v>9301.4</v>
      </c>
      <c r="I135" s="45">
        <v>0</v>
      </c>
      <c r="J135" s="45">
        <v>0</v>
      </c>
      <c r="K135" s="45">
        <v>9186</v>
      </c>
      <c r="L135" s="45">
        <v>0</v>
      </c>
      <c r="M135" s="45">
        <v>0</v>
      </c>
      <c r="O135" s="45">
        <v>9186</v>
      </c>
      <c r="P135" s="45">
        <v>0</v>
      </c>
      <c r="Q135" s="45">
        <v>0</v>
      </c>
      <c r="R135" s="45">
        <v>9353.7000000000007</v>
      </c>
      <c r="S135" s="45">
        <v>0</v>
      </c>
      <c r="T135" s="45">
        <v>0</v>
      </c>
      <c r="U135" s="45">
        <v>9186</v>
      </c>
      <c r="V135" s="45">
        <v>0</v>
      </c>
      <c r="W135" s="45">
        <v>0</v>
      </c>
      <c r="X135" s="45">
        <v>9186</v>
      </c>
      <c r="Y135" s="45">
        <v>0</v>
      </c>
      <c r="Z135" s="45">
        <v>1</v>
      </c>
      <c r="AB135" s="45">
        <v>9778.2999999999993</v>
      </c>
      <c r="AC135" s="45">
        <v>0</v>
      </c>
      <c r="AD135" s="45">
        <v>0</v>
      </c>
      <c r="AE135" s="45">
        <v>9925.7999999999993</v>
      </c>
      <c r="AF135" s="45">
        <v>0</v>
      </c>
      <c r="AG135" s="45">
        <v>0</v>
      </c>
      <c r="AH135" s="45">
        <v>10137.200000000001</v>
      </c>
      <c r="AI135" s="45">
        <v>0</v>
      </c>
      <c r="AJ135" s="45">
        <v>0</v>
      </c>
      <c r="AK135" s="45">
        <v>9818.2000000000007</v>
      </c>
      <c r="AL135" s="45">
        <v>0</v>
      </c>
      <c r="AM135" s="45">
        <v>1</v>
      </c>
      <c r="AO135" s="45">
        <v>9186</v>
      </c>
      <c r="AP135" s="45">
        <v>0</v>
      </c>
      <c r="AQ135" s="45">
        <v>0</v>
      </c>
      <c r="AR135" s="45">
        <v>9353.7000000000007</v>
      </c>
      <c r="AS135" s="45">
        <v>0</v>
      </c>
      <c r="AT135" s="45">
        <v>0</v>
      </c>
      <c r="AU135" s="45">
        <v>9186</v>
      </c>
      <c r="AV135" s="45">
        <v>0</v>
      </c>
      <c r="AW135" s="45">
        <v>1</v>
      </c>
      <c r="AX135" s="45">
        <v>9492</v>
      </c>
      <c r="AY135" s="45">
        <v>0</v>
      </c>
      <c r="AZ135" s="45">
        <v>0</v>
      </c>
    </row>
    <row r="136" spans="2:52">
      <c r="B136" s="45">
        <v>10399.5</v>
      </c>
      <c r="C136" s="45">
        <v>0</v>
      </c>
      <c r="D136" s="45">
        <v>0</v>
      </c>
      <c r="E136" s="45">
        <v>10750.5</v>
      </c>
      <c r="F136" s="45">
        <v>0</v>
      </c>
      <c r="G136" s="45">
        <v>0</v>
      </c>
      <c r="H136" s="45">
        <v>10750.5</v>
      </c>
      <c r="I136" s="45">
        <v>0</v>
      </c>
      <c r="J136" s="45">
        <v>0</v>
      </c>
      <c r="K136" s="45">
        <v>10757.7</v>
      </c>
      <c r="L136" s="45">
        <v>0</v>
      </c>
      <c r="M136" s="45">
        <v>1</v>
      </c>
      <c r="O136" s="45">
        <v>10399.5</v>
      </c>
      <c r="P136" s="45">
        <v>0</v>
      </c>
      <c r="Q136" s="45">
        <v>0</v>
      </c>
      <c r="R136" s="45">
        <v>10399.5</v>
      </c>
      <c r="S136" s="45">
        <v>0</v>
      </c>
      <c r="T136" s="45">
        <v>0</v>
      </c>
      <c r="U136" s="45">
        <v>10399.5</v>
      </c>
      <c r="V136" s="45">
        <v>0</v>
      </c>
      <c r="W136" s="45">
        <v>0</v>
      </c>
      <c r="X136" s="45">
        <v>10757.7</v>
      </c>
      <c r="Y136" s="45">
        <v>0</v>
      </c>
      <c r="Z136" s="45">
        <v>0</v>
      </c>
      <c r="AB136" s="45">
        <v>11146.4</v>
      </c>
      <c r="AC136" s="45">
        <v>0</v>
      </c>
      <c r="AD136" s="45">
        <v>0</v>
      </c>
      <c r="AE136" s="45">
        <v>11096</v>
      </c>
      <c r="AF136" s="45">
        <v>0</v>
      </c>
      <c r="AG136" s="45">
        <v>0</v>
      </c>
      <c r="AH136" s="45">
        <v>12120.5</v>
      </c>
      <c r="AI136" s="45">
        <v>0</v>
      </c>
      <c r="AJ136" s="45">
        <v>1</v>
      </c>
      <c r="AK136" s="45">
        <v>11548.8</v>
      </c>
      <c r="AL136" s="45">
        <v>0</v>
      </c>
      <c r="AM136" s="45">
        <v>0</v>
      </c>
      <c r="AO136" s="45">
        <v>10750.5</v>
      </c>
      <c r="AP136" s="45">
        <v>0</v>
      </c>
      <c r="AQ136" s="45">
        <v>0</v>
      </c>
      <c r="AR136" s="45">
        <v>10720.8</v>
      </c>
      <c r="AS136" s="45">
        <v>0</v>
      </c>
      <c r="AT136" s="45">
        <v>1</v>
      </c>
      <c r="AU136" s="45">
        <v>10399.5</v>
      </c>
      <c r="AV136" s="45">
        <v>0</v>
      </c>
      <c r="AW136" s="45">
        <v>0</v>
      </c>
      <c r="AX136" s="45">
        <v>10750.5</v>
      </c>
      <c r="AY136" s="45">
        <v>0</v>
      </c>
      <c r="AZ136" s="45">
        <v>0</v>
      </c>
    </row>
    <row r="137" spans="2:52">
      <c r="B137" s="45">
        <v>13359</v>
      </c>
      <c r="C137" s="45">
        <v>0</v>
      </c>
      <c r="D137" s="45">
        <v>0</v>
      </c>
      <c r="E137" s="45">
        <v>14297.8</v>
      </c>
      <c r="F137" s="45">
        <v>0</v>
      </c>
      <c r="G137" s="45">
        <v>0</v>
      </c>
      <c r="H137" s="45">
        <v>14091.2</v>
      </c>
      <c r="I137" s="45">
        <v>0</v>
      </c>
      <c r="J137" s="45">
        <v>0</v>
      </c>
      <c r="K137" s="45">
        <v>14161.4</v>
      </c>
      <c r="L137" s="45">
        <v>0</v>
      </c>
      <c r="M137" s="45">
        <v>0</v>
      </c>
      <c r="O137" s="45">
        <v>13359</v>
      </c>
      <c r="P137" s="45">
        <v>0</v>
      </c>
      <c r="Q137" s="45">
        <v>1</v>
      </c>
      <c r="R137" s="45">
        <v>14344</v>
      </c>
      <c r="S137" s="45">
        <v>0</v>
      </c>
      <c r="T137" s="45">
        <v>0</v>
      </c>
      <c r="U137" s="45">
        <v>13525.9</v>
      </c>
      <c r="V137" s="45">
        <v>0</v>
      </c>
      <c r="W137" s="45">
        <v>0</v>
      </c>
      <c r="X137" s="45">
        <v>13359</v>
      </c>
      <c r="Y137" s="45">
        <v>0</v>
      </c>
      <c r="Z137" s="45">
        <v>0</v>
      </c>
      <c r="AB137" s="45">
        <v>14192</v>
      </c>
      <c r="AC137" s="45">
        <v>0</v>
      </c>
      <c r="AD137" s="45">
        <v>0</v>
      </c>
      <c r="AE137" s="45">
        <v>13359</v>
      </c>
      <c r="AF137" s="45">
        <v>0</v>
      </c>
      <c r="AG137" s="45">
        <v>0</v>
      </c>
      <c r="AH137" s="45">
        <v>15200.4</v>
      </c>
      <c r="AI137" s="45">
        <v>0</v>
      </c>
      <c r="AJ137" s="45">
        <v>1</v>
      </c>
      <c r="AK137" s="45">
        <v>14588.3</v>
      </c>
      <c r="AL137" s="45">
        <v>0</v>
      </c>
      <c r="AM137" s="45">
        <v>0</v>
      </c>
      <c r="AO137" s="45">
        <v>14225.4</v>
      </c>
      <c r="AP137" s="45">
        <v>0</v>
      </c>
      <c r="AQ137" s="45">
        <v>0</v>
      </c>
      <c r="AR137" s="45">
        <v>13359</v>
      </c>
      <c r="AS137" s="45">
        <v>0</v>
      </c>
      <c r="AT137" s="45">
        <v>1</v>
      </c>
      <c r="AU137" s="45">
        <v>13747.2</v>
      </c>
      <c r="AV137" s="45">
        <v>0</v>
      </c>
      <c r="AW137" s="45">
        <v>0</v>
      </c>
      <c r="AX137" s="45">
        <v>13359</v>
      </c>
      <c r="AY137" s="45">
        <v>0</v>
      </c>
      <c r="AZ137" s="45">
        <v>0</v>
      </c>
    </row>
    <row r="138" spans="2:52">
      <c r="B138" s="45">
        <v>8218</v>
      </c>
      <c r="C138" s="45">
        <v>0</v>
      </c>
      <c r="D138" s="45">
        <v>0</v>
      </c>
      <c r="E138" s="45">
        <v>7999.7</v>
      </c>
      <c r="F138" s="45">
        <v>0</v>
      </c>
      <c r="G138" s="45">
        <v>0</v>
      </c>
      <c r="H138" s="45">
        <v>8067.2</v>
      </c>
      <c r="I138" s="45">
        <v>0</v>
      </c>
      <c r="J138" s="45">
        <v>1</v>
      </c>
      <c r="K138" s="45">
        <v>7865.8</v>
      </c>
      <c r="L138" s="45">
        <v>0</v>
      </c>
      <c r="M138" s="45">
        <v>0</v>
      </c>
      <c r="O138" s="45">
        <v>7865.8</v>
      </c>
      <c r="P138" s="45">
        <v>0</v>
      </c>
      <c r="Q138" s="45">
        <v>1</v>
      </c>
      <c r="R138" s="45">
        <v>7865.8</v>
      </c>
      <c r="S138" s="45">
        <v>0</v>
      </c>
      <c r="T138" s="45">
        <v>0</v>
      </c>
      <c r="U138" s="45">
        <v>7865.8</v>
      </c>
      <c r="V138" s="45">
        <v>0</v>
      </c>
      <c r="W138" s="45">
        <v>0</v>
      </c>
      <c r="X138" s="45">
        <v>7865.8</v>
      </c>
      <c r="Y138" s="45">
        <v>0</v>
      </c>
      <c r="Z138" s="45">
        <v>0</v>
      </c>
      <c r="AB138" s="45">
        <v>10633.5</v>
      </c>
      <c r="AC138" s="45">
        <v>0</v>
      </c>
      <c r="AD138" s="45">
        <v>0</v>
      </c>
      <c r="AE138" s="45">
        <v>10627.2</v>
      </c>
      <c r="AF138" s="45">
        <v>0</v>
      </c>
      <c r="AG138" s="45">
        <v>0</v>
      </c>
      <c r="AH138" s="45">
        <v>9822</v>
      </c>
      <c r="AI138" s="45">
        <v>0</v>
      </c>
      <c r="AJ138" s="45">
        <v>1</v>
      </c>
      <c r="AK138" s="45">
        <v>9637.2999999999993</v>
      </c>
      <c r="AL138" s="45">
        <v>0</v>
      </c>
      <c r="AM138" s="45">
        <v>0</v>
      </c>
      <c r="AO138" s="45">
        <v>7865.8</v>
      </c>
      <c r="AP138" s="45">
        <v>0</v>
      </c>
      <c r="AQ138" s="45">
        <v>1</v>
      </c>
      <c r="AR138" s="45">
        <v>7865.8</v>
      </c>
      <c r="AS138" s="45">
        <v>0</v>
      </c>
      <c r="AT138" s="45">
        <v>0</v>
      </c>
      <c r="AU138" s="45">
        <v>8067.2</v>
      </c>
      <c r="AV138" s="45">
        <v>0</v>
      </c>
      <c r="AW138" s="45">
        <v>0</v>
      </c>
      <c r="AX138" s="45">
        <v>7999.7</v>
      </c>
      <c r="AY138" s="45">
        <v>0</v>
      </c>
      <c r="AZ138" s="45">
        <v>1</v>
      </c>
    </row>
    <row r="139" spans="2:52">
      <c r="B139" s="45">
        <v>8968.7000000000007</v>
      </c>
      <c r="C139" s="45">
        <v>0</v>
      </c>
      <c r="D139" s="45">
        <v>0</v>
      </c>
      <c r="E139" s="45">
        <v>9451.2999999999993</v>
      </c>
      <c r="F139" s="45">
        <v>0</v>
      </c>
      <c r="G139" s="45">
        <v>0</v>
      </c>
      <c r="H139" s="45">
        <v>8968.7000000000007</v>
      </c>
      <c r="I139" s="45">
        <v>0</v>
      </c>
      <c r="J139" s="45">
        <v>1</v>
      </c>
      <c r="K139" s="45">
        <v>8968.7000000000007</v>
      </c>
      <c r="L139" s="45">
        <v>0</v>
      </c>
      <c r="M139" s="45">
        <v>0</v>
      </c>
      <c r="O139" s="45">
        <v>9432.5</v>
      </c>
      <c r="P139" s="45">
        <v>0</v>
      </c>
      <c r="Q139" s="45">
        <v>0</v>
      </c>
      <c r="R139" s="45">
        <v>9387.5</v>
      </c>
      <c r="S139" s="45">
        <v>0</v>
      </c>
      <c r="T139" s="45">
        <v>0</v>
      </c>
      <c r="U139" s="45">
        <v>9005.5</v>
      </c>
      <c r="V139" s="45">
        <v>0</v>
      </c>
      <c r="W139" s="45">
        <v>1</v>
      </c>
      <c r="X139" s="45">
        <v>9005.5</v>
      </c>
      <c r="Y139" s="45">
        <v>0</v>
      </c>
      <c r="Z139" s="45">
        <v>0</v>
      </c>
      <c r="AB139" s="45">
        <v>9754.2000000000007</v>
      </c>
      <c r="AC139" s="45">
        <v>0</v>
      </c>
      <c r="AD139" s="45">
        <v>0</v>
      </c>
      <c r="AE139" s="45">
        <v>11793.1</v>
      </c>
      <c r="AF139" s="45">
        <v>0</v>
      </c>
      <c r="AG139" s="45">
        <v>1</v>
      </c>
      <c r="AH139" s="45">
        <v>10779.6</v>
      </c>
      <c r="AI139" s="45">
        <v>0</v>
      </c>
      <c r="AJ139" s="45">
        <v>0</v>
      </c>
      <c r="AK139" s="45">
        <v>10853.2</v>
      </c>
      <c r="AL139" s="45">
        <v>0</v>
      </c>
      <c r="AM139" s="45">
        <v>0</v>
      </c>
      <c r="AO139" s="45">
        <v>9383.7000000000007</v>
      </c>
      <c r="AP139" s="45">
        <v>0</v>
      </c>
      <c r="AQ139" s="45">
        <v>0</v>
      </c>
      <c r="AR139" s="45">
        <v>8968.7000000000007</v>
      </c>
      <c r="AS139" s="45">
        <v>0</v>
      </c>
      <c r="AT139" s="45">
        <v>0</v>
      </c>
      <c r="AU139" s="45">
        <v>9387.5</v>
      </c>
      <c r="AV139" s="45">
        <v>0</v>
      </c>
      <c r="AW139" s="45">
        <v>0</v>
      </c>
      <c r="AX139" s="45">
        <v>8968.7000000000007</v>
      </c>
      <c r="AY139" s="45">
        <v>0</v>
      </c>
      <c r="AZ139" s="45">
        <v>1</v>
      </c>
    </row>
    <row r="140" spans="2:52">
      <c r="B140" s="45">
        <v>11839.4</v>
      </c>
      <c r="C140" s="45">
        <v>0</v>
      </c>
      <c r="D140" s="45">
        <v>0</v>
      </c>
      <c r="E140" s="45">
        <v>9987.2999999999993</v>
      </c>
      <c r="F140" s="45">
        <v>0</v>
      </c>
      <c r="G140" s="45">
        <v>0</v>
      </c>
      <c r="H140" s="45">
        <v>10198.6</v>
      </c>
      <c r="I140" s="45">
        <v>0</v>
      </c>
      <c r="J140" s="45">
        <v>0</v>
      </c>
      <c r="K140" s="45">
        <v>10601.1</v>
      </c>
      <c r="L140" s="45">
        <v>0</v>
      </c>
      <c r="M140" s="45">
        <v>0</v>
      </c>
      <c r="O140" s="45">
        <v>10601.1</v>
      </c>
      <c r="P140" s="45">
        <v>0</v>
      </c>
      <c r="Q140" s="45">
        <v>0</v>
      </c>
      <c r="R140" s="45">
        <v>10601.1</v>
      </c>
      <c r="S140" s="45">
        <v>0</v>
      </c>
      <c r="T140" s="45">
        <v>0</v>
      </c>
      <c r="U140" s="45">
        <v>10363.299999999999</v>
      </c>
      <c r="V140" s="45">
        <v>0</v>
      </c>
      <c r="W140" s="45">
        <v>0</v>
      </c>
      <c r="X140" s="45">
        <v>10363.299999999999</v>
      </c>
      <c r="Y140" s="45">
        <v>0</v>
      </c>
      <c r="Z140" s="45">
        <v>1</v>
      </c>
      <c r="AB140" s="45">
        <v>11842.3</v>
      </c>
      <c r="AC140" s="45">
        <v>0</v>
      </c>
      <c r="AD140" s="45">
        <v>0</v>
      </c>
      <c r="AE140" s="45">
        <v>11507.8</v>
      </c>
      <c r="AF140" s="45">
        <v>0</v>
      </c>
      <c r="AG140" s="45">
        <v>1</v>
      </c>
      <c r="AH140" s="45">
        <v>10574.6</v>
      </c>
      <c r="AI140" s="45">
        <v>0</v>
      </c>
      <c r="AJ140" s="45">
        <v>0</v>
      </c>
      <c r="AK140" s="45">
        <v>11842.3</v>
      </c>
      <c r="AL140" s="45">
        <v>0</v>
      </c>
      <c r="AM140" s="45">
        <v>0</v>
      </c>
      <c r="AO140" s="45">
        <v>11348</v>
      </c>
      <c r="AP140" s="45">
        <v>0</v>
      </c>
      <c r="AQ140" s="45">
        <v>0</v>
      </c>
      <c r="AR140" s="45">
        <v>11304.3</v>
      </c>
      <c r="AS140" s="45">
        <v>0</v>
      </c>
      <c r="AT140" s="45">
        <v>0</v>
      </c>
      <c r="AU140" s="45">
        <v>10601.1</v>
      </c>
      <c r="AV140" s="45">
        <v>0</v>
      </c>
      <c r="AW140" s="45">
        <v>1</v>
      </c>
      <c r="AX140" s="45">
        <v>10601.1</v>
      </c>
      <c r="AY140" s="45">
        <v>0</v>
      </c>
      <c r="AZ140" s="45">
        <v>0</v>
      </c>
    </row>
    <row r="141" spans="2:52">
      <c r="B141" s="45">
        <v>5091</v>
      </c>
      <c r="C141" s="45">
        <v>0</v>
      </c>
      <c r="D141" s="45">
        <v>1</v>
      </c>
      <c r="E141" s="45">
        <v>5380.2</v>
      </c>
      <c r="F141" s="45">
        <v>0</v>
      </c>
      <c r="G141" s="45">
        <v>0</v>
      </c>
      <c r="H141" s="45">
        <v>5380.2</v>
      </c>
      <c r="I141" s="45">
        <v>0</v>
      </c>
      <c r="J141" s="45">
        <v>0</v>
      </c>
      <c r="K141" s="45">
        <v>5228</v>
      </c>
      <c r="L141" s="45">
        <v>0</v>
      </c>
      <c r="M141" s="45">
        <v>0</v>
      </c>
      <c r="O141" s="45">
        <v>6061</v>
      </c>
      <c r="P141" s="45">
        <v>6</v>
      </c>
      <c r="Q141" s="45">
        <v>0</v>
      </c>
      <c r="R141" s="45">
        <v>9285.2000000000007</v>
      </c>
      <c r="S141" s="45">
        <v>43</v>
      </c>
      <c r="T141" s="45">
        <v>0</v>
      </c>
      <c r="U141" s="45">
        <v>5259.6</v>
      </c>
      <c r="V141" s="45">
        <v>0</v>
      </c>
      <c r="W141" s="45">
        <v>0</v>
      </c>
      <c r="X141" s="45">
        <v>6847.6</v>
      </c>
      <c r="Y141" s="45">
        <v>20</v>
      </c>
      <c r="Z141" s="45">
        <v>0</v>
      </c>
      <c r="AB141" s="45">
        <v>6350.2</v>
      </c>
      <c r="AC141" s="45">
        <v>0</v>
      </c>
      <c r="AD141" s="45">
        <v>0</v>
      </c>
      <c r="AE141" s="45">
        <v>5292.3</v>
      </c>
      <c r="AF141" s="45">
        <v>0</v>
      </c>
      <c r="AG141" s="45">
        <v>1</v>
      </c>
      <c r="AH141" s="45">
        <v>5323.4</v>
      </c>
      <c r="AI141" s="45">
        <v>0</v>
      </c>
      <c r="AJ141" s="45">
        <v>0</v>
      </c>
      <c r="AK141" s="45">
        <v>6280.5</v>
      </c>
      <c r="AL141" s="45">
        <v>0</v>
      </c>
      <c r="AM141" s="45">
        <v>0</v>
      </c>
      <c r="AO141" s="45">
        <v>5538.6</v>
      </c>
      <c r="AP141" s="45">
        <v>0</v>
      </c>
      <c r="AQ141" s="45">
        <v>0</v>
      </c>
      <c r="AR141" s="45">
        <v>5828</v>
      </c>
      <c r="AS141" s="45">
        <v>6</v>
      </c>
      <c r="AT141" s="45">
        <v>1</v>
      </c>
      <c r="AU141" s="45">
        <v>5828</v>
      </c>
      <c r="AV141" s="45">
        <v>6</v>
      </c>
      <c r="AW141" s="45">
        <v>0</v>
      </c>
      <c r="AX141" s="45">
        <v>5149.2</v>
      </c>
      <c r="AY141" s="45">
        <v>0</v>
      </c>
      <c r="AZ141" s="45">
        <v>0</v>
      </c>
    </row>
    <row r="142" spans="2:52">
      <c r="B142" s="45">
        <v>9054.2999999999993</v>
      </c>
      <c r="C142" s="45">
        <v>0</v>
      </c>
      <c r="D142" s="45">
        <v>0</v>
      </c>
      <c r="E142" s="45">
        <v>8905.5</v>
      </c>
      <c r="F142" s="45">
        <v>0</v>
      </c>
      <c r="G142" s="45">
        <v>0</v>
      </c>
      <c r="H142" s="45">
        <v>8905.5</v>
      </c>
      <c r="I142" s="45">
        <v>0</v>
      </c>
      <c r="J142" s="45">
        <v>1</v>
      </c>
      <c r="K142" s="45">
        <v>8905.5</v>
      </c>
      <c r="L142" s="45">
        <v>0</v>
      </c>
      <c r="M142" s="45">
        <v>0</v>
      </c>
      <c r="O142" s="45">
        <v>8905.5</v>
      </c>
      <c r="P142" s="45">
        <v>0</v>
      </c>
      <c r="Q142" s="45">
        <v>1</v>
      </c>
      <c r="R142" s="45">
        <v>8905.5</v>
      </c>
      <c r="S142" s="45">
        <v>0</v>
      </c>
      <c r="T142" s="45">
        <v>0</v>
      </c>
      <c r="U142" s="45">
        <v>8905.5</v>
      </c>
      <c r="V142" s="45">
        <v>0</v>
      </c>
      <c r="W142" s="45">
        <v>0</v>
      </c>
      <c r="X142" s="45">
        <v>9415.4</v>
      </c>
      <c r="Y142" s="45">
        <v>0</v>
      </c>
      <c r="Z142" s="45">
        <v>0</v>
      </c>
      <c r="AB142" s="45">
        <v>10090.9</v>
      </c>
      <c r="AC142" s="45">
        <v>0</v>
      </c>
      <c r="AD142" s="45">
        <v>1</v>
      </c>
      <c r="AE142" s="45">
        <v>9737.7000000000007</v>
      </c>
      <c r="AF142" s="45">
        <v>0</v>
      </c>
      <c r="AG142" s="45">
        <v>0</v>
      </c>
      <c r="AH142" s="45">
        <v>9894.6</v>
      </c>
      <c r="AI142" s="45">
        <v>0</v>
      </c>
      <c r="AJ142" s="45">
        <v>0</v>
      </c>
      <c r="AK142" s="45">
        <v>9884.5</v>
      </c>
      <c r="AL142" s="45">
        <v>0</v>
      </c>
      <c r="AM142" s="45">
        <v>0</v>
      </c>
      <c r="AO142" s="45">
        <v>9415.4</v>
      </c>
      <c r="AP142" s="45">
        <v>0</v>
      </c>
      <c r="AQ142" s="45">
        <v>0</v>
      </c>
      <c r="AR142" s="45">
        <v>8905.5</v>
      </c>
      <c r="AS142" s="45">
        <v>0</v>
      </c>
      <c r="AT142" s="45">
        <v>1</v>
      </c>
      <c r="AU142" s="45">
        <v>9132.1</v>
      </c>
      <c r="AV142" s="45">
        <v>0</v>
      </c>
      <c r="AW142" s="45">
        <v>0</v>
      </c>
      <c r="AX142" s="45">
        <v>9678.9</v>
      </c>
      <c r="AY142" s="45">
        <v>0</v>
      </c>
      <c r="AZ142" s="45">
        <v>0</v>
      </c>
    </row>
    <row r="143" spans="2:52">
      <c r="B143" s="45">
        <v>10592.4</v>
      </c>
      <c r="C143" s="45">
        <v>0</v>
      </c>
      <c r="D143" s="45">
        <v>0</v>
      </c>
      <c r="E143" s="45">
        <v>10874.2</v>
      </c>
      <c r="F143" s="45">
        <v>0</v>
      </c>
      <c r="G143" s="45">
        <v>0</v>
      </c>
      <c r="H143" s="45">
        <v>11096.3</v>
      </c>
      <c r="I143" s="45">
        <v>0</v>
      </c>
      <c r="J143" s="45">
        <v>0</v>
      </c>
      <c r="K143" s="45">
        <v>10589.5</v>
      </c>
      <c r="L143" s="45">
        <v>0</v>
      </c>
      <c r="M143" s="45">
        <v>1</v>
      </c>
      <c r="O143" s="45">
        <v>10489.6</v>
      </c>
      <c r="P143" s="45">
        <v>0</v>
      </c>
      <c r="Q143" s="45">
        <v>0</v>
      </c>
      <c r="R143" s="45">
        <v>10001.6</v>
      </c>
      <c r="S143" s="45">
        <v>0</v>
      </c>
      <c r="T143" s="45">
        <v>0</v>
      </c>
      <c r="U143" s="45">
        <v>10393.6</v>
      </c>
      <c r="V143" s="45">
        <v>0</v>
      </c>
      <c r="W143" s="45">
        <v>1</v>
      </c>
      <c r="X143" s="45">
        <v>10177.6</v>
      </c>
      <c r="Y143" s="45">
        <v>0</v>
      </c>
      <c r="Z143" s="45">
        <v>0</v>
      </c>
      <c r="AB143" s="45">
        <v>11795.3</v>
      </c>
      <c r="AC143" s="45">
        <v>0</v>
      </c>
      <c r="AD143" s="45">
        <v>1</v>
      </c>
      <c r="AE143" s="45">
        <v>13382.1</v>
      </c>
      <c r="AF143" s="45">
        <v>0</v>
      </c>
      <c r="AG143" s="45">
        <v>0</v>
      </c>
      <c r="AH143" s="45">
        <v>11582.3</v>
      </c>
      <c r="AI143" s="45">
        <v>0</v>
      </c>
      <c r="AJ143" s="45">
        <v>0</v>
      </c>
      <c r="AK143" s="45">
        <v>11928</v>
      </c>
      <c r="AL143" s="45">
        <v>0</v>
      </c>
      <c r="AM143" s="45">
        <v>0</v>
      </c>
      <c r="AO143" s="45">
        <v>11096.3</v>
      </c>
      <c r="AP143" s="45">
        <v>0</v>
      </c>
      <c r="AQ143" s="45">
        <v>1</v>
      </c>
      <c r="AR143" s="45">
        <v>11582.3</v>
      </c>
      <c r="AS143" s="45">
        <v>0</v>
      </c>
      <c r="AT143" s="45">
        <v>0</v>
      </c>
      <c r="AU143" s="45">
        <v>12017.6</v>
      </c>
      <c r="AV143" s="45">
        <v>0</v>
      </c>
      <c r="AW143" s="45">
        <v>0</v>
      </c>
      <c r="AX143" s="45">
        <v>11096.3</v>
      </c>
      <c r="AY143" s="45">
        <v>0</v>
      </c>
      <c r="AZ143" s="45">
        <v>0</v>
      </c>
    </row>
    <row r="144" spans="2:52">
      <c r="B144" s="45">
        <v>9484.7000000000007</v>
      </c>
      <c r="C144" s="45">
        <v>0</v>
      </c>
      <c r="D144" s="45">
        <v>0</v>
      </c>
      <c r="E144" s="45">
        <v>9395.5</v>
      </c>
      <c r="F144" s="45">
        <v>0</v>
      </c>
      <c r="G144" s="45">
        <v>0</v>
      </c>
      <c r="H144" s="45">
        <v>9395.5</v>
      </c>
      <c r="I144" s="45">
        <v>0</v>
      </c>
      <c r="J144" s="45">
        <v>0</v>
      </c>
      <c r="K144" s="45">
        <v>9103.5</v>
      </c>
      <c r="L144" s="45">
        <v>0</v>
      </c>
      <c r="M144" s="45">
        <v>1</v>
      </c>
      <c r="O144" s="45">
        <v>9754.6</v>
      </c>
      <c r="P144" s="45">
        <v>0</v>
      </c>
      <c r="Q144" s="45">
        <v>0</v>
      </c>
      <c r="R144" s="45">
        <v>9483</v>
      </c>
      <c r="S144" s="45">
        <v>0</v>
      </c>
      <c r="T144" s="45">
        <v>0</v>
      </c>
      <c r="U144" s="45">
        <v>9214.5</v>
      </c>
      <c r="V144" s="45">
        <v>0</v>
      </c>
      <c r="W144" s="45">
        <v>0</v>
      </c>
      <c r="X144" s="45">
        <v>9103.5</v>
      </c>
      <c r="Y144" s="45">
        <v>0</v>
      </c>
      <c r="Z144" s="45">
        <v>1</v>
      </c>
      <c r="AB144" s="45">
        <v>9856.1</v>
      </c>
      <c r="AC144" s="45">
        <v>0</v>
      </c>
      <c r="AD144" s="45">
        <v>1</v>
      </c>
      <c r="AE144" s="45">
        <v>10225.5</v>
      </c>
      <c r="AF144" s="45">
        <v>0</v>
      </c>
      <c r="AG144" s="45">
        <v>0</v>
      </c>
      <c r="AH144" s="45">
        <v>11258.7</v>
      </c>
      <c r="AI144" s="45">
        <v>0</v>
      </c>
      <c r="AJ144" s="45">
        <v>0</v>
      </c>
      <c r="AK144" s="45">
        <v>10596.5</v>
      </c>
      <c r="AL144" s="45">
        <v>0</v>
      </c>
      <c r="AM144" s="45">
        <v>1</v>
      </c>
      <c r="AO144" s="45">
        <v>9157.4</v>
      </c>
      <c r="AP144" s="45">
        <v>0</v>
      </c>
      <c r="AQ144" s="45">
        <v>1</v>
      </c>
      <c r="AR144" s="45">
        <v>9715.2999999999993</v>
      </c>
      <c r="AS144" s="45">
        <v>0</v>
      </c>
      <c r="AT144" s="45">
        <v>0</v>
      </c>
      <c r="AU144" s="45">
        <v>9157.4</v>
      </c>
      <c r="AV144" s="45">
        <v>0</v>
      </c>
      <c r="AW144" s="45">
        <v>0</v>
      </c>
      <c r="AX144" s="45">
        <v>8823.5</v>
      </c>
      <c r="AY144" s="45">
        <v>0</v>
      </c>
      <c r="AZ144" s="45">
        <v>1</v>
      </c>
    </row>
    <row r="145" spans="2:52">
      <c r="B145" s="45">
        <v>9890.1</v>
      </c>
      <c r="C145" s="45">
        <v>0</v>
      </c>
      <c r="D145" s="45">
        <v>0</v>
      </c>
      <c r="E145" s="45">
        <v>9653.7000000000007</v>
      </c>
      <c r="F145" s="45">
        <v>0</v>
      </c>
      <c r="G145" s="45">
        <v>0</v>
      </c>
      <c r="H145" s="45">
        <v>9937.5</v>
      </c>
      <c r="I145" s="45">
        <v>0</v>
      </c>
      <c r="J145" s="45">
        <v>0</v>
      </c>
      <c r="K145" s="45">
        <v>9698.2999999999993</v>
      </c>
      <c r="L145" s="45">
        <v>0</v>
      </c>
      <c r="M145" s="45">
        <v>0</v>
      </c>
      <c r="O145" s="45">
        <v>9713</v>
      </c>
      <c r="P145" s="45">
        <v>0</v>
      </c>
      <c r="Q145" s="45">
        <v>0</v>
      </c>
      <c r="R145" s="45">
        <v>9798</v>
      </c>
      <c r="S145" s="45">
        <v>0</v>
      </c>
      <c r="T145" s="45">
        <v>0</v>
      </c>
      <c r="U145" s="45">
        <v>11891.7</v>
      </c>
      <c r="V145" s="45">
        <v>22</v>
      </c>
      <c r="W145" s="45">
        <v>0</v>
      </c>
      <c r="X145" s="45">
        <v>9494.6</v>
      </c>
      <c r="Y145" s="45">
        <v>0</v>
      </c>
      <c r="Z145" s="45">
        <v>0</v>
      </c>
      <c r="AB145" s="45">
        <v>10722.8</v>
      </c>
      <c r="AC145" s="45">
        <v>0</v>
      </c>
      <c r="AD145" s="45">
        <v>0</v>
      </c>
      <c r="AE145" s="45">
        <v>10166.1</v>
      </c>
      <c r="AF145" s="45">
        <v>0</v>
      </c>
      <c r="AG145" s="45">
        <v>0</v>
      </c>
      <c r="AH145" s="45">
        <v>9954.2000000000007</v>
      </c>
      <c r="AI145" s="45">
        <v>0</v>
      </c>
      <c r="AJ145" s="45">
        <v>0</v>
      </c>
      <c r="AK145" s="45">
        <v>9939.9</v>
      </c>
      <c r="AL145" s="45">
        <v>0</v>
      </c>
      <c r="AM145" s="45">
        <v>1</v>
      </c>
      <c r="AO145" s="45">
        <v>9713</v>
      </c>
      <c r="AP145" s="45">
        <v>0</v>
      </c>
      <c r="AQ145" s="45">
        <v>0</v>
      </c>
      <c r="AR145" s="45">
        <v>9378.4</v>
      </c>
      <c r="AS145" s="45">
        <v>0</v>
      </c>
      <c r="AT145" s="45">
        <v>0</v>
      </c>
      <c r="AU145" s="45">
        <v>9762.4</v>
      </c>
      <c r="AV145" s="45">
        <v>0</v>
      </c>
      <c r="AW145" s="45">
        <v>1</v>
      </c>
      <c r="AX145" s="45">
        <v>9898</v>
      </c>
      <c r="AY145" s="45">
        <v>1</v>
      </c>
      <c r="AZ145" s="45">
        <v>0</v>
      </c>
    </row>
    <row r="146" spans="2:52">
      <c r="B146" s="45">
        <v>9118</v>
      </c>
      <c r="C146" s="45">
        <v>0</v>
      </c>
      <c r="D146" s="45">
        <v>0</v>
      </c>
      <c r="E146" s="45">
        <v>9322.7000000000007</v>
      </c>
      <c r="F146" s="45">
        <v>0</v>
      </c>
      <c r="G146" s="45">
        <v>1</v>
      </c>
      <c r="H146" s="45">
        <v>9118</v>
      </c>
      <c r="I146" s="45">
        <v>0</v>
      </c>
      <c r="J146" s="45">
        <v>0</v>
      </c>
      <c r="K146" s="45">
        <v>9181.9</v>
      </c>
      <c r="L146" s="45">
        <v>0</v>
      </c>
      <c r="M146" s="45">
        <v>0</v>
      </c>
      <c r="O146" s="45">
        <v>9007.2999999999993</v>
      </c>
      <c r="P146" s="45">
        <v>0</v>
      </c>
      <c r="Q146" s="45">
        <v>0</v>
      </c>
      <c r="R146" s="45">
        <v>9212.9</v>
      </c>
      <c r="S146" s="45">
        <v>0</v>
      </c>
      <c r="T146" s="45">
        <v>1</v>
      </c>
      <c r="U146" s="45">
        <v>9007.2999999999993</v>
      </c>
      <c r="V146" s="45">
        <v>0</v>
      </c>
      <c r="W146" s="45">
        <v>0</v>
      </c>
      <c r="X146" s="45">
        <v>9007.2999999999993</v>
      </c>
      <c r="Y146" s="45">
        <v>0</v>
      </c>
      <c r="Z146" s="45">
        <v>0</v>
      </c>
      <c r="AB146" s="45">
        <v>9421.6</v>
      </c>
      <c r="AC146" s="45">
        <v>0</v>
      </c>
      <c r="AD146" s="45">
        <v>0</v>
      </c>
      <c r="AE146" s="45">
        <v>11970.7</v>
      </c>
      <c r="AF146" s="45">
        <v>0</v>
      </c>
      <c r="AG146" s="45">
        <v>0</v>
      </c>
      <c r="AH146" s="45">
        <v>12325</v>
      </c>
      <c r="AI146" s="45">
        <v>0</v>
      </c>
      <c r="AJ146" s="45">
        <v>0</v>
      </c>
      <c r="AK146" s="45">
        <v>9581.9</v>
      </c>
      <c r="AL146" s="45">
        <v>0</v>
      </c>
      <c r="AM146" s="45">
        <v>1</v>
      </c>
      <c r="AO146" s="45">
        <v>10307.299999999999</v>
      </c>
      <c r="AP146" s="45">
        <v>0</v>
      </c>
      <c r="AQ146" s="45">
        <v>0</v>
      </c>
      <c r="AR146" s="45">
        <v>9118</v>
      </c>
      <c r="AS146" s="45">
        <v>0</v>
      </c>
      <c r="AT146" s="45">
        <v>1</v>
      </c>
      <c r="AU146" s="45">
        <v>9007.2999999999993</v>
      </c>
      <c r="AV146" s="45">
        <v>0</v>
      </c>
      <c r="AW146" s="45">
        <v>0</v>
      </c>
      <c r="AX146" s="45">
        <v>9007.2999999999993</v>
      </c>
      <c r="AY146" s="45">
        <v>0</v>
      </c>
      <c r="AZ146" s="45">
        <v>0</v>
      </c>
    </row>
    <row r="147" spans="2:52">
      <c r="B147" s="45">
        <v>10245.799999999999</v>
      </c>
      <c r="C147" s="45">
        <v>0</v>
      </c>
      <c r="D147" s="45">
        <v>0</v>
      </c>
      <c r="E147" s="45">
        <v>10245.799999999999</v>
      </c>
      <c r="F147" s="45">
        <v>0</v>
      </c>
      <c r="G147" s="45">
        <v>0</v>
      </c>
      <c r="H147" s="45">
        <v>10069.1</v>
      </c>
      <c r="I147" s="45">
        <v>0</v>
      </c>
      <c r="J147" s="45">
        <v>0</v>
      </c>
      <c r="K147" s="45">
        <v>10245.799999999999</v>
      </c>
      <c r="L147" s="45">
        <v>0</v>
      </c>
      <c r="M147" s="45">
        <v>0</v>
      </c>
      <c r="O147" s="45">
        <v>10165.1</v>
      </c>
      <c r="P147" s="45">
        <v>0</v>
      </c>
      <c r="Q147" s="45">
        <v>0</v>
      </c>
      <c r="R147" s="45">
        <v>10093.1</v>
      </c>
      <c r="S147" s="45">
        <v>0</v>
      </c>
      <c r="T147" s="45">
        <v>1</v>
      </c>
      <c r="U147" s="45">
        <v>10245.799999999999</v>
      </c>
      <c r="V147" s="45">
        <v>0</v>
      </c>
      <c r="W147" s="45">
        <v>0</v>
      </c>
      <c r="X147" s="45">
        <v>10200.5</v>
      </c>
      <c r="Y147" s="45">
        <v>0</v>
      </c>
      <c r="Z147" s="45">
        <v>0</v>
      </c>
      <c r="AB147" s="45">
        <v>12507.5</v>
      </c>
      <c r="AC147" s="45">
        <v>0</v>
      </c>
      <c r="AD147" s="45">
        <v>0</v>
      </c>
      <c r="AE147" s="45">
        <v>11225.9</v>
      </c>
      <c r="AF147" s="45">
        <v>0</v>
      </c>
      <c r="AG147" s="45">
        <v>0</v>
      </c>
      <c r="AH147" s="45">
        <v>11568.4</v>
      </c>
      <c r="AI147" s="45">
        <v>0</v>
      </c>
      <c r="AJ147" s="45">
        <v>1</v>
      </c>
      <c r="AK147" s="45">
        <v>11296.3</v>
      </c>
      <c r="AL147" s="45">
        <v>0</v>
      </c>
      <c r="AM147" s="45">
        <v>0</v>
      </c>
      <c r="AO147" s="45">
        <v>10200.5</v>
      </c>
      <c r="AP147" s="45">
        <v>0</v>
      </c>
      <c r="AQ147" s="45">
        <v>0</v>
      </c>
      <c r="AR147" s="45">
        <v>10903.1</v>
      </c>
      <c r="AS147" s="45">
        <v>0</v>
      </c>
      <c r="AT147" s="45">
        <v>1</v>
      </c>
      <c r="AU147" s="45">
        <v>10245.799999999999</v>
      </c>
      <c r="AV147" s="45">
        <v>0</v>
      </c>
      <c r="AW147" s="45">
        <v>0</v>
      </c>
      <c r="AX147" s="45">
        <v>10200.5</v>
      </c>
      <c r="AY147" s="45">
        <v>0</v>
      </c>
      <c r="AZ147" s="45">
        <v>0</v>
      </c>
    </row>
    <row r="148" spans="2:52">
      <c r="B148" s="45">
        <v>9774.7000000000007</v>
      </c>
      <c r="C148" s="45">
        <v>0</v>
      </c>
      <c r="D148" s="45">
        <v>1</v>
      </c>
      <c r="E148" s="45">
        <v>9214.6</v>
      </c>
      <c r="F148" s="45">
        <v>0</v>
      </c>
      <c r="G148" s="45">
        <v>0</v>
      </c>
      <c r="H148" s="45">
        <v>9723.2999999999993</v>
      </c>
      <c r="I148" s="45">
        <v>0</v>
      </c>
      <c r="J148" s="45">
        <v>0</v>
      </c>
      <c r="K148" s="45">
        <v>9206</v>
      </c>
      <c r="L148" s="45">
        <v>0</v>
      </c>
      <c r="M148" s="45">
        <v>0</v>
      </c>
      <c r="O148" s="45">
        <v>9214.6</v>
      </c>
      <c r="P148" s="45">
        <v>0</v>
      </c>
      <c r="Q148" s="45">
        <v>1</v>
      </c>
      <c r="R148" s="45">
        <v>8678</v>
      </c>
      <c r="S148" s="45">
        <v>0</v>
      </c>
      <c r="T148" s="45">
        <v>0</v>
      </c>
      <c r="U148" s="45">
        <v>8718</v>
      </c>
      <c r="V148" s="45">
        <v>0</v>
      </c>
      <c r="W148" s="45">
        <v>0</v>
      </c>
      <c r="X148" s="45">
        <v>9214.6</v>
      </c>
      <c r="Y148" s="45">
        <v>0</v>
      </c>
      <c r="Z148" s="45">
        <v>0</v>
      </c>
      <c r="AB148" s="45">
        <v>11185.5</v>
      </c>
      <c r="AC148" s="45">
        <v>0</v>
      </c>
      <c r="AD148" s="45">
        <v>0</v>
      </c>
      <c r="AE148" s="45">
        <v>9723.2999999999993</v>
      </c>
      <c r="AF148" s="45">
        <v>0</v>
      </c>
      <c r="AG148" s="45">
        <v>0</v>
      </c>
      <c r="AH148" s="45">
        <v>11730.1</v>
      </c>
      <c r="AI148" s="45">
        <v>0</v>
      </c>
      <c r="AJ148" s="45">
        <v>1</v>
      </c>
      <c r="AK148" s="45">
        <v>10733.2</v>
      </c>
      <c r="AL148" s="45">
        <v>0</v>
      </c>
      <c r="AM148" s="45">
        <v>0</v>
      </c>
      <c r="AO148" s="45">
        <v>9723.2999999999993</v>
      </c>
      <c r="AP148" s="45">
        <v>0</v>
      </c>
      <c r="AQ148" s="45">
        <v>1</v>
      </c>
      <c r="AR148" s="45">
        <v>10439.5</v>
      </c>
      <c r="AS148" s="45">
        <v>0</v>
      </c>
      <c r="AT148" s="45">
        <v>0</v>
      </c>
      <c r="AU148" s="45">
        <v>10742.1</v>
      </c>
      <c r="AV148" s="45">
        <v>0</v>
      </c>
      <c r="AW148" s="45">
        <v>0</v>
      </c>
      <c r="AX148" s="45">
        <v>9693.9</v>
      </c>
      <c r="AY148" s="45">
        <v>0</v>
      </c>
      <c r="AZ148" s="45">
        <v>0</v>
      </c>
    </row>
    <row r="149" spans="2:52">
      <c r="B149" s="45">
        <v>7172.6</v>
      </c>
      <c r="C149" s="45">
        <v>0</v>
      </c>
      <c r="D149" s="45">
        <v>0</v>
      </c>
      <c r="E149" s="45">
        <v>7172.6</v>
      </c>
      <c r="F149" s="45">
        <v>0</v>
      </c>
      <c r="G149" s="45">
        <v>0</v>
      </c>
      <c r="H149" s="45">
        <v>8001</v>
      </c>
      <c r="I149" s="45">
        <v>0</v>
      </c>
      <c r="J149" s="45">
        <v>1</v>
      </c>
      <c r="K149" s="45">
        <v>7272.6</v>
      </c>
      <c r="L149" s="45">
        <v>1</v>
      </c>
      <c r="M149" s="45">
        <v>0</v>
      </c>
      <c r="O149" s="45">
        <v>8099.9</v>
      </c>
      <c r="P149" s="45">
        <v>1</v>
      </c>
      <c r="Q149" s="45">
        <v>1</v>
      </c>
      <c r="R149" s="45">
        <v>7172.6</v>
      </c>
      <c r="S149" s="45">
        <v>0</v>
      </c>
      <c r="T149" s="45">
        <v>0</v>
      </c>
      <c r="U149" s="45">
        <v>7272.6</v>
      </c>
      <c r="V149" s="45">
        <v>1</v>
      </c>
      <c r="W149" s="45">
        <v>0</v>
      </c>
      <c r="X149" s="45">
        <v>7172.6</v>
      </c>
      <c r="Y149" s="45">
        <v>0</v>
      </c>
      <c r="Z149" s="45">
        <v>1</v>
      </c>
      <c r="AB149" s="45">
        <v>8865</v>
      </c>
      <c r="AC149" s="45">
        <v>0</v>
      </c>
      <c r="AD149" s="45">
        <v>0</v>
      </c>
      <c r="AE149" s="45">
        <v>8002.9</v>
      </c>
      <c r="AF149" s="45">
        <v>0</v>
      </c>
      <c r="AG149" s="45">
        <v>1</v>
      </c>
      <c r="AH149" s="45">
        <v>8235.1</v>
      </c>
      <c r="AI149" s="45">
        <v>0</v>
      </c>
      <c r="AJ149" s="45">
        <v>0</v>
      </c>
      <c r="AK149" s="45">
        <v>8533.5</v>
      </c>
      <c r="AL149" s="45">
        <v>0</v>
      </c>
      <c r="AM149" s="45">
        <v>0</v>
      </c>
      <c r="AO149" s="45">
        <v>8217.2999999999993</v>
      </c>
      <c r="AP149" s="45">
        <v>0</v>
      </c>
      <c r="AQ149" s="45">
        <v>1</v>
      </c>
      <c r="AR149" s="45">
        <v>8901</v>
      </c>
      <c r="AS149" s="45">
        <v>9</v>
      </c>
      <c r="AT149" s="45">
        <v>0</v>
      </c>
      <c r="AU149" s="45">
        <v>7172.6</v>
      </c>
      <c r="AV149" s="45">
        <v>0</v>
      </c>
      <c r="AW149" s="45">
        <v>0</v>
      </c>
      <c r="AX149" s="45">
        <v>7821.6</v>
      </c>
      <c r="AY149" s="45">
        <v>0</v>
      </c>
      <c r="AZ149" s="45">
        <v>1</v>
      </c>
    </row>
    <row r="150" spans="2:52">
      <c r="B150" s="45">
        <v>7521.7</v>
      </c>
      <c r="C150" s="45">
        <v>0</v>
      </c>
      <c r="D150" s="45">
        <v>0</v>
      </c>
      <c r="E150" s="45">
        <v>7939.7</v>
      </c>
      <c r="F150" s="45">
        <v>0</v>
      </c>
      <c r="G150" s="45">
        <v>0</v>
      </c>
      <c r="H150" s="45">
        <v>8170.7</v>
      </c>
      <c r="I150" s="45">
        <v>0</v>
      </c>
      <c r="J150" s="45">
        <v>0</v>
      </c>
      <c r="K150" s="45">
        <v>7685.5</v>
      </c>
      <c r="L150" s="45">
        <v>0</v>
      </c>
      <c r="M150" s="45">
        <v>0</v>
      </c>
      <c r="O150" s="45">
        <v>8686.9</v>
      </c>
      <c r="P150" s="45">
        <v>0</v>
      </c>
      <c r="Q150" s="45">
        <v>0</v>
      </c>
      <c r="R150" s="45">
        <v>7685.5</v>
      </c>
      <c r="S150" s="45">
        <v>0</v>
      </c>
      <c r="T150" s="45">
        <v>0</v>
      </c>
      <c r="U150" s="45">
        <v>7753.1</v>
      </c>
      <c r="V150" s="45">
        <v>0</v>
      </c>
      <c r="W150" s="45">
        <v>1</v>
      </c>
      <c r="X150" s="45">
        <v>7685.5</v>
      </c>
      <c r="Y150" s="45">
        <v>0</v>
      </c>
      <c r="Z150" s="45">
        <v>0</v>
      </c>
      <c r="AB150" s="45">
        <v>8117.4</v>
      </c>
      <c r="AC150" s="45">
        <v>0</v>
      </c>
      <c r="AD150" s="45">
        <v>0</v>
      </c>
      <c r="AE150" s="45">
        <v>8588.7999999999993</v>
      </c>
      <c r="AF150" s="45">
        <v>0</v>
      </c>
      <c r="AG150" s="45">
        <v>1</v>
      </c>
      <c r="AH150" s="45">
        <v>8175.7</v>
      </c>
      <c r="AI150" s="45">
        <v>0</v>
      </c>
      <c r="AJ150" s="45">
        <v>0</v>
      </c>
      <c r="AK150" s="45">
        <v>8397.2000000000007</v>
      </c>
      <c r="AL150" s="45">
        <v>0</v>
      </c>
      <c r="AM150" s="45">
        <v>0</v>
      </c>
      <c r="AO150" s="45">
        <v>8184.7</v>
      </c>
      <c r="AP150" s="45">
        <v>0</v>
      </c>
      <c r="AQ150" s="45">
        <v>0</v>
      </c>
      <c r="AR150" s="45">
        <v>7939.7</v>
      </c>
      <c r="AS150" s="45">
        <v>0</v>
      </c>
      <c r="AT150" s="45">
        <v>0</v>
      </c>
      <c r="AU150" s="45">
        <v>8240.2000000000007</v>
      </c>
      <c r="AV150" s="45">
        <v>0</v>
      </c>
      <c r="AW150" s="45">
        <v>1</v>
      </c>
      <c r="AX150" s="45">
        <v>7685.5</v>
      </c>
      <c r="AY150" s="45">
        <v>0</v>
      </c>
      <c r="AZ150" s="45">
        <v>0</v>
      </c>
    </row>
    <row r="151" spans="2:52">
      <c r="B151" s="45">
        <v>8898.7999999999993</v>
      </c>
      <c r="C151" s="45">
        <v>0</v>
      </c>
      <c r="D151" s="45">
        <v>1</v>
      </c>
      <c r="E151" s="45">
        <v>9072.1</v>
      </c>
      <c r="F151" s="45">
        <v>0</v>
      </c>
      <c r="G151" s="45">
        <v>0</v>
      </c>
      <c r="H151" s="45">
        <v>8783.6</v>
      </c>
      <c r="I151" s="45">
        <v>0</v>
      </c>
      <c r="J151" s="45">
        <v>0</v>
      </c>
      <c r="K151" s="45">
        <v>8447.2999999999993</v>
      </c>
      <c r="L151" s="45">
        <v>0</v>
      </c>
      <c r="M151" s="45">
        <v>0</v>
      </c>
      <c r="O151" s="45">
        <v>8783.6</v>
      </c>
      <c r="P151" s="45">
        <v>0</v>
      </c>
      <c r="Q151" s="45">
        <v>0</v>
      </c>
      <c r="R151" s="45">
        <v>8516.1</v>
      </c>
      <c r="S151" s="45">
        <v>0</v>
      </c>
      <c r="T151" s="45">
        <v>0</v>
      </c>
      <c r="U151" s="45">
        <v>8276.1</v>
      </c>
      <c r="V151" s="45">
        <v>0</v>
      </c>
      <c r="W151" s="45">
        <v>1</v>
      </c>
      <c r="X151" s="45">
        <v>8516.1</v>
      </c>
      <c r="Y151" s="45">
        <v>0</v>
      </c>
      <c r="Z151" s="45">
        <v>0</v>
      </c>
      <c r="AB151" s="45">
        <v>10134.4</v>
      </c>
      <c r="AC151" s="45">
        <v>0</v>
      </c>
      <c r="AD151" s="45">
        <v>0</v>
      </c>
      <c r="AE151" s="45">
        <v>10565.9</v>
      </c>
      <c r="AF151" s="45">
        <v>0</v>
      </c>
      <c r="AG151" s="45">
        <v>1</v>
      </c>
      <c r="AH151" s="45">
        <v>10458.4</v>
      </c>
      <c r="AI151" s="45">
        <v>0</v>
      </c>
      <c r="AJ151" s="45">
        <v>0</v>
      </c>
      <c r="AK151" s="45">
        <v>11081.8</v>
      </c>
      <c r="AL151" s="45">
        <v>0</v>
      </c>
      <c r="AM151" s="45">
        <v>0</v>
      </c>
      <c r="AO151" s="45">
        <v>11713</v>
      </c>
      <c r="AP151" s="45">
        <v>0</v>
      </c>
      <c r="AQ151" s="45">
        <v>0</v>
      </c>
      <c r="AR151" s="45">
        <v>9184.4</v>
      </c>
      <c r="AS151" s="45">
        <v>0</v>
      </c>
      <c r="AT151" s="45">
        <v>1</v>
      </c>
      <c r="AU151" s="45">
        <v>8719.2999999999993</v>
      </c>
      <c r="AV151" s="45">
        <v>0</v>
      </c>
      <c r="AW151" s="45">
        <v>0</v>
      </c>
      <c r="AX151" s="45">
        <v>8783.6</v>
      </c>
      <c r="AY151" s="45">
        <v>0</v>
      </c>
      <c r="AZ151" s="45">
        <v>0</v>
      </c>
    </row>
    <row r="152" spans="2:52">
      <c r="B152" s="45">
        <v>11421.2</v>
      </c>
      <c r="C152" s="45">
        <v>0</v>
      </c>
      <c r="D152" s="45">
        <v>0</v>
      </c>
      <c r="E152" s="45">
        <v>10776.6</v>
      </c>
      <c r="F152" s="45">
        <v>0</v>
      </c>
      <c r="G152" s="45">
        <v>0</v>
      </c>
      <c r="H152" s="45">
        <v>10806.8</v>
      </c>
      <c r="I152" s="45">
        <v>0</v>
      </c>
      <c r="J152" s="45">
        <v>0</v>
      </c>
      <c r="K152" s="45">
        <v>11006.8</v>
      </c>
      <c r="L152" s="45">
        <v>0</v>
      </c>
      <c r="M152" s="45">
        <v>1</v>
      </c>
      <c r="O152" s="45">
        <v>10806.8</v>
      </c>
      <c r="P152" s="45">
        <v>0</v>
      </c>
      <c r="Q152" s="45">
        <v>0</v>
      </c>
      <c r="R152" s="45">
        <v>10510.8</v>
      </c>
      <c r="S152" s="45">
        <v>0</v>
      </c>
      <c r="T152" s="45">
        <v>1</v>
      </c>
      <c r="U152" s="45">
        <v>10510.8</v>
      </c>
      <c r="V152" s="45">
        <v>0</v>
      </c>
      <c r="W152" s="45">
        <v>0</v>
      </c>
      <c r="X152" s="45">
        <v>10463.200000000001</v>
      </c>
      <c r="Y152" s="45">
        <v>0</v>
      </c>
      <c r="Z152" s="45">
        <v>0</v>
      </c>
      <c r="AB152" s="45">
        <v>13370.4</v>
      </c>
      <c r="AC152" s="45">
        <v>0</v>
      </c>
      <c r="AD152" s="45">
        <v>1</v>
      </c>
      <c r="AE152" s="45">
        <v>12802.6</v>
      </c>
      <c r="AF152" s="45">
        <v>0</v>
      </c>
      <c r="AG152" s="45">
        <v>0</v>
      </c>
      <c r="AH152" s="45">
        <v>11792.2</v>
      </c>
      <c r="AI152" s="45">
        <v>0</v>
      </c>
      <c r="AJ152" s="45">
        <v>0</v>
      </c>
      <c r="AK152" s="45">
        <v>11961.2</v>
      </c>
      <c r="AL152" s="45">
        <v>0</v>
      </c>
      <c r="AM152" s="45">
        <v>0</v>
      </c>
      <c r="AO152" s="45">
        <v>11421.2</v>
      </c>
      <c r="AP152" s="45">
        <v>0</v>
      </c>
      <c r="AQ152" s="45">
        <v>0</v>
      </c>
      <c r="AR152" s="45">
        <v>10510.8</v>
      </c>
      <c r="AS152" s="45">
        <v>0</v>
      </c>
      <c r="AT152" s="45">
        <v>1</v>
      </c>
      <c r="AU152" s="45">
        <v>11630.8</v>
      </c>
      <c r="AV152" s="45">
        <v>0</v>
      </c>
      <c r="AW152" s="45">
        <v>0</v>
      </c>
      <c r="AX152" s="45">
        <v>10510.8</v>
      </c>
      <c r="AY152" s="45">
        <v>0</v>
      </c>
      <c r="AZ152" s="45">
        <v>0</v>
      </c>
    </row>
    <row r="153" spans="2:52">
      <c r="B153" s="45">
        <v>9710</v>
      </c>
      <c r="C153" s="45">
        <v>0</v>
      </c>
      <c r="D153" s="45">
        <v>0</v>
      </c>
      <c r="E153" s="45">
        <v>10450.5</v>
      </c>
      <c r="F153" s="45">
        <v>0</v>
      </c>
      <c r="G153" s="45">
        <v>0</v>
      </c>
      <c r="H153" s="45">
        <v>10261.799999999999</v>
      </c>
      <c r="I153" s="45">
        <v>0</v>
      </c>
      <c r="J153" s="45">
        <v>0</v>
      </c>
      <c r="K153" s="45">
        <v>9710</v>
      </c>
      <c r="L153" s="45">
        <v>0</v>
      </c>
      <c r="M153" s="45">
        <v>0</v>
      </c>
      <c r="O153" s="45">
        <v>10304.9</v>
      </c>
      <c r="P153" s="45">
        <v>0</v>
      </c>
      <c r="Q153" s="45">
        <v>0</v>
      </c>
      <c r="R153" s="45">
        <v>10111.200000000001</v>
      </c>
      <c r="S153" s="45">
        <v>0</v>
      </c>
      <c r="T153" s="45">
        <v>1</v>
      </c>
      <c r="U153" s="45">
        <v>10078.299999999999</v>
      </c>
      <c r="V153" s="45">
        <v>0</v>
      </c>
      <c r="W153" s="45">
        <v>0</v>
      </c>
      <c r="X153" s="45">
        <v>9948.2000000000007</v>
      </c>
      <c r="Y153" s="45">
        <v>0</v>
      </c>
      <c r="Z153" s="45">
        <v>0</v>
      </c>
      <c r="AB153" s="45">
        <v>11059.2</v>
      </c>
      <c r="AC153" s="45">
        <v>0</v>
      </c>
      <c r="AD153" s="45">
        <v>1</v>
      </c>
      <c r="AE153" s="45">
        <v>10579.8</v>
      </c>
      <c r="AF153" s="45">
        <v>0</v>
      </c>
      <c r="AG153" s="45">
        <v>0</v>
      </c>
      <c r="AH153" s="45">
        <v>10674.9</v>
      </c>
      <c r="AI153" s="45">
        <v>0</v>
      </c>
      <c r="AJ153" s="45">
        <v>0</v>
      </c>
      <c r="AK153" s="45">
        <v>11421.2</v>
      </c>
      <c r="AL153" s="45">
        <v>0</v>
      </c>
      <c r="AM153" s="45">
        <v>1</v>
      </c>
      <c r="AO153" s="45">
        <v>10338.1</v>
      </c>
      <c r="AP153" s="45">
        <v>0</v>
      </c>
      <c r="AQ153" s="45">
        <v>1</v>
      </c>
      <c r="AR153" s="45">
        <v>9877.5</v>
      </c>
      <c r="AS153" s="45">
        <v>0</v>
      </c>
      <c r="AT153" s="45">
        <v>0</v>
      </c>
      <c r="AU153" s="45">
        <v>10233.6</v>
      </c>
      <c r="AV153" s="45">
        <v>0</v>
      </c>
      <c r="AW153" s="45">
        <v>0</v>
      </c>
      <c r="AX153" s="45">
        <v>10233.6</v>
      </c>
      <c r="AY153" s="45">
        <v>0</v>
      </c>
      <c r="AZ153" s="45">
        <v>1</v>
      </c>
    </row>
    <row r="154" spans="2:52">
      <c r="B154" s="45">
        <v>9295.6</v>
      </c>
      <c r="C154" s="45">
        <v>0</v>
      </c>
      <c r="D154" s="45">
        <v>0</v>
      </c>
      <c r="E154" s="45">
        <v>9255.6</v>
      </c>
      <c r="F154" s="45">
        <v>0</v>
      </c>
      <c r="G154" s="45">
        <v>0</v>
      </c>
      <c r="H154" s="45">
        <v>9255.6</v>
      </c>
      <c r="I154" s="45">
        <v>0</v>
      </c>
      <c r="J154" s="45">
        <v>1</v>
      </c>
      <c r="K154" s="45">
        <v>9255.6</v>
      </c>
      <c r="L154" s="45">
        <v>0</v>
      </c>
      <c r="M154" s="45">
        <v>0</v>
      </c>
      <c r="O154" s="45">
        <v>10023.700000000001</v>
      </c>
      <c r="P154" s="45">
        <v>0</v>
      </c>
      <c r="Q154" s="45">
        <v>1</v>
      </c>
      <c r="R154" s="45">
        <v>9255.6</v>
      </c>
      <c r="S154" s="45">
        <v>0</v>
      </c>
      <c r="T154" s="45">
        <v>0</v>
      </c>
      <c r="U154" s="45">
        <v>9822.7999999999993</v>
      </c>
      <c r="V154" s="45">
        <v>0</v>
      </c>
      <c r="W154" s="45">
        <v>0</v>
      </c>
      <c r="X154" s="45">
        <v>9255.6</v>
      </c>
      <c r="Y154" s="45">
        <v>0</v>
      </c>
      <c r="Z154" s="45">
        <v>1</v>
      </c>
      <c r="AB154" s="45">
        <v>10771.4</v>
      </c>
      <c r="AC154" s="45">
        <v>0</v>
      </c>
      <c r="AD154" s="45">
        <v>0</v>
      </c>
      <c r="AE154" s="45">
        <v>12770.3</v>
      </c>
      <c r="AF154" s="45">
        <v>0</v>
      </c>
      <c r="AG154" s="45">
        <v>0</v>
      </c>
      <c r="AH154" s="45">
        <v>10470.9</v>
      </c>
      <c r="AI154" s="45">
        <v>0</v>
      </c>
      <c r="AJ154" s="45">
        <v>0</v>
      </c>
      <c r="AK154" s="45">
        <v>10750.1</v>
      </c>
      <c r="AL154" s="45">
        <v>0</v>
      </c>
      <c r="AM154" s="45">
        <v>1</v>
      </c>
      <c r="AO154" s="45">
        <v>9303.2000000000007</v>
      </c>
      <c r="AP154" s="45">
        <v>0</v>
      </c>
      <c r="AQ154" s="45">
        <v>0</v>
      </c>
      <c r="AR154" s="45">
        <v>9303.2000000000007</v>
      </c>
      <c r="AS154" s="45">
        <v>0</v>
      </c>
      <c r="AT154" s="45">
        <v>0</v>
      </c>
      <c r="AU154" s="45">
        <v>9788.9</v>
      </c>
      <c r="AV154" s="45">
        <v>0</v>
      </c>
      <c r="AW154" s="45">
        <v>0</v>
      </c>
      <c r="AX154" s="45">
        <v>9303.2000000000007</v>
      </c>
      <c r="AY154" s="45">
        <v>0</v>
      </c>
      <c r="AZ154" s="45">
        <v>1</v>
      </c>
    </row>
    <row r="155" spans="2:52">
      <c r="B155" s="45">
        <v>9154.5</v>
      </c>
      <c r="C155" s="45">
        <v>10</v>
      </c>
      <c r="D155" s="45">
        <v>0</v>
      </c>
      <c r="E155" s="45">
        <v>8437.7000000000007</v>
      </c>
      <c r="F155" s="45">
        <v>2</v>
      </c>
      <c r="G155" s="45">
        <v>0</v>
      </c>
      <c r="H155" s="45">
        <v>8006.6</v>
      </c>
      <c r="I155" s="45">
        <v>0</v>
      </c>
      <c r="J155" s="45">
        <v>0</v>
      </c>
      <c r="K155" s="45">
        <v>8105.9</v>
      </c>
      <c r="L155" s="45">
        <v>0</v>
      </c>
      <c r="M155" s="45">
        <v>1</v>
      </c>
      <c r="O155" s="45">
        <v>8160.1</v>
      </c>
      <c r="P155" s="45">
        <v>0</v>
      </c>
      <c r="Q155" s="45">
        <v>0</v>
      </c>
      <c r="R155" s="45">
        <v>8062.6</v>
      </c>
      <c r="S155" s="45">
        <v>0</v>
      </c>
      <c r="T155" s="45">
        <v>0</v>
      </c>
      <c r="U155" s="45">
        <v>9187.1</v>
      </c>
      <c r="V155" s="45">
        <v>12</v>
      </c>
      <c r="W155" s="45">
        <v>1</v>
      </c>
      <c r="X155" s="45">
        <v>8433.2999999999993</v>
      </c>
      <c r="Y155" s="45">
        <v>0</v>
      </c>
      <c r="Z155" s="45">
        <v>0</v>
      </c>
      <c r="AB155" s="45">
        <v>8844.5</v>
      </c>
      <c r="AC155" s="45">
        <v>0</v>
      </c>
      <c r="AD155" s="45">
        <v>0</v>
      </c>
      <c r="AE155" s="45">
        <v>8392.4</v>
      </c>
      <c r="AF155" s="45">
        <v>0</v>
      </c>
      <c r="AG155" s="45">
        <v>0</v>
      </c>
      <c r="AH155" s="45">
        <v>8273.4</v>
      </c>
      <c r="AI155" s="45">
        <v>0</v>
      </c>
      <c r="AJ155" s="45">
        <v>1</v>
      </c>
      <c r="AK155" s="45">
        <v>8862.6</v>
      </c>
      <c r="AL155" s="45">
        <v>0</v>
      </c>
      <c r="AM155" s="45">
        <v>0</v>
      </c>
      <c r="AO155" s="45">
        <v>8160.1</v>
      </c>
      <c r="AP155" s="45">
        <v>0</v>
      </c>
      <c r="AQ155" s="45">
        <v>0</v>
      </c>
      <c r="AR155" s="45">
        <v>8608.1</v>
      </c>
      <c r="AS155" s="45">
        <v>0</v>
      </c>
      <c r="AT155" s="45">
        <v>0</v>
      </c>
      <c r="AU155" s="45">
        <v>8377</v>
      </c>
      <c r="AV155" s="45">
        <v>0</v>
      </c>
      <c r="AW155" s="45">
        <v>0</v>
      </c>
      <c r="AX155" s="45">
        <v>8377</v>
      </c>
      <c r="AY155" s="45">
        <v>0</v>
      </c>
      <c r="AZ155" s="45">
        <v>1</v>
      </c>
    </row>
    <row r="156" spans="2:52">
      <c r="B156" s="45">
        <v>12556</v>
      </c>
      <c r="C156" s="45">
        <v>0</v>
      </c>
      <c r="D156" s="45">
        <v>0</v>
      </c>
      <c r="E156" s="45">
        <v>12648.5</v>
      </c>
      <c r="F156" s="45">
        <v>0</v>
      </c>
      <c r="G156" s="45">
        <v>0</v>
      </c>
      <c r="H156" s="45">
        <v>12585.3</v>
      </c>
      <c r="I156" s="45">
        <v>0</v>
      </c>
      <c r="J156" s="45">
        <v>0</v>
      </c>
      <c r="K156" s="45">
        <v>12330.8</v>
      </c>
      <c r="L156" s="45">
        <v>0</v>
      </c>
      <c r="M156" s="45">
        <v>0</v>
      </c>
      <c r="O156" s="45">
        <v>12517.7</v>
      </c>
      <c r="P156" s="45">
        <v>0</v>
      </c>
      <c r="Q156" s="45">
        <v>0</v>
      </c>
      <c r="R156" s="45">
        <v>12266.8</v>
      </c>
      <c r="S156" s="45">
        <v>0</v>
      </c>
      <c r="T156" s="45">
        <v>0</v>
      </c>
      <c r="U156" s="45">
        <v>12274.8</v>
      </c>
      <c r="V156" s="45">
        <v>0</v>
      </c>
      <c r="W156" s="45">
        <v>1</v>
      </c>
      <c r="X156" s="45">
        <v>16181.6</v>
      </c>
      <c r="Y156" s="45">
        <v>42</v>
      </c>
      <c r="Z156" s="45">
        <v>0</v>
      </c>
      <c r="AB156" s="45">
        <v>12979.5</v>
      </c>
      <c r="AC156" s="45">
        <v>0</v>
      </c>
      <c r="AD156" s="45">
        <v>0</v>
      </c>
      <c r="AE156" s="45">
        <v>13045</v>
      </c>
      <c r="AF156" s="45">
        <v>0</v>
      </c>
      <c r="AG156" s="45">
        <v>0</v>
      </c>
      <c r="AH156" s="45">
        <v>12792</v>
      </c>
      <c r="AI156" s="45">
        <v>0</v>
      </c>
      <c r="AJ156" s="45">
        <v>1</v>
      </c>
      <c r="AK156" s="45">
        <v>12386.8</v>
      </c>
      <c r="AL156" s="45">
        <v>0</v>
      </c>
      <c r="AM156" s="45">
        <v>0</v>
      </c>
      <c r="AO156" s="45">
        <v>12708.7</v>
      </c>
      <c r="AP156" s="45">
        <v>0</v>
      </c>
      <c r="AQ156" s="45">
        <v>0</v>
      </c>
      <c r="AR156" s="45">
        <v>12397.7</v>
      </c>
      <c r="AS156" s="45">
        <v>0</v>
      </c>
      <c r="AT156" s="45">
        <v>0</v>
      </c>
      <c r="AU156" s="45">
        <v>12409.1</v>
      </c>
      <c r="AV156" s="45">
        <v>0</v>
      </c>
      <c r="AW156" s="45">
        <v>1</v>
      </c>
      <c r="AX156" s="45">
        <v>12417.1</v>
      </c>
      <c r="AY156" s="45">
        <v>0</v>
      </c>
      <c r="AZ156" s="45">
        <v>0</v>
      </c>
    </row>
    <row r="157" spans="2:52">
      <c r="B157" s="45">
        <v>9264.2999999999993</v>
      </c>
      <c r="C157" s="45">
        <v>0</v>
      </c>
      <c r="D157" s="45">
        <v>0</v>
      </c>
      <c r="E157" s="45">
        <v>9365.7999999999993</v>
      </c>
      <c r="F157" s="45">
        <v>0</v>
      </c>
      <c r="G157" s="45">
        <v>1</v>
      </c>
      <c r="H157" s="45">
        <v>8658.2999999999993</v>
      </c>
      <c r="I157" s="45">
        <v>0</v>
      </c>
      <c r="J157" s="45">
        <v>0</v>
      </c>
      <c r="K157" s="45">
        <v>8658.2999999999993</v>
      </c>
      <c r="L157" s="45">
        <v>0</v>
      </c>
      <c r="M157" s="45">
        <v>0</v>
      </c>
      <c r="O157" s="45">
        <v>8922</v>
      </c>
      <c r="P157" s="45">
        <v>0</v>
      </c>
      <c r="Q157" s="45">
        <v>0</v>
      </c>
      <c r="R157" s="45">
        <v>9345.5</v>
      </c>
      <c r="S157" s="45">
        <v>0</v>
      </c>
      <c r="T157" s="45">
        <v>1</v>
      </c>
      <c r="U157" s="45">
        <v>8874</v>
      </c>
      <c r="V157" s="45">
        <v>0</v>
      </c>
      <c r="W157" s="45">
        <v>0</v>
      </c>
      <c r="X157" s="45">
        <v>8686.1</v>
      </c>
      <c r="Y157" s="45">
        <v>0</v>
      </c>
      <c r="Z157" s="45">
        <v>0</v>
      </c>
      <c r="AB157" s="45">
        <v>10394.9</v>
      </c>
      <c r="AC157" s="45">
        <v>0</v>
      </c>
      <c r="AD157" s="45">
        <v>0</v>
      </c>
      <c r="AE157" s="45">
        <v>9778.6</v>
      </c>
      <c r="AF157" s="45">
        <v>0</v>
      </c>
      <c r="AG157" s="45">
        <v>1</v>
      </c>
      <c r="AH157" s="45">
        <v>10673.4</v>
      </c>
      <c r="AI157" s="45">
        <v>0</v>
      </c>
      <c r="AJ157" s="45">
        <v>0</v>
      </c>
      <c r="AK157" s="45">
        <v>9996</v>
      </c>
      <c r="AL157" s="45">
        <v>0</v>
      </c>
      <c r="AM157" s="45">
        <v>0</v>
      </c>
      <c r="AO157" s="45">
        <v>9345.5</v>
      </c>
      <c r="AP157" s="45">
        <v>0</v>
      </c>
      <c r="AQ157" s="45">
        <v>0</v>
      </c>
      <c r="AR157" s="45">
        <v>9534.6</v>
      </c>
      <c r="AS157" s="45">
        <v>0</v>
      </c>
      <c r="AT157" s="45">
        <v>1</v>
      </c>
      <c r="AU157" s="45">
        <v>13141</v>
      </c>
      <c r="AV157" s="45">
        <v>39</v>
      </c>
      <c r="AW157" s="45">
        <v>0</v>
      </c>
      <c r="AX157" s="45">
        <v>12593</v>
      </c>
      <c r="AY157" s="45">
        <v>34</v>
      </c>
      <c r="AZ157" s="45">
        <v>0</v>
      </c>
    </row>
    <row r="158" spans="2:52">
      <c r="B158" s="45">
        <v>14503.7</v>
      </c>
      <c r="C158" s="45">
        <v>0</v>
      </c>
      <c r="D158" s="45">
        <v>0</v>
      </c>
      <c r="E158" s="45">
        <v>13801.7</v>
      </c>
      <c r="F158" s="45">
        <v>0</v>
      </c>
      <c r="G158" s="45">
        <v>0</v>
      </c>
      <c r="H158" s="45">
        <v>13993.7</v>
      </c>
      <c r="I158" s="45">
        <v>0</v>
      </c>
      <c r="J158" s="45">
        <v>0</v>
      </c>
      <c r="K158" s="45">
        <v>14563.9</v>
      </c>
      <c r="L158" s="45">
        <v>0</v>
      </c>
      <c r="M158" s="45">
        <v>0</v>
      </c>
      <c r="O158" s="45">
        <v>14563.9</v>
      </c>
      <c r="P158" s="45">
        <v>0</v>
      </c>
      <c r="Q158" s="45">
        <v>1</v>
      </c>
      <c r="R158" s="45">
        <v>14563.9</v>
      </c>
      <c r="S158" s="45">
        <v>0</v>
      </c>
      <c r="T158" s="45">
        <v>0</v>
      </c>
      <c r="U158" s="45">
        <v>14563.9</v>
      </c>
      <c r="V158" s="45">
        <v>0</v>
      </c>
      <c r="W158" s="45">
        <v>0</v>
      </c>
      <c r="X158" s="45">
        <v>13921.7</v>
      </c>
      <c r="Y158" s="45">
        <v>0</v>
      </c>
      <c r="Z158" s="45">
        <v>1</v>
      </c>
      <c r="AB158" s="45">
        <v>15503.1</v>
      </c>
      <c r="AC158" s="45">
        <v>0</v>
      </c>
      <c r="AD158" s="45">
        <v>0</v>
      </c>
      <c r="AE158" s="45">
        <v>15102.3</v>
      </c>
      <c r="AF158" s="45">
        <v>0</v>
      </c>
      <c r="AG158" s="45">
        <v>1</v>
      </c>
      <c r="AH158" s="45">
        <v>16225.1</v>
      </c>
      <c r="AI158" s="45">
        <v>0</v>
      </c>
      <c r="AJ158" s="45">
        <v>0</v>
      </c>
      <c r="AK158" s="45">
        <v>15836.7</v>
      </c>
      <c r="AL158" s="45">
        <v>0</v>
      </c>
      <c r="AM158" s="45">
        <v>0</v>
      </c>
      <c r="AO158" s="45">
        <v>15182.3</v>
      </c>
      <c r="AP158" s="45">
        <v>0</v>
      </c>
      <c r="AQ158" s="45">
        <v>1</v>
      </c>
      <c r="AR158" s="45">
        <v>14563.9</v>
      </c>
      <c r="AS158" s="45">
        <v>0</v>
      </c>
      <c r="AT158" s="45">
        <v>0</v>
      </c>
      <c r="AU158" s="45">
        <v>15503.1</v>
      </c>
      <c r="AV158" s="45">
        <v>0</v>
      </c>
      <c r="AW158" s="45">
        <v>0</v>
      </c>
      <c r="AX158" s="45">
        <v>14563.9</v>
      </c>
      <c r="AY158" s="45">
        <v>0</v>
      </c>
      <c r="AZ158" s="45">
        <v>1</v>
      </c>
    </row>
    <row r="159" spans="2:52">
      <c r="B159" s="45">
        <v>10659.4</v>
      </c>
      <c r="C159" s="45">
        <v>0</v>
      </c>
      <c r="D159" s="45">
        <v>1</v>
      </c>
      <c r="E159" s="45">
        <v>11137.8</v>
      </c>
      <c r="F159" s="45">
        <v>8</v>
      </c>
      <c r="G159" s="45">
        <v>0</v>
      </c>
      <c r="H159" s="45">
        <v>10541.8</v>
      </c>
      <c r="I159" s="45">
        <v>2</v>
      </c>
      <c r="J159" s="45">
        <v>0</v>
      </c>
      <c r="K159" s="45">
        <v>11261.8</v>
      </c>
      <c r="L159" s="45">
        <v>9</v>
      </c>
      <c r="M159" s="45">
        <v>0</v>
      </c>
      <c r="O159" s="45">
        <v>10963.1</v>
      </c>
      <c r="P159" s="45">
        <v>0</v>
      </c>
      <c r="Q159" s="45">
        <v>0</v>
      </c>
      <c r="R159" s="45">
        <v>10655.4</v>
      </c>
      <c r="S159" s="45">
        <v>0</v>
      </c>
      <c r="T159" s="45">
        <v>0</v>
      </c>
      <c r="U159" s="45">
        <v>10905.8</v>
      </c>
      <c r="V159" s="45">
        <v>6</v>
      </c>
      <c r="W159" s="45">
        <v>1</v>
      </c>
      <c r="X159" s="45">
        <v>10655.4</v>
      </c>
      <c r="Y159" s="45">
        <v>0</v>
      </c>
      <c r="Z159" s="45">
        <v>0</v>
      </c>
      <c r="AB159" s="45">
        <v>11014.1</v>
      </c>
      <c r="AC159" s="45">
        <v>0</v>
      </c>
      <c r="AD159" s="45">
        <v>1</v>
      </c>
      <c r="AE159" s="45">
        <v>10655.4</v>
      </c>
      <c r="AF159" s="45">
        <v>0</v>
      </c>
      <c r="AG159" s="45">
        <v>0</v>
      </c>
      <c r="AH159" s="45">
        <v>11073.6</v>
      </c>
      <c r="AI159" s="45">
        <v>0</v>
      </c>
      <c r="AJ159" s="45">
        <v>0</v>
      </c>
      <c r="AK159" s="45">
        <v>11549.3</v>
      </c>
      <c r="AL159" s="45">
        <v>0</v>
      </c>
      <c r="AM159" s="45">
        <v>0</v>
      </c>
      <c r="AO159" s="45">
        <v>10659.4</v>
      </c>
      <c r="AP159" s="45">
        <v>0</v>
      </c>
      <c r="AQ159" s="45">
        <v>0</v>
      </c>
      <c r="AR159" s="45">
        <v>10655.4</v>
      </c>
      <c r="AS159" s="45">
        <v>0</v>
      </c>
      <c r="AT159" s="45">
        <v>0</v>
      </c>
      <c r="AU159" s="45">
        <v>10655.4</v>
      </c>
      <c r="AV159" s="45">
        <v>0</v>
      </c>
      <c r="AW159" s="45">
        <v>0</v>
      </c>
      <c r="AX159" s="45">
        <v>10953.8</v>
      </c>
      <c r="AY159" s="45">
        <v>6</v>
      </c>
      <c r="AZ159" s="45">
        <v>1</v>
      </c>
    </row>
    <row r="160" spans="2:52">
      <c r="B160" s="45">
        <v>10125.799999999999</v>
      </c>
      <c r="C160" s="45">
        <v>0</v>
      </c>
      <c r="D160" s="45">
        <v>0</v>
      </c>
      <c r="E160" s="45">
        <v>10589.9</v>
      </c>
      <c r="F160" s="45">
        <v>8</v>
      </c>
      <c r="G160" s="45">
        <v>0</v>
      </c>
      <c r="H160" s="45">
        <v>9862.7000000000007</v>
      </c>
      <c r="I160" s="45">
        <v>0</v>
      </c>
      <c r="J160" s="45">
        <v>1</v>
      </c>
      <c r="K160" s="45">
        <v>10028.299999999999</v>
      </c>
      <c r="L160" s="45">
        <v>2</v>
      </c>
      <c r="M160" s="45">
        <v>0</v>
      </c>
      <c r="O160" s="45">
        <v>10123.6</v>
      </c>
      <c r="P160" s="45">
        <v>0</v>
      </c>
      <c r="Q160" s="45">
        <v>0</v>
      </c>
      <c r="R160" s="45">
        <v>10440.9</v>
      </c>
      <c r="S160" s="45">
        <v>3</v>
      </c>
      <c r="T160" s="45">
        <v>1</v>
      </c>
      <c r="U160" s="45">
        <v>10489.5</v>
      </c>
      <c r="V160" s="45">
        <v>8</v>
      </c>
      <c r="W160" s="45">
        <v>0</v>
      </c>
      <c r="X160" s="45">
        <v>10209.5</v>
      </c>
      <c r="Y160" s="45">
        <v>6</v>
      </c>
      <c r="Z160" s="45">
        <v>1</v>
      </c>
      <c r="AB160" s="45">
        <v>10864.4</v>
      </c>
      <c r="AC160" s="45">
        <v>0</v>
      </c>
      <c r="AD160" s="45">
        <v>1</v>
      </c>
      <c r="AE160" s="45">
        <v>10505.9</v>
      </c>
      <c r="AF160" s="45">
        <v>0</v>
      </c>
      <c r="AG160" s="45">
        <v>0</v>
      </c>
      <c r="AH160" s="45">
        <v>10968</v>
      </c>
      <c r="AI160" s="45">
        <v>0</v>
      </c>
      <c r="AJ160" s="45">
        <v>0</v>
      </c>
      <c r="AK160" s="45">
        <v>10801.2</v>
      </c>
      <c r="AL160" s="45">
        <v>0</v>
      </c>
      <c r="AM160" s="45">
        <v>1</v>
      </c>
      <c r="AO160" s="45">
        <v>10385.299999999999</v>
      </c>
      <c r="AP160" s="45">
        <v>0</v>
      </c>
      <c r="AQ160" s="45">
        <v>0</v>
      </c>
      <c r="AR160" s="45">
        <v>10440.9</v>
      </c>
      <c r="AS160" s="45">
        <v>3</v>
      </c>
      <c r="AT160" s="45">
        <v>1</v>
      </c>
      <c r="AU160" s="45">
        <v>9934.7000000000007</v>
      </c>
      <c r="AV160" s="45">
        <v>0</v>
      </c>
      <c r="AW160" s="45">
        <v>0</v>
      </c>
      <c r="AX160" s="45">
        <v>10273.6</v>
      </c>
      <c r="AY160" s="45">
        <v>0</v>
      </c>
      <c r="AZ160" s="45">
        <v>0</v>
      </c>
    </row>
    <row r="161" spans="2:52">
      <c r="B161" s="45">
        <v>10576.3</v>
      </c>
      <c r="C161" s="45">
        <v>6</v>
      </c>
      <c r="D161" s="45">
        <v>0</v>
      </c>
      <c r="E161" s="45">
        <v>9529.2999999999993</v>
      </c>
      <c r="F161" s="45">
        <v>0</v>
      </c>
      <c r="G161" s="45">
        <v>0</v>
      </c>
      <c r="H161" s="45">
        <v>9473.2999999999993</v>
      </c>
      <c r="I161" s="45">
        <v>0</v>
      </c>
      <c r="J161" s="45">
        <v>0</v>
      </c>
      <c r="K161" s="45">
        <v>9473.2999999999993</v>
      </c>
      <c r="L161" s="45">
        <v>0</v>
      </c>
      <c r="M161" s="45">
        <v>0</v>
      </c>
      <c r="O161" s="45">
        <v>10073.299999999999</v>
      </c>
      <c r="P161" s="45">
        <v>6</v>
      </c>
      <c r="Q161" s="45">
        <v>0</v>
      </c>
      <c r="R161" s="45">
        <v>9473.2999999999993</v>
      </c>
      <c r="S161" s="45">
        <v>0</v>
      </c>
      <c r="T161" s="45">
        <v>0</v>
      </c>
      <c r="U161" s="45">
        <v>9473.2999999999993</v>
      </c>
      <c r="V161" s="45">
        <v>0</v>
      </c>
      <c r="W161" s="45">
        <v>1</v>
      </c>
      <c r="X161" s="45">
        <v>9473.2999999999993</v>
      </c>
      <c r="Y161" s="45">
        <v>0</v>
      </c>
      <c r="Z161" s="45">
        <v>0</v>
      </c>
      <c r="AB161" s="45">
        <v>10675.3</v>
      </c>
      <c r="AC161" s="45">
        <v>0</v>
      </c>
      <c r="AD161" s="45">
        <v>0</v>
      </c>
      <c r="AE161" s="45">
        <v>11137.4</v>
      </c>
      <c r="AF161" s="45">
        <v>0</v>
      </c>
      <c r="AG161" s="45">
        <v>0</v>
      </c>
      <c r="AH161" s="45">
        <v>10521.3</v>
      </c>
      <c r="AI161" s="45">
        <v>0</v>
      </c>
      <c r="AJ161" s="45">
        <v>0</v>
      </c>
      <c r="AK161" s="45">
        <v>12120.7</v>
      </c>
      <c r="AL161" s="45">
        <v>0</v>
      </c>
      <c r="AM161" s="45">
        <v>1</v>
      </c>
      <c r="AO161" s="45">
        <v>10325.5</v>
      </c>
      <c r="AP161" s="45">
        <v>0</v>
      </c>
      <c r="AQ161" s="45">
        <v>1</v>
      </c>
      <c r="AR161" s="45">
        <v>10325.5</v>
      </c>
      <c r="AS161" s="45">
        <v>0</v>
      </c>
      <c r="AT161" s="45">
        <v>0</v>
      </c>
      <c r="AU161" s="45">
        <v>9529.2999999999993</v>
      </c>
      <c r="AV161" s="45">
        <v>0</v>
      </c>
      <c r="AW161" s="45">
        <v>0</v>
      </c>
      <c r="AX161" s="45">
        <v>9473.2999999999993</v>
      </c>
      <c r="AY161" s="45">
        <v>0</v>
      </c>
      <c r="AZ161" s="45">
        <v>1</v>
      </c>
    </row>
    <row r="162" spans="2:52">
      <c r="B162" s="45">
        <v>10850.8</v>
      </c>
      <c r="C162" s="45">
        <v>0</v>
      </c>
      <c r="D162" s="45">
        <v>1</v>
      </c>
      <c r="E162" s="45">
        <v>10845.3</v>
      </c>
      <c r="F162" s="45">
        <v>0</v>
      </c>
      <c r="G162" s="45">
        <v>0</v>
      </c>
      <c r="H162" s="45">
        <v>11141.4</v>
      </c>
      <c r="I162" s="45">
        <v>0</v>
      </c>
      <c r="J162" s="45">
        <v>0</v>
      </c>
      <c r="K162" s="45">
        <v>10946.1</v>
      </c>
      <c r="L162" s="45">
        <v>0</v>
      </c>
      <c r="M162" s="45">
        <v>0</v>
      </c>
      <c r="O162" s="45">
        <v>11436.9</v>
      </c>
      <c r="P162" s="45">
        <v>0</v>
      </c>
      <c r="Q162" s="45">
        <v>0</v>
      </c>
      <c r="R162" s="45">
        <v>10834.8</v>
      </c>
      <c r="S162" s="45">
        <v>0</v>
      </c>
      <c r="T162" s="45">
        <v>1</v>
      </c>
      <c r="U162" s="45">
        <v>10834.8</v>
      </c>
      <c r="V162" s="45">
        <v>0</v>
      </c>
      <c r="W162" s="45">
        <v>0</v>
      </c>
      <c r="X162" s="45">
        <v>10834.8</v>
      </c>
      <c r="Y162" s="45">
        <v>0</v>
      </c>
      <c r="Z162" s="45">
        <v>0</v>
      </c>
      <c r="AB162" s="45">
        <v>12021.4</v>
      </c>
      <c r="AC162" s="45">
        <v>0</v>
      </c>
      <c r="AD162" s="45">
        <v>0</v>
      </c>
      <c r="AE162" s="45">
        <v>11472.4</v>
      </c>
      <c r="AF162" s="45">
        <v>0</v>
      </c>
      <c r="AG162" s="45">
        <v>0</v>
      </c>
      <c r="AH162" s="45">
        <v>11552.7</v>
      </c>
      <c r="AI162" s="45">
        <v>0</v>
      </c>
      <c r="AJ162" s="45">
        <v>1</v>
      </c>
      <c r="AK162" s="45">
        <v>12111</v>
      </c>
      <c r="AL162" s="45">
        <v>0</v>
      </c>
      <c r="AM162" s="45">
        <v>0</v>
      </c>
      <c r="AO162" s="45">
        <v>11489.4</v>
      </c>
      <c r="AP162" s="45">
        <v>0</v>
      </c>
      <c r="AQ162" s="45">
        <v>0</v>
      </c>
      <c r="AR162" s="45">
        <v>11295.4</v>
      </c>
      <c r="AS162" s="45">
        <v>0</v>
      </c>
      <c r="AT162" s="45">
        <v>0</v>
      </c>
      <c r="AU162" s="45">
        <v>10850.8</v>
      </c>
      <c r="AV162" s="45">
        <v>0</v>
      </c>
      <c r="AW162" s="45">
        <v>1</v>
      </c>
      <c r="AX162" s="45">
        <v>10850.8</v>
      </c>
      <c r="AY162" s="45">
        <v>0</v>
      </c>
      <c r="AZ162" s="45">
        <v>0</v>
      </c>
    </row>
    <row r="163" spans="2:52">
      <c r="B163" s="45">
        <v>8620.2999999999993</v>
      </c>
      <c r="C163" s="45">
        <v>1</v>
      </c>
      <c r="D163" s="45">
        <v>0</v>
      </c>
      <c r="E163" s="45">
        <v>8774</v>
      </c>
      <c r="F163" s="45">
        <v>1</v>
      </c>
      <c r="G163" s="45">
        <v>0</v>
      </c>
      <c r="H163" s="45">
        <v>8824</v>
      </c>
      <c r="I163" s="45">
        <v>3</v>
      </c>
      <c r="J163" s="45">
        <v>1</v>
      </c>
      <c r="K163" s="45">
        <v>8874</v>
      </c>
      <c r="L163" s="45">
        <v>2</v>
      </c>
      <c r="M163" s="45">
        <v>0</v>
      </c>
      <c r="O163" s="45">
        <v>9182.1</v>
      </c>
      <c r="P163" s="45">
        <v>3</v>
      </c>
      <c r="Q163" s="45">
        <v>1</v>
      </c>
      <c r="R163" s="45">
        <v>8636.2999999999993</v>
      </c>
      <c r="S163" s="45">
        <v>1</v>
      </c>
      <c r="T163" s="45">
        <v>0</v>
      </c>
      <c r="U163" s="45">
        <v>8982.1</v>
      </c>
      <c r="V163" s="45">
        <v>1</v>
      </c>
      <c r="W163" s="45">
        <v>0</v>
      </c>
      <c r="X163" s="45">
        <v>8828.2999999999993</v>
      </c>
      <c r="Y163" s="45">
        <v>3</v>
      </c>
      <c r="Z163" s="45">
        <v>1</v>
      </c>
      <c r="AB163" s="45">
        <v>9619.7999999999993</v>
      </c>
      <c r="AC163" s="45">
        <v>0</v>
      </c>
      <c r="AD163" s="45">
        <v>0</v>
      </c>
      <c r="AE163" s="45">
        <v>9556</v>
      </c>
      <c r="AF163" s="45">
        <v>0</v>
      </c>
      <c r="AG163" s="45">
        <v>0</v>
      </c>
      <c r="AH163" s="45">
        <v>10360.200000000001</v>
      </c>
      <c r="AI163" s="45">
        <v>0</v>
      </c>
      <c r="AJ163" s="45">
        <v>1</v>
      </c>
      <c r="AK163" s="45">
        <v>9574.1</v>
      </c>
      <c r="AL163" s="45">
        <v>0</v>
      </c>
      <c r="AM163" s="45">
        <v>0</v>
      </c>
      <c r="AO163" s="45">
        <v>8620.2999999999993</v>
      </c>
      <c r="AP163" s="45">
        <v>1</v>
      </c>
      <c r="AQ163" s="45">
        <v>0</v>
      </c>
      <c r="AR163" s="45">
        <v>9251.7000000000007</v>
      </c>
      <c r="AS163" s="45">
        <v>3</v>
      </c>
      <c r="AT163" s="45">
        <v>1</v>
      </c>
      <c r="AU163" s="45">
        <v>8774</v>
      </c>
      <c r="AV163" s="45">
        <v>1</v>
      </c>
      <c r="AW163" s="45">
        <v>0</v>
      </c>
      <c r="AX163" s="45">
        <v>9082.1</v>
      </c>
      <c r="AY163" s="45">
        <v>2</v>
      </c>
      <c r="AZ163" s="45">
        <v>0</v>
      </c>
    </row>
    <row r="164" spans="2:52">
      <c r="B164" s="45">
        <v>11215.9</v>
      </c>
      <c r="C164" s="45">
        <v>0</v>
      </c>
      <c r="D164" s="45">
        <v>0</v>
      </c>
      <c r="E164" s="45">
        <v>11263.7</v>
      </c>
      <c r="F164" s="45">
        <v>0</v>
      </c>
      <c r="G164" s="45">
        <v>0</v>
      </c>
      <c r="H164" s="45">
        <v>11215.9</v>
      </c>
      <c r="I164" s="45">
        <v>0</v>
      </c>
      <c r="J164" s="45">
        <v>0</v>
      </c>
      <c r="K164" s="45">
        <v>11215.9</v>
      </c>
      <c r="L164" s="45">
        <v>0</v>
      </c>
      <c r="M164" s="45">
        <v>0</v>
      </c>
      <c r="O164" s="45">
        <v>11215.9</v>
      </c>
      <c r="P164" s="45">
        <v>0</v>
      </c>
      <c r="Q164" s="45">
        <v>0</v>
      </c>
      <c r="R164" s="45">
        <v>11215.9</v>
      </c>
      <c r="S164" s="45">
        <v>0</v>
      </c>
      <c r="T164" s="45">
        <v>0</v>
      </c>
      <c r="U164" s="45">
        <v>11215.9</v>
      </c>
      <c r="V164" s="45">
        <v>0</v>
      </c>
      <c r="W164" s="45">
        <v>1</v>
      </c>
      <c r="X164" s="45">
        <v>11215.9</v>
      </c>
      <c r="Y164" s="45">
        <v>0</v>
      </c>
      <c r="Z164" s="45">
        <v>0</v>
      </c>
      <c r="AB164" s="45">
        <v>13228.8</v>
      </c>
      <c r="AC164" s="45">
        <v>0</v>
      </c>
      <c r="AD164" s="45">
        <v>0</v>
      </c>
      <c r="AE164" s="45">
        <v>11998.9</v>
      </c>
      <c r="AF164" s="45">
        <v>0</v>
      </c>
      <c r="AG164" s="45">
        <v>1</v>
      </c>
      <c r="AH164" s="45">
        <v>12681.5</v>
      </c>
      <c r="AI164" s="45">
        <v>0</v>
      </c>
      <c r="AJ164" s="45">
        <v>0</v>
      </c>
      <c r="AK164" s="45">
        <v>12889.5</v>
      </c>
      <c r="AL164" s="45">
        <v>0</v>
      </c>
      <c r="AM164" s="45">
        <v>0</v>
      </c>
      <c r="AO164" s="45">
        <v>11516.5</v>
      </c>
      <c r="AP164" s="45">
        <v>0</v>
      </c>
      <c r="AQ164" s="45">
        <v>1</v>
      </c>
      <c r="AR164" s="45">
        <v>11215.9</v>
      </c>
      <c r="AS164" s="45">
        <v>0</v>
      </c>
      <c r="AT164" s="45">
        <v>0</v>
      </c>
      <c r="AU164" s="45">
        <v>11215.9</v>
      </c>
      <c r="AV164" s="45">
        <v>0</v>
      </c>
      <c r="AW164" s="45">
        <v>0</v>
      </c>
      <c r="AX164" s="45">
        <v>11215.9</v>
      </c>
      <c r="AY164" s="45">
        <v>0</v>
      </c>
      <c r="AZ164" s="45">
        <v>1</v>
      </c>
    </row>
    <row r="165" spans="2:52">
      <c r="B165" s="45">
        <v>9184.2999999999993</v>
      </c>
      <c r="C165" s="45">
        <v>0</v>
      </c>
      <c r="D165" s="45">
        <v>1</v>
      </c>
      <c r="E165" s="45">
        <v>9778.5</v>
      </c>
      <c r="F165" s="45">
        <v>0</v>
      </c>
      <c r="G165" s="45">
        <v>0</v>
      </c>
      <c r="H165" s="45">
        <v>9825.1</v>
      </c>
      <c r="I165" s="45">
        <v>0</v>
      </c>
      <c r="J165" s="45">
        <v>0</v>
      </c>
      <c r="K165" s="45">
        <v>9473.7999999999993</v>
      </c>
      <c r="L165" s="45">
        <v>0</v>
      </c>
      <c r="M165" s="45">
        <v>0</v>
      </c>
      <c r="O165" s="45">
        <v>9623.7000000000007</v>
      </c>
      <c r="P165" s="45">
        <v>0</v>
      </c>
      <c r="Q165" s="45">
        <v>0</v>
      </c>
      <c r="R165" s="45">
        <v>9964.4</v>
      </c>
      <c r="S165" s="45">
        <v>0</v>
      </c>
      <c r="T165" s="45">
        <v>1</v>
      </c>
      <c r="U165" s="45">
        <v>10004.4</v>
      </c>
      <c r="V165" s="45">
        <v>0</v>
      </c>
      <c r="W165" s="45">
        <v>0</v>
      </c>
      <c r="X165" s="45">
        <v>9838.7000000000007</v>
      </c>
      <c r="Y165" s="45">
        <v>0</v>
      </c>
      <c r="Z165" s="45">
        <v>0</v>
      </c>
      <c r="AB165" s="45">
        <v>12193.3</v>
      </c>
      <c r="AC165" s="45">
        <v>0</v>
      </c>
      <c r="AD165" s="45">
        <v>0</v>
      </c>
      <c r="AE165" s="45">
        <v>12887.6</v>
      </c>
      <c r="AF165" s="45">
        <v>0</v>
      </c>
      <c r="AG165" s="45">
        <v>1</v>
      </c>
      <c r="AH165" s="45">
        <v>10289.700000000001</v>
      </c>
      <c r="AI165" s="45">
        <v>0</v>
      </c>
      <c r="AJ165" s="45">
        <v>0</v>
      </c>
      <c r="AK165" s="45">
        <v>12149.9</v>
      </c>
      <c r="AL165" s="45">
        <v>0</v>
      </c>
      <c r="AM165" s="45">
        <v>0</v>
      </c>
      <c r="AO165" s="45">
        <v>9532.2000000000007</v>
      </c>
      <c r="AP165" s="45">
        <v>0</v>
      </c>
      <c r="AQ165" s="45">
        <v>0</v>
      </c>
      <c r="AR165" s="45">
        <v>10193.299999999999</v>
      </c>
      <c r="AS165" s="45">
        <v>0</v>
      </c>
      <c r="AT165" s="45">
        <v>0</v>
      </c>
      <c r="AU165" s="45">
        <v>9473.7999999999993</v>
      </c>
      <c r="AV165" s="45">
        <v>0</v>
      </c>
      <c r="AW165" s="45">
        <v>1</v>
      </c>
      <c r="AX165" s="45">
        <v>9473.7999999999993</v>
      </c>
      <c r="AY165" s="45">
        <v>0</v>
      </c>
      <c r="AZ165" s="45">
        <v>0</v>
      </c>
    </row>
    <row r="166" spans="2:52">
      <c r="B166" s="45">
        <v>10272.6</v>
      </c>
      <c r="C166" s="45">
        <v>0</v>
      </c>
      <c r="D166" s="45">
        <v>0</v>
      </c>
      <c r="E166" s="45">
        <v>9991</v>
      </c>
      <c r="F166" s="45">
        <v>0</v>
      </c>
      <c r="G166" s="45">
        <v>0</v>
      </c>
      <c r="H166" s="45">
        <v>9989.1</v>
      </c>
      <c r="I166" s="45">
        <v>0</v>
      </c>
      <c r="J166" s="45">
        <v>0</v>
      </c>
      <c r="K166" s="45">
        <v>9991</v>
      </c>
      <c r="L166" s="45">
        <v>0</v>
      </c>
      <c r="M166" s="45">
        <v>1</v>
      </c>
      <c r="O166" s="45">
        <v>10195.4</v>
      </c>
      <c r="P166" s="45">
        <v>0</v>
      </c>
      <c r="Q166" s="45">
        <v>0</v>
      </c>
      <c r="R166" s="45">
        <v>9991</v>
      </c>
      <c r="S166" s="45">
        <v>0</v>
      </c>
      <c r="T166" s="45">
        <v>1</v>
      </c>
      <c r="U166" s="45">
        <v>10142.799999999999</v>
      </c>
      <c r="V166" s="45">
        <v>0</v>
      </c>
      <c r="W166" s="45">
        <v>0</v>
      </c>
      <c r="X166" s="45">
        <v>10118.799999999999</v>
      </c>
      <c r="Y166" s="45">
        <v>0</v>
      </c>
      <c r="Z166" s="45">
        <v>0</v>
      </c>
      <c r="AB166" s="45">
        <v>11309.2</v>
      </c>
      <c r="AC166" s="45">
        <v>0</v>
      </c>
      <c r="AD166" s="45">
        <v>1</v>
      </c>
      <c r="AE166" s="45">
        <v>10940.2</v>
      </c>
      <c r="AF166" s="45">
        <v>0</v>
      </c>
      <c r="AG166" s="45">
        <v>0</v>
      </c>
      <c r="AH166" s="45">
        <v>10568.5</v>
      </c>
      <c r="AI166" s="45">
        <v>0</v>
      </c>
      <c r="AJ166" s="45">
        <v>0</v>
      </c>
      <c r="AK166" s="45">
        <v>11043.3</v>
      </c>
      <c r="AL166" s="45">
        <v>0</v>
      </c>
      <c r="AM166" s="45">
        <v>0</v>
      </c>
      <c r="AO166" s="45">
        <v>10458.200000000001</v>
      </c>
      <c r="AP166" s="45">
        <v>0</v>
      </c>
      <c r="AQ166" s="45">
        <v>0</v>
      </c>
      <c r="AR166" s="45">
        <v>9991</v>
      </c>
      <c r="AS166" s="45">
        <v>0</v>
      </c>
      <c r="AT166" s="45">
        <v>0</v>
      </c>
      <c r="AU166" s="45">
        <v>10219.4</v>
      </c>
      <c r="AV166" s="45">
        <v>0</v>
      </c>
      <c r="AW166" s="45">
        <v>1</v>
      </c>
      <c r="AX166" s="45">
        <v>9957.1</v>
      </c>
      <c r="AY166" s="45">
        <v>0</v>
      </c>
      <c r="AZ166" s="45">
        <v>0</v>
      </c>
    </row>
    <row r="167" spans="2:52">
      <c r="B167" s="45">
        <v>8786.9</v>
      </c>
      <c r="C167" s="45">
        <v>0</v>
      </c>
      <c r="D167" s="45">
        <v>0</v>
      </c>
      <c r="E167" s="45">
        <v>8430.1</v>
      </c>
      <c r="F167" s="45">
        <v>0</v>
      </c>
      <c r="G167" s="45">
        <v>0</v>
      </c>
      <c r="H167" s="45">
        <v>8426</v>
      </c>
      <c r="I167" s="45">
        <v>0</v>
      </c>
      <c r="J167" s="45">
        <v>0</v>
      </c>
      <c r="K167" s="45">
        <v>8487.6</v>
      </c>
      <c r="L167" s="45">
        <v>0</v>
      </c>
      <c r="M167" s="45">
        <v>0</v>
      </c>
      <c r="O167" s="45">
        <v>8825.5</v>
      </c>
      <c r="P167" s="45">
        <v>0</v>
      </c>
      <c r="Q167" s="45">
        <v>1</v>
      </c>
      <c r="R167" s="45">
        <v>8293.4</v>
      </c>
      <c r="S167" s="45">
        <v>0</v>
      </c>
      <c r="T167" s="45">
        <v>0</v>
      </c>
      <c r="U167" s="45">
        <v>8262.7999999999993</v>
      </c>
      <c r="V167" s="45">
        <v>0</v>
      </c>
      <c r="W167" s="45">
        <v>0</v>
      </c>
      <c r="X167" s="45">
        <v>8385.4</v>
      </c>
      <c r="Y167" s="45">
        <v>1</v>
      </c>
      <c r="Z167" s="45">
        <v>1</v>
      </c>
      <c r="AB167" s="45">
        <v>9400.2000000000007</v>
      </c>
      <c r="AC167" s="45">
        <v>0</v>
      </c>
      <c r="AD167" s="45">
        <v>1</v>
      </c>
      <c r="AE167" s="45">
        <v>8825.5</v>
      </c>
      <c r="AF167" s="45">
        <v>0</v>
      </c>
      <c r="AG167" s="45">
        <v>0</v>
      </c>
      <c r="AH167" s="45">
        <v>9983.9</v>
      </c>
      <c r="AI167" s="45">
        <v>0</v>
      </c>
      <c r="AJ167" s="45">
        <v>0</v>
      </c>
      <c r="AK167" s="45">
        <v>9471.7000000000007</v>
      </c>
      <c r="AL167" s="45">
        <v>0</v>
      </c>
      <c r="AM167" s="45">
        <v>1</v>
      </c>
      <c r="AO167" s="45">
        <v>8426</v>
      </c>
      <c r="AP167" s="45">
        <v>0</v>
      </c>
      <c r="AQ167" s="45">
        <v>0</v>
      </c>
      <c r="AR167" s="45">
        <v>8426</v>
      </c>
      <c r="AS167" s="45">
        <v>0</v>
      </c>
      <c r="AT167" s="45">
        <v>1</v>
      </c>
      <c r="AU167" s="45">
        <v>9117.5</v>
      </c>
      <c r="AV167" s="45">
        <v>0</v>
      </c>
      <c r="AW167" s="45">
        <v>0</v>
      </c>
      <c r="AX167" s="45">
        <v>8794.9</v>
      </c>
      <c r="AY167" s="45">
        <v>0</v>
      </c>
      <c r="AZ167" s="45">
        <v>0</v>
      </c>
    </row>
    <row r="168" spans="2:52">
      <c r="B168" s="45">
        <v>9586</v>
      </c>
      <c r="C168" s="45">
        <v>0</v>
      </c>
      <c r="D168" s="45">
        <v>0</v>
      </c>
      <c r="E168" s="45">
        <v>9866.6</v>
      </c>
      <c r="F168" s="45">
        <v>0</v>
      </c>
      <c r="G168" s="45">
        <v>1</v>
      </c>
      <c r="H168" s="45">
        <v>9474</v>
      </c>
      <c r="I168" s="45">
        <v>0</v>
      </c>
      <c r="J168" s="45">
        <v>0</v>
      </c>
      <c r="K168" s="45">
        <v>9474</v>
      </c>
      <c r="L168" s="45">
        <v>0</v>
      </c>
      <c r="M168" s="45">
        <v>0</v>
      </c>
      <c r="O168" s="45">
        <v>9498</v>
      </c>
      <c r="P168" s="45">
        <v>0</v>
      </c>
      <c r="Q168" s="45">
        <v>0</v>
      </c>
      <c r="R168" s="45">
        <v>9434</v>
      </c>
      <c r="S168" s="45">
        <v>0</v>
      </c>
      <c r="T168" s="45">
        <v>0</v>
      </c>
      <c r="U168" s="45">
        <v>9826.6</v>
      </c>
      <c r="V168" s="45">
        <v>0</v>
      </c>
      <c r="W168" s="45">
        <v>1</v>
      </c>
      <c r="X168" s="45">
        <v>9474</v>
      </c>
      <c r="Y168" s="45">
        <v>0</v>
      </c>
      <c r="Z168" s="45">
        <v>0</v>
      </c>
      <c r="AB168" s="45">
        <v>10024</v>
      </c>
      <c r="AC168" s="45">
        <v>0</v>
      </c>
      <c r="AD168" s="45">
        <v>0</v>
      </c>
      <c r="AE168" s="45">
        <v>10588</v>
      </c>
      <c r="AF168" s="45">
        <v>0</v>
      </c>
      <c r="AG168" s="45">
        <v>0</v>
      </c>
      <c r="AH168" s="45">
        <v>10024</v>
      </c>
      <c r="AI168" s="45">
        <v>0</v>
      </c>
      <c r="AJ168" s="45">
        <v>0</v>
      </c>
      <c r="AK168" s="45">
        <v>9866.6</v>
      </c>
      <c r="AL168" s="45">
        <v>0</v>
      </c>
      <c r="AM168" s="45">
        <v>1</v>
      </c>
      <c r="AO168" s="45">
        <v>10090.4</v>
      </c>
      <c r="AP168" s="45">
        <v>0</v>
      </c>
      <c r="AQ168" s="45">
        <v>1</v>
      </c>
      <c r="AR168" s="45">
        <v>10280.6</v>
      </c>
      <c r="AS168" s="45">
        <v>0</v>
      </c>
      <c r="AT168" s="45">
        <v>0</v>
      </c>
      <c r="AU168" s="45">
        <v>10090.4</v>
      </c>
      <c r="AV168" s="45">
        <v>0</v>
      </c>
      <c r="AW168" s="45">
        <v>0</v>
      </c>
      <c r="AX168" s="45">
        <v>10024</v>
      </c>
      <c r="AY168" s="45">
        <v>0</v>
      </c>
      <c r="AZ168" s="45">
        <v>1</v>
      </c>
    </row>
    <row r="169" spans="2:52">
      <c r="B169" s="45">
        <v>8240.5</v>
      </c>
      <c r="C169" s="45">
        <v>0</v>
      </c>
      <c r="D169" s="45">
        <v>0</v>
      </c>
      <c r="E169" s="45">
        <v>8573.7000000000007</v>
      </c>
      <c r="F169" s="45">
        <v>0</v>
      </c>
      <c r="G169" s="45">
        <v>0</v>
      </c>
      <c r="H169" s="45">
        <v>8424.9</v>
      </c>
      <c r="I169" s="45">
        <v>0</v>
      </c>
      <c r="J169" s="45">
        <v>0</v>
      </c>
      <c r="K169" s="45">
        <v>8288.5</v>
      </c>
      <c r="L169" s="45">
        <v>0</v>
      </c>
      <c r="M169" s="45">
        <v>1</v>
      </c>
      <c r="O169" s="45">
        <v>8128.7</v>
      </c>
      <c r="P169" s="45">
        <v>0</v>
      </c>
      <c r="Q169" s="45">
        <v>0</v>
      </c>
      <c r="R169" s="45">
        <v>8240.5</v>
      </c>
      <c r="S169" s="45">
        <v>0</v>
      </c>
      <c r="T169" s="45">
        <v>0</v>
      </c>
      <c r="U169" s="45">
        <v>8112.7</v>
      </c>
      <c r="V169" s="45">
        <v>0</v>
      </c>
      <c r="W169" s="45">
        <v>1</v>
      </c>
      <c r="X169" s="45">
        <v>8128.7</v>
      </c>
      <c r="Y169" s="45">
        <v>0</v>
      </c>
      <c r="Z169" s="45">
        <v>0</v>
      </c>
      <c r="AB169" s="45">
        <v>8672.7000000000007</v>
      </c>
      <c r="AC169" s="45">
        <v>0</v>
      </c>
      <c r="AD169" s="45">
        <v>0</v>
      </c>
      <c r="AE169" s="45">
        <v>10100.6</v>
      </c>
      <c r="AF169" s="45">
        <v>0</v>
      </c>
      <c r="AG169" s="45">
        <v>0</v>
      </c>
      <c r="AH169" s="45">
        <v>8968.4</v>
      </c>
      <c r="AI169" s="45">
        <v>0</v>
      </c>
      <c r="AJ169" s="45">
        <v>0</v>
      </c>
      <c r="AK169" s="45">
        <v>8288.5</v>
      </c>
      <c r="AL169" s="45">
        <v>0</v>
      </c>
      <c r="AM169" s="45">
        <v>1</v>
      </c>
      <c r="AO169" s="45">
        <v>8614.1</v>
      </c>
      <c r="AP169" s="45">
        <v>0</v>
      </c>
      <c r="AQ169" s="45">
        <v>0</v>
      </c>
      <c r="AR169" s="45">
        <v>8240.5</v>
      </c>
      <c r="AS169" s="45">
        <v>0</v>
      </c>
      <c r="AT169" s="45">
        <v>0</v>
      </c>
      <c r="AU169" s="45">
        <v>8160.7</v>
      </c>
      <c r="AV169" s="45">
        <v>0</v>
      </c>
      <c r="AW169" s="45">
        <v>0</v>
      </c>
      <c r="AX169" s="45">
        <v>8376.9</v>
      </c>
      <c r="AY169" s="45">
        <v>0</v>
      </c>
      <c r="AZ169" s="45">
        <v>1</v>
      </c>
    </row>
    <row r="170" spans="2:52">
      <c r="B170" s="45">
        <v>12690.5</v>
      </c>
      <c r="C170" s="45">
        <v>0</v>
      </c>
      <c r="D170" s="45">
        <v>0</v>
      </c>
      <c r="E170" s="45">
        <v>12630.8</v>
      </c>
      <c r="F170" s="45">
        <v>0</v>
      </c>
      <c r="G170" s="45">
        <v>0</v>
      </c>
      <c r="H170" s="45">
        <v>12942.9</v>
      </c>
      <c r="I170" s="45">
        <v>0</v>
      </c>
      <c r="J170" s="45">
        <v>0</v>
      </c>
      <c r="K170" s="45">
        <v>12795.4</v>
      </c>
      <c r="L170" s="45">
        <v>0</v>
      </c>
      <c r="M170" s="45">
        <v>0</v>
      </c>
      <c r="O170" s="45">
        <v>12710.8</v>
      </c>
      <c r="P170" s="45">
        <v>0</v>
      </c>
      <c r="Q170" s="45">
        <v>0</v>
      </c>
      <c r="R170" s="45">
        <v>12746.5</v>
      </c>
      <c r="S170" s="45">
        <v>0</v>
      </c>
      <c r="T170" s="45">
        <v>1</v>
      </c>
      <c r="U170" s="45">
        <v>11954.8</v>
      </c>
      <c r="V170" s="45">
        <v>0</v>
      </c>
      <c r="W170" s="45">
        <v>0</v>
      </c>
      <c r="X170" s="45">
        <v>11954.8</v>
      </c>
      <c r="Y170" s="45">
        <v>0</v>
      </c>
      <c r="Z170" s="45">
        <v>0</v>
      </c>
      <c r="AB170" s="45">
        <v>13247.3</v>
      </c>
      <c r="AC170" s="45">
        <v>0</v>
      </c>
      <c r="AD170" s="45">
        <v>0</v>
      </c>
      <c r="AE170" s="45">
        <v>13443.9</v>
      </c>
      <c r="AF170" s="45">
        <v>0</v>
      </c>
      <c r="AG170" s="45">
        <v>0</v>
      </c>
      <c r="AH170" s="45">
        <v>13596.7</v>
      </c>
      <c r="AI170" s="45">
        <v>0</v>
      </c>
      <c r="AJ170" s="45">
        <v>1</v>
      </c>
      <c r="AK170" s="45">
        <v>13803</v>
      </c>
      <c r="AL170" s="45">
        <v>0</v>
      </c>
      <c r="AM170" s="45">
        <v>0</v>
      </c>
      <c r="AO170" s="45">
        <v>13512.2</v>
      </c>
      <c r="AP170" s="45">
        <v>0</v>
      </c>
      <c r="AQ170" s="45">
        <v>0</v>
      </c>
      <c r="AR170" s="45">
        <v>13519.4</v>
      </c>
      <c r="AS170" s="45">
        <v>0</v>
      </c>
      <c r="AT170" s="45">
        <v>0</v>
      </c>
      <c r="AU170" s="45">
        <v>13443.9</v>
      </c>
      <c r="AV170" s="45">
        <v>0</v>
      </c>
      <c r="AW170" s="45">
        <v>1</v>
      </c>
      <c r="AX170" s="45">
        <v>12710.8</v>
      </c>
      <c r="AY170" s="45">
        <v>0</v>
      </c>
      <c r="AZ170" s="45">
        <v>0</v>
      </c>
    </row>
    <row r="171" spans="2:52">
      <c r="B171" s="45">
        <v>9183</v>
      </c>
      <c r="C171" s="45">
        <v>0</v>
      </c>
      <c r="D171" s="45">
        <v>0</v>
      </c>
      <c r="E171" s="45">
        <v>9167</v>
      </c>
      <c r="F171" s="45">
        <v>0</v>
      </c>
      <c r="G171" s="45">
        <v>0</v>
      </c>
      <c r="H171" s="45">
        <v>9595.4</v>
      </c>
      <c r="I171" s="45">
        <v>0</v>
      </c>
      <c r="J171" s="45">
        <v>1</v>
      </c>
      <c r="K171" s="45">
        <v>9207</v>
      </c>
      <c r="L171" s="45">
        <v>0</v>
      </c>
      <c r="M171" s="45">
        <v>0</v>
      </c>
      <c r="O171" s="45">
        <v>9550.7000000000007</v>
      </c>
      <c r="P171" s="45">
        <v>0</v>
      </c>
      <c r="Q171" s="45">
        <v>0</v>
      </c>
      <c r="R171" s="45">
        <v>9595.4</v>
      </c>
      <c r="S171" s="45">
        <v>0</v>
      </c>
      <c r="T171" s="45">
        <v>1</v>
      </c>
      <c r="U171" s="45">
        <v>9550.7000000000007</v>
      </c>
      <c r="V171" s="45">
        <v>0</v>
      </c>
      <c r="W171" s="45">
        <v>0</v>
      </c>
      <c r="X171" s="45">
        <v>9550.7000000000007</v>
      </c>
      <c r="Y171" s="45">
        <v>0</v>
      </c>
      <c r="Z171" s="45">
        <v>0</v>
      </c>
      <c r="AB171" s="45">
        <v>10373.200000000001</v>
      </c>
      <c r="AC171" s="45">
        <v>0</v>
      </c>
      <c r="AD171" s="45">
        <v>0</v>
      </c>
      <c r="AE171" s="45">
        <v>10205.6</v>
      </c>
      <c r="AF171" s="45">
        <v>0</v>
      </c>
      <c r="AG171" s="45">
        <v>0</v>
      </c>
      <c r="AH171" s="45">
        <v>10407.6</v>
      </c>
      <c r="AI171" s="45">
        <v>0</v>
      </c>
      <c r="AJ171" s="45">
        <v>1</v>
      </c>
      <c r="AK171" s="45">
        <v>10306.799999999999</v>
      </c>
      <c r="AL171" s="45">
        <v>0</v>
      </c>
      <c r="AM171" s="45">
        <v>0</v>
      </c>
      <c r="AO171" s="45">
        <v>9839.4</v>
      </c>
      <c r="AP171" s="45">
        <v>0</v>
      </c>
      <c r="AQ171" s="45">
        <v>0</v>
      </c>
      <c r="AR171" s="45">
        <v>9550.7000000000007</v>
      </c>
      <c r="AS171" s="45">
        <v>0</v>
      </c>
      <c r="AT171" s="45">
        <v>0</v>
      </c>
      <c r="AU171" s="45">
        <v>9550.7000000000007</v>
      </c>
      <c r="AV171" s="45">
        <v>0</v>
      </c>
      <c r="AW171" s="45">
        <v>1</v>
      </c>
      <c r="AX171" s="45">
        <v>9550.7000000000007</v>
      </c>
      <c r="AY171" s="45">
        <v>0</v>
      </c>
      <c r="AZ171" s="45">
        <v>0</v>
      </c>
    </row>
    <row r="172" spans="2:52">
      <c r="B172" s="45">
        <v>12280.3</v>
      </c>
      <c r="C172" s="45">
        <v>0</v>
      </c>
      <c r="D172" s="45">
        <v>0</v>
      </c>
      <c r="E172" s="45">
        <v>12468.9</v>
      </c>
      <c r="F172" s="45">
        <v>0</v>
      </c>
      <c r="G172" s="45">
        <v>0</v>
      </c>
      <c r="H172" s="45">
        <v>12381.5</v>
      </c>
      <c r="I172" s="45">
        <v>0</v>
      </c>
      <c r="J172" s="45">
        <v>0</v>
      </c>
      <c r="K172" s="45">
        <v>11455.3</v>
      </c>
      <c r="L172" s="45">
        <v>0</v>
      </c>
      <c r="M172" s="45">
        <v>0</v>
      </c>
      <c r="O172" s="45">
        <v>11455.3</v>
      </c>
      <c r="P172" s="45">
        <v>0</v>
      </c>
      <c r="Q172" s="45">
        <v>1</v>
      </c>
      <c r="R172" s="45">
        <v>13479.3</v>
      </c>
      <c r="S172" s="45">
        <v>22</v>
      </c>
      <c r="T172" s="45">
        <v>0</v>
      </c>
      <c r="U172" s="45">
        <v>14125.9</v>
      </c>
      <c r="V172" s="45">
        <v>22</v>
      </c>
      <c r="W172" s="45">
        <v>0</v>
      </c>
      <c r="X172" s="45">
        <v>13869.9</v>
      </c>
      <c r="Y172" s="45">
        <v>18</v>
      </c>
      <c r="Z172" s="45">
        <v>1</v>
      </c>
      <c r="AB172" s="45">
        <v>12445.5</v>
      </c>
      <c r="AC172" s="45">
        <v>0</v>
      </c>
      <c r="AD172" s="45">
        <v>0</v>
      </c>
      <c r="AE172" s="45">
        <v>13140.9</v>
      </c>
      <c r="AF172" s="45">
        <v>0</v>
      </c>
      <c r="AG172" s="45">
        <v>1</v>
      </c>
      <c r="AH172" s="45">
        <v>13869.1</v>
      </c>
      <c r="AI172" s="45">
        <v>0</v>
      </c>
      <c r="AJ172" s="45">
        <v>0</v>
      </c>
      <c r="AK172" s="45">
        <v>13690.7</v>
      </c>
      <c r="AL172" s="45">
        <v>0</v>
      </c>
      <c r="AM172" s="45">
        <v>0</v>
      </c>
      <c r="AO172" s="45">
        <v>12104.3</v>
      </c>
      <c r="AP172" s="45">
        <v>0</v>
      </c>
      <c r="AQ172" s="45">
        <v>0</v>
      </c>
      <c r="AR172" s="45">
        <v>12216.3</v>
      </c>
      <c r="AS172" s="45">
        <v>0</v>
      </c>
      <c r="AT172" s="45">
        <v>1</v>
      </c>
      <c r="AU172" s="45">
        <v>13474.5</v>
      </c>
      <c r="AV172" s="45">
        <v>0</v>
      </c>
      <c r="AW172" s="45">
        <v>0</v>
      </c>
      <c r="AX172" s="45">
        <v>12718.9</v>
      </c>
      <c r="AY172" s="45">
        <v>0</v>
      </c>
      <c r="AZ172" s="45">
        <v>0</v>
      </c>
    </row>
    <row r="173" spans="2:52">
      <c r="B173" s="45">
        <v>14288.2</v>
      </c>
      <c r="C173" s="45">
        <v>0</v>
      </c>
      <c r="D173" s="45">
        <v>1</v>
      </c>
      <c r="E173" s="45">
        <v>14180.2</v>
      </c>
      <c r="F173" s="45">
        <v>0</v>
      </c>
      <c r="G173" s="45">
        <v>0</v>
      </c>
      <c r="H173" s="45">
        <v>14180.2</v>
      </c>
      <c r="I173" s="45">
        <v>0</v>
      </c>
      <c r="J173" s="45">
        <v>0</v>
      </c>
      <c r="K173" s="45">
        <v>14079.6</v>
      </c>
      <c r="L173" s="45">
        <v>0</v>
      </c>
      <c r="M173" s="45">
        <v>0</v>
      </c>
      <c r="O173" s="45">
        <v>14079.6</v>
      </c>
      <c r="P173" s="45">
        <v>0</v>
      </c>
      <c r="Q173" s="45">
        <v>0</v>
      </c>
      <c r="R173" s="45">
        <v>14219.8</v>
      </c>
      <c r="S173" s="45">
        <v>0</v>
      </c>
      <c r="T173" s="45">
        <v>0</v>
      </c>
      <c r="U173" s="45">
        <v>14219.8</v>
      </c>
      <c r="V173" s="45">
        <v>0</v>
      </c>
      <c r="W173" s="45">
        <v>1</v>
      </c>
      <c r="X173" s="45">
        <v>14143.6</v>
      </c>
      <c r="Y173" s="45">
        <v>0</v>
      </c>
      <c r="Z173" s="45">
        <v>0</v>
      </c>
      <c r="AB173" s="45">
        <v>15805.5</v>
      </c>
      <c r="AC173" s="45">
        <v>0</v>
      </c>
      <c r="AD173" s="45">
        <v>0</v>
      </c>
      <c r="AE173" s="45">
        <v>14644.7</v>
      </c>
      <c r="AF173" s="45">
        <v>0</v>
      </c>
      <c r="AG173" s="45">
        <v>1</v>
      </c>
      <c r="AH173" s="45">
        <v>14288.2</v>
      </c>
      <c r="AI173" s="45">
        <v>0</v>
      </c>
      <c r="AJ173" s="45">
        <v>0</v>
      </c>
      <c r="AK173" s="45">
        <v>15163</v>
      </c>
      <c r="AL173" s="45">
        <v>0</v>
      </c>
      <c r="AM173" s="45">
        <v>0</v>
      </c>
      <c r="AO173" s="45">
        <v>14079.6</v>
      </c>
      <c r="AP173" s="45">
        <v>0</v>
      </c>
      <c r="AQ173" s="45">
        <v>1</v>
      </c>
      <c r="AR173" s="45">
        <v>14288.2</v>
      </c>
      <c r="AS173" s="45">
        <v>0</v>
      </c>
      <c r="AT173" s="45">
        <v>0</v>
      </c>
      <c r="AU173" s="45">
        <v>14219.8</v>
      </c>
      <c r="AV173" s="45">
        <v>0</v>
      </c>
      <c r="AW173" s="45">
        <v>0</v>
      </c>
      <c r="AX173" s="45">
        <v>14219.8</v>
      </c>
      <c r="AY173" s="45">
        <v>0</v>
      </c>
      <c r="AZ173" s="45">
        <v>1</v>
      </c>
    </row>
    <row r="174" spans="2:52">
      <c r="B174" s="45">
        <v>7869.4</v>
      </c>
      <c r="C174" s="45">
        <v>0</v>
      </c>
      <c r="D174" s="45">
        <v>0</v>
      </c>
      <c r="E174" s="45">
        <v>7618.4</v>
      </c>
      <c r="F174" s="45">
        <v>0</v>
      </c>
      <c r="G174" s="45">
        <v>0</v>
      </c>
      <c r="H174" s="45">
        <v>7775.3</v>
      </c>
      <c r="I174" s="45">
        <v>0</v>
      </c>
      <c r="J174" s="45">
        <v>1</v>
      </c>
      <c r="K174" s="45">
        <v>7642.4</v>
      </c>
      <c r="L174" s="45">
        <v>0</v>
      </c>
      <c r="M174" s="45">
        <v>0</v>
      </c>
      <c r="O174" s="45">
        <v>7618.4</v>
      </c>
      <c r="P174" s="45">
        <v>0</v>
      </c>
      <c r="Q174" s="45">
        <v>0</v>
      </c>
      <c r="R174" s="45">
        <v>8042.6</v>
      </c>
      <c r="S174" s="45">
        <v>0</v>
      </c>
      <c r="T174" s="45">
        <v>1</v>
      </c>
      <c r="U174" s="45">
        <v>7578.4</v>
      </c>
      <c r="V174" s="45">
        <v>0</v>
      </c>
      <c r="W174" s="45">
        <v>0</v>
      </c>
      <c r="X174" s="45">
        <v>7570.4</v>
      </c>
      <c r="Y174" s="45">
        <v>0</v>
      </c>
      <c r="Z174" s="45">
        <v>0</v>
      </c>
      <c r="AB174" s="45">
        <v>9571.9</v>
      </c>
      <c r="AC174" s="45">
        <v>0</v>
      </c>
      <c r="AD174" s="45">
        <v>1</v>
      </c>
      <c r="AE174" s="45">
        <v>9280.4</v>
      </c>
      <c r="AF174" s="45">
        <v>0</v>
      </c>
      <c r="AG174" s="45">
        <v>0</v>
      </c>
      <c r="AH174" s="45">
        <v>9281.2000000000007</v>
      </c>
      <c r="AI174" s="45">
        <v>0</v>
      </c>
      <c r="AJ174" s="45">
        <v>0</v>
      </c>
      <c r="AK174" s="45">
        <v>8531.7000000000007</v>
      </c>
      <c r="AL174" s="45">
        <v>0</v>
      </c>
      <c r="AM174" s="45">
        <v>0</v>
      </c>
      <c r="AO174" s="45">
        <v>7869.4</v>
      </c>
      <c r="AP174" s="45">
        <v>0</v>
      </c>
      <c r="AQ174" s="45">
        <v>0</v>
      </c>
      <c r="AR174" s="45">
        <v>7869.4</v>
      </c>
      <c r="AS174" s="45">
        <v>0</v>
      </c>
      <c r="AT174" s="45">
        <v>0</v>
      </c>
      <c r="AU174" s="45">
        <v>7869.4</v>
      </c>
      <c r="AV174" s="45">
        <v>0</v>
      </c>
      <c r="AW174" s="45">
        <v>0</v>
      </c>
      <c r="AX174" s="45">
        <v>7869.4</v>
      </c>
      <c r="AY174" s="45">
        <v>0</v>
      </c>
      <c r="AZ174" s="45">
        <v>1</v>
      </c>
    </row>
    <row r="175" spans="2:52">
      <c r="B175" s="45">
        <v>9781</v>
      </c>
      <c r="C175" s="45">
        <v>0</v>
      </c>
      <c r="D175" s="45">
        <v>0</v>
      </c>
      <c r="E175" s="45">
        <v>10967.8</v>
      </c>
      <c r="F175" s="45">
        <v>9</v>
      </c>
      <c r="G175" s="45">
        <v>0</v>
      </c>
      <c r="H175" s="45">
        <v>9559.7000000000007</v>
      </c>
      <c r="I175" s="45">
        <v>0</v>
      </c>
      <c r="J175" s="45">
        <v>0</v>
      </c>
      <c r="K175" s="45">
        <v>10231.4</v>
      </c>
      <c r="L175" s="45">
        <v>0</v>
      </c>
      <c r="M175" s="45">
        <v>0</v>
      </c>
      <c r="O175" s="45">
        <v>9657.4</v>
      </c>
      <c r="P175" s="45">
        <v>0</v>
      </c>
      <c r="Q175" s="45">
        <v>0</v>
      </c>
      <c r="R175" s="45">
        <v>10347.700000000001</v>
      </c>
      <c r="S175" s="45">
        <v>9</v>
      </c>
      <c r="T175" s="45">
        <v>1</v>
      </c>
      <c r="U175" s="45">
        <v>9535.7000000000007</v>
      </c>
      <c r="V175" s="45">
        <v>0</v>
      </c>
      <c r="W175" s="45">
        <v>0</v>
      </c>
      <c r="X175" s="45">
        <v>10667.8</v>
      </c>
      <c r="Y175" s="45">
        <v>6</v>
      </c>
      <c r="Z175" s="45">
        <v>1</v>
      </c>
      <c r="AB175" s="45">
        <v>11429.3</v>
      </c>
      <c r="AC175" s="45">
        <v>0</v>
      </c>
      <c r="AD175" s="45">
        <v>1</v>
      </c>
      <c r="AE175" s="45">
        <v>11469.5</v>
      </c>
      <c r="AF175" s="45">
        <v>0</v>
      </c>
      <c r="AG175" s="45">
        <v>0</v>
      </c>
      <c r="AH175" s="45">
        <v>11162.8</v>
      </c>
      <c r="AI175" s="45">
        <v>0</v>
      </c>
      <c r="AJ175" s="45">
        <v>0</v>
      </c>
      <c r="AK175" s="45">
        <v>11429.3</v>
      </c>
      <c r="AL175" s="45">
        <v>0</v>
      </c>
      <c r="AM175" s="45">
        <v>1</v>
      </c>
      <c r="AO175" s="45">
        <v>11541.8</v>
      </c>
      <c r="AP175" s="45">
        <v>9</v>
      </c>
      <c r="AQ175" s="45">
        <v>0</v>
      </c>
      <c r="AR175" s="45">
        <v>10450.5</v>
      </c>
      <c r="AS175" s="45">
        <v>0</v>
      </c>
      <c r="AT175" s="45">
        <v>0</v>
      </c>
      <c r="AU175" s="45">
        <v>10387.700000000001</v>
      </c>
      <c r="AV175" s="45">
        <v>0</v>
      </c>
      <c r="AW175" s="45">
        <v>1</v>
      </c>
      <c r="AX175" s="45">
        <v>10091.799999999999</v>
      </c>
      <c r="AY175" s="45">
        <v>0</v>
      </c>
      <c r="AZ175" s="45">
        <v>0</v>
      </c>
    </row>
    <row r="176" spans="2:52">
      <c r="B176" s="45">
        <v>9671.6</v>
      </c>
      <c r="C176" s="45">
        <v>0</v>
      </c>
      <c r="D176" s="45">
        <v>1</v>
      </c>
      <c r="E176" s="45">
        <v>9703.6</v>
      </c>
      <c r="F176" s="45">
        <v>0</v>
      </c>
      <c r="G176" s="45">
        <v>0</v>
      </c>
      <c r="H176" s="45">
        <v>9727.6</v>
      </c>
      <c r="I176" s="45">
        <v>0</v>
      </c>
      <c r="J176" s="45">
        <v>0</v>
      </c>
      <c r="K176" s="45">
        <v>9703.6</v>
      </c>
      <c r="L176" s="45">
        <v>0</v>
      </c>
      <c r="M176" s="45">
        <v>0</v>
      </c>
      <c r="O176" s="45">
        <v>9743.6</v>
      </c>
      <c r="P176" s="45">
        <v>0</v>
      </c>
      <c r="Q176" s="45">
        <v>0</v>
      </c>
      <c r="R176" s="45">
        <v>9759.6</v>
      </c>
      <c r="S176" s="45">
        <v>0</v>
      </c>
      <c r="T176" s="45">
        <v>0</v>
      </c>
      <c r="U176" s="45">
        <v>9727.6</v>
      </c>
      <c r="V176" s="45">
        <v>0</v>
      </c>
      <c r="W176" s="45">
        <v>0</v>
      </c>
      <c r="X176" s="45">
        <v>10052.6</v>
      </c>
      <c r="Y176" s="45">
        <v>0</v>
      </c>
      <c r="Z176" s="45">
        <v>1</v>
      </c>
      <c r="AB176" s="45">
        <v>10949</v>
      </c>
      <c r="AC176" s="45">
        <v>0</v>
      </c>
      <c r="AD176" s="45">
        <v>0</v>
      </c>
      <c r="AE176" s="45">
        <v>9671.6</v>
      </c>
      <c r="AF176" s="45">
        <v>0</v>
      </c>
      <c r="AG176" s="45">
        <v>0</v>
      </c>
      <c r="AH176" s="45">
        <v>10498.8</v>
      </c>
      <c r="AI176" s="45">
        <v>0</v>
      </c>
      <c r="AJ176" s="45">
        <v>0</v>
      </c>
      <c r="AK176" s="45">
        <v>11315.7</v>
      </c>
      <c r="AL176" s="45">
        <v>0</v>
      </c>
      <c r="AM176" s="45">
        <v>1</v>
      </c>
      <c r="AO176" s="45">
        <v>10474.799999999999</v>
      </c>
      <c r="AP176" s="45">
        <v>0</v>
      </c>
      <c r="AQ176" s="45">
        <v>0</v>
      </c>
      <c r="AR176" s="45">
        <v>12003.7</v>
      </c>
      <c r="AS176" s="45">
        <v>18</v>
      </c>
      <c r="AT176" s="45">
        <v>1</v>
      </c>
      <c r="AU176" s="45">
        <v>9727.6</v>
      </c>
      <c r="AV176" s="45">
        <v>0</v>
      </c>
      <c r="AW176" s="45">
        <v>0</v>
      </c>
      <c r="AX176" s="45">
        <v>9759.6</v>
      </c>
      <c r="AY176" s="45">
        <v>0</v>
      </c>
      <c r="AZ176" s="45">
        <v>0</v>
      </c>
    </row>
    <row r="177" spans="2:52">
      <c r="B177" s="45">
        <v>8200.5</v>
      </c>
      <c r="C177" s="45">
        <v>0</v>
      </c>
      <c r="D177" s="45">
        <v>0</v>
      </c>
      <c r="E177" s="45">
        <v>8512.5</v>
      </c>
      <c r="F177" s="45">
        <v>0</v>
      </c>
      <c r="G177" s="45">
        <v>0</v>
      </c>
      <c r="H177" s="45">
        <v>8626.2000000000007</v>
      </c>
      <c r="I177" s="45">
        <v>0</v>
      </c>
      <c r="J177" s="45">
        <v>0</v>
      </c>
      <c r="K177" s="45">
        <v>8833.6</v>
      </c>
      <c r="L177" s="45">
        <v>0</v>
      </c>
      <c r="M177" s="45">
        <v>1</v>
      </c>
      <c r="O177" s="45">
        <v>8668</v>
      </c>
      <c r="P177" s="45">
        <v>0</v>
      </c>
      <c r="Q177" s="45">
        <v>0</v>
      </c>
      <c r="R177" s="45">
        <v>8203.7999999999993</v>
      </c>
      <c r="S177" s="45">
        <v>0</v>
      </c>
      <c r="T177" s="45">
        <v>0</v>
      </c>
      <c r="U177" s="45">
        <v>8626.7000000000007</v>
      </c>
      <c r="V177" s="45">
        <v>0</v>
      </c>
      <c r="W177" s="45">
        <v>1</v>
      </c>
      <c r="X177" s="45">
        <v>8163.8</v>
      </c>
      <c r="Y177" s="45">
        <v>0</v>
      </c>
      <c r="Z177" s="45">
        <v>0</v>
      </c>
      <c r="AB177" s="45">
        <v>9725.9</v>
      </c>
      <c r="AC177" s="45">
        <v>0</v>
      </c>
      <c r="AD177" s="45">
        <v>0</v>
      </c>
      <c r="AE177" s="45">
        <v>9619.6</v>
      </c>
      <c r="AF177" s="45">
        <v>0</v>
      </c>
      <c r="AG177" s="45">
        <v>0</v>
      </c>
      <c r="AH177" s="45">
        <v>9334.2000000000007</v>
      </c>
      <c r="AI177" s="45">
        <v>0</v>
      </c>
      <c r="AJ177" s="45">
        <v>0</v>
      </c>
      <c r="AK177" s="45">
        <v>9198.6</v>
      </c>
      <c r="AL177" s="45">
        <v>0</v>
      </c>
      <c r="AM177" s="45">
        <v>1</v>
      </c>
      <c r="AO177" s="45">
        <v>8512.5</v>
      </c>
      <c r="AP177" s="45">
        <v>0</v>
      </c>
      <c r="AQ177" s="45">
        <v>1</v>
      </c>
      <c r="AR177" s="45">
        <v>8512.5</v>
      </c>
      <c r="AS177" s="45">
        <v>0</v>
      </c>
      <c r="AT177" s="45">
        <v>0</v>
      </c>
      <c r="AU177" s="45">
        <v>8512.5</v>
      </c>
      <c r="AV177" s="45">
        <v>0</v>
      </c>
      <c r="AW177" s="45">
        <v>0</v>
      </c>
      <c r="AX177" s="45">
        <v>8512.5</v>
      </c>
      <c r="AY177" s="45">
        <v>0</v>
      </c>
      <c r="AZ177" s="45">
        <v>1</v>
      </c>
    </row>
    <row r="178" spans="2:52">
      <c r="B178" s="45">
        <v>11604.8</v>
      </c>
      <c r="C178" s="45">
        <v>11</v>
      </c>
      <c r="D178" s="45">
        <v>0</v>
      </c>
      <c r="E178" s="45">
        <v>10124</v>
      </c>
      <c r="F178" s="45">
        <v>0</v>
      </c>
      <c r="G178" s="45">
        <v>0</v>
      </c>
      <c r="H178" s="45">
        <v>10151.799999999999</v>
      </c>
      <c r="I178" s="45">
        <v>0</v>
      </c>
      <c r="J178" s="45">
        <v>0</v>
      </c>
      <c r="K178" s="45">
        <v>10124</v>
      </c>
      <c r="L178" s="45">
        <v>0</v>
      </c>
      <c r="M178" s="45">
        <v>0</v>
      </c>
      <c r="O178" s="45">
        <v>10627</v>
      </c>
      <c r="P178" s="45">
        <v>0</v>
      </c>
      <c r="Q178" s="45">
        <v>0</v>
      </c>
      <c r="R178" s="45">
        <v>11950.4</v>
      </c>
      <c r="S178" s="45">
        <v>10</v>
      </c>
      <c r="T178" s="45">
        <v>1</v>
      </c>
      <c r="U178" s="45">
        <v>10124</v>
      </c>
      <c r="V178" s="45">
        <v>0</v>
      </c>
      <c r="W178" s="45">
        <v>0</v>
      </c>
      <c r="X178" s="45">
        <v>10124</v>
      </c>
      <c r="Y178" s="45">
        <v>0</v>
      </c>
      <c r="Z178" s="45">
        <v>0</v>
      </c>
      <c r="AB178" s="45">
        <v>10515</v>
      </c>
      <c r="AC178" s="45">
        <v>0</v>
      </c>
      <c r="AD178" s="45">
        <v>0</v>
      </c>
      <c r="AE178" s="45">
        <v>11636.1</v>
      </c>
      <c r="AF178" s="45">
        <v>0</v>
      </c>
      <c r="AG178" s="45">
        <v>0</v>
      </c>
      <c r="AH178" s="45">
        <v>11491.3</v>
      </c>
      <c r="AI178" s="45">
        <v>0</v>
      </c>
      <c r="AJ178" s="45">
        <v>1</v>
      </c>
      <c r="AK178" s="45">
        <v>11326.5</v>
      </c>
      <c r="AL178" s="45">
        <v>0</v>
      </c>
      <c r="AM178" s="45">
        <v>0</v>
      </c>
      <c r="AO178" s="45">
        <v>11048.1</v>
      </c>
      <c r="AP178" s="45">
        <v>2</v>
      </c>
      <c r="AQ178" s="45">
        <v>0</v>
      </c>
      <c r="AR178" s="45">
        <v>10983.6</v>
      </c>
      <c r="AS178" s="45">
        <v>0</v>
      </c>
      <c r="AT178" s="45">
        <v>0</v>
      </c>
      <c r="AU178" s="45">
        <v>10939.8</v>
      </c>
      <c r="AV178" s="45">
        <v>0</v>
      </c>
      <c r="AW178" s="45">
        <v>1</v>
      </c>
      <c r="AX178" s="45">
        <v>11048.1</v>
      </c>
      <c r="AY178" s="45">
        <v>2</v>
      </c>
      <c r="AZ178" s="45">
        <v>0</v>
      </c>
    </row>
    <row r="179" spans="2:52">
      <c r="B179" s="45">
        <v>9609.5</v>
      </c>
      <c r="C179" s="45">
        <v>0</v>
      </c>
      <c r="D179" s="45">
        <v>0</v>
      </c>
      <c r="E179" s="45">
        <v>9429.7999999999993</v>
      </c>
      <c r="F179" s="45">
        <v>0</v>
      </c>
      <c r="G179" s="45">
        <v>0</v>
      </c>
      <c r="H179" s="45">
        <v>9680.2000000000007</v>
      </c>
      <c r="I179" s="45">
        <v>0</v>
      </c>
      <c r="J179" s="45">
        <v>1</v>
      </c>
      <c r="K179" s="45">
        <v>9179.4</v>
      </c>
      <c r="L179" s="45">
        <v>0</v>
      </c>
      <c r="M179" s="45">
        <v>0</v>
      </c>
      <c r="O179" s="45">
        <v>9429.7999999999993</v>
      </c>
      <c r="P179" s="45">
        <v>0</v>
      </c>
      <c r="Q179" s="45">
        <v>0</v>
      </c>
      <c r="R179" s="45">
        <v>9469</v>
      </c>
      <c r="S179" s="45">
        <v>0</v>
      </c>
      <c r="T179" s="45">
        <v>1</v>
      </c>
      <c r="U179" s="45">
        <v>9683.4</v>
      </c>
      <c r="V179" s="45">
        <v>4</v>
      </c>
      <c r="W179" s="45">
        <v>0</v>
      </c>
      <c r="X179" s="45">
        <v>9429.7999999999993</v>
      </c>
      <c r="Y179" s="45">
        <v>0</v>
      </c>
      <c r="Z179" s="45">
        <v>0</v>
      </c>
      <c r="AB179" s="45">
        <v>10501.7</v>
      </c>
      <c r="AC179" s="45">
        <v>0</v>
      </c>
      <c r="AD179" s="45">
        <v>0</v>
      </c>
      <c r="AE179" s="45">
        <v>9429.7999999999993</v>
      </c>
      <c r="AF179" s="45">
        <v>0</v>
      </c>
      <c r="AG179" s="45">
        <v>0</v>
      </c>
      <c r="AH179" s="45">
        <v>10044.9</v>
      </c>
      <c r="AI179" s="45">
        <v>0</v>
      </c>
      <c r="AJ179" s="45">
        <v>1</v>
      </c>
      <c r="AK179" s="45">
        <v>10375</v>
      </c>
      <c r="AL179" s="45">
        <v>0</v>
      </c>
      <c r="AM179" s="45">
        <v>0</v>
      </c>
      <c r="AO179" s="45">
        <v>9758.4</v>
      </c>
      <c r="AP179" s="45">
        <v>0</v>
      </c>
      <c r="AQ179" s="45">
        <v>1</v>
      </c>
      <c r="AR179" s="45">
        <v>9179.4</v>
      </c>
      <c r="AS179" s="45">
        <v>0</v>
      </c>
      <c r="AT179" s="45">
        <v>0</v>
      </c>
      <c r="AU179" s="45">
        <v>9469</v>
      </c>
      <c r="AV179" s="45">
        <v>0</v>
      </c>
      <c r="AW179" s="45">
        <v>0</v>
      </c>
      <c r="AX179" s="45">
        <v>9429.7999999999993</v>
      </c>
      <c r="AY179" s="45">
        <v>0</v>
      </c>
      <c r="AZ179" s="45">
        <v>0</v>
      </c>
    </row>
    <row r="180" spans="2:52">
      <c r="B180" s="45">
        <v>9721</v>
      </c>
      <c r="C180" s="45">
        <v>0</v>
      </c>
      <c r="D180" s="45">
        <v>0</v>
      </c>
      <c r="E180" s="45">
        <v>9471.2000000000007</v>
      </c>
      <c r="F180" s="45">
        <v>0</v>
      </c>
      <c r="G180" s="45">
        <v>0</v>
      </c>
      <c r="H180" s="45">
        <v>10073.4</v>
      </c>
      <c r="I180" s="45">
        <v>0</v>
      </c>
      <c r="J180" s="45">
        <v>0</v>
      </c>
      <c r="K180" s="45">
        <v>9412.5</v>
      </c>
      <c r="L180" s="45">
        <v>0</v>
      </c>
      <c r="M180" s="45">
        <v>0</v>
      </c>
      <c r="O180" s="45">
        <v>9740.7000000000007</v>
      </c>
      <c r="P180" s="45">
        <v>0</v>
      </c>
      <c r="Q180" s="45">
        <v>1</v>
      </c>
      <c r="R180" s="45">
        <v>9452</v>
      </c>
      <c r="S180" s="45">
        <v>0</v>
      </c>
      <c r="T180" s="45">
        <v>0</v>
      </c>
      <c r="U180" s="45">
        <v>9412.5</v>
      </c>
      <c r="V180" s="45">
        <v>0</v>
      </c>
      <c r="W180" s="45">
        <v>0</v>
      </c>
      <c r="X180" s="45">
        <v>9436.5</v>
      </c>
      <c r="Y180" s="45">
        <v>0</v>
      </c>
      <c r="Z180" s="45">
        <v>1</v>
      </c>
      <c r="AB180" s="45">
        <v>10944.7</v>
      </c>
      <c r="AC180" s="45">
        <v>0</v>
      </c>
      <c r="AD180" s="45">
        <v>0</v>
      </c>
      <c r="AE180" s="45">
        <v>9721.5</v>
      </c>
      <c r="AF180" s="45">
        <v>0</v>
      </c>
      <c r="AG180" s="45">
        <v>0</v>
      </c>
      <c r="AH180" s="45">
        <v>9471.2000000000007</v>
      </c>
      <c r="AI180" s="45">
        <v>0</v>
      </c>
      <c r="AJ180" s="45">
        <v>1</v>
      </c>
      <c r="AK180" s="45">
        <v>9891</v>
      </c>
      <c r="AL180" s="45">
        <v>0</v>
      </c>
      <c r="AM180" s="45">
        <v>0</v>
      </c>
      <c r="AO180" s="45">
        <v>9366.7000000000007</v>
      </c>
      <c r="AP180" s="45">
        <v>0</v>
      </c>
      <c r="AQ180" s="45">
        <v>1</v>
      </c>
      <c r="AR180" s="45">
        <v>9366.7000000000007</v>
      </c>
      <c r="AS180" s="45">
        <v>0</v>
      </c>
      <c r="AT180" s="45">
        <v>0</v>
      </c>
      <c r="AU180" s="45">
        <v>9471.2000000000007</v>
      </c>
      <c r="AV180" s="45">
        <v>0</v>
      </c>
      <c r="AW180" s="45">
        <v>0</v>
      </c>
      <c r="AX180" s="45">
        <v>9471.2000000000007</v>
      </c>
      <c r="AY180" s="45">
        <v>0</v>
      </c>
      <c r="AZ180" s="45">
        <v>1</v>
      </c>
    </row>
    <row r="181" spans="2:52">
      <c r="B181" s="45">
        <v>12666.6</v>
      </c>
      <c r="C181" s="45">
        <v>0</v>
      </c>
      <c r="D181" s="45">
        <v>1</v>
      </c>
      <c r="E181" s="45">
        <v>11708.2</v>
      </c>
      <c r="F181" s="45">
        <v>0</v>
      </c>
      <c r="G181" s="45">
        <v>0</v>
      </c>
      <c r="H181" s="45">
        <v>11935.8</v>
      </c>
      <c r="I181" s="45">
        <v>0</v>
      </c>
      <c r="J181" s="45">
        <v>0</v>
      </c>
      <c r="K181" s="45">
        <v>11492.2</v>
      </c>
      <c r="L181" s="45">
        <v>0</v>
      </c>
      <c r="M181" s="45">
        <v>0</v>
      </c>
      <c r="O181" s="45">
        <v>11492.2</v>
      </c>
      <c r="P181" s="45">
        <v>0</v>
      </c>
      <c r="Q181" s="45">
        <v>0</v>
      </c>
      <c r="R181" s="45">
        <v>11500.2</v>
      </c>
      <c r="S181" s="45">
        <v>0</v>
      </c>
      <c r="T181" s="45">
        <v>0</v>
      </c>
      <c r="U181" s="45">
        <v>11500.2</v>
      </c>
      <c r="V181" s="45">
        <v>0</v>
      </c>
      <c r="W181" s="45">
        <v>0</v>
      </c>
      <c r="X181" s="45">
        <v>11492.2</v>
      </c>
      <c r="Y181" s="45">
        <v>0</v>
      </c>
      <c r="Z181" s="45">
        <v>1</v>
      </c>
      <c r="AB181" s="45">
        <v>13582.7</v>
      </c>
      <c r="AC181" s="45">
        <v>0</v>
      </c>
      <c r="AD181" s="45">
        <v>0</v>
      </c>
      <c r="AE181" s="45">
        <v>13247.6</v>
      </c>
      <c r="AF181" s="45">
        <v>0</v>
      </c>
      <c r="AG181" s="45">
        <v>1</v>
      </c>
      <c r="AH181" s="45">
        <v>15645</v>
      </c>
      <c r="AI181" s="45">
        <v>0</v>
      </c>
      <c r="AJ181" s="45">
        <v>0</v>
      </c>
      <c r="AK181" s="45">
        <v>13658.5</v>
      </c>
      <c r="AL181" s="45">
        <v>0</v>
      </c>
      <c r="AM181" s="45">
        <v>0</v>
      </c>
      <c r="AO181" s="45">
        <v>11492.2</v>
      </c>
      <c r="AP181" s="45">
        <v>0</v>
      </c>
      <c r="AQ181" s="45">
        <v>0</v>
      </c>
      <c r="AR181" s="45">
        <v>12762</v>
      </c>
      <c r="AS181" s="45">
        <v>0</v>
      </c>
      <c r="AT181" s="45">
        <v>0</v>
      </c>
      <c r="AU181" s="45">
        <v>12524.3</v>
      </c>
      <c r="AV181" s="45">
        <v>0</v>
      </c>
      <c r="AW181" s="45">
        <v>1</v>
      </c>
      <c r="AX181" s="45">
        <v>12992.5</v>
      </c>
      <c r="AY181" s="45">
        <v>0</v>
      </c>
      <c r="AZ181" s="45">
        <v>0</v>
      </c>
    </row>
    <row r="182" spans="2:52">
      <c r="B182" s="45">
        <v>8843.7000000000007</v>
      </c>
      <c r="C182" s="45">
        <v>0</v>
      </c>
      <c r="D182" s="45">
        <v>0</v>
      </c>
      <c r="E182" s="45">
        <v>9030.5</v>
      </c>
      <c r="F182" s="45">
        <v>0</v>
      </c>
      <c r="G182" s="45">
        <v>0</v>
      </c>
      <c r="H182" s="45">
        <v>8654.5</v>
      </c>
      <c r="I182" s="45">
        <v>0</v>
      </c>
      <c r="J182" s="45">
        <v>0</v>
      </c>
      <c r="K182" s="45">
        <v>8475.7000000000007</v>
      </c>
      <c r="L182" s="45">
        <v>0</v>
      </c>
      <c r="M182" s="45">
        <v>1</v>
      </c>
      <c r="O182" s="45">
        <v>10795.9</v>
      </c>
      <c r="P182" s="45">
        <v>22</v>
      </c>
      <c r="Q182" s="45">
        <v>0</v>
      </c>
      <c r="R182" s="45">
        <v>11511.2</v>
      </c>
      <c r="S182" s="45">
        <v>24</v>
      </c>
      <c r="T182" s="45">
        <v>1</v>
      </c>
      <c r="U182" s="45">
        <v>8592.5</v>
      </c>
      <c r="V182" s="45">
        <v>4</v>
      </c>
      <c r="W182" s="45">
        <v>0</v>
      </c>
      <c r="X182" s="45">
        <v>8467.7000000000007</v>
      </c>
      <c r="Y182" s="45">
        <v>0</v>
      </c>
      <c r="Z182" s="45">
        <v>1</v>
      </c>
      <c r="AB182" s="45">
        <v>9435.1</v>
      </c>
      <c r="AC182" s="45">
        <v>0</v>
      </c>
      <c r="AD182" s="45">
        <v>0</v>
      </c>
      <c r="AE182" s="45">
        <v>10048.1</v>
      </c>
      <c r="AF182" s="45">
        <v>0</v>
      </c>
      <c r="AG182" s="45">
        <v>1</v>
      </c>
      <c r="AH182" s="45">
        <v>9098.4</v>
      </c>
      <c r="AI182" s="45">
        <v>0</v>
      </c>
      <c r="AJ182" s="45">
        <v>0</v>
      </c>
      <c r="AK182" s="45">
        <v>10204.799999999999</v>
      </c>
      <c r="AL182" s="45">
        <v>0</v>
      </c>
      <c r="AM182" s="45">
        <v>0</v>
      </c>
      <c r="AO182" s="45">
        <v>8843.7000000000007</v>
      </c>
      <c r="AP182" s="45">
        <v>0</v>
      </c>
      <c r="AQ182" s="45">
        <v>0</v>
      </c>
      <c r="AR182" s="45">
        <v>8763.2999999999993</v>
      </c>
      <c r="AS182" s="45">
        <v>0</v>
      </c>
      <c r="AT182" s="45">
        <v>0</v>
      </c>
      <c r="AU182" s="45">
        <v>9035.9</v>
      </c>
      <c r="AV182" s="45">
        <v>4</v>
      </c>
      <c r="AW182" s="45">
        <v>1</v>
      </c>
      <c r="AX182" s="45">
        <v>8843.7000000000007</v>
      </c>
      <c r="AY182" s="45">
        <v>0</v>
      </c>
      <c r="AZ182" s="45">
        <v>0</v>
      </c>
    </row>
    <row r="183" spans="2:52">
      <c r="B183" s="45">
        <v>9101.1</v>
      </c>
      <c r="C183" s="45">
        <v>0</v>
      </c>
      <c r="D183" s="45">
        <v>0</v>
      </c>
      <c r="E183" s="45">
        <v>8845.6</v>
      </c>
      <c r="F183" s="45">
        <v>0</v>
      </c>
      <c r="G183" s="45">
        <v>0</v>
      </c>
      <c r="H183" s="45">
        <v>9101.1</v>
      </c>
      <c r="I183" s="45">
        <v>0</v>
      </c>
      <c r="J183" s="45">
        <v>0</v>
      </c>
      <c r="K183" s="45">
        <v>9294.5</v>
      </c>
      <c r="L183" s="45">
        <v>0</v>
      </c>
      <c r="M183" s="45">
        <v>0</v>
      </c>
      <c r="O183" s="45">
        <v>9294.5</v>
      </c>
      <c r="P183" s="45">
        <v>0</v>
      </c>
      <c r="Q183" s="45">
        <v>0</v>
      </c>
      <c r="R183" s="45">
        <v>8891.1</v>
      </c>
      <c r="S183" s="45">
        <v>0</v>
      </c>
      <c r="T183" s="45">
        <v>0</v>
      </c>
      <c r="U183" s="45">
        <v>8829.6</v>
      </c>
      <c r="V183" s="45">
        <v>0</v>
      </c>
      <c r="W183" s="45">
        <v>1</v>
      </c>
      <c r="X183" s="45">
        <v>9251.6</v>
      </c>
      <c r="Y183" s="45">
        <v>0</v>
      </c>
      <c r="Z183" s="45">
        <v>0</v>
      </c>
      <c r="AB183" s="45">
        <v>9419</v>
      </c>
      <c r="AC183" s="45">
        <v>0</v>
      </c>
      <c r="AD183" s="45">
        <v>1</v>
      </c>
      <c r="AE183" s="45">
        <v>9732.5</v>
      </c>
      <c r="AF183" s="45">
        <v>0</v>
      </c>
      <c r="AG183" s="45">
        <v>0</v>
      </c>
      <c r="AH183" s="45">
        <v>10172.4</v>
      </c>
      <c r="AI183" s="45">
        <v>0</v>
      </c>
      <c r="AJ183" s="45">
        <v>0</v>
      </c>
      <c r="AK183" s="45">
        <v>9807.6</v>
      </c>
      <c r="AL183" s="45">
        <v>0</v>
      </c>
      <c r="AM183" s="45">
        <v>0</v>
      </c>
      <c r="AO183" s="45">
        <v>8875.1</v>
      </c>
      <c r="AP183" s="45">
        <v>0</v>
      </c>
      <c r="AQ183" s="45">
        <v>0</v>
      </c>
      <c r="AR183" s="45">
        <v>9539.1</v>
      </c>
      <c r="AS183" s="45">
        <v>0</v>
      </c>
      <c r="AT183" s="45">
        <v>1</v>
      </c>
      <c r="AU183" s="45">
        <v>8875.1</v>
      </c>
      <c r="AV183" s="45">
        <v>0</v>
      </c>
      <c r="AW183" s="45">
        <v>0</v>
      </c>
      <c r="AX183" s="45">
        <v>8907.1</v>
      </c>
      <c r="AY183" s="45">
        <v>0</v>
      </c>
      <c r="AZ183" s="45">
        <v>0</v>
      </c>
    </row>
    <row r="184" spans="2:52">
      <c r="B184" s="45">
        <v>13447.6</v>
      </c>
      <c r="C184" s="45">
        <v>0</v>
      </c>
      <c r="D184" s="45">
        <v>1</v>
      </c>
      <c r="E184" s="45">
        <v>13385.1</v>
      </c>
      <c r="F184" s="45">
        <v>0</v>
      </c>
      <c r="G184" s="45">
        <v>0</v>
      </c>
      <c r="H184" s="45">
        <v>13333.9</v>
      </c>
      <c r="I184" s="45">
        <v>0</v>
      </c>
      <c r="J184" s="45">
        <v>0</v>
      </c>
      <c r="K184" s="45">
        <v>13333.9</v>
      </c>
      <c r="L184" s="45">
        <v>0</v>
      </c>
      <c r="M184" s="45">
        <v>0</v>
      </c>
      <c r="O184" s="45">
        <v>13447.6</v>
      </c>
      <c r="P184" s="45">
        <v>0</v>
      </c>
      <c r="Q184" s="45">
        <v>0</v>
      </c>
      <c r="R184" s="45">
        <v>13333.9</v>
      </c>
      <c r="S184" s="45">
        <v>0</v>
      </c>
      <c r="T184" s="45">
        <v>0</v>
      </c>
      <c r="U184" s="45">
        <v>13333.9</v>
      </c>
      <c r="V184" s="45">
        <v>0</v>
      </c>
      <c r="W184" s="45">
        <v>1</v>
      </c>
      <c r="X184" s="45">
        <v>13333.9</v>
      </c>
      <c r="Y184" s="45">
        <v>0</v>
      </c>
      <c r="Z184" s="45">
        <v>0</v>
      </c>
      <c r="AB184" s="45">
        <v>14193.5</v>
      </c>
      <c r="AC184" s="45">
        <v>0</v>
      </c>
      <c r="AD184" s="45">
        <v>1</v>
      </c>
      <c r="AE184" s="45">
        <v>14683.2</v>
      </c>
      <c r="AF184" s="45">
        <v>0</v>
      </c>
      <c r="AG184" s="45">
        <v>0</v>
      </c>
      <c r="AH184" s="45">
        <v>14500.1</v>
      </c>
      <c r="AI184" s="45">
        <v>0</v>
      </c>
      <c r="AJ184" s="45">
        <v>0</v>
      </c>
      <c r="AK184" s="45">
        <v>14187.7</v>
      </c>
      <c r="AL184" s="45">
        <v>0</v>
      </c>
      <c r="AM184" s="45">
        <v>1</v>
      </c>
      <c r="AO184" s="45">
        <v>13333.9</v>
      </c>
      <c r="AP184" s="45">
        <v>0</v>
      </c>
      <c r="AQ184" s="45">
        <v>1</v>
      </c>
      <c r="AR184" s="45">
        <v>13333.9</v>
      </c>
      <c r="AS184" s="45">
        <v>0</v>
      </c>
      <c r="AT184" s="45">
        <v>0</v>
      </c>
      <c r="AU184" s="45">
        <v>13333.9</v>
      </c>
      <c r="AV184" s="45">
        <v>0</v>
      </c>
      <c r="AW184" s="45">
        <v>0</v>
      </c>
      <c r="AX184" s="45">
        <v>13333.9</v>
      </c>
      <c r="AY184" s="45">
        <v>0</v>
      </c>
      <c r="AZ184" s="45">
        <v>1</v>
      </c>
    </row>
    <row r="185" spans="2:52">
      <c r="B185" s="45">
        <v>12202.6</v>
      </c>
      <c r="C185" s="45">
        <v>0</v>
      </c>
      <c r="D185" s="45">
        <v>0</v>
      </c>
      <c r="E185" s="45">
        <v>12060.2</v>
      </c>
      <c r="F185" s="45">
        <v>0</v>
      </c>
      <c r="G185" s="45">
        <v>0</v>
      </c>
      <c r="H185" s="45">
        <v>12195.8</v>
      </c>
      <c r="I185" s="45">
        <v>0</v>
      </c>
      <c r="J185" s="45">
        <v>1</v>
      </c>
      <c r="K185" s="45">
        <v>11857.9</v>
      </c>
      <c r="L185" s="45">
        <v>0</v>
      </c>
      <c r="M185" s="45">
        <v>0</v>
      </c>
      <c r="O185" s="45">
        <v>12275.1</v>
      </c>
      <c r="P185" s="45">
        <v>0</v>
      </c>
      <c r="Q185" s="45">
        <v>0</v>
      </c>
      <c r="R185" s="45">
        <v>12428.1</v>
      </c>
      <c r="S185" s="45">
        <v>0</v>
      </c>
      <c r="T185" s="45">
        <v>1</v>
      </c>
      <c r="U185" s="45">
        <v>12877.1</v>
      </c>
      <c r="V185" s="45">
        <v>0</v>
      </c>
      <c r="W185" s="45">
        <v>0</v>
      </c>
      <c r="X185" s="45">
        <v>14308.6</v>
      </c>
      <c r="Y185" s="45">
        <v>18</v>
      </c>
      <c r="Z185" s="45">
        <v>0</v>
      </c>
      <c r="AB185" s="45">
        <v>13270.3</v>
      </c>
      <c r="AC185" s="45">
        <v>0</v>
      </c>
      <c r="AD185" s="45">
        <v>0</v>
      </c>
      <c r="AE185" s="45">
        <v>14431.7</v>
      </c>
      <c r="AF185" s="45">
        <v>0</v>
      </c>
      <c r="AG185" s="45">
        <v>0</v>
      </c>
      <c r="AH185" s="45">
        <v>13411.9</v>
      </c>
      <c r="AI185" s="45">
        <v>0</v>
      </c>
      <c r="AJ185" s="45">
        <v>0</v>
      </c>
      <c r="AK185" s="45">
        <v>13229.1</v>
      </c>
      <c r="AL185" s="45">
        <v>0</v>
      </c>
      <c r="AM185" s="45">
        <v>1</v>
      </c>
      <c r="AO185" s="45">
        <v>13119.7</v>
      </c>
      <c r="AP185" s="45">
        <v>0</v>
      </c>
      <c r="AQ185" s="45">
        <v>0</v>
      </c>
      <c r="AR185" s="45">
        <v>12359</v>
      </c>
      <c r="AS185" s="45">
        <v>0</v>
      </c>
      <c r="AT185" s="45">
        <v>0</v>
      </c>
      <c r="AU185" s="45">
        <v>13040.8</v>
      </c>
      <c r="AV185" s="45">
        <v>0</v>
      </c>
      <c r="AW185" s="45">
        <v>0</v>
      </c>
      <c r="AX185" s="45">
        <v>12275.1</v>
      </c>
      <c r="AY185" s="45">
        <v>0</v>
      </c>
      <c r="AZ185" s="45">
        <v>1</v>
      </c>
    </row>
    <row r="186" spans="2:52">
      <c r="B186" s="45">
        <v>10768.3</v>
      </c>
      <c r="C186" s="45">
        <v>0</v>
      </c>
      <c r="D186" s="45">
        <v>0</v>
      </c>
      <c r="E186" s="45">
        <v>11233.1</v>
      </c>
      <c r="F186" s="45">
        <v>0</v>
      </c>
      <c r="G186" s="45">
        <v>0</v>
      </c>
      <c r="H186" s="45">
        <v>10160.299999999999</v>
      </c>
      <c r="I186" s="45">
        <v>0</v>
      </c>
      <c r="J186" s="45">
        <v>0</v>
      </c>
      <c r="K186" s="45">
        <v>10768.3</v>
      </c>
      <c r="L186" s="45">
        <v>0</v>
      </c>
      <c r="M186" s="45">
        <v>0</v>
      </c>
      <c r="O186" s="45">
        <v>10832.9</v>
      </c>
      <c r="P186" s="45">
        <v>0</v>
      </c>
      <c r="Q186" s="45">
        <v>1</v>
      </c>
      <c r="R186" s="45">
        <v>9958.2999999999993</v>
      </c>
      <c r="S186" s="45">
        <v>0</v>
      </c>
      <c r="T186" s="45">
        <v>0</v>
      </c>
      <c r="U186" s="45">
        <v>9958.2999999999993</v>
      </c>
      <c r="V186" s="45">
        <v>0</v>
      </c>
      <c r="W186" s="45">
        <v>0</v>
      </c>
      <c r="X186" s="45">
        <v>9958.2999999999993</v>
      </c>
      <c r="Y186" s="45">
        <v>0</v>
      </c>
      <c r="Z186" s="45">
        <v>1</v>
      </c>
      <c r="AB186" s="45">
        <v>11375.5</v>
      </c>
      <c r="AC186" s="45">
        <v>0</v>
      </c>
      <c r="AD186" s="45">
        <v>0</v>
      </c>
      <c r="AE186" s="45">
        <v>11953.7</v>
      </c>
      <c r="AF186" s="45">
        <v>0</v>
      </c>
      <c r="AG186" s="45">
        <v>0</v>
      </c>
      <c r="AH186" s="45">
        <v>12542.6</v>
      </c>
      <c r="AI186" s="45">
        <v>0</v>
      </c>
      <c r="AJ186" s="45">
        <v>0</v>
      </c>
      <c r="AK186" s="45">
        <v>10062.299999999999</v>
      </c>
      <c r="AL186" s="45">
        <v>0</v>
      </c>
      <c r="AM186" s="45">
        <v>1</v>
      </c>
      <c r="AO186" s="45">
        <v>11177</v>
      </c>
      <c r="AP186" s="45">
        <v>0</v>
      </c>
      <c r="AQ186" s="45">
        <v>0</v>
      </c>
      <c r="AR186" s="45">
        <v>10768.3</v>
      </c>
      <c r="AS186" s="45">
        <v>0</v>
      </c>
      <c r="AT186" s="45">
        <v>0</v>
      </c>
      <c r="AU186" s="45">
        <v>10415.9</v>
      </c>
      <c r="AV186" s="45">
        <v>0</v>
      </c>
      <c r="AW186" s="45">
        <v>1</v>
      </c>
      <c r="AX186" s="45">
        <v>10768.3</v>
      </c>
      <c r="AY186" s="45">
        <v>0</v>
      </c>
      <c r="AZ186" s="45">
        <v>0</v>
      </c>
    </row>
    <row r="187" spans="2:52">
      <c r="B187" s="45">
        <v>10303</v>
      </c>
      <c r="C187" s="45">
        <v>0</v>
      </c>
      <c r="D187" s="45">
        <v>1</v>
      </c>
      <c r="E187" s="45">
        <v>10122.4</v>
      </c>
      <c r="F187" s="45">
        <v>0</v>
      </c>
      <c r="G187" s="45">
        <v>0</v>
      </c>
      <c r="H187" s="45">
        <v>11629.4</v>
      </c>
      <c r="I187" s="45">
        <v>14</v>
      </c>
      <c r="J187" s="45">
        <v>0</v>
      </c>
      <c r="K187" s="45">
        <v>10548.8</v>
      </c>
      <c r="L187" s="45">
        <v>5</v>
      </c>
      <c r="M187" s="45">
        <v>0</v>
      </c>
      <c r="O187" s="45">
        <v>12329.4</v>
      </c>
      <c r="P187" s="45">
        <v>21</v>
      </c>
      <c r="Q187" s="45">
        <v>0</v>
      </c>
      <c r="R187" s="45">
        <v>10587.6</v>
      </c>
      <c r="S187" s="45">
        <v>0</v>
      </c>
      <c r="T187" s="45">
        <v>0</v>
      </c>
      <c r="U187" s="45">
        <v>12248.8</v>
      </c>
      <c r="V187" s="45">
        <v>22</v>
      </c>
      <c r="W187" s="45">
        <v>1</v>
      </c>
      <c r="X187" s="45">
        <v>10548.8</v>
      </c>
      <c r="Y187" s="45">
        <v>5</v>
      </c>
      <c r="Z187" s="45">
        <v>0</v>
      </c>
      <c r="AB187" s="45">
        <v>10587.6</v>
      </c>
      <c r="AC187" s="45">
        <v>0</v>
      </c>
      <c r="AD187" s="45">
        <v>0</v>
      </c>
      <c r="AE187" s="45">
        <v>10824.1</v>
      </c>
      <c r="AF187" s="45">
        <v>0</v>
      </c>
      <c r="AG187" s="45">
        <v>0</v>
      </c>
      <c r="AH187" s="45">
        <v>11652.8</v>
      </c>
      <c r="AI187" s="45">
        <v>0</v>
      </c>
      <c r="AJ187" s="45">
        <v>0</v>
      </c>
      <c r="AK187" s="45">
        <v>11316.4</v>
      </c>
      <c r="AL187" s="45">
        <v>0</v>
      </c>
      <c r="AM187" s="45">
        <v>1</v>
      </c>
      <c r="AO187" s="45">
        <v>12429.4</v>
      </c>
      <c r="AP187" s="45">
        <v>22</v>
      </c>
      <c r="AQ187" s="45">
        <v>0</v>
      </c>
      <c r="AR187" s="45">
        <v>12248.8</v>
      </c>
      <c r="AS187" s="45">
        <v>22</v>
      </c>
      <c r="AT187" s="45">
        <v>1</v>
      </c>
      <c r="AU187" s="45">
        <v>10729.4</v>
      </c>
      <c r="AV187" s="45">
        <v>5</v>
      </c>
      <c r="AW187" s="45">
        <v>0</v>
      </c>
      <c r="AX187" s="45">
        <v>10144.4</v>
      </c>
      <c r="AY187" s="45">
        <v>0</v>
      </c>
      <c r="AZ187" s="45">
        <v>0</v>
      </c>
    </row>
    <row r="188" spans="2:52">
      <c r="B188" s="45">
        <v>11795.9</v>
      </c>
      <c r="C188" s="45">
        <v>0</v>
      </c>
      <c r="D188" s="45">
        <v>0</v>
      </c>
      <c r="E188" s="45">
        <v>11781.7</v>
      </c>
      <c r="F188" s="45">
        <v>0</v>
      </c>
      <c r="G188" s="45">
        <v>1</v>
      </c>
      <c r="H188" s="45">
        <v>11909.7</v>
      </c>
      <c r="I188" s="45">
        <v>0</v>
      </c>
      <c r="J188" s="45">
        <v>0</v>
      </c>
      <c r="K188" s="45">
        <v>11781.7</v>
      </c>
      <c r="L188" s="45">
        <v>0</v>
      </c>
      <c r="M188" s="45">
        <v>0</v>
      </c>
      <c r="O188" s="45">
        <v>13202.2</v>
      </c>
      <c r="P188" s="45">
        <v>15</v>
      </c>
      <c r="Q188" s="45">
        <v>0</v>
      </c>
      <c r="R188" s="45">
        <v>11986.2</v>
      </c>
      <c r="S188" s="45">
        <v>3</v>
      </c>
      <c r="T188" s="45">
        <v>1</v>
      </c>
      <c r="U188" s="45">
        <v>13202.2</v>
      </c>
      <c r="V188" s="45">
        <v>15</v>
      </c>
      <c r="W188" s="45">
        <v>0</v>
      </c>
      <c r="X188" s="45">
        <v>12422.3</v>
      </c>
      <c r="Y188" s="45">
        <v>0</v>
      </c>
      <c r="Z188" s="45">
        <v>0</v>
      </c>
      <c r="AB188" s="45">
        <v>12749.3</v>
      </c>
      <c r="AC188" s="45">
        <v>0</v>
      </c>
      <c r="AD188" s="45">
        <v>0</v>
      </c>
      <c r="AE188" s="45">
        <v>13466.9</v>
      </c>
      <c r="AF188" s="45">
        <v>0</v>
      </c>
      <c r="AG188" s="45">
        <v>0</v>
      </c>
      <c r="AH188" s="45">
        <v>13669.1</v>
      </c>
      <c r="AI188" s="45">
        <v>0</v>
      </c>
      <c r="AJ188" s="45">
        <v>1</v>
      </c>
      <c r="AK188" s="45">
        <v>13831.6</v>
      </c>
      <c r="AL188" s="45">
        <v>0</v>
      </c>
      <c r="AM188" s="45">
        <v>0</v>
      </c>
      <c r="AO188" s="45">
        <v>11813.7</v>
      </c>
      <c r="AP188" s="45">
        <v>0</v>
      </c>
      <c r="AQ188" s="45">
        <v>1</v>
      </c>
      <c r="AR188" s="45">
        <v>12697.2</v>
      </c>
      <c r="AS188" s="45">
        <v>0</v>
      </c>
      <c r="AT188" s="45">
        <v>0</v>
      </c>
      <c r="AU188" s="45">
        <v>12743.9</v>
      </c>
      <c r="AV188" s="45">
        <v>0</v>
      </c>
      <c r="AW188" s="45">
        <v>0</v>
      </c>
      <c r="AX188" s="45">
        <v>12585.2</v>
      </c>
      <c r="AY188" s="45">
        <v>0</v>
      </c>
      <c r="AZ188" s="45">
        <v>1</v>
      </c>
    </row>
    <row r="189" spans="2:52">
      <c r="B189" s="45">
        <v>11517.5</v>
      </c>
      <c r="C189" s="45">
        <v>3</v>
      </c>
      <c r="D189" s="45">
        <v>0</v>
      </c>
      <c r="E189" s="45">
        <v>11217.5</v>
      </c>
      <c r="F189" s="45">
        <v>0</v>
      </c>
      <c r="G189" s="45">
        <v>0</v>
      </c>
      <c r="H189" s="45">
        <v>11217.5</v>
      </c>
      <c r="I189" s="45">
        <v>0</v>
      </c>
      <c r="J189" s="45">
        <v>1</v>
      </c>
      <c r="K189" s="45">
        <v>11582.2</v>
      </c>
      <c r="L189" s="45">
        <v>0</v>
      </c>
      <c r="M189" s="45">
        <v>0</v>
      </c>
      <c r="O189" s="45">
        <v>11449</v>
      </c>
      <c r="P189" s="45">
        <v>0</v>
      </c>
      <c r="Q189" s="45">
        <v>1</v>
      </c>
      <c r="R189" s="45">
        <v>11449</v>
      </c>
      <c r="S189" s="45">
        <v>0</v>
      </c>
      <c r="T189" s="45">
        <v>0</v>
      </c>
      <c r="U189" s="45">
        <v>12517.5</v>
      </c>
      <c r="V189" s="45">
        <v>13</v>
      </c>
      <c r="W189" s="45">
        <v>0</v>
      </c>
      <c r="X189" s="45">
        <v>11161.5</v>
      </c>
      <c r="Y189" s="45">
        <v>0</v>
      </c>
      <c r="Z189" s="45">
        <v>1</v>
      </c>
      <c r="AB189" s="45">
        <v>11422.1</v>
      </c>
      <c r="AC189" s="45">
        <v>0</v>
      </c>
      <c r="AD189" s="45">
        <v>0</v>
      </c>
      <c r="AE189" s="45">
        <v>12458.5</v>
      </c>
      <c r="AF189" s="45">
        <v>0</v>
      </c>
      <c r="AG189" s="45">
        <v>0</v>
      </c>
      <c r="AH189" s="45">
        <v>12795.7</v>
      </c>
      <c r="AI189" s="45">
        <v>0</v>
      </c>
      <c r="AJ189" s="45">
        <v>1</v>
      </c>
      <c r="AK189" s="45">
        <v>12747.7</v>
      </c>
      <c r="AL189" s="45">
        <v>0</v>
      </c>
      <c r="AM189" s="45">
        <v>0</v>
      </c>
      <c r="AO189" s="45">
        <v>11753.1</v>
      </c>
      <c r="AP189" s="45">
        <v>0</v>
      </c>
      <c r="AQ189" s="45">
        <v>0</v>
      </c>
      <c r="AR189" s="45">
        <v>12517.5</v>
      </c>
      <c r="AS189" s="45">
        <v>13</v>
      </c>
      <c r="AT189" s="45">
        <v>0</v>
      </c>
      <c r="AU189" s="45">
        <v>12217.7</v>
      </c>
      <c r="AV189" s="45">
        <v>0</v>
      </c>
      <c r="AW189" s="45">
        <v>1</v>
      </c>
      <c r="AX189" s="45">
        <v>11217.5</v>
      </c>
      <c r="AY189" s="45">
        <v>0</v>
      </c>
      <c r="AZ189" s="45">
        <v>0</v>
      </c>
    </row>
    <row r="190" spans="2:52">
      <c r="B190" s="45">
        <v>9878.7000000000007</v>
      </c>
      <c r="C190" s="45">
        <v>0</v>
      </c>
      <c r="D190" s="45">
        <v>0</v>
      </c>
      <c r="E190" s="45">
        <v>9740.7000000000007</v>
      </c>
      <c r="F190" s="45">
        <v>0</v>
      </c>
      <c r="G190" s="45">
        <v>0</v>
      </c>
      <c r="H190" s="45">
        <v>10256.9</v>
      </c>
      <c r="I190" s="45">
        <v>0</v>
      </c>
      <c r="J190" s="45">
        <v>0</v>
      </c>
      <c r="K190" s="45">
        <v>9851.5</v>
      </c>
      <c r="L190" s="45">
        <v>0</v>
      </c>
      <c r="M190" s="45">
        <v>0</v>
      </c>
      <c r="O190" s="45">
        <v>8951.1</v>
      </c>
      <c r="P190" s="45">
        <v>1</v>
      </c>
      <c r="Q190" s="45">
        <v>0</v>
      </c>
      <c r="R190" s="45">
        <v>9771.5</v>
      </c>
      <c r="S190" s="45">
        <v>0</v>
      </c>
      <c r="T190" s="45">
        <v>0</v>
      </c>
      <c r="U190" s="45">
        <v>10167.799999999999</v>
      </c>
      <c r="V190" s="45">
        <v>0</v>
      </c>
      <c r="W190" s="45">
        <v>1</v>
      </c>
      <c r="X190" s="45">
        <v>8971.1</v>
      </c>
      <c r="Y190" s="45">
        <v>0</v>
      </c>
      <c r="Z190" s="45">
        <v>0</v>
      </c>
      <c r="AB190" s="45">
        <v>11389.5</v>
      </c>
      <c r="AC190" s="45">
        <v>0</v>
      </c>
      <c r="AD190" s="45">
        <v>0</v>
      </c>
      <c r="AE190" s="45">
        <v>11140</v>
      </c>
      <c r="AF190" s="45">
        <v>0</v>
      </c>
      <c r="AG190" s="45">
        <v>1</v>
      </c>
      <c r="AH190" s="45">
        <v>11252</v>
      </c>
      <c r="AI190" s="45">
        <v>0</v>
      </c>
      <c r="AJ190" s="45">
        <v>0</v>
      </c>
      <c r="AK190" s="45">
        <v>10959.7</v>
      </c>
      <c r="AL190" s="45">
        <v>0</v>
      </c>
      <c r="AM190" s="45">
        <v>0</v>
      </c>
      <c r="AO190" s="45">
        <v>10893.4</v>
      </c>
      <c r="AP190" s="45">
        <v>0</v>
      </c>
      <c r="AQ190" s="45">
        <v>0</v>
      </c>
      <c r="AR190" s="45">
        <v>10785.2</v>
      </c>
      <c r="AS190" s="45">
        <v>0</v>
      </c>
      <c r="AT190" s="45">
        <v>0</v>
      </c>
      <c r="AU190" s="45">
        <v>10681.2</v>
      </c>
      <c r="AV190" s="45">
        <v>0</v>
      </c>
      <c r="AW190" s="45">
        <v>1</v>
      </c>
      <c r="AX190" s="45">
        <v>10133</v>
      </c>
      <c r="AY190" s="45">
        <v>0</v>
      </c>
      <c r="AZ190" s="45">
        <v>0</v>
      </c>
    </row>
    <row r="191" spans="2:52">
      <c r="B191" s="45">
        <v>11018.8</v>
      </c>
      <c r="C191" s="45">
        <v>0</v>
      </c>
      <c r="D191" s="45">
        <v>1</v>
      </c>
      <c r="E191" s="45">
        <v>11642.1</v>
      </c>
      <c r="F191" s="45">
        <v>0</v>
      </c>
      <c r="G191" s="45">
        <v>0</v>
      </c>
      <c r="H191" s="45">
        <v>10294.299999999999</v>
      </c>
      <c r="I191" s="45">
        <v>0</v>
      </c>
      <c r="J191" s="45">
        <v>0</v>
      </c>
      <c r="K191" s="45">
        <v>9543.6</v>
      </c>
      <c r="L191" s="45">
        <v>0</v>
      </c>
      <c r="M191" s="45">
        <v>0</v>
      </c>
      <c r="O191" s="45">
        <v>11724.9</v>
      </c>
      <c r="P191" s="45">
        <v>0</v>
      </c>
      <c r="Q191" s="45">
        <v>0</v>
      </c>
      <c r="R191" s="45">
        <v>9343.6</v>
      </c>
      <c r="S191" s="45">
        <v>0</v>
      </c>
      <c r="T191" s="45">
        <v>0</v>
      </c>
      <c r="U191" s="45">
        <v>11138.4</v>
      </c>
      <c r="V191" s="45">
        <v>0</v>
      </c>
      <c r="W191" s="45">
        <v>1</v>
      </c>
      <c r="X191" s="45">
        <v>9519.6</v>
      </c>
      <c r="Y191" s="45">
        <v>0</v>
      </c>
      <c r="Z191" s="45">
        <v>0</v>
      </c>
      <c r="AB191" s="45">
        <v>11186.4</v>
      </c>
      <c r="AC191" s="45">
        <v>0</v>
      </c>
      <c r="AD191" s="45">
        <v>0</v>
      </c>
      <c r="AE191" s="45">
        <v>11965.2</v>
      </c>
      <c r="AF191" s="45">
        <v>0</v>
      </c>
      <c r="AG191" s="45">
        <v>1</v>
      </c>
      <c r="AH191" s="45">
        <v>11730.2</v>
      </c>
      <c r="AI191" s="45">
        <v>0</v>
      </c>
      <c r="AJ191" s="45">
        <v>0</v>
      </c>
      <c r="AK191" s="45">
        <v>12695.7</v>
      </c>
      <c r="AL191" s="45">
        <v>0</v>
      </c>
      <c r="AM191" s="45">
        <v>0</v>
      </c>
      <c r="AO191" s="45">
        <v>10294.299999999999</v>
      </c>
      <c r="AP191" s="45">
        <v>0</v>
      </c>
      <c r="AQ191" s="45">
        <v>0</v>
      </c>
      <c r="AR191" s="45">
        <v>11730.2</v>
      </c>
      <c r="AS191" s="45">
        <v>0</v>
      </c>
      <c r="AT191" s="45">
        <v>1</v>
      </c>
      <c r="AU191" s="45">
        <v>10366.299999999999</v>
      </c>
      <c r="AV191" s="45">
        <v>0</v>
      </c>
      <c r="AW191" s="45">
        <v>0</v>
      </c>
      <c r="AX191" s="45">
        <v>11247.4</v>
      </c>
      <c r="AY191" s="45">
        <v>0</v>
      </c>
      <c r="AZ191" s="45">
        <v>0</v>
      </c>
    </row>
    <row r="192" spans="2:52">
      <c r="B192" s="45">
        <v>9664.6</v>
      </c>
      <c r="C192" s="45">
        <v>0</v>
      </c>
      <c r="D192" s="45">
        <v>0</v>
      </c>
      <c r="E192" s="45">
        <v>9993.6</v>
      </c>
      <c r="F192" s="45">
        <v>0</v>
      </c>
      <c r="G192" s="45">
        <v>0</v>
      </c>
      <c r="H192" s="45">
        <v>9728.6</v>
      </c>
      <c r="I192" s="45">
        <v>0</v>
      </c>
      <c r="J192" s="45">
        <v>1</v>
      </c>
      <c r="K192" s="45">
        <v>9728.6</v>
      </c>
      <c r="L192" s="45">
        <v>0</v>
      </c>
      <c r="M192" s="45">
        <v>0</v>
      </c>
      <c r="O192" s="45">
        <v>9824.6</v>
      </c>
      <c r="P192" s="45">
        <v>0</v>
      </c>
      <c r="Q192" s="45">
        <v>0</v>
      </c>
      <c r="R192" s="45">
        <v>9832.6</v>
      </c>
      <c r="S192" s="45">
        <v>0</v>
      </c>
      <c r="T192" s="45">
        <v>0</v>
      </c>
      <c r="U192" s="45">
        <v>9757.6</v>
      </c>
      <c r="V192" s="45">
        <v>0</v>
      </c>
      <c r="W192" s="45">
        <v>0</v>
      </c>
      <c r="X192" s="45">
        <v>9728.6</v>
      </c>
      <c r="Y192" s="45">
        <v>0</v>
      </c>
      <c r="Z192" s="45">
        <v>0</v>
      </c>
      <c r="AB192" s="45">
        <v>10804.9</v>
      </c>
      <c r="AC192" s="45">
        <v>0</v>
      </c>
      <c r="AD192" s="45">
        <v>1</v>
      </c>
      <c r="AE192" s="45">
        <v>11054.2</v>
      </c>
      <c r="AF192" s="45">
        <v>0</v>
      </c>
      <c r="AG192" s="45">
        <v>0</v>
      </c>
      <c r="AH192" s="45">
        <v>10991.4</v>
      </c>
      <c r="AI192" s="45">
        <v>0</v>
      </c>
      <c r="AJ192" s="45">
        <v>0</v>
      </c>
      <c r="AK192" s="45">
        <v>10589.2</v>
      </c>
      <c r="AL192" s="45">
        <v>0</v>
      </c>
      <c r="AM192" s="45">
        <v>0</v>
      </c>
      <c r="AO192" s="45">
        <v>10202.5</v>
      </c>
      <c r="AP192" s="45">
        <v>0</v>
      </c>
      <c r="AQ192" s="45">
        <v>1</v>
      </c>
      <c r="AR192" s="45">
        <v>10566.6</v>
      </c>
      <c r="AS192" s="45">
        <v>0</v>
      </c>
      <c r="AT192" s="45">
        <v>0</v>
      </c>
      <c r="AU192" s="45">
        <v>10566.6</v>
      </c>
      <c r="AV192" s="45">
        <v>0</v>
      </c>
      <c r="AW192" s="45">
        <v>0</v>
      </c>
      <c r="AX192" s="45">
        <v>10173.5</v>
      </c>
      <c r="AY192" s="45">
        <v>0</v>
      </c>
      <c r="AZ192" s="45">
        <v>0</v>
      </c>
    </row>
    <row r="193" spans="2:52">
      <c r="B193" s="45">
        <v>8914.4</v>
      </c>
      <c r="C193" s="45">
        <v>0</v>
      </c>
      <c r="D193" s="45">
        <v>0</v>
      </c>
      <c r="E193" s="45">
        <v>9215.6</v>
      </c>
      <c r="F193" s="45">
        <v>0</v>
      </c>
      <c r="G193" s="45">
        <v>0</v>
      </c>
      <c r="H193" s="45">
        <v>8840.7999999999993</v>
      </c>
      <c r="I193" s="45">
        <v>0</v>
      </c>
      <c r="J193" s="45">
        <v>0</v>
      </c>
      <c r="K193" s="45">
        <v>9035.7999999999993</v>
      </c>
      <c r="L193" s="45">
        <v>0</v>
      </c>
      <c r="M193" s="45">
        <v>1</v>
      </c>
      <c r="O193" s="45">
        <v>9035.7999999999993</v>
      </c>
      <c r="P193" s="45">
        <v>0</v>
      </c>
      <c r="Q193" s="45">
        <v>1</v>
      </c>
      <c r="R193" s="45">
        <v>8872.7999999999993</v>
      </c>
      <c r="S193" s="45">
        <v>0</v>
      </c>
      <c r="T193" s="45">
        <v>0</v>
      </c>
      <c r="U193" s="45">
        <v>8840.7999999999993</v>
      </c>
      <c r="V193" s="45">
        <v>0</v>
      </c>
      <c r="W193" s="45">
        <v>0</v>
      </c>
      <c r="X193" s="45">
        <v>8856.7999999999993</v>
      </c>
      <c r="Y193" s="45">
        <v>0</v>
      </c>
      <c r="Z193" s="45">
        <v>0</v>
      </c>
      <c r="AB193" s="45">
        <v>9857.5</v>
      </c>
      <c r="AC193" s="45">
        <v>0</v>
      </c>
      <c r="AD193" s="45">
        <v>1</v>
      </c>
      <c r="AE193" s="45">
        <v>10202.6</v>
      </c>
      <c r="AF193" s="45">
        <v>0</v>
      </c>
      <c r="AG193" s="45">
        <v>0</v>
      </c>
      <c r="AH193" s="45">
        <v>9796.1</v>
      </c>
      <c r="AI193" s="45">
        <v>0</v>
      </c>
      <c r="AJ193" s="45">
        <v>0</v>
      </c>
      <c r="AK193" s="45">
        <v>9331.6</v>
      </c>
      <c r="AL193" s="45">
        <v>0</v>
      </c>
      <c r="AM193" s="45">
        <v>1</v>
      </c>
      <c r="AO193" s="45">
        <v>9865</v>
      </c>
      <c r="AP193" s="45">
        <v>0</v>
      </c>
      <c r="AQ193" s="45">
        <v>1</v>
      </c>
      <c r="AR193" s="45">
        <v>9035.7999999999993</v>
      </c>
      <c r="AS193" s="45">
        <v>0</v>
      </c>
      <c r="AT193" s="45">
        <v>0</v>
      </c>
      <c r="AU193" s="45">
        <v>9035.7999999999993</v>
      </c>
      <c r="AV193" s="45">
        <v>0</v>
      </c>
      <c r="AW193" s="45">
        <v>0</v>
      </c>
      <c r="AX193" s="45">
        <v>9035.7999999999993</v>
      </c>
      <c r="AY193" s="45">
        <v>0</v>
      </c>
      <c r="AZ193" s="45">
        <v>1</v>
      </c>
    </row>
    <row r="194" spans="2:52">
      <c r="B194" s="45">
        <v>12010.2</v>
      </c>
      <c r="C194" s="45">
        <v>0</v>
      </c>
      <c r="D194" s="45">
        <v>0</v>
      </c>
      <c r="E194" s="45">
        <v>11793.4</v>
      </c>
      <c r="F194" s="45">
        <v>0</v>
      </c>
      <c r="G194" s="45">
        <v>0</v>
      </c>
      <c r="H194" s="45">
        <v>11993.4</v>
      </c>
      <c r="I194" s="45">
        <v>0</v>
      </c>
      <c r="J194" s="45">
        <v>0</v>
      </c>
      <c r="K194" s="45">
        <v>12893.4</v>
      </c>
      <c r="L194" s="45">
        <v>11</v>
      </c>
      <c r="M194" s="45">
        <v>0</v>
      </c>
      <c r="O194" s="45">
        <v>12328.8</v>
      </c>
      <c r="P194" s="45">
        <v>0</v>
      </c>
      <c r="Q194" s="45">
        <v>0</v>
      </c>
      <c r="R194" s="45">
        <v>12065.8</v>
      </c>
      <c r="S194" s="45">
        <v>0</v>
      </c>
      <c r="T194" s="45">
        <v>1</v>
      </c>
      <c r="U194" s="45">
        <v>12321.8</v>
      </c>
      <c r="V194" s="45">
        <v>0</v>
      </c>
      <c r="W194" s="45">
        <v>0</v>
      </c>
      <c r="X194" s="45">
        <v>11793.4</v>
      </c>
      <c r="Y194" s="45">
        <v>0</v>
      </c>
      <c r="Z194" s="45">
        <v>0</v>
      </c>
      <c r="AB194" s="45">
        <v>13709</v>
      </c>
      <c r="AC194" s="45">
        <v>0</v>
      </c>
      <c r="AD194" s="45">
        <v>0</v>
      </c>
      <c r="AE194" s="45">
        <v>13095</v>
      </c>
      <c r="AF194" s="45">
        <v>0</v>
      </c>
      <c r="AG194" s="45">
        <v>0</v>
      </c>
      <c r="AH194" s="45">
        <v>11793.4</v>
      </c>
      <c r="AI194" s="45">
        <v>0</v>
      </c>
      <c r="AJ194" s="45">
        <v>0</v>
      </c>
      <c r="AK194" s="45">
        <v>12776.8</v>
      </c>
      <c r="AL194" s="45">
        <v>0</v>
      </c>
      <c r="AM194" s="45">
        <v>1</v>
      </c>
      <c r="AO194" s="45">
        <v>12840.6</v>
      </c>
      <c r="AP194" s="45">
        <v>0</v>
      </c>
      <c r="AQ194" s="45">
        <v>0</v>
      </c>
      <c r="AR194" s="45">
        <v>11993.4</v>
      </c>
      <c r="AS194" s="45">
        <v>0</v>
      </c>
      <c r="AT194" s="45">
        <v>0</v>
      </c>
      <c r="AU194" s="45">
        <v>12134</v>
      </c>
      <c r="AV194" s="45">
        <v>0</v>
      </c>
      <c r="AW194" s="45">
        <v>1</v>
      </c>
      <c r="AX194" s="45">
        <v>11993.4</v>
      </c>
      <c r="AY194" s="45">
        <v>0</v>
      </c>
      <c r="AZ194" s="45">
        <v>0</v>
      </c>
    </row>
    <row r="195" spans="2:52">
      <c r="B195" s="45">
        <v>11318.3</v>
      </c>
      <c r="C195" s="45">
        <v>0</v>
      </c>
      <c r="D195" s="45">
        <v>0</v>
      </c>
      <c r="E195" s="45">
        <v>10621.1</v>
      </c>
      <c r="F195" s="45">
        <v>0</v>
      </c>
      <c r="G195" s="45">
        <v>0</v>
      </c>
      <c r="H195" s="45">
        <v>11252.8</v>
      </c>
      <c r="I195" s="45">
        <v>0</v>
      </c>
      <c r="J195" s="45">
        <v>1</v>
      </c>
      <c r="K195" s="45">
        <v>10301.200000000001</v>
      </c>
      <c r="L195" s="45">
        <v>0</v>
      </c>
      <c r="M195" s="45">
        <v>0</v>
      </c>
      <c r="O195" s="45">
        <v>10344.299999999999</v>
      </c>
      <c r="P195" s="45">
        <v>0</v>
      </c>
      <c r="Q195" s="45">
        <v>0</v>
      </c>
      <c r="R195" s="45">
        <v>11188.8</v>
      </c>
      <c r="S195" s="45">
        <v>0</v>
      </c>
      <c r="T195" s="45">
        <v>0</v>
      </c>
      <c r="U195" s="45">
        <v>11273.4</v>
      </c>
      <c r="V195" s="45">
        <v>0</v>
      </c>
      <c r="W195" s="45">
        <v>1</v>
      </c>
      <c r="X195" s="45">
        <v>15131.7</v>
      </c>
      <c r="Y195" s="45">
        <v>43</v>
      </c>
      <c r="Z195" s="45">
        <v>0</v>
      </c>
      <c r="AB195" s="45">
        <v>12407.3</v>
      </c>
      <c r="AC195" s="45">
        <v>0</v>
      </c>
      <c r="AD195" s="45">
        <v>0</v>
      </c>
      <c r="AE195" s="45">
        <v>11378.1</v>
      </c>
      <c r="AF195" s="45">
        <v>0</v>
      </c>
      <c r="AG195" s="45">
        <v>0</v>
      </c>
      <c r="AH195" s="45">
        <v>11970.4</v>
      </c>
      <c r="AI195" s="45">
        <v>0</v>
      </c>
      <c r="AJ195" s="45">
        <v>0</v>
      </c>
      <c r="AK195" s="45">
        <v>12707</v>
      </c>
      <c r="AL195" s="45">
        <v>0</v>
      </c>
      <c r="AM195" s="45">
        <v>1</v>
      </c>
      <c r="AO195" s="45">
        <v>11081.7</v>
      </c>
      <c r="AP195" s="45">
        <v>0</v>
      </c>
      <c r="AQ195" s="45">
        <v>0</v>
      </c>
      <c r="AR195" s="45">
        <v>11969.8</v>
      </c>
      <c r="AS195" s="45">
        <v>0</v>
      </c>
      <c r="AT195" s="45">
        <v>0</v>
      </c>
      <c r="AU195" s="45">
        <v>11774.8</v>
      </c>
      <c r="AV195" s="45">
        <v>0</v>
      </c>
      <c r="AW195" s="45">
        <v>1</v>
      </c>
      <c r="AX195" s="45">
        <v>11378.1</v>
      </c>
      <c r="AY195" s="45">
        <v>0</v>
      </c>
      <c r="AZ195" s="45">
        <v>0</v>
      </c>
    </row>
    <row r="196" spans="2:52">
      <c r="B196" s="45">
        <v>9973.7000000000007</v>
      </c>
      <c r="C196" s="45">
        <v>0</v>
      </c>
      <c r="D196" s="45">
        <v>0</v>
      </c>
      <c r="E196" s="45">
        <v>9633</v>
      </c>
      <c r="F196" s="45">
        <v>0</v>
      </c>
      <c r="G196" s="45">
        <v>0</v>
      </c>
      <c r="H196" s="45">
        <v>9008.9</v>
      </c>
      <c r="I196" s="45">
        <v>0</v>
      </c>
      <c r="J196" s="45">
        <v>0</v>
      </c>
      <c r="K196" s="45">
        <v>9328.7000000000007</v>
      </c>
      <c r="L196" s="45">
        <v>0</v>
      </c>
      <c r="M196" s="45">
        <v>0</v>
      </c>
      <c r="O196" s="45">
        <v>9893.7000000000007</v>
      </c>
      <c r="P196" s="45">
        <v>0</v>
      </c>
      <c r="Q196" s="45">
        <v>0</v>
      </c>
      <c r="R196" s="45">
        <v>10434.200000000001</v>
      </c>
      <c r="S196" s="45">
        <v>0</v>
      </c>
      <c r="T196" s="45">
        <v>0</v>
      </c>
      <c r="U196" s="45">
        <v>8968.9</v>
      </c>
      <c r="V196" s="45">
        <v>0</v>
      </c>
      <c r="W196" s="45">
        <v>0</v>
      </c>
      <c r="X196" s="45">
        <v>9008.9</v>
      </c>
      <c r="Y196" s="45">
        <v>0</v>
      </c>
      <c r="Z196" s="45">
        <v>1</v>
      </c>
      <c r="AB196" s="45">
        <v>10042.4</v>
      </c>
      <c r="AC196" s="45">
        <v>0</v>
      </c>
      <c r="AD196" s="45">
        <v>0</v>
      </c>
      <c r="AE196" s="45">
        <v>10569.8</v>
      </c>
      <c r="AF196" s="45">
        <v>0</v>
      </c>
      <c r="AG196" s="45">
        <v>0</v>
      </c>
      <c r="AH196" s="45">
        <v>11362.4</v>
      </c>
      <c r="AI196" s="45">
        <v>0</v>
      </c>
      <c r="AJ196" s="45">
        <v>1</v>
      </c>
      <c r="AK196" s="45">
        <v>10376.5</v>
      </c>
      <c r="AL196" s="45">
        <v>0</v>
      </c>
      <c r="AM196" s="45">
        <v>0</v>
      </c>
      <c r="AO196" s="45">
        <v>9912.4</v>
      </c>
      <c r="AP196" s="45">
        <v>0</v>
      </c>
      <c r="AQ196" s="45">
        <v>0</v>
      </c>
      <c r="AR196" s="45">
        <v>8968.9</v>
      </c>
      <c r="AS196" s="45">
        <v>0</v>
      </c>
      <c r="AT196" s="45">
        <v>1</v>
      </c>
      <c r="AU196" s="45">
        <v>9633</v>
      </c>
      <c r="AV196" s="45">
        <v>0</v>
      </c>
      <c r="AW196" s="45">
        <v>0</v>
      </c>
      <c r="AX196" s="45">
        <v>8968.9</v>
      </c>
      <c r="AY196" s="45">
        <v>0</v>
      </c>
      <c r="AZ196" s="45">
        <v>0</v>
      </c>
    </row>
    <row r="197" spans="2:52">
      <c r="B197" s="45">
        <v>9999</v>
      </c>
      <c r="C197" s="45">
        <v>0</v>
      </c>
      <c r="D197" s="45">
        <v>1</v>
      </c>
      <c r="E197" s="45">
        <v>9583</v>
      </c>
      <c r="F197" s="45">
        <v>0</v>
      </c>
      <c r="G197" s="45">
        <v>0</v>
      </c>
      <c r="H197" s="45">
        <v>9427.7999999999993</v>
      </c>
      <c r="I197" s="45">
        <v>0</v>
      </c>
      <c r="J197" s="45">
        <v>0</v>
      </c>
      <c r="K197" s="45">
        <v>9727.2000000000007</v>
      </c>
      <c r="L197" s="45">
        <v>0</v>
      </c>
      <c r="M197" s="45">
        <v>0</v>
      </c>
      <c r="O197" s="45">
        <v>9307.7999999999993</v>
      </c>
      <c r="P197" s="45">
        <v>0</v>
      </c>
      <c r="Q197" s="45">
        <v>0</v>
      </c>
      <c r="R197" s="45">
        <v>9259.7999999999993</v>
      </c>
      <c r="S197" s="45">
        <v>0</v>
      </c>
      <c r="T197" s="45">
        <v>0</v>
      </c>
      <c r="U197" s="45">
        <v>9427.7999999999993</v>
      </c>
      <c r="V197" s="45">
        <v>0</v>
      </c>
      <c r="W197" s="45">
        <v>0</v>
      </c>
      <c r="X197" s="45">
        <v>9427.7999999999993</v>
      </c>
      <c r="Y197" s="45">
        <v>0</v>
      </c>
      <c r="Z197" s="45">
        <v>1</v>
      </c>
      <c r="AB197" s="45">
        <v>11052</v>
      </c>
      <c r="AC197" s="45">
        <v>0</v>
      </c>
      <c r="AD197" s="45">
        <v>0</v>
      </c>
      <c r="AE197" s="45">
        <v>10565.8</v>
      </c>
      <c r="AF197" s="45">
        <v>0</v>
      </c>
      <c r="AG197" s="45">
        <v>0</v>
      </c>
      <c r="AH197" s="45">
        <v>10854.4</v>
      </c>
      <c r="AI197" s="45">
        <v>0</v>
      </c>
      <c r="AJ197" s="45">
        <v>1</v>
      </c>
      <c r="AK197" s="45">
        <v>11031.2</v>
      </c>
      <c r="AL197" s="45">
        <v>0</v>
      </c>
      <c r="AM197" s="45">
        <v>0</v>
      </c>
      <c r="AO197" s="45">
        <v>9259.7999999999993</v>
      </c>
      <c r="AP197" s="45">
        <v>0</v>
      </c>
      <c r="AQ197" s="45">
        <v>0</v>
      </c>
      <c r="AR197" s="45">
        <v>9999</v>
      </c>
      <c r="AS197" s="45">
        <v>0</v>
      </c>
      <c r="AT197" s="45">
        <v>1</v>
      </c>
      <c r="AU197" s="45">
        <v>10253</v>
      </c>
      <c r="AV197" s="45">
        <v>0</v>
      </c>
      <c r="AW197" s="45">
        <v>0</v>
      </c>
      <c r="AX197" s="45">
        <v>9510.7999999999993</v>
      </c>
      <c r="AY197" s="45">
        <v>0</v>
      </c>
      <c r="AZ197" s="45">
        <v>0</v>
      </c>
    </row>
    <row r="198" spans="2:52">
      <c r="B198" s="45">
        <v>7503.9</v>
      </c>
      <c r="C198" s="45">
        <v>0</v>
      </c>
      <c r="D198" s="45">
        <v>0</v>
      </c>
      <c r="E198" s="45">
        <v>7218.1</v>
      </c>
      <c r="F198" s="45">
        <v>0</v>
      </c>
      <c r="G198" s="45">
        <v>0</v>
      </c>
      <c r="H198" s="45">
        <v>7624.7</v>
      </c>
      <c r="I198" s="45">
        <v>0</v>
      </c>
      <c r="J198" s="45">
        <v>0</v>
      </c>
      <c r="K198" s="45">
        <v>7322.1</v>
      </c>
      <c r="L198" s="45">
        <v>0</v>
      </c>
      <c r="M198" s="45">
        <v>1</v>
      </c>
      <c r="O198" s="45">
        <v>8085.2</v>
      </c>
      <c r="P198" s="45">
        <v>0</v>
      </c>
      <c r="Q198" s="45">
        <v>0</v>
      </c>
      <c r="R198" s="45">
        <v>8179.3</v>
      </c>
      <c r="S198" s="45">
        <v>0</v>
      </c>
      <c r="T198" s="45">
        <v>0</v>
      </c>
      <c r="U198" s="45">
        <v>7274.1</v>
      </c>
      <c r="V198" s="45">
        <v>0</v>
      </c>
      <c r="W198" s="45">
        <v>0</v>
      </c>
      <c r="X198" s="45">
        <v>7474.6</v>
      </c>
      <c r="Y198" s="45">
        <v>0</v>
      </c>
      <c r="Z198" s="45">
        <v>1</v>
      </c>
      <c r="AB198" s="45">
        <v>8595.6</v>
      </c>
      <c r="AC198" s="45">
        <v>0</v>
      </c>
      <c r="AD198" s="45">
        <v>0</v>
      </c>
      <c r="AE198" s="45">
        <v>9022.5</v>
      </c>
      <c r="AF198" s="45">
        <v>0</v>
      </c>
      <c r="AG198" s="45">
        <v>1</v>
      </c>
      <c r="AH198" s="45">
        <v>9207.7999999999993</v>
      </c>
      <c r="AI198" s="45">
        <v>0</v>
      </c>
      <c r="AJ198" s="45">
        <v>0</v>
      </c>
      <c r="AK198" s="45">
        <v>7218.1</v>
      </c>
      <c r="AL198" s="45">
        <v>0</v>
      </c>
      <c r="AM198" s="45">
        <v>0</v>
      </c>
      <c r="AO198" s="45">
        <v>7950.4</v>
      </c>
      <c r="AP198" s="45">
        <v>0</v>
      </c>
      <c r="AQ198" s="45">
        <v>1</v>
      </c>
      <c r="AR198" s="45">
        <v>7503.9</v>
      </c>
      <c r="AS198" s="45">
        <v>0</v>
      </c>
      <c r="AT198" s="45">
        <v>0</v>
      </c>
      <c r="AU198" s="45">
        <v>7538.6</v>
      </c>
      <c r="AV198" s="45">
        <v>0</v>
      </c>
      <c r="AW198" s="45">
        <v>0</v>
      </c>
      <c r="AX198" s="45">
        <v>7274.1</v>
      </c>
      <c r="AY198" s="45">
        <v>0</v>
      </c>
      <c r="AZ198" s="45">
        <v>1</v>
      </c>
    </row>
    <row r="199" spans="2:52">
      <c r="B199" s="45">
        <v>7533.3</v>
      </c>
      <c r="C199" s="45">
        <v>0</v>
      </c>
      <c r="D199" s="45">
        <v>0</v>
      </c>
      <c r="E199" s="45">
        <v>9786</v>
      </c>
      <c r="F199" s="45">
        <v>20</v>
      </c>
      <c r="G199" s="45">
        <v>0</v>
      </c>
      <c r="H199" s="45">
        <v>7365.3</v>
      </c>
      <c r="I199" s="45">
        <v>0</v>
      </c>
      <c r="J199" s="45">
        <v>0</v>
      </c>
      <c r="K199" s="45">
        <v>8027.3</v>
      </c>
      <c r="L199" s="45">
        <v>0</v>
      </c>
      <c r="M199" s="45">
        <v>0</v>
      </c>
      <c r="O199" s="45">
        <v>8066</v>
      </c>
      <c r="P199" s="45">
        <v>4</v>
      </c>
      <c r="Q199" s="45">
        <v>0</v>
      </c>
      <c r="R199" s="45">
        <v>7987.9</v>
      </c>
      <c r="S199" s="45">
        <v>0</v>
      </c>
      <c r="T199" s="45">
        <v>0</v>
      </c>
      <c r="U199" s="45">
        <v>8026</v>
      </c>
      <c r="V199" s="45">
        <v>4</v>
      </c>
      <c r="W199" s="45">
        <v>1</v>
      </c>
      <c r="X199" s="45">
        <v>7547.3</v>
      </c>
      <c r="Y199" s="45">
        <v>0</v>
      </c>
      <c r="Z199" s="45">
        <v>0</v>
      </c>
      <c r="AB199" s="45">
        <v>9060.6</v>
      </c>
      <c r="AC199" s="45">
        <v>0</v>
      </c>
      <c r="AD199" s="45">
        <v>0</v>
      </c>
      <c r="AE199" s="45">
        <v>8274.7000000000007</v>
      </c>
      <c r="AF199" s="45">
        <v>0</v>
      </c>
      <c r="AG199" s="45">
        <v>1</v>
      </c>
      <c r="AH199" s="45">
        <v>8356.7000000000007</v>
      </c>
      <c r="AI199" s="45">
        <v>0</v>
      </c>
      <c r="AJ199" s="45">
        <v>0</v>
      </c>
      <c r="AK199" s="45">
        <v>8917.7000000000007</v>
      </c>
      <c r="AL199" s="45">
        <v>0</v>
      </c>
      <c r="AM199" s="45">
        <v>0</v>
      </c>
      <c r="AO199" s="45">
        <v>8579.7999999999993</v>
      </c>
      <c r="AP199" s="45">
        <v>0</v>
      </c>
      <c r="AQ199" s="45">
        <v>0</v>
      </c>
      <c r="AR199" s="45">
        <v>8500.9</v>
      </c>
      <c r="AS199" s="45">
        <v>0</v>
      </c>
      <c r="AT199" s="45">
        <v>0</v>
      </c>
      <c r="AU199" s="45">
        <v>7547.3</v>
      </c>
      <c r="AV199" s="45">
        <v>0</v>
      </c>
      <c r="AW199" s="45">
        <v>0</v>
      </c>
      <c r="AX199" s="45">
        <v>7947.3</v>
      </c>
      <c r="AY199" s="45">
        <v>0</v>
      </c>
      <c r="AZ199" s="45">
        <v>1</v>
      </c>
    </row>
    <row r="200" spans="2:52">
      <c r="B200" s="45">
        <v>11532.1</v>
      </c>
      <c r="C200" s="45">
        <v>0</v>
      </c>
      <c r="D200" s="45">
        <v>0</v>
      </c>
      <c r="E200" s="45">
        <v>10888.3</v>
      </c>
      <c r="F200" s="45">
        <v>0</v>
      </c>
      <c r="G200" s="45">
        <v>1</v>
      </c>
      <c r="H200" s="45">
        <v>10760.3</v>
      </c>
      <c r="I200" s="45">
        <v>0</v>
      </c>
      <c r="J200" s="45">
        <v>0</v>
      </c>
      <c r="K200" s="45">
        <v>10760.3</v>
      </c>
      <c r="L200" s="45">
        <v>0</v>
      </c>
      <c r="M200" s="45">
        <v>0</v>
      </c>
      <c r="O200" s="45">
        <v>11653.5</v>
      </c>
      <c r="P200" s="45">
        <v>0</v>
      </c>
      <c r="Q200" s="45">
        <v>0</v>
      </c>
      <c r="R200" s="45">
        <v>10881.7</v>
      </c>
      <c r="S200" s="45">
        <v>0</v>
      </c>
      <c r="T200" s="45">
        <v>1</v>
      </c>
      <c r="U200" s="45">
        <v>11260.6</v>
      </c>
      <c r="V200" s="45">
        <v>0</v>
      </c>
      <c r="W200" s="45">
        <v>0</v>
      </c>
      <c r="X200" s="45">
        <v>10888.3</v>
      </c>
      <c r="Y200" s="45">
        <v>0</v>
      </c>
      <c r="Z200" s="45">
        <v>0</v>
      </c>
      <c r="AB200" s="45">
        <v>13035.3</v>
      </c>
      <c r="AC200" s="45">
        <v>0</v>
      </c>
      <c r="AD200" s="45">
        <v>0</v>
      </c>
      <c r="AE200" s="45">
        <v>12558.8</v>
      </c>
      <c r="AF200" s="45">
        <v>0</v>
      </c>
      <c r="AG200" s="45">
        <v>1</v>
      </c>
      <c r="AH200" s="45">
        <v>11135.9</v>
      </c>
      <c r="AI200" s="45">
        <v>0</v>
      </c>
      <c r="AJ200" s="45">
        <v>0</v>
      </c>
      <c r="AK200" s="45">
        <v>12186</v>
      </c>
      <c r="AL200" s="45">
        <v>0</v>
      </c>
      <c r="AM200" s="45">
        <v>0</v>
      </c>
      <c r="AO200" s="45">
        <v>11532.1</v>
      </c>
      <c r="AP200" s="45">
        <v>0</v>
      </c>
      <c r="AQ200" s="45">
        <v>0</v>
      </c>
      <c r="AR200" s="45">
        <v>11263.9</v>
      </c>
      <c r="AS200" s="45">
        <v>0</v>
      </c>
      <c r="AT200" s="45">
        <v>0</v>
      </c>
      <c r="AU200" s="45">
        <v>11532.1</v>
      </c>
      <c r="AV200" s="45">
        <v>0</v>
      </c>
      <c r="AW200" s="45">
        <v>1</v>
      </c>
      <c r="AX200" s="45">
        <v>11263.9</v>
      </c>
      <c r="AY200" s="45">
        <v>0</v>
      </c>
      <c r="AZ200" s="45">
        <v>0</v>
      </c>
    </row>
    <row r="201" spans="2:52">
      <c r="B201" s="45">
        <v>9372.1</v>
      </c>
      <c r="C201" s="45">
        <v>0</v>
      </c>
      <c r="D201" s="45">
        <v>0</v>
      </c>
      <c r="E201" s="45">
        <v>8747.1</v>
      </c>
      <c r="F201" s="45">
        <v>0</v>
      </c>
      <c r="G201" s="45">
        <v>0</v>
      </c>
      <c r="H201" s="45">
        <v>9594.9</v>
      </c>
      <c r="I201" s="45">
        <v>8</v>
      </c>
      <c r="J201" s="45">
        <v>0</v>
      </c>
      <c r="K201" s="45">
        <v>9358.9</v>
      </c>
      <c r="L201" s="45">
        <v>0</v>
      </c>
      <c r="M201" s="45">
        <v>1</v>
      </c>
      <c r="O201" s="45">
        <v>9350.9</v>
      </c>
      <c r="P201" s="45">
        <v>0</v>
      </c>
      <c r="Q201" s="45">
        <v>1</v>
      </c>
      <c r="R201" s="45">
        <v>8739.1</v>
      </c>
      <c r="S201" s="45">
        <v>0</v>
      </c>
      <c r="T201" s="45">
        <v>0</v>
      </c>
      <c r="U201" s="45">
        <v>9247.1</v>
      </c>
      <c r="V201" s="45">
        <v>5</v>
      </c>
      <c r="W201" s="45">
        <v>0</v>
      </c>
      <c r="X201" s="45">
        <v>8939.1</v>
      </c>
      <c r="Y201" s="45">
        <v>2</v>
      </c>
      <c r="Z201" s="45">
        <v>1</v>
      </c>
      <c r="AB201" s="45">
        <v>9372.1</v>
      </c>
      <c r="AC201" s="45">
        <v>0</v>
      </c>
      <c r="AD201" s="45">
        <v>1</v>
      </c>
      <c r="AE201" s="45">
        <v>10321.9</v>
      </c>
      <c r="AF201" s="45">
        <v>0</v>
      </c>
      <c r="AG201" s="45">
        <v>0</v>
      </c>
      <c r="AH201" s="45">
        <v>10351.799999999999</v>
      </c>
      <c r="AI201" s="45">
        <v>0</v>
      </c>
      <c r="AJ201" s="45">
        <v>0</v>
      </c>
      <c r="AK201" s="45">
        <v>9453.9</v>
      </c>
      <c r="AL201" s="45">
        <v>0</v>
      </c>
      <c r="AM201" s="45">
        <v>0</v>
      </c>
      <c r="AO201" s="45">
        <v>9372.1</v>
      </c>
      <c r="AP201" s="45">
        <v>0</v>
      </c>
      <c r="AQ201" s="45">
        <v>0</v>
      </c>
      <c r="AR201" s="45">
        <v>9372.1</v>
      </c>
      <c r="AS201" s="45">
        <v>0</v>
      </c>
      <c r="AT201" s="45">
        <v>1</v>
      </c>
      <c r="AU201" s="45">
        <v>8794.9</v>
      </c>
      <c r="AV201" s="45">
        <v>0</v>
      </c>
      <c r="AW201" s="45">
        <v>0</v>
      </c>
      <c r="AX201" s="45">
        <v>9372.1</v>
      </c>
      <c r="AY201" s="45">
        <v>0</v>
      </c>
      <c r="AZ201" s="45">
        <v>0</v>
      </c>
    </row>
    <row r="202" spans="2:52">
      <c r="B202" s="45">
        <v>10235.5</v>
      </c>
      <c r="C202" s="45">
        <v>0</v>
      </c>
      <c r="D202" s="45">
        <v>0</v>
      </c>
      <c r="E202" s="45">
        <v>10469.4</v>
      </c>
      <c r="F202" s="45">
        <v>0</v>
      </c>
      <c r="G202" s="45">
        <v>0</v>
      </c>
      <c r="H202" s="45">
        <v>10461.4</v>
      </c>
      <c r="I202" s="45">
        <v>0</v>
      </c>
      <c r="J202" s="45">
        <v>0</v>
      </c>
      <c r="K202" s="45">
        <v>10343.700000000001</v>
      </c>
      <c r="L202" s="45">
        <v>0</v>
      </c>
      <c r="M202" s="45">
        <v>0</v>
      </c>
      <c r="O202" s="45">
        <v>10192.700000000001</v>
      </c>
      <c r="P202" s="45">
        <v>0</v>
      </c>
      <c r="Q202" s="45">
        <v>0</v>
      </c>
      <c r="R202" s="45">
        <v>9904.1</v>
      </c>
      <c r="S202" s="45">
        <v>0</v>
      </c>
      <c r="T202" s="45">
        <v>0</v>
      </c>
      <c r="U202" s="45">
        <v>10287.700000000001</v>
      </c>
      <c r="V202" s="45">
        <v>0</v>
      </c>
      <c r="W202" s="45">
        <v>1</v>
      </c>
      <c r="X202" s="45">
        <v>10409.200000000001</v>
      </c>
      <c r="Y202" s="45">
        <v>0</v>
      </c>
      <c r="Z202" s="45">
        <v>0</v>
      </c>
      <c r="AB202" s="45">
        <v>10350.9</v>
      </c>
      <c r="AC202" s="45">
        <v>0</v>
      </c>
      <c r="AD202" s="45">
        <v>1</v>
      </c>
      <c r="AE202" s="45">
        <v>10834.9</v>
      </c>
      <c r="AF202" s="45">
        <v>0</v>
      </c>
      <c r="AG202" s="45">
        <v>0</v>
      </c>
      <c r="AH202" s="45">
        <v>10971.6</v>
      </c>
      <c r="AI202" s="45">
        <v>0</v>
      </c>
      <c r="AJ202" s="45">
        <v>0</v>
      </c>
      <c r="AK202" s="45">
        <v>11053.7</v>
      </c>
      <c r="AL202" s="45">
        <v>0</v>
      </c>
      <c r="AM202" s="45">
        <v>1</v>
      </c>
      <c r="AO202" s="45">
        <v>9944.1</v>
      </c>
      <c r="AP202" s="45">
        <v>0</v>
      </c>
      <c r="AQ202" s="45">
        <v>0</v>
      </c>
      <c r="AR202" s="45">
        <v>10675.9</v>
      </c>
      <c r="AS202" s="45">
        <v>0</v>
      </c>
      <c r="AT202" s="45">
        <v>1</v>
      </c>
      <c r="AU202" s="45">
        <v>10808.4</v>
      </c>
      <c r="AV202" s="45">
        <v>0</v>
      </c>
      <c r="AW202" s="45">
        <v>0</v>
      </c>
      <c r="AX202" s="45">
        <v>9904.1</v>
      </c>
      <c r="AY202" s="45">
        <v>0</v>
      </c>
      <c r="AZ202" s="45">
        <v>0</v>
      </c>
    </row>
    <row r="203" spans="2:52">
      <c r="B203" s="45">
        <v>11899.3</v>
      </c>
      <c r="C203" s="45">
        <v>0</v>
      </c>
      <c r="D203" s="45">
        <v>0</v>
      </c>
      <c r="E203" s="45">
        <v>13034.7</v>
      </c>
      <c r="F203" s="45">
        <v>0</v>
      </c>
      <c r="G203" s="45">
        <v>0</v>
      </c>
      <c r="H203" s="45">
        <v>12570.7</v>
      </c>
      <c r="I203" s="45">
        <v>0</v>
      </c>
      <c r="J203" s="45">
        <v>1</v>
      </c>
      <c r="K203" s="45">
        <v>12187.3</v>
      </c>
      <c r="L203" s="45">
        <v>0</v>
      </c>
      <c r="M203" s="45">
        <v>0</v>
      </c>
      <c r="O203" s="45">
        <v>11899.3</v>
      </c>
      <c r="P203" s="45">
        <v>0</v>
      </c>
      <c r="Q203" s="45">
        <v>0</v>
      </c>
      <c r="R203" s="45">
        <v>11923.3</v>
      </c>
      <c r="S203" s="45">
        <v>0</v>
      </c>
      <c r="T203" s="45">
        <v>0</v>
      </c>
      <c r="U203" s="45">
        <v>11843.3</v>
      </c>
      <c r="V203" s="45">
        <v>0</v>
      </c>
      <c r="W203" s="45">
        <v>1</v>
      </c>
      <c r="X203" s="45">
        <v>11843.3</v>
      </c>
      <c r="Y203" s="45">
        <v>0</v>
      </c>
      <c r="Z203" s="45">
        <v>0</v>
      </c>
      <c r="AB203" s="45">
        <v>15296</v>
      </c>
      <c r="AC203" s="45">
        <v>0</v>
      </c>
      <c r="AD203" s="45">
        <v>0</v>
      </c>
      <c r="AE203" s="45">
        <v>16102.4</v>
      </c>
      <c r="AF203" s="45">
        <v>0</v>
      </c>
      <c r="AG203" s="45">
        <v>0</v>
      </c>
      <c r="AH203" s="45">
        <v>14111.8</v>
      </c>
      <c r="AI203" s="45">
        <v>0</v>
      </c>
      <c r="AJ203" s="45">
        <v>0</v>
      </c>
      <c r="AK203" s="45">
        <v>14864.8</v>
      </c>
      <c r="AL203" s="45">
        <v>0</v>
      </c>
      <c r="AM203" s="45">
        <v>1</v>
      </c>
      <c r="AO203" s="45">
        <v>11923.3</v>
      </c>
      <c r="AP203" s="45">
        <v>0</v>
      </c>
      <c r="AQ203" s="45">
        <v>1</v>
      </c>
      <c r="AR203" s="45">
        <v>13771.7</v>
      </c>
      <c r="AS203" s="45">
        <v>0</v>
      </c>
      <c r="AT203" s="45">
        <v>0</v>
      </c>
      <c r="AU203" s="45">
        <v>12187.3</v>
      </c>
      <c r="AV203" s="45">
        <v>0</v>
      </c>
      <c r="AW203" s="45">
        <v>0</v>
      </c>
      <c r="AX203" s="45">
        <v>11899.3</v>
      </c>
      <c r="AY203" s="45">
        <v>0</v>
      </c>
      <c r="AZ203" s="45">
        <v>1</v>
      </c>
    </row>
    <row r="204" spans="2:52">
      <c r="B204" s="45">
        <v>15051.7</v>
      </c>
      <c r="C204" s="45">
        <v>0</v>
      </c>
      <c r="D204" s="45">
        <v>0</v>
      </c>
      <c r="E204" s="45">
        <v>15331.7</v>
      </c>
      <c r="F204" s="45">
        <v>0</v>
      </c>
      <c r="G204" s="45">
        <v>0</v>
      </c>
      <c r="H204" s="45">
        <v>14947.8</v>
      </c>
      <c r="I204" s="45">
        <v>0</v>
      </c>
      <c r="J204" s="45">
        <v>0</v>
      </c>
      <c r="K204" s="45">
        <v>14795.7</v>
      </c>
      <c r="L204" s="45">
        <v>0</v>
      </c>
      <c r="M204" s="45">
        <v>0</v>
      </c>
      <c r="O204" s="45">
        <v>15331.7</v>
      </c>
      <c r="P204" s="45">
        <v>0</v>
      </c>
      <c r="Q204" s="45">
        <v>0</v>
      </c>
      <c r="R204" s="45">
        <v>15688.8</v>
      </c>
      <c r="S204" s="45">
        <v>0</v>
      </c>
      <c r="T204" s="45">
        <v>1</v>
      </c>
      <c r="U204" s="45">
        <v>20039</v>
      </c>
      <c r="V204" s="45">
        <v>48</v>
      </c>
      <c r="W204" s="45">
        <v>0</v>
      </c>
      <c r="X204" s="45">
        <v>14795.7</v>
      </c>
      <c r="Y204" s="45">
        <v>0</v>
      </c>
      <c r="Z204" s="45">
        <v>1</v>
      </c>
      <c r="AB204" s="45">
        <v>17021.3</v>
      </c>
      <c r="AC204" s="45">
        <v>0</v>
      </c>
      <c r="AD204" s="45">
        <v>0</v>
      </c>
      <c r="AE204" s="45">
        <v>18027.900000000001</v>
      </c>
      <c r="AF204" s="45">
        <v>0</v>
      </c>
      <c r="AG204" s="45">
        <v>0</v>
      </c>
      <c r="AH204" s="45">
        <v>15051.7</v>
      </c>
      <c r="AI204" s="45">
        <v>0</v>
      </c>
      <c r="AJ204" s="45">
        <v>1</v>
      </c>
      <c r="AK204" s="45">
        <v>16761.900000000001</v>
      </c>
      <c r="AL204" s="45">
        <v>0</v>
      </c>
      <c r="AM204" s="45">
        <v>0</v>
      </c>
      <c r="AO204" s="45">
        <v>15598.7</v>
      </c>
      <c r="AP204" s="45">
        <v>0</v>
      </c>
      <c r="AQ204" s="45">
        <v>0</v>
      </c>
      <c r="AR204" s="45">
        <v>15051.7</v>
      </c>
      <c r="AS204" s="45">
        <v>0</v>
      </c>
      <c r="AT204" s="45">
        <v>0</v>
      </c>
      <c r="AU204" s="45">
        <v>15331.7</v>
      </c>
      <c r="AV204" s="45">
        <v>0</v>
      </c>
      <c r="AW204" s="45">
        <v>0</v>
      </c>
      <c r="AX204" s="45">
        <v>14795.7</v>
      </c>
      <c r="AY204" s="45">
        <v>0</v>
      </c>
      <c r="AZ204" s="45">
        <v>1</v>
      </c>
    </row>
    <row r="205" spans="2:52">
      <c r="B205" s="45">
        <v>13211.8</v>
      </c>
      <c r="C205" s="45">
        <v>0</v>
      </c>
      <c r="D205" s="45">
        <v>1</v>
      </c>
      <c r="E205" s="45">
        <v>12738.6</v>
      </c>
      <c r="F205" s="45">
        <v>0</v>
      </c>
      <c r="G205" s="45">
        <v>0</v>
      </c>
      <c r="H205" s="45">
        <v>13537.2</v>
      </c>
      <c r="I205" s="45">
        <v>0</v>
      </c>
      <c r="J205" s="45">
        <v>0</v>
      </c>
      <c r="K205" s="45">
        <v>13552.8</v>
      </c>
      <c r="L205" s="45">
        <v>0</v>
      </c>
      <c r="M205" s="45">
        <v>0</v>
      </c>
      <c r="O205" s="45">
        <v>13233.2</v>
      </c>
      <c r="P205" s="45">
        <v>0</v>
      </c>
      <c r="Q205" s="45">
        <v>0</v>
      </c>
      <c r="R205" s="45">
        <v>12719.6</v>
      </c>
      <c r="S205" s="45">
        <v>0</v>
      </c>
      <c r="T205" s="45">
        <v>0</v>
      </c>
      <c r="U205" s="45">
        <v>12642.6</v>
      </c>
      <c r="V205" s="45">
        <v>0</v>
      </c>
      <c r="W205" s="45">
        <v>0</v>
      </c>
      <c r="X205" s="45">
        <v>12972.6</v>
      </c>
      <c r="Y205" s="45">
        <v>0</v>
      </c>
      <c r="Z205" s="45">
        <v>1</v>
      </c>
      <c r="AB205" s="45">
        <v>14774.6</v>
      </c>
      <c r="AC205" s="45">
        <v>0</v>
      </c>
      <c r="AD205" s="45">
        <v>0</v>
      </c>
      <c r="AE205" s="45">
        <v>13968.8</v>
      </c>
      <c r="AF205" s="45">
        <v>0</v>
      </c>
      <c r="AG205" s="45">
        <v>0</v>
      </c>
      <c r="AH205" s="45">
        <v>14244.2</v>
      </c>
      <c r="AI205" s="45">
        <v>0</v>
      </c>
      <c r="AJ205" s="45">
        <v>1</v>
      </c>
      <c r="AK205" s="45">
        <v>13483.8</v>
      </c>
      <c r="AL205" s="45">
        <v>0</v>
      </c>
      <c r="AM205" s="45">
        <v>0</v>
      </c>
      <c r="AO205" s="45">
        <v>13552.9</v>
      </c>
      <c r="AP205" s="45">
        <v>0</v>
      </c>
      <c r="AQ205" s="45">
        <v>0</v>
      </c>
      <c r="AR205" s="45">
        <v>12876.6</v>
      </c>
      <c r="AS205" s="45">
        <v>0</v>
      </c>
      <c r="AT205" s="45">
        <v>0</v>
      </c>
      <c r="AU205" s="45">
        <v>13910.2</v>
      </c>
      <c r="AV205" s="45">
        <v>0</v>
      </c>
      <c r="AW205" s="45">
        <v>1</v>
      </c>
      <c r="AX205" s="45">
        <v>13211.8</v>
      </c>
      <c r="AY205" s="45">
        <v>0</v>
      </c>
      <c r="AZ205" s="45">
        <v>0</v>
      </c>
    </row>
    <row r="206" spans="2:52">
      <c r="B206" s="45">
        <v>13088.1</v>
      </c>
      <c r="C206" s="45">
        <v>0</v>
      </c>
      <c r="D206" s="45">
        <v>0</v>
      </c>
      <c r="E206" s="45">
        <v>13419.7</v>
      </c>
      <c r="F206" s="45">
        <v>0</v>
      </c>
      <c r="G206" s="45">
        <v>0</v>
      </c>
      <c r="H206" s="45">
        <v>12860.2</v>
      </c>
      <c r="I206" s="45">
        <v>0</v>
      </c>
      <c r="J206" s="45">
        <v>1</v>
      </c>
      <c r="K206" s="45">
        <v>12922.9</v>
      </c>
      <c r="L206" s="45">
        <v>0</v>
      </c>
      <c r="M206" s="45">
        <v>0</v>
      </c>
      <c r="O206" s="45">
        <v>13240.1</v>
      </c>
      <c r="P206" s="45">
        <v>0</v>
      </c>
      <c r="Q206" s="45">
        <v>0</v>
      </c>
      <c r="R206" s="45">
        <v>13978.2</v>
      </c>
      <c r="S206" s="45">
        <v>0</v>
      </c>
      <c r="T206" s="45">
        <v>0</v>
      </c>
      <c r="U206" s="45">
        <v>13075.3</v>
      </c>
      <c r="V206" s="45">
        <v>0</v>
      </c>
      <c r="W206" s="45">
        <v>1</v>
      </c>
      <c r="X206" s="45">
        <v>13058.9</v>
      </c>
      <c r="Y206" s="45">
        <v>0</v>
      </c>
      <c r="Z206" s="45">
        <v>0</v>
      </c>
      <c r="AB206" s="45">
        <v>14305.4</v>
      </c>
      <c r="AC206" s="45">
        <v>0</v>
      </c>
      <c r="AD206" s="45">
        <v>0</v>
      </c>
      <c r="AE206" s="45">
        <v>14812.9</v>
      </c>
      <c r="AF206" s="45">
        <v>0</v>
      </c>
      <c r="AG206" s="45">
        <v>0</v>
      </c>
      <c r="AH206" s="45">
        <v>14977</v>
      </c>
      <c r="AI206" s="45">
        <v>0</v>
      </c>
      <c r="AJ206" s="45">
        <v>1</v>
      </c>
      <c r="AK206" s="45">
        <v>14175.5</v>
      </c>
      <c r="AL206" s="45">
        <v>0</v>
      </c>
      <c r="AM206" s="45">
        <v>0</v>
      </c>
      <c r="AO206" s="45">
        <v>13925.6</v>
      </c>
      <c r="AP206" s="45">
        <v>0</v>
      </c>
      <c r="AQ206" s="45">
        <v>0</v>
      </c>
      <c r="AR206" s="45">
        <v>13759.9</v>
      </c>
      <c r="AS206" s="45">
        <v>0</v>
      </c>
      <c r="AT206" s="45">
        <v>0</v>
      </c>
      <c r="AU206" s="45">
        <v>13292.2</v>
      </c>
      <c r="AV206" s="45">
        <v>0</v>
      </c>
      <c r="AW206" s="45">
        <v>1</v>
      </c>
      <c r="AX206" s="45">
        <v>13292.2</v>
      </c>
      <c r="AY206" s="45">
        <v>0</v>
      </c>
      <c r="AZ206" s="45">
        <v>0</v>
      </c>
    </row>
    <row r="207" spans="2:52">
      <c r="B207" s="45">
        <v>10684.4</v>
      </c>
      <c r="C207" s="45">
        <v>0</v>
      </c>
      <c r="D207" s="45">
        <v>0</v>
      </c>
      <c r="E207" s="45">
        <v>10019.799999999999</v>
      </c>
      <c r="F207" s="45">
        <v>0</v>
      </c>
      <c r="G207" s="45">
        <v>0</v>
      </c>
      <c r="H207" s="45">
        <v>10330.200000000001</v>
      </c>
      <c r="I207" s="45">
        <v>0</v>
      </c>
      <c r="J207" s="45">
        <v>0</v>
      </c>
      <c r="K207" s="45">
        <v>11810.8</v>
      </c>
      <c r="L207" s="45">
        <v>22</v>
      </c>
      <c r="M207" s="45">
        <v>0</v>
      </c>
      <c r="O207" s="45">
        <v>10483</v>
      </c>
      <c r="P207" s="45">
        <v>0</v>
      </c>
      <c r="Q207" s="45">
        <v>0</v>
      </c>
      <c r="R207" s="45">
        <v>9986.2999999999993</v>
      </c>
      <c r="S207" s="45">
        <v>0</v>
      </c>
      <c r="T207" s="45">
        <v>0</v>
      </c>
      <c r="U207" s="45">
        <v>9794.2999999999993</v>
      </c>
      <c r="V207" s="45">
        <v>0</v>
      </c>
      <c r="W207" s="45">
        <v>1</v>
      </c>
      <c r="X207" s="45">
        <v>9794.2999999999993</v>
      </c>
      <c r="Y207" s="45">
        <v>0</v>
      </c>
      <c r="Z207" s="45">
        <v>0</v>
      </c>
      <c r="AB207" s="45">
        <v>11001.9</v>
      </c>
      <c r="AC207" s="45">
        <v>0</v>
      </c>
      <c r="AD207" s="45">
        <v>0</v>
      </c>
      <c r="AE207" s="45">
        <v>11030.1</v>
      </c>
      <c r="AF207" s="45">
        <v>0</v>
      </c>
      <c r="AG207" s="45">
        <v>1</v>
      </c>
      <c r="AH207" s="45">
        <v>12662.7</v>
      </c>
      <c r="AI207" s="45">
        <v>0</v>
      </c>
      <c r="AJ207" s="45">
        <v>0</v>
      </c>
      <c r="AK207" s="45">
        <v>11527.4</v>
      </c>
      <c r="AL207" s="45">
        <v>0</v>
      </c>
      <c r="AM207" s="45">
        <v>0</v>
      </c>
      <c r="AO207" s="45">
        <v>10458.5</v>
      </c>
      <c r="AP207" s="45">
        <v>0</v>
      </c>
      <c r="AQ207" s="45">
        <v>0</v>
      </c>
      <c r="AR207" s="45">
        <v>10684.4</v>
      </c>
      <c r="AS207" s="45">
        <v>0</v>
      </c>
      <c r="AT207" s="45">
        <v>1</v>
      </c>
      <c r="AU207" s="45">
        <v>10212.200000000001</v>
      </c>
      <c r="AV207" s="45">
        <v>0</v>
      </c>
      <c r="AW207" s="45">
        <v>0</v>
      </c>
      <c r="AX207" s="45">
        <v>11529.7</v>
      </c>
      <c r="AY207" s="45">
        <v>11</v>
      </c>
      <c r="AZ207" s="45">
        <v>0</v>
      </c>
    </row>
    <row r="208" spans="2:52">
      <c r="B208" s="45">
        <v>13412</v>
      </c>
      <c r="C208" s="45">
        <v>0</v>
      </c>
      <c r="D208" s="45">
        <v>1</v>
      </c>
      <c r="E208" s="45">
        <v>13422.8</v>
      </c>
      <c r="F208" s="45">
        <v>0</v>
      </c>
      <c r="G208" s="45">
        <v>0</v>
      </c>
      <c r="H208" s="45">
        <v>13878</v>
      </c>
      <c r="I208" s="45">
        <v>0</v>
      </c>
      <c r="J208" s="45">
        <v>0</v>
      </c>
      <c r="K208" s="45">
        <v>13479.9</v>
      </c>
      <c r="L208" s="45">
        <v>0</v>
      </c>
      <c r="M208" s="45">
        <v>0</v>
      </c>
      <c r="O208" s="45">
        <v>13479.9</v>
      </c>
      <c r="P208" s="45">
        <v>0</v>
      </c>
      <c r="Q208" s="45">
        <v>0</v>
      </c>
      <c r="R208" s="45">
        <v>14104.7</v>
      </c>
      <c r="S208" s="45">
        <v>0</v>
      </c>
      <c r="T208" s="45">
        <v>1</v>
      </c>
      <c r="U208" s="45">
        <v>13294.8</v>
      </c>
      <c r="V208" s="45">
        <v>0</v>
      </c>
      <c r="W208" s="45">
        <v>0</v>
      </c>
      <c r="X208" s="45">
        <v>13086.8</v>
      </c>
      <c r="Y208" s="45">
        <v>0</v>
      </c>
      <c r="Z208" s="45">
        <v>0</v>
      </c>
      <c r="AB208" s="45">
        <v>15906.1</v>
      </c>
      <c r="AC208" s="45">
        <v>0</v>
      </c>
      <c r="AD208" s="45">
        <v>0</v>
      </c>
      <c r="AE208" s="45">
        <v>14996</v>
      </c>
      <c r="AF208" s="45">
        <v>0</v>
      </c>
      <c r="AG208" s="45">
        <v>1</v>
      </c>
      <c r="AH208" s="45">
        <v>14176</v>
      </c>
      <c r="AI208" s="45">
        <v>0</v>
      </c>
      <c r="AJ208" s="45">
        <v>0</v>
      </c>
      <c r="AK208" s="45">
        <v>15582.1</v>
      </c>
      <c r="AL208" s="45">
        <v>0</v>
      </c>
      <c r="AM208" s="45">
        <v>0</v>
      </c>
      <c r="AO208" s="45">
        <v>13086.8</v>
      </c>
      <c r="AP208" s="45">
        <v>0</v>
      </c>
      <c r="AQ208" s="45">
        <v>1</v>
      </c>
      <c r="AR208" s="45">
        <v>14996</v>
      </c>
      <c r="AS208" s="45">
        <v>0</v>
      </c>
      <c r="AT208" s="45">
        <v>0</v>
      </c>
      <c r="AU208" s="45">
        <v>14936.8</v>
      </c>
      <c r="AV208" s="45">
        <v>0</v>
      </c>
      <c r="AW208" s="45">
        <v>0</v>
      </c>
      <c r="AX208" s="45">
        <v>13430.8</v>
      </c>
      <c r="AY208" s="45">
        <v>0</v>
      </c>
      <c r="AZ208" s="45">
        <v>1</v>
      </c>
    </row>
    <row r="209" spans="2:52">
      <c r="B209" s="45">
        <v>10122.700000000001</v>
      </c>
      <c r="C209" s="45">
        <v>0</v>
      </c>
      <c r="D209" s="45">
        <v>0</v>
      </c>
      <c r="E209" s="45">
        <v>10164.299999999999</v>
      </c>
      <c r="F209" s="45">
        <v>0</v>
      </c>
      <c r="G209" s="45">
        <v>0</v>
      </c>
      <c r="H209" s="45">
        <v>10172.9</v>
      </c>
      <c r="I209" s="45">
        <v>0</v>
      </c>
      <c r="J209" s="45">
        <v>0</v>
      </c>
      <c r="K209" s="45">
        <v>10306.5</v>
      </c>
      <c r="L209" s="45">
        <v>0</v>
      </c>
      <c r="M209" s="45">
        <v>1</v>
      </c>
      <c r="O209" s="45">
        <v>10266.5</v>
      </c>
      <c r="P209" s="45">
        <v>0</v>
      </c>
      <c r="Q209" s="45">
        <v>1</v>
      </c>
      <c r="R209" s="45">
        <v>10105.5</v>
      </c>
      <c r="S209" s="45">
        <v>0</v>
      </c>
      <c r="T209" s="45">
        <v>0</v>
      </c>
      <c r="U209" s="45">
        <v>10164.299999999999</v>
      </c>
      <c r="V209" s="45">
        <v>0</v>
      </c>
      <c r="W209" s="45">
        <v>0</v>
      </c>
      <c r="X209" s="45">
        <v>10020.299999999999</v>
      </c>
      <c r="Y209" s="45">
        <v>0</v>
      </c>
      <c r="Z209" s="45">
        <v>0</v>
      </c>
      <c r="AB209" s="45">
        <v>12359</v>
      </c>
      <c r="AC209" s="45">
        <v>0</v>
      </c>
      <c r="AD209" s="45">
        <v>1</v>
      </c>
      <c r="AE209" s="45">
        <v>11193.9</v>
      </c>
      <c r="AF209" s="45">
        <v>0</v>
      </c>
      <c r="AG209" s="45">
        <v>0</v>
      </c>
      <c r="AH209" s="45">
        <v>11599.7</v>
      </c>
      <c r="AI209" s="45">
        <v>0</v>
      </c>
      <c r="AJ209" s="45">
        <v>0</v>
      </c>
      <c r="AK209" s="45">
        <v>11195.9</v>
      </c>
      <c r="AL209" s="45">
        <v>0</v>
      </c>
      <c r="AM209" s="45">
        <v>0</v>
      </c>
      <c r="AO209" s="45">
        <v>10724.7</v>
      </c>
      <c r="AP209" s="45">
        <v>0</v>
      </c>
      <c r="AQ209" s="45">
        <v>0</v>
      </c>
      <c r="AR209" s="45">
        <v>10676.7</v>
      </c>
      <c r="AS209" s="45">
        <v>0</v>
      </c>
      <c r="AT209" s="45">
        <v>0</v>
      </c>
      <c r="AU209" s="45">
        <v>10060.299999999999</v>
      </c>
      <c r="AV209" s="45">
        <v>0</v>
      </c>
      <c r="AW209" s="45">
        <v>0</v>
      </c>
      <c r="AX209" s="45">
        <v>10060.299999999999</v>
      </c>
      <c r="AY209" s="45">
        <v>0</v>
      </c>
      <c r="AZ209" s="45">
        <v>1</v>
      </c>
    </row>
    <row r="210" spans="2:52">
      <c r="B210" s="45">
        <v>8057.6</v>
      </c>
      <c r="C210" s="45">
        <v>0</v>
      </c>
      <c r="D210" s="45">
        <v>0</v>
      </c>
      <c r="E210" s="45">
        <v>8452.6</v>
      </c>
      <c r="F210" s="45">
        <v>0</v>
      </c>
      <c r="G210" s="45">
        <v>0</v>
      </c>
      <c r="H210" s="45">
        <v>8622.2000000000007</v>
      </c>
      <c r="I210" s="45">
        <v>0</v>
      </c>
      <c r="J210" s="45">
        <v>0</v>
      </c>
      <c r="K210" s="45">
        <v>8378.6</v>
      </c>
      <c r="L210" s="45">
        <v>0</v>
      </c>
      <c r="M210" s="45">
        <v>0</v>
      </c>
      <c r="O210" s="45">
        <v>8873</v>
      </c>
      <c r="P210" s="45">
        <v>4</v>
      </c>
      <c r="Q210" s="45">
        <v>1</v>
      </c>
      <c r="R210" s="45">
        <v>8749.6</v>
      </c>
      <c r="S210" s="45">
        <v>0</v>
      </c>
      <c r="T210" s="45">
        <v>0</v>
      </c>
      <c r="U210" s="45">
        <v>8225</v>
      </c>
      <c r="V210" s="45">
        <v>0</v>
      </c>
      <c r="W210" s="45">
        <v>0</v>
      </c>
      <c r="X210" s="45">
        <v>7961.6</v>
      </c>
      <c r="Y210" s="45">
        <v>0</v>
      </c>
      <c r="Z210" s="45">
        <v>1</v>
      </c>
      <c r="AB210" s="45">
        <v>9262.7000000000007</v>
      </c>
      <c r="AC210" s="45">
        <v>0</v>
      </c>
      <c r="AD210" s="45">
        <v>1</v>
      </c>
      <c r="AE210" s="45">
        <v>9080.7999999999993</v>
      </c>
      <c r="AF210" s="45">
        <v>0</v>
      </c>
      <c r="AG210" s="45">
        <v>0</v>
      </c>
      <c r="AH210" s="45">
        <v>9741.7999999999993</v>
      </c>
      <c r="AI210" s="45">
        <v>0</v>
      </c>
      <c r="AJ210" s="45">
        <v>0</v>
      </c>
      <c r="AK210" s="45">
        <v>8622.2000000000007</v>
      </c>
      <c r="AL210" s="45">
        <v>0</v>
      </c>
      <c r="AM210" s="45">
        <v>1</v>
      </c>
      <c r="AO210" s="45">
        <v>8723.7999999999993</v>
      </c>
      <c r="AP210" s="45">
        <v>0</v>
      </c>
      <c r="AQ210" s="45">
        <v>0</v>
      </c>
      <c r="AR210" s="45">
        <v>8750</v>
      </c>
      <c r="AS210" s="45">
        <v>0</v>
      </c>
      <c r="AT210" s="45">
        <v>0</v>
      </c>
      <c r="AU210" s="45">
        <v>8446.2999999999993</v>
      </c>
      <c r="AV210" s="45">
        <v>0</v>
      </c>
      <c r="AW210" s="45">
        <v>1</v>
      </c>
      <c r="AX210" s="45">
        <v>8416.7999999999993</v>
      </c>
      <c r="AY210" s="45">
        <v>0</v>
      </c>
      <c r="AZ210" s="45">
        <v>0</v>
      </c>
    </row>
    <row r="211" spans="2:52">
      <c r="B211" s="45">
        <v>10937.6</v>
      </c>
      <c r="C211" s="45">
        <v>0</v>
      </c>
      <c r="D211" s="45">
        <v>0</v>
      </c>
      <c r="E211" s="45">
        <v>10775.7</v>
      </c>
      <c r="F211" s="45">
        <v>0</v>
      </c>
      <c r="G211" s="45">
        <v>0</v>
      </c>
      <c r="H211" s="45">
        <v>10971.7</v>
      </c>
      <c r="I211" s="45">
        <v>0</v>
      </c>
      <c r="J211" s="45">
        <v>1</v>
      </c>
      <c r="K211" s="45">
        <v>10988.3</v>
      </c>
      <c r="L211" s="45">
        <v>0</v>
      </c>
      <c r="M211" s="45">
        <v>0</v>
      </c>
      <c r="O211" s="45">
        <v>12266.8</v>
      </c>
      <c r="P211" s="45">
        <v>0</v>
      </c>
      <c r="Q211" s="45">
        <v>0</v>
      </c>
      <c r="R211" s="45">
        <v>11017.6</v>
      </c>
      <c r="S211" s="45">
        <v>0</v>
      </c>
      <c r="T211" s="45">
        <v>0</v>
      </c>
      <c r="U211" s="45">
        <v>10092.1</v>
      </c>
      <c r="V211" s="45">
        <v>0</v>
      </c>
      <c r="W211" s="45">
        <v>1</v>
      </c>
      <c r="X211" s="45">
        <v>10937.6</v>
      </c>
      <c r="Y211" s="45">
        <v>0</v>
      </c>
      <c r="Z211" s="45">
        <v>0</v>
      </c>
      <c r="AB211" s="45">
        <v>13641.5</v>
      </c>
      <c r="AC211" s="45">
        <v>0</v>
      </c>
      <c r="AD211" s="45">
        <v>0</v>
      </c>
      <c r="AE211" s="45">
        <v>12331.3</v>
      </c>
      <c r="AF211" s="45">
        <v>0</v>
      </c>
      <c r="AG211" s="45">
        <v>0</v>
      </c>
      <c r="AH211" s="45">
        <v>13110.4</v>
      </c>
      <c r="AI211" s="45">
        <v>0</v>
      </c>
      <c r="AJ211" s="45">
        <v>0</v>
      </c>
      <c r="AK211" s="45">
        <v>13266.8</v>
      </c>
      <c r="AL211" s="45">
        <v>0</v>
      </c>
      <c r="AM211" s="45">
        <v>1</v>
      </c>
      <c r="AO211" s="45">
        <v>11819.8</v>
      </c>
      <c r="AP211" s="45">
        <v>0</v>
      </c>
      <c r="AQ211" s="45">
        <v>0</v>
      </c>
      <c r="AR211" s="45">
        <v>11422.9</v>
      </c>
      <c r="AS211" s="45">
        <v>0</v>
      </c>
      <c r="AT211" s="45">
        <v>1</v>
      </c>
      <c r="AU211" s="45">
        <v>12137.2</v>
      </c>
      <c r="AV211" s="45">
        <v>0</v>
      </c>
      <c r="AW211" s="45">
        <v>0</v>
      </c>
      <c r="AX211" s="45">
        <v>11366.9</v>
      </c>
      <c r="AY211" s="45">
        <v>0</v>
      </c>
      <c r="AZ211" s="45">
        <v>0</v>
      </c>
    </row>
    <row r="212" spans="2:52">
      <c r="B212" s="45">
        <v>12414</v>
      </c>
      <c r="C212" s="45">
        <v>0</v>
      </c>
      <c r="D212" s="45">
        <v>0</v>
      </c>
      <c r="E212" s="45">
        <v>12553.2</v>
      </c>
      <c r="F212" s="45">
        <v>0</v>
      </c>
      <c r="G212" s="45">
        <v>0</v>
      </c>
      <c r="H212" s="45">
        <v>12591.8</v>
      </c>
      <c r="I212" s="45">
        <v>2</v>
      </c>
      <c r="J212" s="45">
        <v>0</v>
      </c>
      <c r="K212" s="45">
        <v>12291.8</v>
      </c>
      <c r="L212" s="45">
        <v>3</v>
      </c>
      <c r="M212" s="45">
        <v>0</v>
      </c>
      <c r="O212" s="45">
        <v>12388.3</v>
      </c>
      <c r="P212" s="45">
        <v>0</v>
      </c>
      <c r="Q212" s="45">
        <v>0</v>
      </c>
      <c r="R212" s="45">
        <v>12062</v>
      </c>
      <c r="S212" s="45">
        <v>0</v>
      </c>
      <c r="T212" s="45">
        <v>0</v>
      </c>
      <c r="U212" s="45">
        <v>12044.3</v>
      </c>
      <c r="V212" s="45">
        <v>0</v>
      </c>
      <c r="W212" s="45">
        <v>1</v>
      </c>
      <c r="X212" s="45">
        <v>13343.8</v>
      </c>
      <c r="Y212" s="45">
        <v>10</v>
      </c>
      <c r="Z212" s="45">
        <v>0</v>
      </c>
      <c r="AB212" s="45">
        <v>12452.3</v>
      </c>
      <c r="AC212" s="45">
        <v>0</v>
      </c>
      <c r="AD212" s="45">
        <v>0</v>
      </c>
      <c r="AE212" s="45">
        <v>14152.9</v>
      </c>
      <c r="AF212" s="45">
        <v>0</v>
      </c>
      <c r="AG212" s="45">
        <v>0</v>
      </c>
      <c r="AH212" s="45">
        <v>12444.3</v>
      </c>
      <c r="AI212" s="45">
        <v>0</v>
      </c>
      <c r="AJ212" s="45">
        <v>0</v>
      </c>
      <c r="AK212" s="45">
        <v>12981.6</v>
      </c>
      <c r="AL212" s="45">
        <v>0</v>
      </c>
      <c r="AM212" s="45">
        <v>1</v>
      </c>
      <c r="AO212" s="45">
        <v>12044.3</v>
      </c>
      <c r="AP212" s="45">
        <v>0</v>
      </c>
      <c r="AQ212" s="45">
        <v>0</v>
      </c>
      <c r="AR212" s="45">
        <v>12655.8</v>
      </c>
      <c r="AS212" s="45">
        <v>0</v>
      </c>
      <c r="AT212" s="45">
        <v>1</v>
      </c>
      <c r="AU212" s="45">
        <v>12891.8</v>
      </c>
      <c r="AV212" s="45">
        <v>9</v>
      </c>
      <c r="AW212" s="45">
        <v>0</v>
      </c>
      <c r="AX212" s="45">
        <v>12553.2</v>
      </c>
      <c r="AY212" s="45">
        <v>0</v>
      </c>
      <c r="AZ212" s="45">
        <v>0</v>
      </c>
    </row>
    <row r="213" spans="2:52">
      <c r="B213" s="45">
        <v>9396.7000000000007</v>
      </c>
      <c r="C213" s="45">
        <v>0</v>
      </c>
      <c r="D213" s="45">
        <v>1</v>
      </c>
      <c r="E213" s="45">
        <v>11211.7</v>
      </c>
      <c r="F213" s="45">
        <v>15</v>
      </c>
      <c r="G213" s="45">
        <v>0</v>
      </c>
      <c r="H213" s="45">
        <v>15864.8</v>
      </c>
      <c r="I213" s="45">
        <v>69</v>
      </c>
      <c r="J213" s="45">
        <v>0</v>
      </c>
      <c r="K213" s="45">
        <v>9292.7000000000007</v>
      </c>
      <c r="L213" s="45">
        <v>0</v>
      </c>
      <c r="M213" s="45">
        <v>0</v>
      </c>
      <c r="O213" s="45">
        <v>10421.6</v>
      </c>
      <c r="P213" s="45">
        <v>0</v>
      </c>
      <c r="Q213" s="45">
        <v>0</v>
      </c>
      <c r="R213" s="45">
        <v>11539.7</v>
      </c>
      <c r="S213" s="45">
        <v>15</v>
      </c>
      <c r="T213" s="45">
        <v>1</v>
      </c>
      <c r="U213" s="45">
        <v>9036.7000000000007</v>
      </c>
      <c r="V213" s="45">
        <v>0</v>
      </c>
      <c r="W213" s="45">
        <v>0</v>
      </c>
      <c r="X213" s="45">
        <v>9036.7000000000007</v>
      </c>
      <c r="Y213" s="45">
        <v>0</v>
      </c>
      <c r="Z213" s="45">
        <v>0</v>
      </c>
      <c r="AB213" s="45">
        <v>11038.9</v>
      </c>
      <c r="AC213" s="45">
        <v>0</v>
      </c>
      <c r="AD213" s="45">
        <v>0</v>
      </c>
      <c r="AE213" s="45">
        <v>10292.799999999999</v>
      </c>
      <c r="AF213" s="45">
        <v>0</v>
      </c>
      <c r="AG213" s="45">
        <v>0</v>
      </c>
      <c r="AH213" s="45">
        <v>10803.9</v>
      </c>
      <c r="AI213" s="45">
        <v>0</v>
      </c>
      <c r="AJ213" s="45">
        <v>1</v>
      </c>
      <c r="AK213" s="45">
        <v>11247.1</v>
      </c>
      <c r="AL213" s="45">
        <v>0</v>
      </c>
      <c r="AM213" s="45">
        <v>0</v>
      </c>
      <c r="AO213" s="45">
        <v>9036.7000000000007</v>
      </c>
      <c r="AP213" s="45">
        <v>0</v>
      </c>
      <c r="AQ213" s="45">
        <v>1</v>
      </c>
      <c r="AR213" s="45">
        <v>10221.5</v>
      </c>
      <c r="AS213" s="45">
        <v>0</v>
      </c>
      <c r="AT213" s="45">
        <v>0</v>
      </c>
      <c r="AU213" s="45">
        <v>10071.700000000001</v>
      </c>
      <c r="AV213" s="45">
        <v>0</v>
      </c>
      <c r="AW213" s="45">
        <v>0</v>
      </c>
      <c r="AX213" s="45">
        <v>9967.7000000000007</v>
      </c>
      <c r="AY213" s="45">
        <v>0</v>
      </c>
      <c r="AZ213" s="45">
        <v>1</v>
      </c>
    </row>
    <row r="214" spans="2:52">
      <c r="B214" s="45">
        <v>11083.6</v>
      </c>
      <c r="C214" s="45">
        <v>0</v>
      </c>
      <c r="D214" s="45">
        <v>0</v>
      </c>
      <c r="E214" s="45">
        <v>10474.799999999999</v>
      </c>
      <c r="F214" s="45">
        <v>0</v>
      </c>
      <c r="G214" s="45">
        <v>1</v>
      </c>
      <c r="H214" s="45">
        <v>11270.7</v>
      </c>
      <c r="I214" s="45">
        <v>0</v>
      </c>
      <c r="J214" s="45">
        <v>0</v>
      </c>
      <c r="K214" s="45">
        <v>11270.7</v>
      </c>
      <c r="L214" s="45">
        <v>0</v>
      </c>
      <c r="M214" s="45">
        <v>0</v>
      </c>
      <c r="O214" s="45">
        <v>10658.8</v>
      </c>
      <c r="P214" s="45">
        <v>0</v>
      </c>
      <c r="Q214" s="45">
        <v>1</v>
      </c>
      <c r="R214" s="45">
        <v>10658.8</v>
      </c>
      <c r="S214" s="45">
        <v>0</v>
      </c>
      <c r="T214" s="45">
        <v>0</v>
      </c>
      <c r="U214" s="45">
        <v>10546.8</v>
      </c>
      <c r="V214" s="45">
        <v>0</v>
      </c>
      <c r="W214" s="45">
        <v>0</v>
      </c>
      <c r="X214" s="45">
        <v>11011.6</v>
      </c>
      <c r="Y214" s="45">
        <v>0</v>
      </c>
      <c r="Z214" s="45">
        <v>1</v>
      </c>
      <c r="AB214" s="45">
        <v>11813.4</v>
      </c>
      <c r="AC214" s="45">
        <v>0</v>
      </c>
      <c r="AD214" s="45">
        <v>0</v>
      </c>
      <c r="AE214" s="45">
        <v>11812.7</v>
      </c>
      <c r="AF214" s="45">
        <v>0</v>
      </c>
      <c r="AG214" s="45">
        <v>0</v>
      </c>
      <c r="AH214" s="45">
        <v>11270.7</v>
      </c>
      <c r="AI214" s="45">
        <v>0</v>
      </c>
      <c r="AJ214" s="45">
        <v>1</v>
      </c>
      <c r="AK214" s="45">
        <v>12981.5</v>
      </c>
      <c r="AL214" s="45">
        <v>0</v>
      </c>
      <c r="AM214" s="45">
        <v>0</v>
      </c>
      <c r="AO214" s="45">
        <v>11270.7</v>
      </c>
      <c r="AP214" s="45">
        <v>0</v>
      </c>
      <c r="AQ214" s="45">
        <v>0</v>
      </c>
      <c r="AR214" s="45">
        <v>10458.799999999999</v>
      </c>
      <c r="AS214" s="45">
        <v>0</v>
      </c>
      <c r="AT214" s="45">
        <v>0</v>
      </c>
      <c r="AU214" s="45">
        <v>11305.5</v>
      </c>
      <c r="AV214" s="45">
        <v>0</v>
      </c>
      <c r="AW214" s="45">
        <v>0</v>
      </c>
      <c r="AX214" s="45">
        <v>11869.2</v>
      </c>
      <c r="AY214" s="45">
        <v>0</v>
      </c>
      <c r="AZ214" s="45">
        <v>1</v>
      </c>
    </row>
    <row r="215" spans="2:52">
      <c r="B215" s="45">
        <v>12336.6</v>
      </c>
      <c r="C215" s="45">
        <v>0</v>
      </c>
      <c r="D215" s="45">
        <v>0</v>
      </c>
      <c r="E215" s="45">
        <v>12106.5</v>
      </c>
      <c r="F215" s="45">
        <v>0</v>
      </c>
      <c r="G215" s="45">
        <v>0</v>
      </c>
      <c r="H215" s="45">
        <v>12138.5</v>
      </c>
      <c r="I215" s="45">
        <v>0</v>
      </c>
      <c r="J215" s="45">
        <v>0</v>
      </c>
      <c r="K215" s="45">
        <v>12667.9</v>
      </c>
      <c r="L215" s="45">
        <v>0</v>
      </c>
      <c r="M215" s="45">
        <v>1</v>
      </c>
      <c r="O215" s="45">
        <v>13372.5</v>
      </c>
      <c r="P215" s="45">
        <v>0</v>
      </c>
      <c r="Q215" s="45">
        <v>0</v>
      </c>
      <c r="R215" s="45">
        <v>12601.5</v>
      </c>
      <c r="S215" s="45">
        <v>0</v>
      </c>
      <c r="T215" s="45">
        <v>0</v>
      </c>
      <c r="U215" s="45">
        <v>12138.5</v>
      </c>
      <c r="V215" s="45">
        <v>0</v>
      </c>
      <c r="W215" s="45">
        <v>0</v>
      </c>
      <c r="X215" s="45">
        <v>12186.5</v>
      </c>
      <c r="Y215" s="45">
        <v>0</v>
      </c>
      <c r="Z215" s="45">
        <v>1</v>
      </c>
      <c r="AB215" s="45">
        <v>13289.3</v>
      </c>
      <c r="AC215" s="45">
        <v>0</v>
      </c>
      <c r="AD215" s="45">
        <v>0</v>
      </c>
      <c r="AE215" s="45">
        <v>12959.5</v>
      </c>
      <c r="AF215" s="45">
        <v>0</v>
      </c>
      <c r="AG215" s="45">
        <v>1</v>
      </c>
      <c r="AH215" s="45">
        <v>14058.7</v>
      </c>
      <c r="AI215" s="45">
        <v>0</v>
      </c>
      <c r="AJ215" s="45">
        <v>0</v>
      </c>
      <c r="AK215" s="45">
        <v>12986.4</v>
      </c>
      <c r="AL215" s="45">
        <v>0</v>
      </c>
      <c r="AM215" s="45">
        <v>0</v>
      </c>
      <c r="AO215" s="45">
        <v>12986.4</v>
      </c>
      <c r="AP215" s="45">
        <v>0</v>
      </c>
      <c r="AQ215" s="45">
        <v>0</v>
      </c>
      <c r="AR215" s="45">
        <v>12888.5</v>
      </c>
      <c r="AS215" s="45">
        <v>0</v>
      </c>
      <c r="AT215" s="45">
        <v>0</v>
      </c>
      <c r="AU215" s="45">
        <v>12776.9</v>
      </c>
      <c r="AV215" s="45">
        <v>0</v>
      </c>
      <c r="AW215" s="45">
        <v>1</v>
      </c>
      <c r="AX215" s="45">
        <v>12888.5</v>
      </c>
      <c r="AY215" s="45">
        <v>0</v>
      </c>
      <c r="AZ215" s="45">
        <v>0</v>
      </c>
    </row>
    <row r="216" spans="2:52">
      <c r="B216" s="45">
        <v>10337.1</v>
      </c>
      <c r="C216" s="45">
        <v>20</v>
      </c>
      <c r="D216" s="45">
        <v>0</v>
      </c>
      <c r="E216" s="45">
        <v>10286.4</v>
      </c>
      <c r="F216" s="45">
        <v>20</v>
      </c>
      <c r="G216" s="45">
        <v>0</v>
      </c>
      <c r="H216" s="45">
        <v>8455.4</v>
      </c>
      <c r="I216" s="45">
        <v>0</v>
      </c>
      <c r="J216" s="45">
        <v>0</v>
      </c>
      <c r="K216" s="45">
        <v>8645.2999999999993</v>
      </c>
      <c r="L216" s="45">
        <v>0</v>
      </c>
      <c r="M216" s="45">
        <v>0</v>
      </c>
      <c r="O216" s="45">
        <v>9787</v>
      </c>
      <c r="P216" s="45">
        <v>18</v>
      </c>
      <c r="Q216" s="45">
        <v>0</v>
      </c>
      <c r="R216" s="45">
        <v>8547.1</v>
      </c>
      <c r="S216" s="45">
        <v>0</v>
      </c>
      <c r="T216" s="45">
        <v>0</v>
      </c>
      <c r="U216" s="45">
        <v>8377.1</v>
      </c>
      <c r="V216" s="45">
        <v>0</v>
      </c>
      <c r="W216" s="45">
        <v>1</v>
      </c>
      <c r="X216" s="45">
        <v>9747</v>
      </c>
      <c r="Y216" s="45">
        <v>18</v>
      </c>
      <c r="Z216" s="45">
        <v>0</v>
      </c>
      <c r="AB216" s="45">
        <v>9048.7999999999993</v>
      </c>
      <c r="AC216" s="45">
        <v>0</v>
      </c>
      <c r="AD216" s="45">
        <v>1</v>
      </c>
      <c r="AE216" s="45">
        <v>9867.9</v>
      </c>
      <c r="AF216" s="45">
        <v>0</v>
      </c>
      <c r="AG216" s="45">
        <v>0</v>
      </c>
      <c r="AH216" s="45">
        <v>8539.1</v>
      </c>
      <c r="AI216" s="45">
        <v>0</v>
      </c>
      <c r="AJ216" s="45">
        <v>0</v>
      </c>
      <c r="AK216" s="45">
        <v>8871.6</v>
      </c>
      <c r="AL216" s="45">
        <v>0</v>
      </c>
      <c r="AM216" s="45">
        <v>0</v>
      </c>
      <c r="AO216" s="45">
        <v>10853.4</v>
      </c>
      <c r="AP216" s="45">
        <v>20</v>
      </c>
      <c r="AQ216" s="45">
        <v>0</v>
      </c>
      <c r="AR216" s="45">
        <v>12261.8</v>
      </c>
      <c r="AS216" s="45">
        <v>37</v>
      </c>
      <c r="AT216" s="45">
        <v>1</v>
      </c>
      <c r="AU216" s="45">
        <v>10137.1</v>
      </c>
      <c r="AV216" s="45">
        <v>18</v>
      </c>
      <c r="AW216" s="45">
        <v>0</v>
      </c>
      <c r="AX216" s="45">
        <v>8131</v>
      </c>
      <c r="AY216" s="45">
        <v>0</v>
      </c>
      <c r="AZ216" s="45">
        <v>0</v>
      </c>
    </row>
    <row r="217" spans="2:52">
      <c r="B217" s="45">
        <v>9700.4</v>
      </c>
      <c r="C217" s="45">
        <v>0</v>
      </c>
      <c r="D217" s="45">
        <v>0</v>
      </c>
      <c r="E217" s="45">
        <v>9262.9</v>
      </c>
      <c r="F217" s="45">
        <v>0</v>
      </c>
      <c r="G217" s="45">
        <v>1</v>
      </c>
      <c r="H217" s="45">
        <v>9158.9</v>
      </c>
      <c r="I217" s="45">
        <v>0</v>
      </c>
      <c r="J217" s="45">
        <v>0</v>
      </c>
      <c r="K217" s="45">
        <v>9199.9</v>
      </c>
      <c r="L217" s="45">
        <v>0</v>
      </c>
      <c r="M217" s="45">
        <v>0</v>
      </c>
      <c r="O217" s="45">
        <v>8995.1</v>
      </c>
      <c r="P217" s="45">
        <v>0</v>
      </c>
      <c r="Q217" s="45">
        <v>0</v>
      </c>
      <c r="R217" s="45">
        <v>9095.9</v>
      </c>
      <c r="S217" s="45">
        <v>0</v>
      </c>
      <c r="T217" s="45">
        <v>1</v>
      </c>
      <c r="U217" s="45">
        <v>8947.1</v>
      </c>
      <c r="V217" s="45">
        <v>0</v>
      </c>
      <c r="W217" s="45">
        <v>0</v>
      </c>
      <c r="X217" s="45">
        <v>9059.1</v>
      </c>
      <c r="Y217" s="45">
        <v>0</v>
      </c>
      <c r="Z217" s="45">
        <v>0</v>
      </c>
      <c r="AB217" s="45">
        <v>11958.8</v>
      </c>
      <c r="AC217" s="45">
        <v>0</v>
      </c>
      <c r="AD217" s="45">
        <v>1</v>
      </c>
      <c r="AE217" s="45">
        <v>11098.6</v>
      </c>
      <c r="AF217" s="45">
        <v>0</v>
      </c>
      <c r="AG217" s="45">
        <v>0</v>
      </c>
      <c r="AH217" s="45">
        <v>9723.9</v>
      </c>
      <c r="AI217" s="45">
        <v>0</v>
      </c>
      <c r="AJ217" s="45">
        <v>0</v>
      </c>
      <c r="AK217" s="45">
        <v>9977.7000000000007</v>
      </c>
      <c r="AL217" s="45">
        <v>0</v>
      </c>
      <c r="AM217" s="45">
        <v>0</v>
      </c>
      <c r="AO217" s="45">
        <v>9700.4</v>
      </c>
      <c r="AP217" s="45">
        <v>0</v>
      </c>
      <c r="AQ217" s="45">
        <v>1</v>
      </c>
      <c r="AR217" s="45">
        <v>9159.9</v>
      </c>
      <c r="AS217" s="45">
        <v>0</v>
      </c>
      <c r="AT217" s="45">
        <v>0</v>
      </c>
      <c r="AU217" s="45">
        <v>9656.4</v>
      </c>
      <c r="AV217" s="45">
        <v>0</v>
      </c>
      <c r="AW217" s="45">
        <v>0</v>
      </c>
      <c r="AX217" s="45">
        <v>9031.9</v>
      </c>
      <c r="AY217" s="45">
        <v>0</v>
      </c>
      <c r="AZ217" s="45">
        <v>1</v>
      </c>
    </row>
    <row r="218" spans="2:52">
      <c r="B218" s="45">
        <v>11569.2</v>
      </c>
      <c r="C218" s="45">
        <v>0</v>
      </c>
      <c r="D218" s="45">
        <v>0</v>
      </c>
      <c r="E218" s="45">
        <v>11352.9</v>
      </c>
      <c r="F218" s="45">
        <v>0</v>
      </c>
      <c r="G218" s="45">
        <v>0</v>
      </c>
      <c r="H218" s="45">
        <v>12651.2</v>
      </c>
      <c r="I218" s="45">
        <v>24</v>
      </c>
      <c r="J218" s="45">
        <v>0</v>
      </c>
      <c r="K218" s="45">
        <v>11552.9</v>
      </c>
      <c r="L218" s="45">
        <v>0</v>
      </c>
      <c r="M218" s="45">
        <v>1</v>
      </c>
      <c r="O218" s="45">
        <v>11473.9</v>
      </c>
      <c r="P218" s="45">
        <v>0</v>
      </c>
      <c r="Q218" s="45">
        <v>0</v>
      </c>
      <c r="R218" s="45">
        <v>11725.6</v>
      </c>
      <c r="S218" s="45">
        <v>13</v>
      </c>
      <c r="T218" s="45">
        <v>1</v>
      </c>
      <c r="U218" s="45">
        <v>10956.5</v>
      </c>
      <c r="V218" s="45">
        <v>0</v>
      </c>
      <c r="W218" s="45">
        <v>0</v>
      </c>
      <c r="X218" s="45">
        <v>11052.5</v>
      </c>
      <c r="Y218" s="45">
        <v>0</v>
      </c>
      <c r="Z218" s="45">
        <v>0</v>
      </c>
      <c r="AB218" s="45">
        <v>13027.2</v>
      </c>
      <c r="AC218" s="45">
        <v>0</v>
      </c>
      <c r="AD218" s="45">
        <v>1</v>
      </c>
      <c r="AE218" s="45">
        <v>12911.8</v>
      </c>
      <c r="AF218" s="45">
        <v>0</v>
      </c>
      <c r="AG218" s="45">
        <v>0</v>
      </c>
      <c r="AH218" s="45">
        <v>11569.9</v>
      </c>
      <c r="AI218" s="45">
        <v>0</v>
      </c>
      <c r="AJ218" s="45">
        <v>0</v>
      </c>
      <c r="AK218" s="45">
        <v>12960.1</v>
      </c>
      <c r="AL218" s="45">
        <v>0</v>
      </c>
      <c r="AM218" s="45">
        <v>1</v>
      </c>
      <c r="AO218" s="45">
        <v>11352.9</v>
      </c>
      <c r="AP218" s="45">
        <v>0</v>
      </c>
      <c r="AQ218" s="45">
        <v>0</v>
      </c>
      <c r="AR218" s="45">
        <v>11923.5</v>
      </c>
      <c r="AS218" s="45">
        <v>0</v>
      </c>
      <c r="AT218" s="45">
        <v>0</v>
      </c>
      <c r="AU218" s="45">
        <v>11569.9</v>
      </c>
      <c r="AV218" s="45">
        <v>0</v>
      </c>
      <c r="AW218" s="45">
        <v>0</v>
      </c>
      <c r="AX218" s="45">
        <v>12200.9</v>
      </c>
      <c r="AY218" s="45">
        <v>0</v>
      </c>
      <c r="AZ218" s="45">
        <v>1</v>
      </c>
    </row>
    <row r="219" spans="2:52">
      <c r="B219" s="45">
        <v>14445.7</v>
      </c>
      <c r="C219" s="45">
        <v>0</v>
      </c>
      <c r="D219" s="45">
        <v>0</v>
      </c>
      <c r="E219" s="45">
        <v>15942.4</v>
      </c>
      <c r="F219" s="45">
        <v>0</v>
      </c>
      <c r="G219" s="45">
        <v>0</v>
      </c>
      <c r="H219" s="45">
        <v>15042.5</v>
      </c>
      <c r="I219" s="45">
        <v>0</v>
      </c>
      <c r="J219" s="45">
        <v>0</v>
      </c>
      <c r="K219" s="45">
        <v>15042.5</v>
      </c>
      <c r="L219" s="45">
        <v>0</v>
      </c>
      <c r="M219" s="45">
        <v>0</v>
      </c>
      <c r="O219" s="45">
        <v>14445.7</v>
      </c>
      <c r="P219" s="45">
        <v>0</v>
      </c>
      <c r="Q219" s="45">
        <v>1</v>
      </c>
      <c r="R219" s="45">
        <v>14445.7</v>
      </c>
      <c r="S219" s="45">
        <v>0</v>
      </c>
      <c r="T219" s="45">
        <v>0</v>
      </c>
      <c r="U219" s="45">
        <v>14590.7</v>
      </c>
      <c r="V219" s="45">
        <v>0</v>
      </c>
      <c r="W219" s="45">
        <v>0</v>
      </c>
      <c r="X219" s="45">
        <v>14714.1</v>
      </c>
      <c r="Y219" s="45">
        <v>0</v>
      </c>
      <c r="Z219" s="45">
        <v>0</v>
      </c>
      <c r="AB219" s="45">
        <v>17029.7</v>
      </c>
      <c r="AC219" s="45">
        <v>0</v>
      </c>
      <c r="AD219" s="45">
        <v>0</v>
      </c>
      <c r="AE219" s="45">
        <v>16859.8</v>
      </c>
      <c r="AF219" s="45">
        <v>0</v>
      </c>
      <c r="AG219" s="45">
        <v>0</v>
      </c>
      <c r="AH219" s="45">
        <v>16019.1</v>
      </c>
      <c r="AI219" s="45">
        <v>0</v>
      </c>
      <c r="AJ219" s="45">
        <v>0</v>
      </c>
      <c r="AK219" s="45">
        <v>14909.7</v>
      </c>
      <c r="AL219" s="45">
        <v>0</v>
      </c>
      <c r="AM219" s="45">
        <v>1</v>
      </c>
      <c r="AO219" s="45">
        <v>15225.2</v>
      </c>
      <c r="AP219" s="45">
        <v>0</v>
      </c>
      <c r="AQ219" s="45">
        <v>0</v>
      </c>
      <c r="AR219" s="45">
        <v>15042.5</v>
      </c>
      <c r="AS219" s="45">
        <v>0</v>
      </c>
      <c r="AT219" s="45">
        <v>0</v>
      </c>
      <c r="AU219" s="45">
        <v>15218.5</v>
      </c>
      <c r="AV219" s="45">
        <v>0</v>
      </c>
      <c r="AW219" s="45">
        <v>0</v>
      </c>
      <c r="AX219" s="45">
        <v>15390.7</v>
      </c>
      <c r="AY219" s="45">
        <v>0</v>
      </c>
      <c r="AZ219" s="45">
        <v>1</v>
      </c>
    </row>
    <row r="220" spans="2:52">
      <c r="B220" s="45">
        <v>13500.6</v>
      </c>
      <c r="C220" s="45">
        <v>0</v>
      </c>
      <c r="D220" s="45">
        <v>0</v>
      </c>
      <c r="E220" s="45">
        <v>13518.9</v>
      </c>
      <c r="F220" s="45">
        <v>0</v>
      </c>
      <c r="G220" s="45">
        <v>0</v>
      </c>
      <c r="H220" s="45">
        <v>13633.5</v>
      </c>
      <c r="I220" s="45">
        <v>0</v>
      </c>
      <c r="J220" s="45">
        <v>1</v>
      </c>
      <c r="K220" s="45">
        <v>13263.4</v>
      </c>
      <c r="L220" s="45">
        <v>0</v>
      </c>
      <c r="M220" s="45">
        <v>0</v>
      </c>
      <c r="O220" s="45">
        <v>13526.9</v>
      </c>
      <c r="P220" s="45">
        <v>0</v>
      </c>
      <c r="Q220" s="45">
        <v>1</v>
      </c>
      <c r="R220" s="45">
        <v>13829.3</v>
      </c>
      <c r="S220" s="45">
        <v>0</v>
      </c>
      <c r="T220" s="45">
        <v>0</v>
      </c>
      <c r="U220" s="45">
        <v>13603.4</v>
      </c>
      <c r="V220" s="45">
        <v>0</v>
      </c>
      <c r="W220" s="45">
        <v>0</v>
      </c>
      <c r="X220" s="45">
        <v>13378.1</v>
      </c>
      <c r="Y220" s="45">
        <v>0</v>
      </c>
      <c r="Z220" s="45">
        <v>1</v>
      </c>
      <c r="AB220" s="45">
        <v>14300.5</v>
      </c>
      <c r="AC220" s="45">
        <v>0</v>
      </c>
      <c r="AD220" s="45">
        <v>0</v>
      </c>
      <c r="AE220" s="45">
        <v>14081.7</v>
      </c>
      <c r="AF220" s="45">
        <v>0</v>
      </c>
      <c r="AG220" s="45">
        <v>0</v>
      </c>
      <c r="AH220" s="45">
        <v>14090.4</v>
      </c>
      <c r="AI220" s="45">
        <v>0</v>
      </c>
      <c r="AJ220" s="45">
        <v>1</v>
      </c>
      <c r="AK220" s="45">
        <v>14590.3</v>
      </c>
      <c r="AL220" s="45">
        <v>0</v>
      </c>
      <c r="AM220" s="45">
        <v>0</v>
      </c>
      <c r="AO220" s="45">
        <v>13500.6</v>
      </c>
      <c r="AP220" s="45">
        <v>0</v>
      </c>
      <c r="AQ220" s="45">
        <v>0</v>
      </c>
      <c r="AR220" s="45">
        <v>14211.7</v>
      </c>
      <c r="AS220" s="45">
        <v>0</v>
      </c>
      <c r="AT220" s="45">
        <v>0</v>
      </c>
      <c r="AU220" s="45">
        <v>13500.6</v>
      </c>
      <c r="AV220" s="45">
        <v>0</v>
      </c>
      <c r="AW220" s="45">
        <v>1</v>
      </c>
      <c r="AX220" s="45">
        <v>13493.9</v>
      </c>
      <c r="AY220" s="45">
        <v>0</v>
      </c>
      <c r="AZ220" s="45">
        <v>0</v>
      </c>
    </row>
    <row r="221" spans="2:52">
      <c r="B221" s="45">
        <v>11735.4</v>
      </c>
      <c r="C221" s="45">
        <v>0</v>
      </c>
      <c r="D221" s="45">
        <v>0</v>
      </c>
      <c r="E221" s="45">
        <v>11258.6</v>
      </c>
      <c r="F221" s="45">
        <v>0</v>
      </c>
      <c r="G221" s="45">
        <v>0</v>
      </c>
      <c r="H221" s="45">
        <v>12810.6</v>
      </c>
      <c r="I221" s="45">
        <v>18</v>
      </c>
      <c r="J221" s="45">
        <v>0</v>
      </c>
      <c r="K221" s="45">
        <v>11245.4</v>
      </c>
      <c r="L221" s="45">
        <v>0</v>
      </c>
      <c r="M221" s="45">
        <v>0</v>
      </c>
      <c r="O221" s="45">
        <v>12288.9</v>
      </c>
      <c r="P221" s="45">
        <v>0</v>
      </c>
      <c r="Q221" s="45">
        <v>0</v>
      </c>
      <c r="R221" s="45">
        <v>11150.6</v>
      </c>
      <c r="S221" s="45">
        <v>3</v>
      </c>
      <c r="T221" s="45">
        <v>0</v>
      </c>
      <c r="U221" s="45">
        <v>11728.8</v>
      </c>
      <c r="V221" s="45">
        <v>0</v>
      </c>
      <c r="W221" s="45">
        <v>1</v>
      </c>
      <c r="X221" s="45">
        <v>11478.6</v>
      </c>
      <c r="Y221" s="45">
        <v>3</v>
      </c>
      <c r="Z221" s="45">
        <v>0</v>
      </c>
      <c r="AB221" s="45">
        <v>13174.6</v>
      </c>
      <c r="AC221" s="45">
        <v>0</v>
      </c>
      <c r="AD221" s="45">
        <v>0</v>
      </c>
      <c r="AE221" s="45">
        <v>12570.5</v>
      </c>
      <c r="AF221" s="45">
        <v>0</v>
      </c>
      <c r="AG221" s="45">
        <v>0</v>
      </c>
      <c r="AH221" s="45">
        <v>14242.1</v>
      </c>
      <c r="AI221" s="45">
        <v>0</v>
      </c>
      <c r="AJ221" s="45">
        <v>1</v>
      </c>
      <c r="AK221" s="45">
        <v>13060</v>
      </c>
      <c r="AL221" s="45">
        <v>0</v>
      </c>
      <c r="AM221" s="45">
        <v>0</v>
      </c>
      <c r="AO221" s="45">
        <v>12436.2</v>
      </c>
      <c r="AP221" s="45">
        <v>0</v>
      </c>
      <c r="AQ221" s="45">
        <v>0</v>
      </c>
      <c r="AR221" s="45">
        <v>12095.4</v>
      </c>
      <c r="AS221" s="45">
        <v>0</v>
      </c>
      <c r="AT221" s="45">
        <v>0</v>
      </c>
      <c r="AU221" s="45">
        <v>11779</v>
      </c>
      <c r="AV221" s="45">
        <v>0</v>
      </c>
      <c r="AW221" s="45">
        <v>1</v>
      </c>
      <c r="AX221" s="45">
        <v>12176.2</v>
      </c>
      <c r="AY221" s="45">
        <v>0</v>
      </c>
      <c r="AZ221" s="45">
        <v>0</v>
      </c>
    </row>
    <row r="222" spans="2:52">
      <c r="B222" s="45">
        <v>10459.799999999999</v>
      </c>
      <c r="C222" s="45">
        <v>0</v>
      </c>
      <c r="D222" s="45">
        <v>1</v>
      </c>
      <c r="E222" s="45">
        <v>11026.1</v>
      </c>
      <c r="F222" s="45">
        <v>0</v>
      </c>
      <c r="G222" s="45">
        <v>0</v>
      </c>
      <c r="H222" s="45">
        <v>12188.8</v>
      </c>
      <c r="I222" s="45">
        <v>15</v>
      </c>
      <c r="J222" s="45">
        <v>0</v>
      </c>
      <c r="K222" s="45">
        <v>10296.299999999999</v>
      </c>
      <c r="L222" s="45">
        <v>0</v>
      </c>
      <c r="M222" s="45">
        <v>0</v>
      </c>
      <c r="O222" s="45">
        <v>9770.7999999999993</v>
      </c>
      <c r="P222" s="45">
        <v>0</v>
      </c>
      <c r="Q222" s="45">
        <v>0</v>
      </c>
      <c r="R222" s="45">
        <v>11720.3</v>
      </c>
      <c r="S222" s="45">
        <v>14</v>
      </c>
      <c r="T222" s="45">
        <v>1</v>
      </c>
      <c r="U222" s="45">
        <v>11187.8</v>
      </c>
      <c r="V222" s="45">
        <v>0</v>
      </c>
      <c r="W222" s="45">
        <v>0</v>
      </c>
      <c r="X222" s="45">
        <v>10137.6</v>
      </c>
      <c r="Y222" s="45">
        <v>0</v>
      </c>
      <c r="Z222" s="45">
        <v>0</v>
      </c>
      <c r="AB222" s="45">
        <v>12253.5</v>
      </c>
      <c r="AC222" s="45">
        <v>0</v>
      </c>
      <c r="AD222" s="45">
        <v>0</v>
      </c>
      <c r="AE222" s="45">
        <v>12508.1</v>
      </c>
      <c r="AF222" s="45">
        <v>0</v>
      </c>
      <c r="AG222" s="45">
        <v>0</v>
      </c>
      <c r="AH222" s="45">
        <v>12446.1</v>
      </c>
      <c r="AI222" s="45">
        <v>0</v>
      </c>
      <c r="AJ222" s="45">
        <v>1</v>
      </c>
      <c r="AK222" s="45">
        <v>11409.2</v>
      </c>
      <c r="AL222" s="45">
        <v>0</v>
      </c>
      <c r="AM222" s="45">
        <v>0</v>
      </c>
      <c r="AO222" s="45">
        <v>10723.8</v>
      </c>
      <c r="AP222" s="45">
        <v>0</v>
      </c>
      <c r="AQ222" s="45">
        <v>0</v>
      </c>
      <c r="AR222" s="45">
        <v>10548.6</v>
      </c>
      <c r="AS222" s="45">
        <v>0</v>
      </c>
      <c r="AT222" s="45">
        <v>1</v>
      </c>
      <c r="AU222" s="45">
        <v>10554.2</v>
      </c>
      <c r="AV222" s="45">
        <v>0</v>
      </c>
      <c r="AW222" s="45">
        <v>0</v>
      </c>
      <c r="AX222" s="45">
        <v>10796.6</v>
      </c>
      <c r="AY222" s="45">
        <v>0</v>
      </c>
      <c r="AZ222" s="45">
        <v>0</v>
      </c>
    </row>
    <row r="223" spans="2:52">
      <c r="B223" s="45">
        <v>10900.7</v>
      </c>
      <c r="C223" s="45">
        <v>0</v>
      </c>
      <c r="D223" s="45">
        <v>0</v>
      </c>
      <c r="E223" s="45">
        <v>11465.2</v>
      </c>
      <c r="F223" s="45">
        <v>0</v>
      </c>
      <c r="G223" s="45">
        <v>0</v>
      </c>
      <c r="H223" s="45">
        <v>10702.7</v>
      </c>
      <c r="I223" s="45">
        <v>0</v>
      </c>
      <c r="J223" s="45">
        <v>0</v>
      </c>
      <c r="K223" s="45">
        <v>10924.6</v>
      </c>
      <c r="L223" s="45">
        <v>0</v>
      </c>
      <c r="M223" s="45">
        <v>1</v>
      </c>
      <c r="O223" s="45">
        <v>11166.7</v>
      </c>
      <c r="P223" s="45">
        <v>0</v>
      </c>
      <c r="Q223" s="45">
        <v>1</v>
      </c>
      <c r="R223" s="45">
        <v>10869.2</v>
      </c>
      <c r="S223" s="45">
        <v>0</v>
      </c>
      <c r="T223" s="45">
        <v>0</v>
      </c>
      <c r="U223" s="45">
        <v>10702.7</v>
      </c>
      <c r="V223" s="45">
        <v>0</v>
      </c>
      <c r="W223" s="45">
        <v>0</v>
      </c>
      <c r="X223" s="45">
        <v>10702.7</v>
      </c>
      <c r="Y223" s="45">
        <v>0</v>
      </c>
      <c r="Z223" s="45">
        <v>0</v>
      </c>
      <c r="AB223" s="45">
        <v>12699.2</v>
      </c>
      <c r="AC223" s="45">
        <v>0</v>
      </c>
      <c r="AD223" s="45">
        <v>0</v>
      </c>
      <c r="AE223" s="45">
        <v>12538</v>
      </c>
      <c r="AF223" s="45">
        <v>0</v>
      </c>
      <c r="AG223" s="45">
        <v>1</v>
      </c>
      <c r="AH223" s="45">
        <v>12563.4</v>
      </c>
      <c r="AI223" s="45">
        <v>0</v>
      </c>
      <c r="AJ223" s="45">
        <v>0</v>
      </c>
      <c r="AK223" s="45">
        <v>10702.7</v>
      </c>
      <c r="AL223" s="45">
        <v>0</v>
      </c>
      <c r="AM223" s="45">
        <v>0</v>
      </c>
      <c r="AO223" s="45">
        <v>11551.6</v>
      </c>
      <c r="AP223" s="45">
        <v>0</v>
      </c>
      <c r="AQ223" s="45">
        <v>1</v>
      </c>
      <c r="AR223" s="45">
        <v>11551.6</v>
      </c>
      <c r="AS223" s="45">
        <v>0</v>
      </c>
      <c r="AT223" s="45">
        <v>0</v>
      </c>
      <c r="AU223" s="45">
        <v>11377.7</v>
      </c>
      <c r="AV223" s="45">
        <v>0</v>
      </c>
      <c r="AW223" s="45">
        <v>0</v>
      </c>
      <c r="AX223" s="45">
        <v>11476.6</v>
      </c>
      <c r="AY223" s="45">
        <v>0</v>
      </c>
      <c r="AZ223" s="45">
        <v>0</v>
      </c>
    </row>
    <row r="224" spans="2:52">
      <c r="B224" s="45">
        <v>10023.5</v>
      </c>
      <c r="C224" s="45">
        <v>0</v>
      </c>
      <c r="D224" s="45">
        <v>0</v>
      </c>
      <c r="E224" s="45">
        <v>9888.2000000000007</v>
      </c>
      <c r="F224" s="45">
        <v>0</v>
      </c>
      <c r="G224" s="45">
        <v>0</v>
      </c>
      <c r="H224" s="45">
        <v>9671.9</v>
      </c>
      <c r="I224" s="45">
        <v>0</v>
      </c>
      <c r="J224" s="45">
        <v>0</v>
      </c>
      <c r="K224" s="45">
        <v>9980.5</v>
      </c>
      <c r="L224" s="45">
        <v>0</v>
      </c>
      <c r="M224" s="45">
        <v>0</v>
      </c>
      <c r="O224" s="45">
        <v>9663.9</v>
      </c>
      <c r="P224" s="45">
        <v>0</v>
      </c>
      <c r="Q224" s="45">
        <v>1</v>
      </c>
      <c r="R224" s="45">
        <v>9771</v>
      </c>
      <c r="S224" s="45">
        <v>0</v>
      </c>
      <c r="T224" s="45">
        <v>0</v>
      </c>
      <c r="U224" s="45">
        <v>9671.9</v>
      </c>
      <c r="V224" s="45">
        <v>0</v>
      </c>
      <c r="W224" s="45">
        <v>0</v>
      </c>
      <c r="X224" s="45">
        <v>9667</v>
      </c>
      <c r="Y224" s="45">
        <v>0</v>
      </c>
      <c r="Z224" s="45">
        <v>1</v>
      </c>
      <c r="AB224" s="45">
        <v>10300.700000000001</v>
      </c>
      <c r="AC224" s="45">
        <v>0</v>
      </c>
      <c r="AD224" s="45">
        <v>0</v>
      </c>
      <c r="AE224" s="45">
        <v>10526.2</v>
      </c>
      <c r="AF224" s="45">
        <v>0</v>
      </c>
      <c r="AG224" s="45">
        <v>1</v>
      </c>
      <c r="AH224" s="45">
        <v>11289.3</v>
      </c>
      <c r="AI224" s="45">
        <v>0</v>
      </c>
      <c r="AJ224" s="45">
        <v>0</v>
      </c>
      <c r="AK224" s="45">
        <v>12164.1</v>
      </c>
      <c r="AL224" s="45">
        <v>0</v>
      </c>
      <c r="AM224" s="45">
        <v>0</v>
      </c>
      <c r="AO224" s="45">
        <v>9559.9</v>
      </c>
      <c r="AP224" s="45">
        <v>0</v>
      </c>
      <c r="AQ224" s="45">
        <v>1</v>
      </c>
      <c r="AR224" s="45">
        <v>9929.6</v>
      </c>
      <c r="AS224" s="45">
        <v>0</v>
      </c>
      <c r="AT224" s="45">
        <v>0</v>
      </c>
      <c r="AU224" s="45">
        <v>9844.5</v>
      </c>
      <c r="AV224" s="45">
        <v>0</v>
      </c>
      <c r="AW224" s="45">
        <v>0</v>
      </c>
      <c r="AX224" s="45">
        <v>9771</v>
      </c>
      <c r="AY224" s="45">
        <v>0</v>
      </c>
      <c r="AZ224" s="45">
        <v>1</v>
      </c>
    </row>
    <row r="225" spans="2:52">
      <c r="B225" s="45">
        <v>9057.1</v>
      </c>
      <c r="C225" s="45">
        <v>0</v>
      </c>
      <c r="D225" s="45">
        <v>0</v>
      </c>
      <c r="E225" s="45">
        <v>9018</v>
      </c>
      <c r="F225" s="45">
        <v>0</v>
      </c>
      <c r="G225" s="45">
        <v>1</v>
      </c>
      <c r="H225" s="45">
        <v>9144.7999999999993</v>
      </c>
      <c r="I225" s="45">
        <v>0</v>
      </c>
      <c r="J225" s="45">
        <v>0</v>
      </c>
      <c r="K225" s="45">
        <v>8658</v>
      </c>
      <c r="L225" s="45">
        <v>0</v>
      </c>
      <c r="M225" s="45">
        <v>0</v>
      </c>
      <c r="O225" s="45">
        <v>9144.7999999999993</v>
      </c>
      <c r="P225" s="45">
        <v>0</v>
      </c>
      <c r="Q225" s="45">
        <v>0</v>
      </c>
      <c r="R225" s="45">
        <v>8922.7999999999993</v>
      </c>
      <c r="S225" s="45">
        <v>0</v>
      </c>
      <c r="T225" s="45">
        <v>0</v>
      </c>
      <c r="U225" s="45">
        <v>9030.5</v>
      </c>
      <c r="V225" s="45">
        <v>0</v>
      </c>
      <c r="W225" s="45">
        <v>0</v>
      </c>
      <c r="X225" s="45">
        <v>8594</v>
      </c>
      <c r="Y225" s="45">
        <v>0</v>
      </c>
      <c r="Z225" s="45">
        <v>1</v>
      </c>
      <c r="AB225" s="45">
        <v>10546.3</v>
      </c>
      <c r="AC225" s="45">
        <v>0</v>
      </c>
      <c r="AD225" s="45">
        <v>1</v>
      </c>
      <c r="AE225" s="45">
        <v>9801.2999999999993</v>
      </c>
      <c r="AF225" s="45">
        <v>0</v>
      </c>
      <c r="AG225" s="45">
        <v>0</v>
      </c>
      <c r="AH225" s="45">
        <v>10167.700000000001</v>
      </c>
      <c r="AI225" s="45">
        <v>0</v>
      </c>
      <c r="AJ225" s="45">
        <v>0</v>
      </c>
      <c r="AK225" s="45">
        <v>10170</v>
      </c>
      <c r="AL225" s="45">
        <v>0</v>
      </c>
      <c r="AM225" s="45">
        <v>0</v>
      </c>
      <c r="AO225" s="45">
        <v>9786.2000000000007</v>
      </c>
      <c r="AP225" s="45">
        <v>0</v>
      </c>
      <c r="AQ225" s="45">
        <v>0</v>
      </c>
      <c r="AR225" s="45">
        <v>9416.7999999999993</v>
      </c>
      <c r="AS225" s="45">
        <v>0</v>
      </c>
      <c r="AT225" s="45">
        <v>0</v>
      </c>
      <c r="AU225" s="45">
        <v>9713.2999999999993</v>
      </c>
      <c r="AV225" s="45">
        <v>0</v>
      </c>
      <c r="AW225" s="45">
        <v>0</v>
      </c>
      <c r="AX225" s="45">
        <v>9030.5</v>
      </c>
      <c r="AY225" s="45">
        <v>0</v>
      </c>
      <c r="AZ225" s="45">
        <v>1</v>
      </c>
    </row>
    <row r="226" spans="2:52">
      <c r="B226" s="45">
        <v>7937.3</v>
      </c>
      <c r="C226" s="45">
        <v>0</v>
      </c>
      <c r="D226" s="45">
        <v>0</v>
      </c>
      <c r="E226" s="45">
        <v>7660.2</v>
      </c>
      <c r="F226" s="45">
        <v>0</v>
      </c>
      <c r="G226" s="45">
        <v>0</v>
      </c>
      <c r="H226" s="45">
        <v>7660.2</v>
      </c>
      <c r="I226" s="45">
        <v>0</v>
      </c>
      <c r="J226" s="45">
        <v>0</v>
      </c>
      <c r="K226" s="45">
        <v>7329.1</v>
      </c>
      <c r="L226" s="45">
        <v>0</v>
      </c>
      <c r="M226" s="45">
        <v>0</v>
      </c>
      <c r="O226" s="45">
        <v>7956.7</v>
      </c>
      <c r="P226" s="45">
        <v>0</v>
      </c>
      <c r="Q226" s="45">
        <v>0</v>
      </c>
      <c r="R226" s="45">
        <v>7543.7</v>
      </c>
      <c r="S226" s="45">
        <v>0</v>
      </c>
      <c r="T226" s="45">
        <v>0</v>
      </c>
      <c r="U226" s="45">
        <v>7265.1</v>
      </c>
      <c r="V226" s="45">
        <v>0</v>
      </c>
      <c r="W226" s="45">
        <v>1</v>
      </c>
      <c r="X226" s="45">
        <v>7321.1</v>
      </c>
      <c r="Y226" s="45">
        <v>0</v>
      </c>
      <c r="Z226" s="45">
        <v>0</v>
      </c>
      <c r="AB226" s="45">
        <v>8383.2000000000007</v>
      </c>
      <c r="AC226" s="45">
        <v>0</v>
      </c>
      <c r="AD226" s="45">
        <v>1</v>
      </c>
      <c r="AE226" s="45">
        <v>8247.7999999999993</v>
      </c>
      <c r="AF226" s="45">
        <v>0</v>
      </c>
      <c r="AG226" s="45">
        <v>0</v>
      </c>
      <c r="AH226" s="45">
        <v>8634.7000000000007</v>
      </c>
      <c r="AI226" s="45">
        <v>0</v>
      </c>
      <c r="AJ226" s="45">
        <v>0</v>
      </c>
      <c r="AK226" s="45">
        <v>8604.4</v>
      </c>
      <c r="AL226" s="45">
        <v>0</v>
      </c>
      <c r="AM226" s="45">
        <v>0</v>
      </c>
      <c r="AO226" s="45">
        <v>8252.7999999999993</v>
      </c>
      <c r="AP226" s="45">
        <v>0</v>
      </c>
      <c r="AQ226" s="45">
        <v>0</v>
      </c>
      <c r="AR226" s="45">
        <v>7956.7</v>
      </c>
      <c r="AS226" s="45">
        <v>0</v>
      </c>
      <c r="AT226" s="45">
        <v>0</v>
      </c>
      <c r="AU226" s="45">
        <v>7756.2</v>
      </c>
      <c r="AV226" s="45">
        <v>0</v>
      </c>
      <c r="AW226" s="45">
        <v>1</v>
      </c>
      <c r="AX226" s="45">
        <v>7594.2</v>
      </c>
      <c r="AY226" s="45">
        <v>0</v>
      </c>
      <c r="AZ226" s="45">
        <v>0</v>
      </c>
    </row>
    <row r="227" spans="2:52">
      <c r="B227" s="45">
        <v>7757.3</v>
      </c>
      <c r="C227" s="45">
        <v>0</v>
      </c>
      <c r="D227" s="45">
        <v>1</v>
      </c>
      <c r="E227" s="45">
        <v>7549.3</v>
      </c>
      <c r="F227" s="45">
        <v>0</v>
      </c>
      <c r="G227" s="45">
        <v>0</v>
      </c>
      <c r="H227" s="45">
        <v>7565.3</v>
      </c>
      <c r="I227" s="45">
        <v>0</v>
      </c>
      <c r="J227" s="45">
        <v>0</v>
      </c>
      <c r="K227" s="45">
        <v>7549.3</v>
      </c>
      <c r="L227" s="45">
        <v>0</v>
      </c>
      <c r="M227" s="45">
        <v>0</v>
      </c>
      <c r="O227" s="45">
        <v>8623.7999999999993</v>
      </c>
      <c r="P227" s="45">
        <v>0</v>
      </c>
      <c r="Q227" s="45">
        <v>0</v>
      </c>
      <c r="R227" s="45">
        <v>7844.7</v>
      </c>
      <c r="S227" s="45">
        <v>0</v>
      </c>
      <c r="T227" s="45">
        <v>0</v>
      </c>
      <c r="U227" s="45">
        <v>7533.3</v>
      </c>
      <c r="V227" s="45">
        <v>0</v>
      </c>
      <c r="W227" s="45">
        <v>1</v>
      </c>
      <c r="X227" s="45">
        <v>7645.3</v>
      </c>
      <c r="Y227" s="45">
        <v>0</v>
      </c>
      <c r="Z227" s="45">
        <v>0</v>
      </c>
      <c r="AB227" s="45">
        <v>7973.8</v>
      </c>
      <c r="AC227" s="45">
        <v>0</v>
      </c>
      <c r="AD227" s="45">
        <v>1</v>
      </c>
      <c r="AE227" s="45">
        <v>8979.4</v>
      </c>
      <c r="AF227" s="45">
        <v>0</v>
      </c>
      <c r="AG227" s="45">
        <v>0</v>
      </c>
      <c r="AH227" s="45">
        <v>9483.2999999999993</v>
      </c>
      <c r="AI227" s="45">
        <v>0</v>
      </c>
      <c r="AJ227" s="45">
        <v>0</v>
      </c>
      <c r="AK227" s="45">
        <v>9754.1</v>
      </c>
      <c r="AL227" s="45">
        <v>0</v>
      </c>
      <c r="AM227" s="45">
        <v>1</v>
      </c>
      <c r="AO227" s="45">
        <v>7565.3</v>
      </c>
      <c r="AP227" s="45">
        <v>0</v>
      </c>
      <c r="AQ227" s="45">
        <v>0</v>
      </c>
      <c r="AR227" s="45">
        <v>7565.3</v>
      </c>
      <c r="AS227" s="45">
        <v>0</v>
      </c>
      <c r="AT227" s="45">
        <v>1</v>
      </c>
      <c r="AU227" s="45">
        <v>7890.4</v>
      </c>
      <c r="AV227" s="45">
        <v>0</v>
      </c>
      <c r="AW227" s="45">
        <v>0</v>
      </c>
      <c r="AX227" s="45">
        <v>7890.4</v>
      </c>
      <c r="AY227" s="45">
        <v>0</v>
      </c>
      <c r="AZ227" s="45">
        <v>0</v>
      </c>
    </row>
    <row r="228" spans="2:52">
      <c r="B228" s="45">
        <v>13213.2</v>
      </c>
      <c r="C228" s="45">
        <v>0</v>
      </c>
      <c r="D228" s="45">
        <v>0</v>
      </c>
      <c r="E228" s="45">
        <v>13665.1</v>
      </c>
      <c r="F228" s="45">
        <v>0</v>
      </c>
      <c r="G228" s="45">
        <v>0</v>
      </c>
      <c r="H228" s="45">
        <v>13173.2</v>
      </c>
      <c r="I228" s="45">
        <v>0</v>
      </c>
      <c r="J228" s="45">
        <v>1</v>
      </c>
      <c r="K228" s="45">
        <v>13165.2</v>
      </c>
      <c r="L228" s="45">
        <v>0</v>
      </c>
      <c r="M228" s="45">
        <v>0</v>
      </c>
      <c r="O228" s="45">
        <v>13292.1</v>
      </c>
      <c r="P228" s="45">
        <v>0</v>
      </c>
      <c r="Q228" s="45">
        <v>0</v>
      </c>
      <c r="R228" s="45">
        <v>13165.2</v>
      </c>
      <c r="S228" s="45">
        <v>0</v>
      </c>
      <c r="T228" s="45">
        <v>1</v>
      </c>
      <c r="U228" s="45">
        <v>12738.1</v>
      </c>
      <c r="V228" s="45">
        <v>0</v>
      </c>
      <c r="W228" s="45">
        <v>0</v>
      </c>
      <c r="X228" s="45">
        <v>13221.2</v>
      </c>
      <c r="Y228" s="45">
        <v>0</v>
      </c>
      <c r="Z228" s="45">
        <v>0</v>
      </c>
      <c r="AB228" s="45">
        <v>13673.3</v>
      </c>
      <c r="AC228" s="45">
        <v>0</v>
      </c>
      <c r="AD228" s="45">
        <v>0</v>
      </c>
      <c r="AE228" s="45">
        <v>14392.8</v>
      </c>
      <c r="AF228" s="45">
        <v>0</v>
      </c>
      <c r="AG228" s="45">
        <v>0</v>
      </c>
      <c r="AH228" s="45">
        <v>13804.5</v>
      </c>
      <c r="AI228" s="45">
        <v>0</v>
      </c>
      <c r="AJ228" s="45">
        <v>0</v>
      </c>
      <c r="AK228" s="45">
        <v>14280.4</v>
      </c>
      <c r="AL228" s="45">
        <v>0</v>
      </c>
      <c r="AM228" s="45">
        <v>1</v>
      </c>
      <c r="AO228" s="45">
        <v>14010.7</v>
      </c>
      <c r="AP228" s="45">
        <v>0</v>
      </c>
      <c r="AQ228" s="45">
        <v>0</v>
      </c>
      <c r="AR228" s="45">
        <v>13165.2</v>
      </c>
      <c r="AS228" s="45">
        <v>0</v>
      </c>
      <c r="AT228" s="45">
        <v>1</v>
      </c>
      <c r="AU228" s="45">
        <v>12786.1</v>
      </c>
      <c r="AV228" s="45">
        <v>0</v>
      </c>
      <c r="AW228" s="45">
        <v>0</v>
      </c>
      <c r="AX228" s="45">
        <v>13214.5</v>
      </c>
      <c r="AY228" s="45">
        <v>0</v>
      </c>
      <c r="AZ228" s="45">
        <v>0</v>
      </c>
    </row>
    <row r="229" spans="2:52">
      <c r="B229" s="45">
        <v>12363.5</v>
      </c>
      <c r="C229" s="45">
        <v>0</v>
      </c>
      <c r="D229" s="45">
        <v>0</v>
      </c>
      <c r="E229" s="45">
        <v>12644.8</v>
      </c>
      <c r="F229" s="45">
        <v>0</v>
      </c>
      <c r="G229" s="45">
        <v>0</v>
      </c>
      <c r="H229" s="45">
        <v>14191</v>
      </c>
      <c r="I229" s="45">
        <v>21</v>
      </c>
      <c r="J229" s="45">
        <v>0</v>
      </c>
      <c r="K229" s="45">
        <v>13722.8</v>
      </c>
      <c r="L229" s="45">
        <v>21</v>
      </c>
      <c r="M229" s="45">
        <v>1</v>
      </c>
      <c r="O229" s="45">
        <v>13906.8</v>
      </c>
      <c r="P229" s="45">
        <v>15</v>
      </c>
      <c r="Q229" s="45">
        <v>1</v>
      </c>
      <c r="R229" s="45">
        <v>12329</v>
      </c>
      <c r="S229" s="45">
        <v>0</v>
      </c>
      <c r="T229" s="45">
        <v>0</v>
      </c>
      <c r="U229" s="45">
        <v>14293.5</v>
      </c>
      <c r="V229" s="45">
        <v>20</v>
      </c>
      <c r="W229" s="45">
        <v>0</v>
      </c>
      <c r="X229" s="45">
        <v>13622.8</v>
      </c>
      <c r="Y229" s="45">
        <v>20</v>
      </c>
      <c r="Z229" s="45">
        <v>1</v>
      </c>
      <c r="AB229" s="45">
        <v>12668.8</v>
      </c>
      <c r="AC229" s="45">
        <v>0</v>
      </c>
      <c r="AD229" s="45">
        <v>0</v>
      </c>
      <c r="AE229" s="45">
        <v>12978.9</v>
      </c>
      <c r="AF229" s="45">
        <v>0</v>
      </c>
      <c r="AG229" s="45">
        <v>0</v>
      </c>
      <c r="AH229" s="45">
        <v>12451.3</v>
      </c>
      <c r="AI229" s="45">
        <v>0</v>
      </c>
      <c r="AJ229" s="45">
        <v>1</v>
      </c>
      <c r="AK229" s="45">
        <v>13120.4</v>
      </c>
      <c r="AL229" s="45">
        <v>0</v>
      </c>
      <c r="AM229" s="45">
        <v>0</v>
      </c>
      <c r="AO229" s="45">
        <v>12644.8</v>
      </c>
      <c r="AP229" s="45">
        <v>0</v>
      </c>
      <c r="AQ229" s="45">
        <v>1</v>
      </c>
      <c r="AR229" s="45">
        <v>12201.2</v>
      </c>
      <c r="AS229" s="45">
        <v>0</v>
      </c>
      <c r="AT229" s="45">
        <v>0</v>
      </c>
      <c r="AU229" s="45">
        <v>12201.2</v>
      </c>
      <c r="AV229" s="45">
        <v>0</v>
      </c>
      <c r="AW229" s="45">
        <v>0</v>
      </c>
      <c r="AX229" s="45">
        <v>12689.3</v>
      </c>
      <c r="AY229" s="45">
        <v>0</v>
      </c>
      <c r="AZ229" s="45">
        <v>1</v>
      </c>
    </row>
    <row r="230" spans="2:52">
      <c r="B230" s="45">
        <v>11801.8</v>
      </c>
      <c r="C230" s="45">
        <v>0</v>
      </c>
      <c r="D230" s="45">
        <v>0</v>
      </c>
      <c r="E230" s="45">
        <v>11825.8</v>
      </c>
      <c r="F230" s="45">
        <v>0</v>
      </c>
      <c r="G230" s="45">
        <v>0</v>
      </c>
      <c r="H230" s="45">
        <v>11563.4</v>
      </c>
      <c r="I230" s="45">
        <v>0</v>
      </c>
      <c r="J230" s="45">
        <v>0</v>
      </c>
      <c r="K230" s="45">
        <v>11531.4</v>
      </c>
      <c r="L230" s="45">
        <v>0</v>
      </c>
      <c r="M230" s="45">
        <v>0</v>
      </c>
      <c r="O230" s="45">
        <v>11825.8</v>
      </c>
      <c r="P230" s="45">
        <v>0</v>
      </c>
      <c r="Q230" s="45">
        <v>0</v>
      </c>
      <c r="R230" s="45">
        <v>11547.4</v>
      </c>
      <c r="S230" s="45">
        <v>0</v>
      </c>
      <c r="T230" s="45">
        <v>0</v>
      </c>
      <c r="U230" s="45">
        <v>11547.4</v>
      </c>
      <c r="V230" s="45">
        <v>0</v>
      </c>
      <c r="W230" s="45">
        <v>0</v>
      </c>
      <c r="X230" s="45">
        <v>11555.4</v>
      </c>
      <c r="Y230" s="45">
        <v>0</v>
      </c>
      <c r="Z230" s="45">
        <v>1</v>
      </c>
      <c r="AB230" s="45">
        <v>12643.6</v>
      </c>
      <c r="AC230" s="45">
        <v>0</v>
      </c>
      <c r="AD230" s="45">
        <v>0</v>
      </c>
      <c r="AE230" s="45">
        <v>12780.3</v>
      </c>
      <c r="AF230" s="45">
        <v>0</v>
      </c>
      <c r="AG230" s="45">
        <v>0</v>
      </c>
      <c r="AH230" s="45">
        <v>11977.7</v>
      </c>
      <c r="AI230" s="45">
        <v>0</v>
      </c>
      <c r="AJ230" s="45">
        <v>1</v>
      </c>
      <c r="AK230" s="45">
        <v>13259.4</v>
      </c>
      <c r="AL230" s="45">
        <v>0</v>
      </c>
      <c r="AM230" s="45">
        <v>0</v>
      </c>
      <c r="AO230" s="45">
        <v>11833.8</v>
      </c>
      <c r="AP230" s="45">
        <v>0</v>
      </c>
      <c r="AQ230" s="45">
        <v>0</v>
      </c>
      <c r="AR230" s="45">
        <v>12227.5</v>
      </c>
      <c r="AS230" s="45">
        <v>0</v>
      </c>
      <c r="AT230" s="45">
        <v>0</v>
      </c>
      <c r="AU230" s="45">
        <v>11563.4</v>
      </c>
      <c r="AV230" s="45">
        <v>0</v>
      </c>
      <c r="AW230" s="45">
        <v>1</v>
      </c>
      <c r="AX230" s="45">
        <v>11547.4</v>
      </c>
      <c r="AY230" s="45">
        <v>0</v>
      </c>
      <c r="AZ230" s="45">
        <v>0</v>
      </c>
    </row>
    <row r="231" spans="2:52">
      <c r="B231" s="45">
        <v>11322.8</v>
      </c>
      <c r="C231" s="45">
        <v>0</v>
      </c>
      <c r="D231" s="45">
        <v>0</v>
      </c>
      <c r="E231" s="45">
        <v>11298.8</v>
      </c>
      <c r="F231" s="45">
        <v>0</v>
      </c>
      <c r="G231" s="45">
        <v>1</v>
      </c>
      <c r="H231" s="45">
        <v>12522.3</v>
      </c>
      <c r="I231" s="45">
        <v>9</v>
      </c>
      <c r="J231" s="45">
        <v>0</v>
      </c>
      <c r="K231" s="45">
        <v>11795.8</v>
      </c>
      <c r="L231" s="45">
        <v>0</v>
      </c>
      <c r="M231" s="45">
        <v>0</v>
      </c>
      <c r="O231" s="45">
        <v>11803.8</v>
      </c>
      <c r="P231" s="45">
        <v>0</v>
      </c>
      <c r="Q231" s="45">
        <v>0</v>
      </c>
      <c r="R231" s="45">
        <v>11854.8</v>
      </c>
      <c r="S231" s="45">
        <v>0</v>
      </c>
      <c r="T231" s="45">
        <v>0</v>
      </c>
      <c r="U231" s="45">
        <v>11298.8</v>
      </c>
      <c r="V231" s="45">
        <v>0</v>
      </c>
      <c r="W231" s="45">
        <v>1</v>
      </c>
      <c r="X231" s="45">
        <v>13263.6</v>
      </c>
      <c r="Y231" s="45">
        <v>18</v>
      </c>
      <c r="Z231" s="45">
        <v>0</v>
      </c>
      <c r="AB231" s="45">
        <v>11878.8</v>
      </c>
      <c r="AC231" s="45">
        <v>0</v>
      </c>
      <c r="AD231" s="45">
        <v>0</v>
      </c>
      <c r="AE231" s="45">
        <v>12596.2</v>
      </c>
      <c r="AF231" s="45">
        <v>0</v>
      </c>
      <c r="AG231" s="45">
        <v>1</v>
      </c>
      <c r="AH231" s="45">
        <v>11813</v>
      </c>
      <c r="AI231" s="45">
        <v>0</v>
      </c>
      <c r="AJ231" s="45">
        <v>0</v>
      </c>
      <c r="AK231" s="45">
        <v>12455.4</v>
      </c>
      <c r="AL231" s="45">
        <v>0</v>
      </c>
      <c r="AM231" s="45">
        <v>0</v>
      </c>
      <c r="AO231" s="45">
        <v>11813</v>
      </c>
      <c r="AP231" s="45">
        <v>0</v>
      </c>
      <c r="AQ231" s="45">
        <v>0</v>
      </c>
      <c r="AR231" s="45">
        <v>12294</v>
      </c>
      <c r="AS231" s="45">
        <v>0</v>
      </c>
      <c r="AT231" s="45">
        <v>0</v>
      </c>
      <c r="AU231" s="45">
        <v>11821</v>
      </c>
      <c r="AV231" s="45">
        <v>0</v>
      </c>
      <c r="AW231" s="45">
        <v>1</v>
      </c>
      <c r="AX231" s="45">
        <v>11821</v>
      </c>
      <c r="AY231" s="45">
        <v>0</v>
      </c>
      <c r="AZ231" s="45">
        <v>0</v>
      </c>
    </row>
    <row r="232" spans="2:52">
      <c r="B232" s="45">
        <v>12944.6</v>
      </c>
      <c r="C232" s="45">
        <v>0</v>
      </c>
      <c r="D232" s="45">
        <v>0</v>
      </c>
      <c r="E232" s="45">
        <v>13262</v>
      </c>
      <c r="F232" s="45">
        <v>0</v>
      </c>
      <c r="G232" s="45">
        <v>0</v>
      </c>
      <c r="H232" s="45">
        <v>12952.6</v>
      </c>
      <c r="I232" s="45">
        <v>0</v>
      </c>
      <c r="J232" s="45">
        <v>0</v>
      </c>
      <c r="K232" s="45">
        <v>12944.6</v>
      </c>
      <c r="L232" s="45">
        <v>0</v>
      </c>
      <c r="M232" s="45">
        <v>1</v>
      </c>
      <c r="O232" s="45">
        <v>13168.7</v>
      </c>
      <c r="P232" s="45">
        <v>0</v>
      </c>
      <c r="Q232" s="45">
        <v>0</v>
      </c>
      <c r="R232" s="45">
        <v>13160.7</v>
      </c>
      <c r="S232" s="45">
        <v>0</v>
      </c>
      <c r="T232" s="45">
        <v>1</v>
      </c>
      <c r="U232" s="45">
        <v>13008.6</v>
      </c>
      <c r="V232" s="45">
        <v>0</v>
      </c>
      <c r="W232" s="45">
        <v>0</v>
      </c>
      <c r="X232" s="45">
        <v>13275.9</v>
      </c>
      <c r="Y232" s="45">
        <v>0</v>
      </c>
      <c r="Z232" s="45">
        <v>0</v>
      </c>
      <c r="AB232" s="45">
        <v>13160.7</v>
      </c>
      <c r="AC232" s="45">
        <v>0</v>
      </c>
      <c r="AD232" s="45">
        <v>1</v>
      </c>
      <c r="AE232" s="45">
        <v>14228.1</v>
      </c>
      <c r="AF232" s="45">
        <v>0</v>
      </c>
      <c r="AG232" s="45">
        <v>0</v>
      </c>
      <c r="AH232" s="45">
        <v>14752.8</v>
      </c>
      <c r="AI232" s="45">
        <v>0</v>
      </c>
      <c r="AJ232" s="45">
        <v>0</v>
      </c>
      <c r="AK232" s="45">
        <v>13160.7</v>
      </c>
      <c r="AL232" s="45">
        <v>0</v>
      </c>
      <c r="AM232" s="45">
        <v>0</v>
      </c>
      <c r="AO232" s="45">
        <v>13262</v>
      </c>
      <c r="AP232" s="45">
        <v>0</v>
      </c>
      <c r="AQ232" s="45">
        <v>0</v>
      </c>
      <c r="AR232" s="45">
        <v>13897.6</v>
      </c>
      <c r="AS232" s="45">
        <v>0</v>
      </c>
      <c r="AT232" s="45">
        <v>1</v>
      </c>
      <c r="AU232" s="45">
        <v>12944.6</v>
      </c>
      <c r="AV232" s="45">
        <v>0</v>
      </c>
      <c r="AW232" s="45">
        <v>0</v>
      </c>
      <c r="AX232" s="45">
        <v>12968.6</v>
      </c>
      <c r="AY232" s="45">
        <v>0</v>
      </c>
      <c r="AZ232" s="45">
        <v>0</v>
      </c>
    </row>
    <row r="233" spans="2:52">
      <c r="B233" s="45">
        <v>12080.4</v>
      </c>
      <c r="C233" s="45">
        <v>0</v>
      </c>
      <c r="D233" s="45">
        <v>0</v>
      </c>
      <c r="E233" s="45">
        <v>12080.4</v>
      </c>
      <c r="F233" s="45">
        <v>0</v>
      </c>
      <c r="G233" s="45">
        <v>0</v>
      </c>
      <c r="H233" s="45">
        <v>12185.3</v>
      </c>
      <c r="I233" s="45">
        <v>2</v>
      </c>
      <c r="J233" s="45">
        <v>0</v>
      </c>
      <c r="K233" s="45">
        <v>12072.4</v>
      </c>
      <c r="L233" s="45">
        <v>0</v>
      </c>
      <c r="M233" s="45">
        <v>0</v>
      </c>
      <c r="O233" s="45">
        <v>12485.3</v>
      </c>
      <c r="P233" s="45">
        <v>5</v>
      </c>
      <c r="Q233" s="45">
        <v>1</v>
      </c>
      <c r="R233" s="45">
        <v>12080.4</v>
      </c>
      <c r="S233" s="45">
        <v>0</v>
      </c>
      <c r="T233" s="45">
        <v>0</v>
      </c>
      <c r="U233" s="45">
        <v>12080.4</v>
      </c>
      <c r="V233" s="45">
        <v>0</v>
      </c>
      <c r="W233" s="45">
        <v>0</v>
      </c>
      <c r="X233" s="45">
        <v>12685.3</v>
      </c>
      <c r="Y233" s="45">
        <v>7</v>
      </c>
      <c r="Z233" s="45">
        <v>1</v>
      </c>
      <c r="AB233" s="45">
        <v>13514.2</v>
      </c>
      <c r="AC233" s="45">
        <v>0</v>
      </c>
      <c r="AD233" s="45">
        <v>1</v>
      </c>
      <c r="AE233" s="45">
        <v>13658.1</v>
      </c>
      <c r="AF233" s="45">
        <v>0</v>
      </c>
      <c r="AG233" s="45">
        <v>0</v>
      </c>
      <c r="AH233" s="45">
        <v>13705.2</v>
      </c>
      <c r="AI233" s="45">
        <v>0</v>
      </c>
      <c r="AJ233" s="45">
        <v>0</v>
      </c>
      <c r="AK233" s="45">
        <v>12440.8</v>
      </c>
      <c r="AL233" s="45">
        <v>0</v>
      </c>
      <c r="AM233" s="45">
        <v>1</v>
      </c>
      <c r="AO233" s="45">
        <v>12096.4</v>
      </c>
      <c r="AP233" s="45">
        <v>0</v>
      </c>
      <c r="AQ233" s="45">
        <v>1</v>
      </c>
      <c r="AR233" s="45">
        <v>12080.4</v>
      </c>
      <c r="AS233" s="45">
        <v>0</v>
      </c>
      <c r="AT233" s="45">
        <v>0</v>
      </c>
      <c r="AU233" s="45">
        <v>12072.4</v>
      </c>
      <c r="AV233" s="45">
        <v>0</v>
      </c>
      <c r="AW233" s="45">
        <v>0</v>
      </c>
      <c r="AX233" s="45">
        <v>12080.4</v>
      </c>
      <c r="AY233" s="45">
        <v>0</v>
      </c>
      <c r="AZ233" s="45">
        <v>1</v>
      </c>
    </row>
    <row r="234" spans="2:52">
      <c r="B234" s="45">
        <v>13355.1</v>
      </c>
      <c r="C234" s="45">
        <v>0</v>
      </c>
      <c r="D234" s="45">
        <v>1</v>
      </c>
      <c r="E234" s="45">
        <v>15449</v>
      </c>
      <c r="F234" s="45">
        <v>30</v>
      </c>
      <c r="G234" s="45">
        <v>0</v>
      </c>
      <c r="H234" s="45">
        <v>15441</v>
      </c>
      <c r="I234" s="45">
        <v>30</v>
      </c>
      <c r="J234" s="45">
        <v>0</v>
      </c>
      <c r="K234" s="45">
        <v>15953.2</v>
      </c>
      <c r="L234" s="45">
        <v>30</v>
      </c>
      <c r="M234" s="45">
        <v>0</v>
      </c>
      <c r="O234" s="45">
        <v>15381</v>
      </c>
      <c r="P234" s="45">
        <v>29</v>
      </c>
      <c r="Q234" s="45">
        <v>0</v>
      </c>
      <c r="R234" s="45">
        <v>16374.9</v>
      </c>
      <c r="S234" s="45">
        <v>33</v>
      </c>
      <c r="T234" s="45">
        <v>0</v>
      </c>
      <c r="U234" s="45">
        <v>16614.3</v>
      </c>
      <c r="V234" s="45">
        <v>38</v>
      </c>
      <c r="W234" s="45">
        <v>1</v>
      </c>
      <c r="X234" s="45">
        <v>15381</v>
      </c>
      <c r="Y234" s="45">
        <v>29</v>
      </c>
      <c r="Z234" s="45">
        <v>0</v>
      </c>
      <c r="AB234" s="45">
        <v>14563.3</v>
      </c>
      <c r="AC234" s="45">
        <v>0</v>
      </c>
      <c r="AD234" s="45">
        <v>0</v>
      </c>
      <c r="AE234" s="45">
        <v>13835.3</v>
      </c>
      <c r="AF234" s="45">
        <v>0</v>
      </c>
      <c r="AG234" s="45">
        <v>0</v>
      </c>
      <c r="AH234" s="45">
        <v>14595.3</v>
      </c>
      <c r="AI234" s="45">
        <v>0</v>
      </c>
      <c r="AJ234" s="45">
        <v>0</v>
      </c>
      <c r="AK234" s="45">
        <v>13094.7</v>
      </c>
      <c r="AL234" s="45">
        <v>0</v>
      </c>
      <c r="AM234" s="45">
        <v>1</v>
      </c>
      <c r="AO234" s="45">
        <v>13094.7</v>
      </c>
      <c r="AP234" s="45">
        <v>0</v>
      </c>
      <c r="AQ234" s="45">
        <v>0</v>
      </c>
      <c r="AR234" s="45">
        <v>13134.7</v>
      </c>
      <c r="AS234" s="45">
        <v>0</v>
      </c>
      <c r="AT234" s="45">
        <v>0</v>
      </c>
      <c r="AU234" s="45">
        <v>15413</v>
      </c>
      <c r="AV234" s="45">
        <v>29</v>
      </c>
      <c r="AW234" s="45">
        <v>1</v>
      </c>
      <c r="AX234" s="45">
        <v>13094.7</v>
      </c>
      <c r="AY234" s="45">
        <v>0</v>
      </c>
      <c r="AZ234" s="45">
        <v>0</v>
      </c>
    </row>
    <row r="235" spans="2:52">
      <c r="B235" s="45">
        <v>12513.4</v>
      </c>
      <c r="C235" s="45">
        <v>0</v>
      </c>
      <c r="D235" s="45">
        <v>0</v>
      </c>
      <c r="E235" s="45">
        <v>12608.4</v>
      </c>
      <c r="F235" s="45">
        <v>11</v>
      </c>
      <c r="G235" s="45">
        <v>1</v>
      </c>
      <c r="H235" s="45">
        <v>12914.9</v>
      </c>
      <c r="I235" s="45">
        <v>11</v>
      </c>
      <c r="J235" s="45">
        <v>0</v>
      </c>
      <c r="K235" s="45">
        <v>10906.4</v>
      </c>
      <c r="L235" s="45">
        <v>0</v>
      </c>
      <c r="M235" s="45">
        <v>0</v>
      </c>
      <c r="O235" s="45">
        <v>11677.4</v>
      </c>
      <c r="P235" s="45">
        <v>0</v>
      </c>
      <c r="Q235" s="45">
        <v>1</v>
      </c>
      <c r="R235" s="45">
        <v>15242</v>
      </c>
      <c r="S235" s="45">
        <v>37</v>
      </c>
      <c r="T235" s="45">
        <v>0</v>
      </c>
      <c r="U235" s="45">
        <v>10954.4</v>
      </c>
      <c r="V235" s="45">
        <v>0</v>
      </c>
      <c r="W235" s="45">
        <v>0</v>
      </c>
      <c r="X235" s="45">
        <v>13679</v>
      </c>
      <c r="Y235" s="45">
        <v>32</v>
      </c>
      <c r="Z235" s="45">
        <v>1</v>
      </c>
      <c r="AB235" s="45">
        <v>11802.5</v>
      </c>
      <c r="AC235" s="45">
        <v>0</v>
      </c>
      <c r="AD235" s="45">
        <v>0</v>
      </c>
      <c r="AE235" s="45">
        <v>13142.1</v>
      </c>
      <c r="AF235" s="45">
        <v>0</v>
      </c>
      <c r="AG235" s="45">
        <v>0</v>
      </c>
      <c r="AH235" s="45">
        <v>12536.3</v>
      </c>
      <c r="AI235" s="45">
        <v>0</v>
      </c>
      <c r="AJ235" s="45">
        <v>1</v>
      </c>
      <c r="AK235" s="45">
        <v>12302.5</v>
      </c>
      <c r="AL235" s="45">
        <v>0</v>
      </c>
      <c r="AM235" s="45">
        <v>0</v>
      </c>
      <c r="AO235" s="45">
        <v>10914.4</v>
      </c>
      <c r="AP235" s="45">
        <v>0</v>
      </c>
      <c r="AQ235" s="45">
        <v>0</v>
      </c>
      <c r="AR235" s="45">
        <v>12206.9</v>
      </c>
      <c r="AS235" s="45">
        <v>0</v>
      </c>
      <c r="AT235" s="45">
        <v>0</v>
      </c>
      <c r="AU235" s="45">
        <v>10914.4</v>
      </c>
      <c r="AV235" s="45">
        <v>0</v>
      </c>
      <c r="AW235" s="45">
        <v>1</v>
      </c>
      <c r="AX235" s="45">
        <v>10924.4</v>
      </c>
      <c r="AY235" s="45">
        <v>0</v>
      </c>
      <c r="AZ235" s="45">
        <v>0</v>
      </c>
    </row>
    <row r="236" spans="2:52">
      <c r="B236" s="45">
        <v>12870.3</v>
      </c>
      <c r="C236" s="45">
        <v>0</v>
      </c>
      <c r="D236" s="45">
        <v>0</v>
      </c>
      <c r="E236" s="45">
        <v>12543.8</v>
      </c>
      <c r="F236" s="45">
        <v>0</v>
      </c>
      <c r="G236" s="45">
        <v>0</v>
      </c>
      <c r="H236" s="45">
        <v>12909</v>
      </c>
      <c r="I236" s="45">
        <v>0</v>
      </c>
      <c r="J236" s="45">
        <v>0</v>
      </c>
      <c r="K236" s="45">
        <v>12583.8</v>
      </c>
      <c r="L236" s="45">
        <v>0</v>
      </c>
      <c r="M236" s="45">
        <v>1</v>
      </c>
      <c r="O236" s="45">
        <v>13046.6</v>
      </c>
      <c r="P236" s="45">
        <v>0</v>
      </c>
      <c r="Q236" s="45">
        <v>0</v>
      </c>
      <c r="R236" s="45">
        <v>12607.8</v>
      </c>
      <c r="S236" s="45">
        <v>0</v>
      </c>
      <c r="T236" s="45">
        <v>0</v>
      </c>
      <c r="U236" s="45">
        <v>13056.5</v>
      </c>
      <c r="V236" s="45">
        <v>0</v>
      </c>
      <c r="W236" s="45">
        <v>1</v>
      </c>
      <c r="X236" s="45">
        <v>15584.9</v>
      </c>
      <c r="Y236" s="45">
        <v>27</v>
      </c>
      <c r="Z236" s="45">
        <v>0</v>
      </c>
      <c r="AB236" s="45">
        <v>14509.3</v>
      </c>
      <c r="AC236" s="45">
        <v>0</v>
      </c>
      <c r="AD236" s="45">
        <v>0</v>
      </c>
      <c r="AE236" s="45">
        <v>14311.6</v>
      </c>
      <c r="AF236" s="45">
        <v>0</v>
      </c>
      <c r="AG236" s="45">
        <v>0</v>
      </c>
      <c r="AH236" s="45">
        <v>14419</v>
      </c>
      <c r="AI236" s="45">
        <v>0</v>
      </c>
      <c r="AJ236" s="45">
        <v>1</v>
      </c>
      <c r="AK236" s="45">
        <v>15220.6</v>
      </c>
      <c r="AL236" s="45">
        <v>0</v>
      </c>
      <c r="AM236" s="45">
        <v>0</v>
      </c>
      <c r="AO236" s="45">
        <v>13826.9</v>
      </c>
      <c r="AP236" s="45">
        <v>0</v>
      </c>
      <c r="AQ236" s="45">
        <v>0</v>
      </c>
      <c r="AR236" s="45">
        <v>12679.8</v>
      </c>
      <c r="AS236" s="45">
        <v>0</v>
      </c>
      <c r="AT236" s="45">
        <v>1</v>
      </c>
      <c r="AU236" s="45">
        <v>12631.8</v>
      </c>
      <c r="AV236" s="45">
        <v>0</v>
      </c>
      <c r="AW236" s="45">
        <v>0</v>
      </c>
      <c r="AX236" s="45">
        <v>12583.8</v>
      </c>
      <c r="AY236" s="45">
        <v>0</v>
      </c>
      <c r="AZ236" s="45">
        <v>0</v>
      </c>
    </row>
    <row r="237" spans="2:52">
      <c r="B237" s="45">
        <v>9151.4</v>
      </c>
      <c r="C237" s="45">
        <v>0</v>
      </c>
      <c r="D237" s="45">
        <v>0</v>
      </c>
      <c r="E237" s="45">
        <v>9119.4</v>
      </c>
      <c r="F237" s="45">
        <v>0</v>
      </c>
      <c r="G237" s="45">
        <v>0</v>
      </c>
      <c r="H237" s="45">
        <v>9119.4</v>
      </c>
      <c r="I237" s="45">
        <v>0</v>
      </c>
      <c r="J237" s="45">
        <v>0</v>
      </c>
      <c r="K237" s="45">
        <v>9127.4</v>
      </c>
      <c r="L237" s="45">
        <v>0</v>
      </c>
      <c r="M237" s="45">
        <v>0</v>
      </c>
      <c r="O237" s="45">
        <v>9151.4</v>
      </c>
      <c r="P237" s="45">
        <v>0</v>
      </c>
      <c r="Q237" s="45">
        <v>0</v>
      </c>
      <c r="R237" s="45">
        <v>9798.6</v>
      </c>
      <c r="S237" s="45">
        <v>0</v>
      </c>
      <c r="T237" s="45">
        <v>1</v>
      </c>
      <c r="U237" s="45">
        <v>9119.4</v>
      </c>
      <c r="V237" s="45">
        <v>0</v>
      </c>
      <c r="W237" s="45">
        <v>0</v>
      </c>
      <c r="X237" s="45">
        <v>9119.4</v>
      </c>
      <c r="Y237" s="45">
        <v>0</v>
      </c>
      <c r="Z237" s="45">
        <v>0</v>
      </c>
      <c r="AB237" s="45">
        <v>10951</v>
      </c>
      <c r="AC237" s="45">
        <v>0</v>
      </c>
      <c r="AD237" s="45">
        <v>0</v>
      </c>
      <c r="AE237" s="45">
        <v>11089.5</v>
      </c>
      <c r="AF237" s="45">
        <v>0</v>
      </c>
      <c r="AG237" s="45">
        <v>0</v>
      </c>
      <c r="AH237" s="45">
        <v>10059.200000000001</v>
      </c>
      <c r="AI237" s="45">
        <v>0</v>
      </c>
      <c r="AJ237" s="45">
        <v>1</v>
      </c>
      <c r="AK237" s="45">
        <v>10650.2</v>
      </c>
      <c r="AL237" s="45">
        <v>0</v>
      </c>
      <c r="AM237" s="45">
        <v>0</v>
      </c>
      <c r="AO237" s="45">
        <v>10916.4</v>
      </c>
      <c r="AP237" s="45">
        <v>0</v>
      </c>
      <c r="AQ237" s="45">
        <v>1</v>
      </c>
      <c r="AR237" s="45">
        <v>9798.6</v>
      </c>
      <c r="AS237" s="45">
        <v>0</v>
      </c>
      <c r="AT237" s="45">
        <v>0</v>
      </c>
      <c r="AU237" s="45">
        <v>9971</v>
      </c>
      <c r="AV237" s="45">
        <v>0</v>
      </c>
      <c r="AW237" s="45">
        <v>0</v>
      </c>
      <c r="AX237" s="45">
        <v>9151.4</v>
      </c>
      <c r="AY237" s="45">
        <v>0</v>
      </c>
      <c r="AZ237" s="45">
        <v>1</v>
      </c>
    </row>
    <row r="238" spans="2:52">
      <c r="B238" s="45">
        <v>13006.6</v>
      </c>
      <c r="C238" s="45">
        <v>0</v>
      </c>
      <c r="D238" s="45">
        <v>0</v>
      </c>
      <c r="E238" s="45">
        <v>13014.6</v>
      </c>
      <c r="F238" s="45">
        <v>0</v>
      </c>
      <c r="G238" s="45">
        <v>1</v>
      </c>
      <c r="H238" s="45">
        <v>13175.5</v>
      </c>
      <c r="I238" s="45">
        <v>0</v>
      </c>
      <c r="J238" s="45">
        <v>0</v>
      </c>
      <c r="K238" s="45">
        <v>13030.6</v>
      </c>
      <c r="L238" s="45">
        <v>0</v>
      </c>
      <c r="M238" s="45">
        <v>0</v>
      </c>
      <c r="O238" s="45">
        <v>13414.9</v>
      </c>
      <c r="P238" s="45">
        <v>0</v>
      </c>
      <c r="Q238" s="45">
        <v>1</v>
      </c>
      <c r="R238" s="45">
        <v>13006.6</v>
      </c>
      <c r="S238" s="45">
        <v>0</v>
      </c>
      <c r="T238" s="45">
        <v>0</v>
      </c>
      <c r="U238" s="45">
        <v>13038.6</v>
      </c>
      <c r="V238" s="45">
        <v>0</v>
      </c>
      <c r="W238" s="45">
        <v>0</v>
      </c>
      <c r="X238" s="45">
        <v>13038.6</v>
      </c>
      <c r="Y238" s="45">
        <v>0</v>
      </c>
      <c r="Z238" s="45">
        <v>1</v>
      </c>
      <c r="AB238" s="45">
        <v>13184.2</v>
      </c>
      <c r="AC238" s="45">
        <v>0</v>
      </c>
      <c r="AD238" s="45">
        <v>0</v>
      </c>
      <c r="AE238" s="45">
        <v>14282.1</v>
      </c>
      <c r="AF238" s="45">
        <v>0</v>
      </c>
      <c r="AG238" s="45">
        <v>1</v>
      </c>
      <c r="AH238" s="45">
        <v>14782.7</v>
      </c>
      <c r="AI238" s="45">
        <v>0</v>
      </c>
      <c r="AJ238" s="45">
        <v>0</v>
      </c>
      <c r="AK238" s="45">
        <v>15885</v>
      </c>
      <c r="AL238" s="45">
        <v>0</v>
      </c>
      <c r="AM238" s="45">
        <v>0</v>
      </c>
      <c r="AO238" s="45">
        <v>13548.3</v>
      </c>
      <c r="AP238" s="45">
        <v>0</v>
      </c>
      <c r="AQ238" s="45">
        <v>0</v>
      </c>
      <c r="AR238" s="45">
        <v>13030.6</v>
      </c>
      <c r="AS238" s="45">
        <v>0</v>
      </c>
      <c r="AT238" s="45">
        <v>0</v>
      </c>
      <c r="AU238" s="45">
        <v>13516.3</v>
      </c>
      <c r="AV238" s="45">
        <v>0</v>
      </c>
      <c r="AW238" s="45">
        <v>0</v>
      </c>
      <c r="AX238" s="45">
        <v>13887.6</v>
      </c>
      <c r="AY238" s="45">
        <v>0</v>
      </c>
      <c r="AZ238" s="45">
        <v>1</v>
      </c>
    </row>
    <row r="239" spans="2:52">
      <c r="B239" s="45">
        <v>9367.2999999999993</v>
      </c>
      <c r="C239" s="45">
        <v>0</v>
      </c>
      <c r="D239" s="45">
        <v>0</v>
      </c>
      <c r="E239" s="45">
        <v>8585.7000000000007</v>
      </c>
      <c r="F239" s="45">
        <v>0</v>
      </c>
      <c r="G239" s="45">
        <v>0</v>
      </c>
      <c r="H239" s="45">
        <v>9451.9</v>
      </c>
      <c r="I239" s="45">
        <v>2</v>
      </c>
      <c r="J239" s="45">
        <v>1</v>
      </c>
      <c r="K239" s="45">
        <v>9351.2999999999993</v>
      </c>
      <c r="L239" s="45">
        <v>0</v>
      </c>
      <c r="M239" s="45">
        <v>0</v>
      </c>
      <c r="O239" s="45">
        <v>8577.7000000000007</v>
      </c>
      <c r="P239" s="45">
        <v>0</v>
      </c>
      <c r="Q239" s="45">
        <v>0</v>
      </c>
      <c r="R239" s="45">
        <v>8585.7000000000007</v>
      </c>
      <c r="S239" s="45">
        <v>0</v>
      </c>
      <c r="T239" s="45">
        <v>0</v>
      </c>
      <c r="U239" s="45">
        <v>8585.7000000000007</v>
      </c>
      <c r="V239" s="45">
        <v>0</v>
      </c>
      <c r="W239" s="45">
        <v>0</v>
      </c>
      <c r="X239" s="45">
        <v>8585.7000000000007</v>
      </c>
      <c r="Y239" s="45">
        <v>0</v>
      </c>
      <c r="Z239" s="45">
        <v>1</v>
      </c>
      <c r="AB239" s="45">
        <v>10441.4</v>
      </c>
      <c r="AC239" s="45">
        <v>0</v>
      </c>
      <c r="AD239" s="45">
        <v>1</v>
      </c>
      <c r="AE239" s="45">
        <v>10542.5</v>
      </c>
      <c r="AF239" s="45">
        <v>0</v>
      </c>
      <c r="AG239" s="45">
        <v>0</v>
      </c>
      <c r="AH239" s="45">
        <v>10268.5</v>
      </c>
      <c r="AI239" s="45">
        <v>0</v>
      </c>
      <c r="AJ239" s="45">
        <v>0</v>
      </c>
      <c r="AK239" s="45">
        <v>9733.4</v>
      </c>
      <c r="AL239" s="45">
        <v>0</v>
      </c>
      <c r="AM239" s="45">
        <v>0</v>
      </c>
      <c r="AO239" s="45">
        <v>9359.2999999999993</v>
      </c>
      <c r="AP239" s="45">
        <v>0</v>
      </c>
      <c r="AQ239" s="45">
        <v>0</v>
      </c>
      <c r="AR239" s="45">
        <v>10168.4</v>
      </c>
      <c r="AS239" s="45">
        <v>0</v>
      </c>
      <c r="AT239" s="45">
        <v>0</v>
      </c>
      <c r="AU239" s="45">
        <v>9351.2999999999993</v>
      </c>
      <c r="AV239" s="45">
        <v>0</v>
      </c>
      <c r="AW239" s="45">
        <v>1</v>
      </c>
      <c r="AX239" s="45">
        <v>9486.9</v>
      </c>
      <c r="AY239" s="45">
        <v>0</v>
      </c>
      <c r="AZ239" s="45">
        <v>0</v>
      </c>
    </row>
    <row r="240" spans="2:52">
      <c r="B240" s="45">
        <v>10559.3</v>
      </c>
      <c r="C240" s="45">
        <v>0</v>
      </c>
      <c r="D240" s="45">
        <v>0</v>
      </c>
      <c r="E240" s="45">
        <v>10494.2</v>
      </c>
      <c r="F240" s="45">
        <v>0</v>
      </c>
      <c r="G240" s="45">
        <v>0</v>
      </c>
      <c r="H240" s="45">
        <v>10559.3</v>
      </c>
      <c r="I240" s="45">
        <v>0</v>
      </c>
      <c r="J240" s="45">
        <v>0</v>
      </c>
      <c r="K240" s="45">
        <v>10510.2</v>
      </c>
      <c r="L240" s="45">
        <v>0</v>
      </c>
      <c r="M240" s="45">
        <v>1</v>
      </c>
      <c r="O240" s="45">
        <v>11204.9</v>
      </c>
      <c r="P240" s="45">
        <v>0</v>
      </c>
      <c r="Q240" s="45">
        <v>0</v>
      </c>
      <c r="R240" s="45">
        <v>10486.2</v>
      </c>
      <c r="S240" s="45">
        <v>0</v>
      </c>
      <c r="T240" s="45">
        <v>0</v>
      </c>
      <c r="U240" s="45">
        <v>10510.2</v>
      </c>
      <c r="V240" s="45">
        <v>0</v>
      </c>
      <c r="W240" s="45">
        <v>1</v>
      </c>
      <c r="X240" s="45">
        <v>10494.2</v>
      </c>
      <c r="Y240" s="45">
        <v>0</v>
      </c>
      <c r="Z240" s="45">
        <v>0</v>
      </c>
      <c r="AB240" s="45">
        <v>11562.9</v>
      </c>
      <c r="AC240" s="45">
        <v>0</v>
      </c>
      <c r="AD240" s="45">
        <v>1</v>
      </c>
      <c r="AE240" s="45">
        <v>11648.5</v>
      </c>
      <c r="AF240" s="45">
        <v>0</v>
      </c>
      <c r="AG240" s="45">
        <v>0</v>
      </c>
      <c r="AH240" s="45">
        <v>11421.2</v>
      </c>
      <c r="AI240" s="45">
        <v>0</v>
      </c>
      <c r="AJ240" s="45">
        <v>0</v>
      </c>
      <c r="AK240" s="45">
        <v>11944.7</v>
      </c>
      <c r="AL240" s="45">
        <v>0</v>
      </c>
      <c r="AM240" s="45">
        <v>1</v>
      </c>
      <c r="AO240" s="45">
        <v>11022.6</v>
      </c>
      <c r="AP240" s="45">
        <v>0</v>
      </c>
      <c r="AQ240" s="45">
        <v>0</v>
      </c>
      <c r="AR240" s="45">
        <v>10693.2</v>
      </c>
      <c r="AS240" s="45">
        <v>0</v>
      </c>
      <c r="AT240" s="45">
        <v>1</v>
      </c>
      <c r="AU240" s="45">
        <v>10685.2</v>
      </c>
      <c r="AV240" s="45">
        <v>0</v>
      </c>
      <c r="AW240" s="45">
        <v>0</v>
      </c>
      <c r="AX240" s="45">
        <v>11396.6</v>
      </c>
      <c r="AY240" s="45">
        <v>0</v>
      </c>
      <c r="AZ240" s="45">
        <v>0</v>
      </c>
    </row>
    <row r="241" spans="2:52">
      <c r="B241" s="45">
        <v>10196.5</v>
      </c>
      <c r="C241" s="45">
        <v>0</v>
      </c>
      <c r="D241" s="45">
        <v>0</v>
      </c>
      <c r="E241" s="45">
        <v>10207.700000000001</v>
      </c>
      <c r="F241" s="45">
        <v>0</v>
      </c>
      <c r="G241" s="45">
        <v>0</v>
      </c>
      <c r="H241" s="45">
        <v>10118.700000000001</v>
      </c>
      <c r="I241" s="45">
        <v>0</v>
      </c>
      <c r="J241" s="45">
        <v>0</v>
      </c>
      <c r="K241" s="45">
        <v>10072.5</v>
      </c>
      <c r="L241" s="45">
        <v>0</v>
      </c>
      <c r="M241" s="45">
        <v>0</v>
      </c>
      <c r="O241" s="45">
        <v>10262.5</v>
      </c>
      <c r="P241" s="45">
        <v>0</v>
      </c>
      <c r="Q241" s="45">
        <v>0</v>
      </c>
      <c r="R241" s="45">
        <v>10056.5</v>
      </c>
      <c r="S241" s="45">
        <v>0</v>
      </c>
      <c r="T241" s="45">
        <v>1</v>
      </c>
      <c r="U241" s="45">
        <v>10365.200000000001</v>
      </c>
      <c r="V241" s="45">
        <v>2</v>
      </c>
      <c r="W241" s="45">
        <v>0</v>
      </c>
      <c r="X241" s="45">
        <v>12383.8</v>
      </c>
      <c r="Y241" s="45">
        <v>24</v>
      </c>
      <c r="Z241" s="45">
        <v>0</v>
      </c>
      <c r="AB241" s="45">
        <v>11445.9</v>
      </c>
      <c r="AC241" s="45">
        <v>0</v>
      </c>
      <c r="AD241" s="45">
        <v>0</v>
      </c>
      <c r="AE241" s="45">
        <v>10875.3</v>
      </c>
      <c r="AF241" s="45">
        <v>0</v>
      </c>
      <c r="AG241" s="45">
        <v>0</v>
      </c>
      <c r="AH241" s="45">
        <v>10207.700000000001</v>
      </c>
      <c r="AI241" s="45">
        <v>0</v>
      </c>
      <c r="AJ241" s="45">
        <v>0</v>
      </c>
      <c r="AK241" s="45">
        <v>11485</v>
      </c>
      <c r="AL241" s="45">
        <v>0</v>
      </c>
      <c r="AM241" s="45">
        <v>1</v>
      </c>
      <c r="AO241" s="45">
        <v>10088.5</v>
      </c>
      <c r="AP241" s="45">
        <v>0</v>
      </c>
      <c r="AQ241" s="45">
        <v>1</v>
      </c>
      <c r="AR241" s="45">
        <v>10056.5</v>
      </c>
      <c r="AS241" s="45">
        <v>0</v>
      </c>
      <c r="AT241" s="45">
        <v>0</v>
      </c>
      <c r="AU241" s="45">
        <v>10134.700000000001</v>
      </c>
      <c r="AV241" s="45">
        <v>0</v>
      </c>
      <c r="AW241" s="45">
        <v>0</v>
      </c>
      <c r="AX241" s="45">
        <v>10072.5</v>
      </c>
      <c r="AY241" s="45">
        <v>0</v>
      </c>
      <c r="AZ241" s="45">
        <v>1</v>
      </c>
    </row>
    <row r="242" spans="2:52">
      <c r="B242" s="45">
        <v>13137.8</v>
      </c>
      <c r="C242" s="45">
        <v>0</v>
      </c>
      <c r="D242" s="45">
        <v>0</v>
      </c>
      <c r="E242" s="45">
        <v>14718.3</v>
      </c>
      <c r="F242" s="45">
        <v>17</v>
      </c>
      <c r="G242" s="45">
        <v>1</v>
      </c>
      <c r="H242" s="45">
        <v>13137.8</v>
      </c>
      <c r="I242" s="45">
        <v>0</v>
      </c>
      <c r="J242" s="45">
        <v>0</v>
      </c>
      <c r="K242" s="45">
        <v>13565.1</v>
      </c>
      <c r="L242" s="45">
        <v>0</v>
      </c>
      <c r="M242" s="45">
        <v>0</v>
      </c>
      <c r="O242" s="45">
        <v>13097.8</v>
      </c>
      <c r="P242" s="45">
        <v>0</v>
      </c>
      <c r="Q242" s="45">
        <v>1</v>
      </c>
      <c r="R242" s="45">
        <v>13089.8</v>
      </c>
      <c r="S242" s="45">
        <v>0</v>
      </c>
      <c r="T242" s="45">
        <v>0</v>
      </c>
      <c r="U242" s="45">
        <v>14718.3</v>
      </c>
      <c r="V242" s="45">
        <v>17</v>
      </c>
      <c r="W242" s="45">
        <v>0</v>
      </c>
      <c r="X242" s="45">
        <v>14750.3</v>
      </c>
      <c r="Y242" s="45">
        <v>17</v>
      </c>
      <c r="Z242" s="45">
        <v>1</v>
      </c>
      <c r="AB242" s="45">
        <v>15009.5</v>
      </c>
      <c r="AC242" s="45">
        <v>0</v>
      </c>
      <c r="AD242" s="45">
        <v>0</v>
      </c>
      <c r="AE242" s="45">
        <v>14868.9</v>
      </c>
      <c r="AF242" s="45">
        <v>0</v>
      </c>
      <c r="AG242" s="45">
        <v>0</v>
      </c>
      <c r="AH242" s="45">
        <v>15033</v>
      </c>
      <c r="AI242" s="45">
        <v>0</v>
      </c>
      <c r="AJ242" s="45">
        <v>1</v>
      </c>
      <c r="AK242" s="45">
        <v>13528.1</v>
      </c>
      <c r="AL242" s="45">
        <v>0</v>
      </c>
      <c r="AM242" s="45">
        <v>0</v>
      </c>
      <c r="AO242" s="45">
        <v>13544.1</v>
      </c>
      <c r="AP242" s="45">
        <v>0</v>
      </c>
      <c r="AQ242" s="45">
        <v>0</v>
      </c>
      <c r="AR242" s="45">
        <v>13480.1</v>
      </c>
      <c r="AS242" s="45">
        <v>0</v>
      </c>
      <c r="AT242" s="45">
        <v>0</v>
      </c>
      <c r="AU242" s="45">
        <v>13528.1</v>
      </c>
      <c r="AV242" s="45">
        <v>0</v>
      </c>
      <c r="AW242" s="45">
        <v>0</v>
      </c>
      <c r="AX242" s="45">
        <v>13488.1</v>
      </c>
      <c r="AY242" s="45">
        <v>0</v>
      </c>
      <c r="AZ242" s="45">
        <v>1</v>
      </c>
    </row>
    <row r="243" spans="2:52">
      <c r="B243" s="45">
        <v>11109.7</v>
      </c>
      <c r="C243" s="45">
        <v>0</v>
      </c>
      <c r="D243" s="45">
        <v>0</v>
      </c>
      <c r="E243" s="45">
        <v>10267.5</v>
      </c>
      <c r="F243" s="45">
        <v>0</v>
      </c>
      <c r="G243" s="45">
        <v>0</v>
      </c>
      <c r="H243" s="45">
        <v>10683.4</v>
      </c>
      <c r="I243" s="45">
        <v>0</v>
      </c>
      <c r="J243" s="45">
        <v>0</v>
      </c>
      <c r="K243" s="45">
        <v>10256.5</v>
      </c>
      <c r="L243" s="45">
        <v>0</v>
      </c>
      <c r="M243" s="45">
        <v>1</v>
      </c>
      <c r="O243" s="45">
        <v>10256.5</v>
      </c>
      <c r="P243" s="45">
        <v>0</v>
      </c>
      <c r="Q243" s="45">
        <v>0</v>
      </c>
      <c r="R243" s="45">
        <v>9949.7000000000007</v>
      </c>
      <c r="S243" s="45">
        <v>0</v>
      </c>
      <c r="T243" s="45">
        <v>0</v>
      </c>
      <c r="U243" s="45">
        <v>9949.7000000000007</v>
      </c>
      <c r="V243" s="45">
        <v>0</v>
      </c>
      <c r="W243" s="45">
        <v>1</v>
      </c>
      <c r="X243" s="45">
        <v>10321.700000000001</v>
      </c>
      <c r="Y243" s="45">
        <v>0</v>
      </c>
      <c r="Z243" s="45">
        <v>0</v>
      </c>
      <c r="AB243" s="45">
        <v>12221.6</v>
      </c>
      <c r="AC243" s="45">
        <v>0</v>
      </c>
      <c r="AD243" s="45">
        <v>0</v>
      </c>
      <c r="AE243" s="45">
        <v>13281.1</v>
      </c>
      <c r="AF243" s="45">
        <v>0</v>
      </c>
      <c r="AG243" s="45">
        <v>0</v>
      </c>
      <c r="AH243" s="45">
        <v>13318.6</v>
      </c>
      <c r="AI243" s="45">
        <v>0</v>
      </c>
      <c r="AJ243" s="45">
        <v>1</v>
      </c>
      <c r="AK243" s="45">
        <v>11766.3</v>
      </c>
      <c r="AL243" s="45">
        <v>0</v>
      </c>
      <c r="AM243" s="45">
        <v>0</v>
      </c>
      <c r="AO243" s="45">
        <v>11016.5</v>
      </c>
      <c r="AP243" s="45">
        <v>0</v>
      </c>
      <c r="AQ243" s="45">
        <v>0</v>
      </c>
      <c r="AR243" s="45">
        <v>11986.8</v>
      </c>
      <c r="AS243" s="45">
        <v>0</v>
      </c>
      <c r="AT243" s="45">
        <v>0</v>
      </c>
      <c r="AU243" s="45">
        <v>11651.8</v>
      </c>
      <c r="AV243" s="45">
        <v>0</v>
      </c>
      <c r="AW243" s="45">
        <v>1</v>
      </c>
      <c r="AX243" s="45">
        <v>11032.5</v>
      </c>
      <c r="AY243" s="45">
        <v>0</v>
      </c>
      <c r="AZ243" s="45">
        <v>0</v>
      </c>
    </row>
    <row r="244" spans="2:52">
      <c r="B244" s="45">
        <v>11103.7</v>
      </c>
      <c r="C244" s="45">
        <v>20</v>
      </c>
      <c r="D244" s="45">
        <v>0</v>
      </c>
      <c r="E244" s="45">
        <v>8497</v>
      </c>
      <c r="F244" s="45">
        <v>0</v>
      </c>
      <c r="G244" s="45">
        <v>0</v>
      </c>
      <c r="H244" s="45">
        <v>8505</v>
      </c>
      <c r="I244" s="45">
        <v>0</v>
      </c>
      <c r="J244" s="45">
        <v>0</v>
      </c>
      <c r="K244" s="45">
        <v>8441</v>
      </c>
      <c r="L244" s="45">
        <v>0</v>
      </c>
      <c r="M244" s="45">
        <v>0</v>
      </c>
      <c r="O244" s="45">
        <v>8798.2000000000007</v>
      </c>
      <c r="P244" s="45">
        <v>0</v>
      </c>
      <c r="Q244" s="45">
        <v>0</v>
      </c>
      <c r="R244" s="45">
        <v>8822.2000000000007</v>
      </c>
      <c r="S244" s="45">
        <v>0</v>
      </c>
      <c r="T244" s="45">
        <v>0</v>
      </c>
      <c r="U244" s="45">
        <v>9869.1</v>
      </c>
      <c r="V244" s="45">
        <v>12</v>
      </c>
      <c r="W244" s="45">
        <v>1</v>
      </c>
      <c r="X244" s="45">
        <v>9775.4</v>
      </c>
      <c r="Y244" s="45">
        <v>15</v>
      </c>
      <c r="Z244" s="45">
        <v>1</v>
      </c>
      <c r="AB244" s="45">
        <v>9073</v>
      </c>
      <c r="AC244" s="45">
        <v>0</v>
      </c>
      <c r="AD244" s="45">
        <v>0</v>
      </c>
      <c r="AE244" s="45">
        <v>9165.4</v>
      </c>
      <c r="AF244" s="45">
        <v>0</v>
      </c>
      <c r="AG244" s="45">
        <v>1</v>
      </c>
      <c r="AH244" s="45">
        <v>9440</v>
      </c>
      <c r="AI244" s="45">
        <v>0</v>
      </c>
      <c r="AJ244" s="45">
        <v>0</v>
      </c>
      <c r="AK244" s="45">
        <v>10085.5</v>
      </c>
      <c r="AL244" s="45">
        <v>0</v>
      </c>
      <c r="AM244" s="45">
        <v>0</v>
      </c>
      <c r="AO244" s="45">
        <v>9478.4</v>
      </c>
      <c r="AP244" s="45">
        <v>0</v>
      </c>
      <c r="AQ244" s="45">
        <v>0</v>
      </c>
      <c r="AR244" s="45">
        <v>8790.2000000000007</v>
      </c>
      <c r="AS244" s="45">
        <v>0</v>
      </c>
      <c r="AT244" s="45">
        <v>1</v>
      </c>
      <c r="AU244" s="45">
        <v>9081</v>
      </c>
      <c r="AV244" s="45">
        <v>0</v>
      </c>
      <c r="AW244" s="45">
        <v>0</v>
      </c>
      <c r="AX244" s="45">
        <v>8806.2000000000007</v>
      </c>
      <c r="AY244" s="45">
        <v>0</v>
      </c>
      <c r="AZ244" s="45">
        <v>0</v>
      </c>
    </row>
    <row r="245" spans="2:52">
      <c r="B245" s="45">
        <v>10276.1</v>
      </c>
      <c r="C245" s="45">
        <v>0</v>
      </c>
      <c r="D245" s="45">
        <v>0</v>
      </c>
      <c r="E245" s="45">
        <v>10494.9</v>
      </c>
      <c r="F245" s="45">
        <v>0</v>
      </c>
      <c r="G245" s="45">
        <v>1</v>
      </c>
      <c r="H245" s="45">
        <v>10255.700000000001</v>
      </c>
      <c r="I245" s="45">
        <v>0</v>
      </c>
      <c r="J245" s="45">
        <v>0</v>
      </c>
      <c r="K245" s="45">
        <v>10837.1</v>
      </c>
      <c r="L245" s="45">
        <v>0</v>
      </c>
      <c r="M245" s="45">
        <v>0</v>
      </c>
      <c r="O245" s="45">
        <v>10752.7</v>
      </c>
      <c r="P245" s="45">
        <v>0</v>
      </c>
      <c r="Q245" s="45">
        <v>0</v>
      </c>
      <c r="R245" s="45">
        <v>10164</v>
      </c>
      <c r="S245" s="45">
        <v>0</v>
      </c>
      <c r="T245" s="45">
        <v>0</v>
      </c>
      <c r="U245" s="45">
        <v>10239.700000000001</v>
      </c>
      <c r="V245" s="45">
        <v>0</v>
      </c>
      <c r="W245" s="45">
        <v>0</v>
      </c>
      <c r="X245" s="45">
        <v>10255.700000000001</v>
      </c>
      <c r="Y245" s="45">
        <v>0</v>
      </c>
      <c r="Z245" s="45">
        <v>1</v>
      </c>
      <c r="AB245" s="45">
        <v>11575.3</v>
      </c>
      <c r="AC245" s="45">
        <v>0</v>
      </c>
      <c r="AD245" s="45">
        <v>1</v>
      </c>
      <c r="AE245" s="45">
        <v>10478.9</v>
      </c>
      <c r="AF245" s="45">
        <v>0</v>
      </c>
      <c r="AG245" s="45">
        <v>0</v>
      </c>
      <c r="AH245" s="45">
        <v>10995.6</v>
      </c>
      <c r="AI245" s="45">
        <v>0</v>
      </c>
      <c r="AJ245" s="45">
        <v>0</v>
      </c>
      <c r="AK245" s="45">
        <v>11820.5</v>
      </c>
      <c r="AL245" s="45">
        <v>0</v>
      </c>
      <c r="AM245" s="45">
        <v>0</v>
      </c>
      <c r="AO245" s="45">
        <v>10255.700000000001</v>
      </c>
      <c r="AP245" s="45">
        <v>0</v>
      </c>
      <c r="AQ245" s="45">
        <v>1</v>
      </c>
      <c r="AR245" s="45">
        <v>10821.1</v>
      </c>
      <c r="AS245" s="45">
        <v>0</v>
      </c>
      <c r="AT245" s="45">
        <v>0</v>
      </c>
      <c r="AU245" s="45">
        <v>10853.1</v>
      </c>
      <c r="AV245" s="45">
        <v>0</v>
      </c>
      <c r="AW245" s="45">
        <v>0</v>
      </c>
      <c r="AX245" s="45">
        <v>10139.6</v>
      </c>
      <c r="AY245" s="45">
        <v>0</v>
      </c>
      <c r="AZ245" s="45">
        <v>1</v>
      </c>
    </row>
    <row r="246" spans="2:52">
      <c r="B246" s="45">
        <v>9451.9</v>
      </c>
      <c r="C246" s="45">
        <v>0</v>
      </c>
      <c r="D246" s="45">
        <v>0</v>
      </c>
      <c r="E246" s="45">
        <v>9561.7000000000007</v>
      </c>
      <c r="F246" s="45">
        <v>7</v>
      </c>
      <c r="G246" s="45">
        <v>0</v>
      </c>
      <c r="H246" s="45">
        <v>9454.2999999999993</v>
      </c>
      <c r="I246" s="45">
        <v>0</v>
      </c>
      <c r="J246" s="45">
        <v>0</v>
      </c>
      <c r="K246" s="45">
        <v>9443.9</v>
      </c>
      <c r="L246" s="45">
        <v>0</v>
      </c>
      <c r="M246" s="45">
        <v>1</v>
      </c>
      <c r="O246" s="45">
        <v>9502.2999999999993</v>
      </c>
      <c r="P246" s="45">
        <v>0</v>
      </c>
      <c r="Q246" s="45">
        <v>0</v>
      </c>
      <c r="R246" s="45">
        <v>9462.2999999999993</v>
      </c>
      <c r="S246" s="45">
        <v>0</v>
      </c>
      <c r="T246" s="45">
        <v>0</v>
      </c>
      <c r="U246" s="45">
        <v>9539.1</v>
      </c>
      <c r="V246" s="45">
        <v>7</v>
      </c>
      <c r="W246" s="45">
        <v>1</v>
      </c>
      <c r="X246" s="45">
        <v>9443.9</v>
      </c>
      <c r="Y246" s="45">
        <v>0</v>
      </c>
      <c r="Z246" s="45">
        <v>0</v>
      </c>
      <c r="AB246" s="45">
        <v>10298.9</v>
      </c>
      <c r="AC246" s="45">
        <v>0</v>
      </c>
      <c r="AD246" s="45">
        <v>1</v>
      </c>
      <c r="AE246" s="45">
        <v>9791.7000000000007</v>
      </c>
      <c r="AF246" s="45">
        <v>0</v>
      </c>
      <c r="AG246" s="45">
        <v>0</v>
      </c>
      <c r="AH246" s="45">
        <v>10422.4</v>
      </c>
      <c r="AI246" s="45">
        <v>0</v>
      </c>
      <c r="AJ246" s="45">
        <v>0</v>
      </c>
      <c r="AK246" s="45">
        <v>10226.700000000001</v>
      </c>
      <c r="AL246" s="45">
        <v>0</v>
      </c>
      <c r="AM246" s="45">
        <v>1</v>
      </c>
      <c r="AO246" s="45">
        <v>9451.9</v>
      </c>
      <c r="AP246" s="45">
        <v>0</v>
      </c>
      <c r="AQ246" s="45">
        <v>0</v>
      </c>
      <c r="AR246" s="45">
        <v>9451.9</v>
      </c>
      <c r="AS246" s="45">
        <v>0</v>
      </c>
      <c r="AT246" s="45">
        <v>0</v>
      </c>
      <c r="AU246" s="45">
        <v>9789.2999999999993</v>
      </c>
      <c r="AV246" s="45">
        <v>0</v>
      </c>
      <c r="AW246" s="45">
        <v>0</v>
      </c>
      <c r="AX246" s="45">
        <v>9451.9</v>
      </c>
      <c r="AY246" s="45">
        <v>0</v>
      </c>
      <c r="AZ246" s="45">
        <v>1</v>
      </c>
    </row>
    <row r="247" spans="2:52">
      <c r="B247" s="45">
        <v>8786</v>
      </c>
      <c r="C247" s="45">
        <v>0</v>
      </c>
      <c r="D247" s="45">
        <v>0</v>
      </c>
      <c r="E247" s="45">
        <v>9353.1</v>
      </c>
      <c r="F247" s="45">
        <v>0</v>
      </c>
      <c r="G247" s="45">
        <v>0</v>
      </c>
      <c r="H247" s="45">
        <v>9167.5</v>
      </c>
      <c r="I247" s="45">
        <v>0</v>
      </c>
      <c r="J247" s="45">
        <v>0</v>
      </c>
      <c r="K247" s="45">
        <v>8826</v>
      </c>
      <c r="L247" s="45">
        <v>0</v>
      </c>
      <c r="M247" s="45">
        <v>0</v>
      </c>
      <c r="O247" s="45">
        <v>8786</v>
      </c>
      <c r="P247" s="45">
        <v>0</v>
      </c>
      <c r="Q247" s="45">
        <v>0</v>
      </c>
      <c r="R247" s="45">
        <v>9207.5</v>
      </c>
      <c r="S247" s="45">
        <v>0</v>
      </c>
      <c r="T247" s="45">
        <v>1</v>
      </c>
      <c r="U247" s="45">
        <v>8802</v>
      </c>
      <c r="V247" s="45">
        <v>0</v>
      </c>
      <c r="W247" s="45">
        <v>0</v>
      </c>
      <c r="X247" s="45">
        <v>9261.9</v>
      </c>
      <c r="Y247" s="45">
        <v>0</v>
      </c>
      <c r="Z247" s="45">
        <v>0</v>
      </c>
      <c r="AB247" s="45">
        <v>10308.200000000001</v>
      </c>
      <c r="AC247" s="45">
        <v>0</v>
      </c>
      <c r="AD247" s="45">
        <v>0</v>
      </c>
      <c r="AE247" s="45">
        <v>11106.3</v>
      </c>
      <c r="AF247" s="45">
        <v>0</v>
      </c>
      <c r="AG247" s="45">
        <v>0</v>
      </c>
      <c r="AH247" s="45">
        <v>10654.2</v>
      </c>
      <c r="AI247" s="45">
        <v>0</v>
      </c>
      <c r="AJ247" s="45">
        <v>0</v>
      </c>
      <c r="AK247" s="45">
        <v>11123.8</v>
      </c>
      <c r="AL247" s="45">
        <v>0</v>
      </c>
      <c r="AM247" s="45">
        <v>1</v>
      </c>
      <c r="AO247" s="45">
        <v>9774.6</v>
      </c>
      <c r="AP247" s="45">
        <v>0</v>
      </c>
      <c r="AQ247" s="45">
        <v>0</v>
      </c>
      <c r="AR247" s="45">
        <v>10092.9</v>
      </c>
      <c r="AS247" s="45">
        <v>0</v>
      </c>
      <c r="AT247" s="45">
        <v>0</v>
      </c>
      <c r="AU247" s="45">
        <v>9711.4</v>
      </c>
      <c r="AV247" s="45">
        <v>0</v>
      </c>
      <c r="AW247" s="45">
        <v>1</v>
      </c>
      <c r="AX247" s="45">
        <v>9812.1</v>
      </c>
      <c r="AY247" s="45">
        <v>0</v>
      </c>
      <c r="AZ247" s="45">
        <v>0</v>
      </c>
    </row>
    <row r="248" spans="2:52">
      <c r="B248" s="45">
        <v>9111.6</v>
      </c>
      <c r="C248" s="45">
        <v>0</v>
      </c>
      <c r="D248" s="45">
        <v>0</v>
      </c>
      <c r="E248" s="45">
        <v>9025.4</v>
      </c>
      <c r="F248" s="45">
        <v>1</v>
      </c>
      <c r="G248" s="45">
        <v>1</v>
      </c>
      <c r="H248" s="45">
        <v>9349.6</v>
      </c>
      <c r="I248" s="45">
        <v>0</v>
      </c>
      <c r="J248" s="45">
        <v>0</v>
      </c>
      <c r="K248" s="45">
        <v>9045.7000000000007</v>
      </c>
      <c r="L248" s="45">
        <v>0</v>
      </c>
      <c r="M248" s="45">
        <v>0</v>
      </c>
      <c r="O248" s="45">
        <v>9312.9</v>
      </c>
      <c r="P248" s="45">
        <v>0</v>
      </c>
      <c r="Q248" s="45">
        <v>0</v>
      </c>
      <c r="R248" s="45">
        <v>9029.7000000000007</v>
      </c>
      <c r="S248" s="45">
        <v>0</v>
      </c>
      <c r="T248" s="45">
        <v>1</v>
      </c>
      <c r="U248" s="45">
        <v>8991.6</v>
      </c>
      <c r="V248" s="45">
        <v>5</v>
      </c>
      <c r="W248" s="45">
        <v>0</v>
      </c>
      <c r="X248" s="45">
        <v>8663</v>
      </c>
      <c r="Y248" s="45">
        <v>1</v>
      </c>
      <c r="Z248" s="45">
        <v>1</v>
      </c>
      <c r="AB248" s="45">
        <v>10807</v>
      </c>
      <c r="AC248" s="45">
        <v>0</v>
      </c>
      <c r="AD248" s="45">
        <v>0</v>
      </c>
      <c r="AE248" s="45">
        <v>9069.7000000000007</v>
      </c>
      <c r="AF248" s="45">
        <v>0</v>
      </c>
      <c r="AG248" s="45">
        <v>0</v>
      </c>
      <c r="AH248" s="45">
        <v>10224.5</v>
      </c>
      <c r="AI248" s="45">
        <v>0</v>
      </c>
      <c r="AJ248" s="45">
        <v>1</v>
      </c>
      <c r="AK248" s="45">
        <v>10055.5</v>
      </c>
      <c r="AL248" s="45">
        <v>0</v>
      </c>
      <c r="AM248" s="45">
        <v>0</v>
      </c>
      <c r="AO248" s="45">
        <v>9365.6</v>
      </c>
      <c r="AP248" s="45">
        <v>0</v>
      </c>
      <c r="AQ248" s="45">
        <v>0</v>
      </c>
      <c r="AR248" s="45">
        <v>10136.200000000001</v>
      </c>
      <c r="AS248" s="45">
        <v>0</v>
      </c>
      <c r="AT248" s="45">
        <v>1</v>
      </c>
      <c r="AU248" s="45">
        <v>9357.6</v>
      </c>
      <c r="AV248" s="45">
        <v>0</v>
      </c>
      <c r="AW248" s="45">
        <v>0</v>
      </c>
      <c r="AX248" s="45">
        <v>9336.9</v>
      </c>
      <c r="AY248" s="45">
        <v>0</v>
      </c>
      <c r="AZ248" s="45">
        <v>0</v>
      </c>
    </row>
    <row r="249" spans="2:52">
      <c r="B249" s="45">
        <v>10792.7</v>
      </c>
      <c r="C249" s="45">
        <v>0</v>
      </c>
      <c r="D249" s="45">
        <v>0</v>
      </c>
      <c r="E249" s="45">
        <v>11604.5</v>
      </c>
      <c r="F249" s="45">
        <v>0</v>
      </c>
      <c r="G249" s="45">
        <v>0</v>
      </c>
      <c r="H249" s="45">
        <v>10816.7</v>
      </c>
      <c r="I249" s="45">
        <v>0</v>
      </c>
      <c r="J249" s="45">
        <v>0</v>
      </c>
      <c r="K249" s="45">
        <v>11088.1</v>
      </c>
      <c r="L249" s="45">
        <v>0</v>
      </c>
      <c r="M249" s="45">
        <v>1</v>
      </c>
      <c r="O249" s="45">
        <v>11682.2</v>
      </c>
      <c r="P249" s="45">
        <v>0</v>
      </c>
      <c r="Q249" s="45">
        <v>0</v>
      </c>
      <c r="R249" s="45">
        <v>10808.7</v>
      </c>
      <c r="S249" s="45">
        <v>0</v>
      </c>
      <c r="T249" s="45">
        <v>0</v>
      </c>
      <c r="U249" s="45">
        <v>10816.7</v>
      </c>
      <c r="V249" s="45">
        <v>0</v>
      </c>
      <c r="W249" s="45">
        <v>1</v>
      </c>
      <c r="X249" s="45">
        <v>10792.7</v>
      </c>
      <c r="Y249" s="45">
        <v>0</v>
      </c>
      <c r="Z249" s="45">
        <v>0</v>
      </c>
      <c r="AB249" s="45">
        <v>12081.4</v>
      </c>
      <c r="AC249" s="45">
        <v>0</v>
      </c>
      <c r="AD249" s="45">
        <v>0</v>
      </c>
      <c r="AE249" s="45">
        <v>13598.7</v>
      </c>
      <c r="AF249" s="45">
        <v>0</v>
      </c>
      <c r="AG249" s="45">
        <v>0</v>
      </c>
      <c r="AH249" s="45">
        <v>12069.6</v>
      </c>
      <c r="AI249" s="45">
        <v>0</v>
      </c>
      <c r="AJ249" s="45">
        <v>1</v>
      </c>
      <c r="AK249" s="45">
        <v>12870.2</v>
      </c>
      <c r="AL249" s="45">
        <v>0</v>
      </c>
      <c r="AM249" s="45">
        <v>0</v>
      </c>
      <c r="AO249" s="45">
        <v>11715.1</v>
      </c>
      <c r="AP249" s="45">
        <v>0</v>
      </c>
      <c r="AQ249" s="45">
        <v>0</v>
      </c>
      <c r="AR249" s="45">
        <v>11698.2</v>
      </c>
      <c r="AS249" s="45">
        <v>0</v>
      </c>
      <c r="AT249" s="45">
        <v>1</v>
      </c>
      <c r="AU249" s="45">
        <v>11682.2</v>
      </c>
      <c r="AV249" s="45">
        <v>0</v>
      </c>
      <c r="AW249" s="45">
        <v>0</v>
      </c>
      <c r="AX249" s="45">
        <v>11706.2</v>
      </c>
      <c r="AY249" s="45">
        <v>0</v>
      </c>
      <c r="AZ249" s="45">
        <v>0</v>
      </c>
    </row>
    <row r="250" spans="2:52">
      <c r="B250" s="45">
        <v>10381.5</v>
      </c>
      <c r="C250" s="45">
        <v>0</v>
      </c>
      <c r="D250" s="45">
        <v>0</v>
      </c>
      <c r="E250" s="45">
        <v>10564.1</v>
      </c>
      <c r="F250" s="45">
        <v>0</v>
      </c>
      <c r="G250" s="45">
        <v>0</v>
      </c>
      <c r="H250" s="45">
        <v>11993.4</v>
      </c>
      <c r="I250" s="45">
        <v>20</v>
      </c>
      <c r="J250" s="45">
        <v>0</v>
      </c>
      <c r="K250" s="45">
        <v>12093.4</v>
      </c>
      <c r="L250" s="45">
        <v>21</v>
      </c>
      <c r="M250" s="45">
        <v>1</v>
      </c>
      <c r="O250" s="45">
        <v>12093.4</v>
      </c>
      <c r="P250" s="45">
        <v>21</v>
      </c>
      <c r="Q250" s="45">
        <v>0</v>
      </c>
      <c r="R250" s="45">
        <v>10360.6</v>
      </c>
      <c r="S250" s="45">
        <v>0</v>
      </c>
      <c r="T250" s="45">
        <v>1</v>
      </c>
      <c r="U250" s="45">
        <v>12126.9</v>
      </c>
      <c r="V250" s="45">
        <v>20</v>
      </c>
      <c r="W250" s="45">
        <v>0</v>
      </c>
      <c r="X250" s="45">
        <v>10146.6</v>
      </c>
      <c r="Y250" s="45">
        <v>0</v>
      </c>
      <c r="Z250" s="45">
        <v>0</v>
      </c>
      <c r="AB250" s="45">
        <v>11849.3</v>
      </c>
      <c r="AC250" s="45">
        <v>0</v>
      </c>
      <c r="AD250" s="45">
        <v>0</v>
      </c>
      <c r="AE250" s="45">
        <v>12442.2</v>
      </c>
      <c r="AF250" s="45">
        <v>0</v>
      </c>
      <c r="AG250" s="45">
        <v>1</v>
      </c>
      <c r="AH250" s="45">
        <v>11278.8</v>
      </c>
      <c r="AI250" s="45">
        <v>0</v>
      </c>
      <c r="AJ250" s="45">
        <v>0</v>
      </c>
      <c r="AK250" s="45">
        <v>11522.1</v>
      </c>
      <c r="AL250" s="45">
        <v>0</v>
      </c>
      <c r="AM250" s="45">
        <v>0</v>
      </c>
      <c r="AO250" s="45">
        <v>11403.3</v>
      </c>
      <c r="AP250" s="45">
        <v>0</v>
      </c>
      <c r="AQ250" s="45">
        <v>1</v>
      </c>
      <c r="AR250" s="45">
        <v>10612.1</v>
      </c>
      <c r="AS250" s="45">
        <v>0</v>
      </c>
      <c r="AT250" s="45">
        <v>0</v>
      </c>
      <c r="AU250" s="45">
        <v>10564.1</v>
      </c>
      <c r="AV250" s="45">
        <v>0</v>
      </c>
      <c r="AW250" s="45">
        <v>0</v>
      </c>
      <c r="AX250" s="45">
        <v>10612.1</v>
      </c>
      <c r="AY250" s="45">
        <v>0</v>
      </c>
      <c r="AZ250" s="45">
        <v>1</v>
      </c>
    </row>
    <row r="251" spans="2:52">
      <c r="B251" s="45">
        <v>12323.5</v>
      </c>
      <c r="C251" s="45">
        <v>0</v>
      </c>
      <c r="D251" s="45">
        <v>0</v>
      </c>
      <c r="E251" s="45">
        <v>12195.5</v>
      </c>
      <c r="F251" s="45">
        <v>0</v>
      </c>
      <c r="G251" s="45">
        <v>0</v>
      </c>
      <c r="H251" s="45">
        <v>12013.5</v>
      </c>
      <c r="I251" s="45">
        <v>0</v>
      </c>
      <c r="J251" s="45">
        <v>0</v>
      </c>
      <c r="K251" s="45">
        <v>11948.1</v>
      </c>
      <c r="L251" s="45">
        <v>0</v>
      </c>
      <c r="M251" s="45">
        <v>1</v>
      </c>
      <c r="O251" s="45">
        <v>11948.1</v>
      </c>
      <c r="P251" s="45">
        <v>0</v>
      </c>
      <c r="Q251" s="45">
        <v>1</v>
      </c>
      <c r="R251" s="45">
        <v>11996.1</v>
      </c>
      <c r="S251" s="45">
        <v>0</v>
      </c>
      <c r="T251" s="45">
        <v>0</v>
      </c>
      <c r="U251" s="45">
        <v>12135.1</v>
      </c>
      <c r="V251" s="45">
        <v>0</v>
      </c>
      <c r="W251" s="45">
        <v>0</v>
      </c>
      <c r="X251" s="45">
        <v>11964.1</v>
      </c>
      <c r="Y251" s="45">
        <v>0</v>
      </c>
      <c r="Z251" s="45">
        <v>1</v>
      </c>
      <c r="AB251" s="45">
        <v>14247.8</v>
      </c>
      <c r="AC251" s="45">
        <v>0</v>
      </c>
      <c r="AD251" s="45">
        <v>0</v>
      </c>
      <c r="AE251" s="45">
        <v>13901.1</v>
      </c>
      <c r="AF251" s="45">
        <v>0</v>
      </c>
      <c r="AG251" s="45">
        <v>1</v>
      </c>
      <c r="AH251" s="45">
        <v>14110.3</v>
      </c>
      <c r="AI251" s="45">
        <v>0</v>
      </c>
      <c r="AJ251" s="45">
        <v>0</v>
      </c>
      <c r="AK251" s="45">
        <v>11948.1</v>
      </c>
      <c r="AL251" s="45">
        <v>0</v>
      </c>
      <c r="AM251" s="45">
        <v>0</v>
      </c>
      <c r="AO251" s="45">
        <v>12195.5</v>
      </c>
      <c r="AP251" s="45">
        <v>0</v>
      </c>
      <c r="AQ251" s="45">
        <v>0</v>
      </c>
      <c r="AR251" s="45">
        <v>13945.5</v>
      </c>
      <c r="AS251" s="45">
        <v>0</v>
      </c>
      <c r="AT251" s="45">
        <v>0</v>
      </c>
      <c r="AU251" s="45">
        <v>12541.4</v>
      </c>
      <c r="AV251" s="45">
        <v>0</v>
      </c>
      <c r="AW251" s="45">
        <v>1</v>
      </c>
      <c r="AX251" s="45">
        <v>12163.5</v>
      </c>
      <c r="AY251" s="45">
        <v>0</v>
      </c>
      <c r="AZ251" s="45">
        <v>0</v>
      </c>
    </row>
    <row r="252" spans="2:52">
      <c r="B252" s="45">
        <v>8999.7999999999993</v>
      </c>
      <c r="C252" s="45">
        <v>0</v>
      </c>
      <c r="D252" s="45">
        <v>0</v>
      </c>
      <c r="E252" s="45">
        <v>8975.7999999999993</v>
      </c>
      <c r="F252" s="45">
        <v>0</v>
      </c>
      <c r="G252" s="45">
        <v>0</v>
      </c>
      <c r="H252" s="45">
        <v>9007.7999999999993</v>
      </c>
      <c r="I252" s="45">
        <v>0</v>
      </c>
      <c r="J252" s="45">
        <v>0</v>
      </c>
      <c r="K252" s="45">
        <v>9691.7999999999993</v>
      </c>
      <c r="L252" s="45">
        <v>12</v>
      </c>
      <c r="M252" s="45">
        <v>1</v>
      </c>
      <c r="O252" s="45">
        <v>9328.5</v>
      </c>
      <c r="P252" s="45">
        <v>0</v>
      </c>
      <c r="Q252" s="45">
        <v>0</v>
      </c>
      <c r="R252" s="45">
        <v>9739.7999999999993</v>
      </c>
      <c r="S252" s="45">
        <v>12</v>
      </c>
      <c r="T252" s="45">
        <v>0</v>
      </c>
      <c r="U252" s="45">
        <v>9335.4</v>
      </c>
      <c r="V252" s="45">
        <v>0</v>
      </c>
      <c r="W252" s="45">
        <v>1</v>
      </c>
      <c r="X252" s="45">
        <v>9307.7999999999993</v>
      </c>
      <c r="Y252" s="45">
        <v>8</v>
      </c>
      <c r="Z252" s="45">
        <v>0</v>
      </c>
      <c r="AB252" s="45">
        <v>9607.5</v>
      </c>
      <c r="AC252" s="45">
        <v>0</v>
      </c>
      <c r="AD252" s="45">
        <v>1</v>
      </c>
      <c r="AE252" s="45">
        <v>9776.2999999999993</v>
      </c>
      <c r="AF252" s="45">
        <v>0</v>
      </c>
      <c r="AG252" s="45">
        <v>0</v>
      </c>
      <c r="AH252" s="45">
        <v>9786</v>
      </c>
      <c r="AI252" s="45">
        <v>0</v>
      </c>
      <c r="AJ252" s="45">
        <v>0</v>
      </c>
      <c r="AK252" s="45">
        <v>10853.6</v>
      </c>
      <c r="AL252" s="45">
        <v>0</v>
      </c>
      <c r="AM252" s="45">
        <v>1</v>
      </c>
      <c r="AO252" s="45">
        <v>9007.7999999999993</v>
      </c>
      <c r="AP252" s="45">
        <v>0</v>
      </c>
      <c r="AQ252" s="45">
        <v>0</v>
      </c>
      <c r="AR252" s="45">
        <v>8983.7999999999993</v>
      </c>
      <c r="AS252" s="45">
        <v>0</v>
      </c>
      <c r="AT252" s="45">
        <v>1</v>
      </c>
      <c r="AU252" s="45">
        <v>9015.7999999999993</v>
      </c>
      <c r="AV252" s="45">
        <v>0</v>
      </c>
      <c r="AW252" s="45">
        <v>0</v>
      </c>
      <c r="AX252" s="45">
        <v>8999.7999999999993</v>
      </c>
      <c r="AY252" s="45">
        <v>0</v>
      </c>
      <c r="AZ252" s="45">
        <v>0</v>
      </c>
    </row>
    <row r="253" spans="2:52">
      <c r="B253" s="45">
        <v>14424.9</v>
      </c>
      <c r="C253" s="45">
        <v>0</v>
      </c>
      <c r="D253" s="45">
        <v>0</v>
      </c>
      <c r="E253" s="45">
        <v>15186.5</v>
      </c>
      <c r="F253" s="45">
        <v>13</v>
      </c>
      <c r="G253" s="45">
        <v>0</v>
      </c>
      <c r="H253" s="45">
        <v>15421.5</v>
      </c>
      <c r="I253" s="45">
        <v>14</v>
      </c>
      <c r="J253" s="45">
        <v>0</v>
      </c>
      <c r="K253" s="45">
        <v>14384.9</v>
      </c>
      <c r="L253" s="45">
        <v>0</v>
      </c>
      <c r="M253" s="45">
        <v>1</v>
      </c>
      <c r="O253" s="45">
        <v>14994.5</v>
      </c>
      <c r="P253" s="45">
        <v>13</v>
      </c>
      <c r="Q253" s="45">
        <v>1</v>
      </c>
      <c r="R253" s="45">
        <v>16383.3</v>
      </c>
      <c r="S253" s="45">
        <v>19</v>
      </c>
      <c r="T253" s="45">
        <v>0</v>
      </c>
      <c r="U253" s="45">
        <v>15533.3</v>
      </c>
      <c r="V253" s="45">
        <v>13</v>
      </c>
      <c r="W253" s="45">
        <v>0</v>
      </c>
      <c r="X253" s="45">
        <v>15026.5</v>
      </c>
      <c r="Y253" s="45">
        <v>13</v>
      </c>
      <c r="Z253" s="45">
        <v>1</v>
      </c>
      <c r="AB253" s="45">
        <v>14564.3</v>
      </c>
      <c r="AC253" s="45">
        <v>0</v>
      </c>
      <c r="AD253" s="45">
        <v>0</v>
      </c>
      <c r="AE253" s="45">
        <v>14984.1</v>
      </c>
      <c r="AF253" s="45">
        <v>0</v>
      </c>
      <c r="AG253" s="45">
        <v>0</v>
      </c>
      <c r="AH253" s="45">
        <v>15297.1</v>
      </c>
      <c r="AI253" s="45">
        <v>0</v>
      </c>
      <c r="AJ253" s="45">
        <v>0</v>
      </c>
      <c r="AK253" s="45">
        <v>15278.6</v>
      </c>
      <c r="AL253" s="45">
        <v>0</v>
      </c>
      <c r="AM253" s="45">
        <v>1</v>
      </c>
      <c r="AO253" s="45">
        <v>14584.9</v>
      </c>
      <c r="AP253" s="45">
        <v>0</v>
      </c>
      <c r="AQ253" s="45">
        <v>1</v>
      </c>
      <c r="AR253" s="45">
        <v>16375.3</v>
      </c>
      <c r="AS253" s="45">
        <v>19</v>
      </c>
      <c r="AT253" s="45">
        <v>0</v>
      </c>
      <c r="AU253" s="45">
        <v>14743.9</v>
      </c>
      <c r="AV253" s="45">
        <v>0</v>
      </c>
      <c r="AW253" s="45">
        <v>0</v>
      </c>
      <c r="AX253" s="45">
        <v>14743.9</v>
      </c>
      <c r="AY253" s="45">
        <v>0</v>
      </c>
      <c r="AZ253" s="45">
        <v>1</v>
      </c>
    </row>
    <row r="254" spans="2:52">
      <c r="B254" s="45">
        <v>11494.1</v>
      </c>
      <c r="C254" s="45">
        <v>0</v>
      </c>
      <c r="D254" s="45">
        <v>0</v>
      </c>
      <c r="E254" s="45">
        <v>11502.8</v>
      </c>
      <c r="F254" s="45">
        <v>0</v>
      </c>
      <c r="G254" s="45">
        <v>0</v>
      </c>
      <c r="H254" s="45">
        <v>12896.8</v>
      </c>
      <c r="I254" s="45">
        <v>13</v>
      </c>
      <c r="J254" s="45">
        <v>0</v>
      </c>
      <c r="K254" s="45">
        <v>12978.4</v>
      </c>
      <c r="L254" s="45">
        <v>20</v>
      </c>
      <c r="M254" s="45">
        <v>0</v>
      </c>
      <c r="O254" s="45">
        <v>12981.1</v>
      </c>
      <c r="P254" s="45">
        <v>24</v>
      </c>
      <c r="Q254" s="45">
        <v>0</v>
      </c>
      <c r="R254" s="45">
        <v>12986.4</v>
      </c>
      <c r="S254" s="45">
        <v>20</v>
      </c>
      <c r="T254" s="45">
        <v>0</v>
      </c>
      <c r="U254" s="45">
        <v>11881.1</v>
      </c>
      <c r="V254" s="45">
        <v>13</v>
      </c>
      <c r="W254" s="45">
        <v>1</v>
      </c>
      <c r="X254" s="45">
        <v>10709.1</v>
      </c>
      <c r="Y254" s="45">
        <v>0</v>
      </c>
      <c r="Z254" s="45">
        <v>0</v>
      </c>
      <c r="AB254" s="45">
        <v>12520.9</v>
      </c>
      <c r="AC254" s="45">
        <v>0</v>
      </c>
      <c r="AD254" s="45">
        <v>0</v>
      </c>
      <c r="AE254" s="45">
        <v>12502.4</v>
      </c>
      <c r="AF254" s="45">
        <v>0</v>
      </c>
      <c r="AG254" s="45">
        <v>0</v>
      </c>
      <c r="AH254" s="45">
        <v>13044.2</v>
      </c>
      <c r="AI254" s="45">
        <v>0</v>
      </c>
      <c r="AJ254" s="45">
        <v>0</v>
      </c>
      <c r="AK254" s="45">
        <v>12499.9</v>
      </c>
      <c r="AL254" s="45">
        <v>0</v>
      </c>
      <c r="AM254" s="45">
        <v>1</v>
      </c>
      <c r="AO254" s="45">
        <v>12263.8</v>
      </c>
      <c r="AP254" s="45">
        <v>0</v>
      </c>
      <c r="AQ254" s="45">
        <v>0</v>
      </c>
      <c r="AR254" s="45">
        <v>11508.4</v>
      </c>
      <c r="AS254" s="45">
        <v>0</v>
      </c>
      <c r="AT254" s="45">
        <v>0</v>
      </c>
      <c r="AU254" s="45">
        <v>12048.4</v>
      </c>
      <c r="AV254" s="45">
        <v>7</v>
      </c>
      <c r="AW254" s="45">
        <v>1</v>
      </c>
      <c r="AX254" s="45">
        <v>11460.4</v>
      </c>
      <c r="AY254" s="45">
        <v>0</v>
      </c>
      <c r="AZ254" s="45">
        <v>0</v>
      </c>
    </row>
    <row r="255" spans="2:52">
      <c r="B255" s="45">
        <v>9984.2999999999993</v>
      </c>
      <c r="C255" s="45">
        <v>0</v>
      </c>
      <c r="D255" s="45">
        <v>1</v>
      </c>
      <c r="E255" s="45">
        <v>9984.2999999999993</v>
      </c>
      <c r="F255" s="45">
        <v>0</v>
      </c>
      <c r="G255" s="45">
        <v>0</v>
      </c>
      <c r="H255" s="45">
        <v>9984.2999999999993</v>
      </c>
      <c r="I255" s="45">
        <v>0</v>
      </c>
      <c r="J255" s="45">
        <v>0</v>
      </c>
      <c r="K255" s="45">
        <v>9984.2999999999993</v>
      </c>
      <c r="L255" s="45">
        <v>0</v>
      </c>
      <c r="M255" s="45">
        <v>0</v>
      </c>
      <c r="O255" s="45">
        <v>10008.299999999999</v>
      </c>
      <c r="P255" s="45">
        <v>0</v>
      </c>
      <c r="Q255" s="45">
        <v>0</v>
      </c>
      <c r="R255" s="45">
        <v>9992.2999999999993</v>
      </c>
      <c r="S255" s="45">
        <v>0</v>
      </c>
      <c r="T255" s="45">
        <v>1</v>
      </c>
      <c r="U255" s="45">
        <v>9950.9</v>
      </c>
      <c r="V255" s="45">
        <v>0</v>
      </c>
      <c r="W255" s="45">
        <v>0</v>
      </c>
      <c r="X255" s="45">
        <v>10102.9</v>
      </c>
      <c r="Y255" s="45">
        <v>0</v>
      </c>
      <c r="Z255" s="45">
        <v>0</v>
      </c>
      <c r="AB255" s="45">
        <v>11402.3</v>
      </c>
      <c r="AC255" s="45">
        <v>0</v>
      </c>
      <c r="AD255" s="45">
        <v>0</v>
      </c>
      <c r="AE255" s="45">
        <v>10961</v>
      </c>
      <c r="AF255" s="45">
        <v>0</v>
      </c>
      <c r="AG255" s="45">
        <v>0</v>
      </c>
      <c r="AH255" s="45">
        <v>11314.1</v>
      </c>
      <c r="AI255" s="45">
        <v>0</v>
      </c>
      <c r="AJ255" s="45">
        <v>1</v>
      </c>
      <c r="AK255" s="45">
        <v>11312.7</v>
      </c>
      <c r="AL255" s="45">
        <v>0</v>
      </c>
      <c r="AM255" s="45">
        <v>0</v>
      </c>
      <c r="AO255" s="45">
        <v>10240.200000000001</v>
      </c>
      <c r="AP255" s="45">
        <v>0</v>
      </c>
      <c r="AQ255" s="45">
        <v>0</v>
      </c>
      <c r="AR255" s="45">
        <v>9992.2999999999993</v>
      </c>
      <c r="AS255" s="45">
        <v>0</v>
      </c>
      <c r="AT255" s="45">
        <v>0</v>
      </c>
      <c r="AU255" s="45">
        <v>9984.2999999999993</v>
      </c>
      <c r="AV255" s="45">
        <v>0</v>
      </c>
      <c r="AW255" s="45">
        <v>1</v>
      </c>
      <c r="AX255" s="45">
        <v>10144.299999999999</v>
      </c>
      <c r="AY255" s="45">
        <v>0</v>
      </c>
      <c r="AZ255" s="45">
        <v>0</v>
      </c>
    </row>
    <row r="256" spans="2:52">
      <c r="B256" s="45">
        <v>13579.4</v>
      </c>
      <c r="C256" s="45">
        <v>0</v>
      </c>
      <c r="D256" s="45">
        <v>0</v>
      </c>
      <c r="E256" s="45">
        <v>13304.8</v>
      </c>
      <c r="F256" s="45">
        <v>0</v>
      </c>
      <c r="G256" s="45">
        <v>0</v>
      </c>
      <c r="H256" s="45">
        <v>13570.3</v>
      </c>
      <c r="I256" s="45">
        <v>0</v>
      </c>
      <c r="J256" s="45">
        <v>0</v>
      </c>
      <c r="K256" s="45">
        <v>13204.5</v>
      </c>
      <c r="L256" s="45">
        <v>0</v>
      </c>
      <c r="M256" s="45">
        <v>1</v>
      </c>
      <c r="O256" s="45">
        <v>13530.3</v>
      </c>
      <c r="P256" s="45">
        <v>0</v>
      </c>
      <c r="Q256" s="45">
        <v>1</v>
      </c>
      <c r="R256" s="45">
        <v>13530.3</v>
      </c>
      <c r="S256" s="45">
        <v>0</v>
      </c>
      <c r="T256" s="45">
        <v>0</v>
      </c>
      <c r="U256" s="45">
        <v>13570.3</v>
      </c>
      <c r="V256" s="45">
        <v>0</v>
      </c>
      <c r="W256" s="45">
        <v>0</v>
      </c>
      <c r="X256" s="45">
        <v>13344.2</v>
      </c>
      <c r="Y256" s="45">
        <v>0</v>
      </c>
      <c r="Z256" s="45">
        <v>1</v>
      </c>
      <c r="AB256" s="45">
        <v>14468.2</v>
      </c>
      <c r="AC256" s="45">
        <v>0</v>
      </c>
      <c r="AD256" s="45">
        <v>0</v>
      </c>
      <c r="AE256" s="45">
        <v>15264.2</v>
      </c>
      <c r="AF256" s="45">
        <v>0</v>
      </c>
      <c r="AG256" s="45">
        <v>0</v>
      </c>
      <c r="AH256" s="45">
        <v>13716.1</v>
      </c>
      <c r="AI256" s="45">
        <v>0</v>
      </c>
      <c r="AJ256" s="45">
        <v>1</v>
      </c>
      <c r="AK256" s="45">
        <v>14225</v>
      </c>
      <c r="AL256" s="45">
        <v>0</v>
      </c>
      <c r="AM256" s="45">
        <v>0</v>
      </c>
      <c r="AO256" s="45">
        <v>14149.1</v>
      </c>
      <c r="AP256" s="45">
        <v>0</v>
      </c>
      <c r="AQ256" s="45">
        <v>0</v>
      </c>
      <c r="AR256" s="45">
        <v>13578.3</v>
      </c>
      <c r="AS256" s="45">
        <v>0</v>
      </c>
      <c r="AT256" s="45">
        <v>0</v>
      </c>
      <c r="AU256" s="45">
        <v>13634.3</v>
      </c>
      <c r="AV256" s="45">
        <v>0</v>
      </c>
      <c r="AW256" s="45">
        <v>1</v>
      </c>
      <c r="AX256" s="45">
        <v>13530.3</v>
      </c>
      <c r="AY256" s="45">
        <v>0</v>
      </c>
      <c r="AZ256" s="45">
        <v>0</v>
      </c>
    </row>
    <row r="257" spans="2:52">
      <c r="B257" s="45">
        <v>13932</v>
      </c>
      <c r="C257" s="45">
        <v>0</v>
      </c>
      <c r="D257" s="45">
        <v>0</v>
      </c>
      <c r="E257" s="45">
        <v>13672</v>
      </c>
      <c r="F257" s="45">
        <v>0</v>
      </c>
      <c r="G257" s="45">
        <v>0</v>
      </c>
      <c r="H257" s="45">
        <v>14524</v>
      </c>
      <c r="I257" s="45">
        <v>6</v>
      </c>
      <c r="J257" s="45">
        <v>0</v>
      </c>
      <c r="K257" s="45">
        <v>13734.5</v>
      </c>
      <c r="L257" s="45">
        <v>6</v>
      </c>
      <c r="M257" s="45">
        <v>1</v>
      </c>
      <c r="O257" s="45">
        <v>14132.3</v>
      </c>
      <c r="P257" s="45">
        <v>9</v>
      </c>
      <c r="Q257" s="45">
        <v>0</v>
      </c>
      <c r="R257" s="45">
        <v>14636.9</v>
      </c>
      <c r="S257" s="45">
        <v>6</v>
      </c>
      <c r="T257" s="45">
        <v>0</v>
      </c>
      <c r="U257" s="45">
        <v>13582.6</v>
      </c>
      <c r="V257" s="45">
        <v>0</v>
      </c>
      <c r="W257" s="45">
        <v>1</v>
      </c>
      <c r="X257" s="45">
        <v>12816</v>
      </c>
      <c r="Y257" s="45">
        <v>0</v>
      </c>
      <c r="Z257" s="45">
        <v>0</v>
      </c>
      <c r="AB257" s="45">
        <v>14760.1</v>
      </c>
      <c r="AC257" s="45">
        <v>0</v>
      </c>
      <c r="AD257" s="45">
        <v>0</v>
      </c>
      <c r="AE257" s="45">
        <v>13836.2</v>
      </c>
      <c r="AF257" s="45">
        <v>0</v>
      </c>
      <c r="AG257" s="45">
        <v>1</v>
      </c>
      <c r="AH257" s="45">
        <v>14628.8</v>
      </c>
      <c r="AI257" s="45">
        <v>0</v>
      </c>
      <c r="AJ257" s="45">
        <v>0</v>
      </c>
      <c r="AK257" s="45">
        <v>14584.6</v>
      </c>
      <c r="AL257" s="45">
        <v>0</v>
      </c>
      <c r="AM257" s="45">
        <v>0</v>
      </c>
      <c r="AO257" s="45">
        <v>15184.8</v>
      </c>
      <c r="AP257" s="45">
        <v>10</v>
      </c>
      <c r="AQ257" s="45">
        <v>0</v>
      </c>
      <c r="AR257" s="45">
        <v>14182.5</v>
      </c>
      <c r="AS257" s="45">
        <v>10</v>
      </c>
      <c r="AT257" s="45">
        <v>0</v>
      </c>
      <c r="AU257" s="45">
        <v>14424</v>
      </c>
      <c r="AV257" s="45">
        <v>5</v>
      </c>
      <c r="AW257" s="45">
        <v>1</v>
      </c>
      <c r="AX257" s="45">
        <v>13190.5</v>
      </c>
      <c r="AY257" s="45">
        <v>0</v>
      </c>
      <c r="AZ257" s="45">
        <v>0</v>
      </c>
    </row>
    <row r="258" spans="2:52">
      <c r="B258" s="45">
        <v>8972.7000000000007</v>
      </c>
      <c r="C258" s="45">
        <v>0</v>
      </c>
      <c r="D258" s="45">
        <v>0</v>
      </c>
      <c r="E258" s="45">
        <v>8924.7000000000007</v>
      </c>
      <c r="F258" s="45">
        <v>0</v>
      </c>
      <c r="G258" s="45">
        <v>0</v>
      </c>
      <c r="H258" s="45">
        <v>9353.7000000000007</v>
      </c>
      <c r="I258" s="45">
        <v>0</v>
      </c>
      <c r="J258" s="45">
        <v>0</v>
      </c>
      <c r="K258" s="45">
        <v>8829.9</v>
      </c>
      <c r="L258" s="45">
        <v>0</v>
      </c>
      <c r="M258" s="45">
        <v>1</v>
      </c>
      <c r="O258" s="45">
        <v>8980.7000000000007</v>
      </c>
      <c r="P258" s="45">
        <v>0</v>
      </c>
      <c r="Q258" s="45">
        <v>0</v>
      </c>
      <c r="R258" s="45">
        <v>9328.7000000000007</v>
      </c>
      <c r="S258" s="45">
        <v>0</v>
      </c>
      <c r="T258" s="45">
        <v>1</v>
      </c>
      <c r="U258" s="45">
        <v>8781.9</v>
      </c>
      <c r="V258" s="45">
        <v>0</v>
      </c>
      <c r="W258" s="45">
        <v>0</v>
      </c>
      <c r="X258" s="45">
        <v>8291.2000000000007</v>
      </c>
      <c r="Y258" s="45">
        <v>0</v>
      </c>
      <c r="Z258" s="45">
        <v>0</v>
      </c>
      <c r="AB258" s="45">
        <v>10398.299999999999</v>
      </c>
      <c r="AC258" s="45">
        <v>0</v>
      </c>
      <c r="AD258" s="45">
        <v>1</v>
      </c>
      <c r="AE258" s="45">
        <v>10213.4</v>
      </c>
      <c r="AF258" s="45">
        <v>0</v>
      </c>
      <c r="AG258" s="45">
        <v>0</v>
      </c>
      <c r="AH258" s="45">
        <v>10204.9</v>
      </c>
      <c r="AI258" s="45">
        <v>0</v>
      </c>
      <c r="AJ258" s="45">
        <v>0</v>
      </c>
      <c r="AK258" s="45">
        <v>9625</v>
      </c>
      <c r="AL258" s="45">
        <v>0</v>
      </c>
      <c r="AM258" s="45">
        <v>0</v>
      </c>
      <c r="AO258" s="45">
        <v>8813.9</v>
      </c>
      <c r="AP258" s="45">
        <v>0</v>
      </c>
      <c r="AQ258" s="45">
        <v>0</v>
      </c>
      <c r="AR258" s="45">
        <v>9339.7999999999993</v>
      </c>
      <c r="AS258" s="45">
        <v>0</v>
      </c>
      <c r="AT258" s="45">
        <v>1</v>
      </c>
      <c r="AU258" s="45">
        <v>8980.7000000000007</v>
      </c>
      <c r="AV258" s="45">
        <v>0</v>
      </c>
      <c r="AW258" s="45">
        <v>0</v>
      </c>
      <c r="AX258" s="45">
        <v>8820.6</v>
      </c>
      <c r="AY258" s="45">
        <v>0</v>
      </c>
      <c r="AZ258" s="45">
        <v>0</v>
      </c>
    </row>
    <row r="259" spans="2:52">
      <c r="B259" s="45">
        <v>12496.9</v>
      </c>
      <c r="C259" s="45">
        <v>0</v>
      </c>
      <c r="D259" s="45">
        <v>0</v>
      </c>
      <c r="E259" s="45">
        <v>12507.5</v>
      </c>
      <c r="F259" s="45">
        <v>0</v>
      </c>
      <c r="G259" s="45">
        <v>0</v>
      </c>
      <c r="H259" s="45">
        <v>12348.2</v>
      </c>
      <c r="I259" s="45">
        <v>0</v>
      </c>
      <c r="J259" s="45">
        <v>0</v>
      </c>
      <c r="K259" s="45">
        <v>13141.7</v>
      </c>
      <c r="L259" s="45">
        <v>0</v>
      </c>
      <c r="M259" s="45">
        <v>1</v>
      </c>
      <c r="O259" s="45">
        <v>12552.9</v>
      </c>
      <c r="P259" s="45">
        <v>0</v>
      </c>
      <c r="Q259" s="45">
        <v>1</v>
      </c>
      <c r="R259" s="45">
        <v>12038.6</v>
      </c>
      <c r="S259" s="45">
        <v>0</v>
      </c>
      <c r="T259" s="45">
        <v>0</v>
      </c>
      <c r="U259" s="45">
        <v>12468.2</v>
      </c>
      <c r="V259" s="45">
        <v>0</v>
      </c>
      <c r="W259" s="45">
        <v>0</v>
      </c>
      <c r="X259" s="45">
        <v>11958.6</v>
      </c>
      <c r="Y259" s="45">
        <v>0</v>
      </c>
      <c r="Z259" s="45">
        <v>1</v>
      </c>
      <c r="AB259" s="45">
        <v>12967.5</v>
      </c>
      <c r="AC259" s="45">
        <v>0</v>
      </c>
      <c r="AD259" s="45">
        <v>1</v>
      </c>
      <c r="AE259" s="45">
        <v>13855.3</v>
      </c>
      <c r="AF259" s="45">
        <v>0</v>
      </c>
      <c r="AG259" s="45">
        <v>0</v>
      </c>
      <c r="AH259" s="45">
        <v>14158.7</v>
      </c>
      <c r="AI259" s="45">
        <v>0</v>
      </c>
      <c r="AJ259" s="45">
        <v>0</v>
      </c>
      <c r="AK259" s="45">
        <v>14489.7</v>
      </c>
      <c r="AL259" s="45">
        <v>0</v>
      </c>
      <c r="AM259" s="45">
        <v>1</v>
      </c>
      <c r="AO259" s="45">
        <v>13078.1</v>
      </c>
      <c r="AP259" s="45">
        <v>0</v>
      </c>
      <c r="AQ259" s="45">
        <v>0</v>
      </c>
      <c r="AR259" s="45">
        <v>13238.1</v>
      </c>
      <c r="AS259" s="45">
        <v>0</v>
      </c>
      <c r="AT259" s="45">
        <v>0</v>
      </c>
      <c r="AU259" s="45">
        <v>12198.6</v>
      </c>
      <c r="AV259" s="45">
        <v>0</v>
      </c>
      <c r="AW259" s="45">
        <v>1</v>
      </c>
      <c r="AX259" s="45">
        <v>12623.7</v>
      </c>
      <c r="AY259" s="45">
        <v>0</v>
      </c>
      <c r="AZ259" s="45">
        <v>0</v>
      </c>
    </row>
    <row r="260" spans="2:52">
      <c r="B260" s="45">
        <v>9070.2999999999993</v>
      </c>
      <c r="C260" s="45">
        <v>0</v>
      </c>
      <c r="D260" s="45">
        <v>0</v>
      </c>
      <c r="E260" s="45">
        <v>8850.5</v>
      </c>
      <c r="F260" s="45">
        <v>0</v>
      </c>
      <c r="G260" s="45">
        <v>0</v>
      </c>
      <c r="H260" s="45">
        <v>8986.5</v>
      </c>
      <c r="I260" s="45">
        <v>2</v>
      </c>
      <c r="J260" s="45">
        <v>0</v>
      </c>
      <c r="K260" s="45">
        <v>9038.2999999999993</v>
      </c>
      <c r="L260" s="45">
        <v>0</v>
      </c>
      <c r="M260" s="45">
        <v>1</v>
      </c>
      <c r="O260" s="45">
        <v>9006.1</v>
      </c>
      <c r="P260" s="45">
        <v>0</v>
      </c>
      <c r="Q260" s="45">
        <v>0</v>
      </c>
      <c r="R260" s="45">
        <v>9320.5</v>
      </c>
      <c r="S260" s="45">
        <v>5</v>
      </c>
      <c r="T260" s="45">
        <v>0</v>
      </c>
      <c r="U260" s="45">
        <v>8836.5</v>
      </c>
      <c r="V260" s="45">
        <v>0</v>
      </c>
      <c r="W260" s="45">
        <v>0</v>
      </c>
      <c r="X260" s="45">
        <v>8852.5</v>
      </c>
      <c r="Y260" s="45">
        <v>0</v>
      </c>
      <c r="Z260" s="45">
        <v>1</v>
      </c>
      <c r="AB260" s="45">
        <v>10816.8</v>
      </c>
      <c r="AC260" s="45">
        <v>0</v>
      </c>
      <c r="AD260" s="45">
        <v>0</v>
      </c>
      <c r="AE260" s="45">
        <v>9533.7000000000007</v>
      </c>
      <c r="AF260" s="45">
        <v>0</v>
      </c>
      <c r="AG260" s="45">
        <v>0</v>
      </c>
      <c r="AH260" s="45">
        <v>9910.6</v>
      </c>
      <c r="AI260" s="45">
        <v>0</v>
      </c>
      <c r="AJ260" s="45">
        <v>0</v>
      </c>
      <c r="AK260" s="45">
        <v>9877.5</v>
      </c>
      <c r="AL260" s="45">
        <v>0</v>
      </c>
      <c r="AM260" s="45">
        <v>1</v>
      </c>
      <c r="AO260" s="45">
        <v>9118.2999999999993</v>
      </c>
      <c r="AP260" s="45">
        <v>0</v>
      </c>
      <c r="AQ260" s="45">
        <v>0</v>
      </c>
      <c r="AR260" s="45">
        <v>9428.1</v>
      </c>
      <c r="AS260" s="45">
        <v>0</v>
      </c>
      <c r="AT260" s="45">
        <v>1</v>
      </c>
      <c r="AU260" s="45">
        <v>8836.5</v>
      </c>
      <c r="AV260" s="45">
        <v>0</v>
      </c>
      <c r="AW260" s="45">
        <v>0</v>
      </c>
      <c r="AX260" s="45">
        <v>8900.5</v>
      </c>
      <c r="AY260" s="45">
        <v>0</v>
      </c>
      <c r="AZ260" s="45">
        <v>0</v>
      </c>
    </row>
    <row r="261" spans="2:52">
      <c r="B261" s="45">
        <v>7975.6</v>
      </c>
      <c r="C261" s="45">
        <v>0</v>
      </c>
      <c r="D261" s="45">
        <v>0</v>
      </c>
      <c r="E261" s="45">
        <v>7892</v>
      </c>
      <c r="F261" s="45">
        <v>9</v>
      </c>
      <c r="G261" s="45">
        <v>0</v>
      </c>
      <c r="H261" s="45">
        <v>7592</v>
      </c>
      <c r="I261" s="45">
        <v>6</v>
      </c>
      <c r="J261" s="45">
        <v>0</v>
      </c>
      <c r="K261" s="45">
        <v>7992</v>
      </c>
      <c r="L261" s="45">
        <v>10</v>
      </c>
      <c r="M261" s="45">
        <v>1</v>
      </c>
      <c r="O261" s="45">
        <v>7992</v>
      </c>
      <c r="P261" s="45">
        <v>10</v>
      </c>
      <c r="Q261" s="45">
        <v>0</v>
      </c>
      <c r="R261" s="45">
        <v>7951.6</v>
      </c>
      <c r="S261" s="45">
        <v>0</v>
      </c>
      <c r="T261" s="45">
        <v>0</v>
      </c>
      <c r="U261" s="45">
        <v>8044.4</v>
      </c>
      <c r="V261" s="45">
        <v>12</v>
      </c>
      <c r="W261" s="45">
        <v>1</v>
      </c>
      <c r="X261" s="45">
        <v>7752.4</v>
      </c>
      <c r="Y261" s="45">
        <v>9</v>
      </c>
      <c r="Z261" s="45">
        <v>0</v>
      </c>
      <c r="AB261" s="45">
        <v>9201.1</v>
      </c>
      <c r="AC261" s="45">
        <v>0</v>
      </c>
      <c r="AD261" s="45">
        <v>0</v>
      </c>
      <c r="AE261" s="45">
        <v>8925.2000000000007</v>
      </c>
      <c r="AF261" s="45">
        <v>0</v>
      </c>
      <c r="AG261" s="45">
        <v>0</v>
      </c>
      <c r="AH261" s="45">
        <v>8027.3</v>
      </c>
      <c r="AI261" s="45">
        <v>0</v>
      </c>
      <c r="AJ261" s="45">
        <v>1</v>
      </c>
      <c r="AK261" s="45">
        <v>8243.6</v>
      </c>
      <c r="AL261" s="45">
        <v>0</v>
      </c>
      <c r="AM261" s="45">
        <v>0</v>
      </c>
      <c r="AO261" s="45">
        <v>9053.7000000000007</v>
      </c>
      <c r="AP261" s="45">
        <v>10</v>
      </c>
      <c r="AQ261" s="45">
        <v>1</v>
      </c>
      <c r="AR261" s="45">
        <v>7716</v>
      </c>
      <c r="AS261" s="45">
        <v>7</v>
      </c>
      <c r="AT261" s="45">
        <v>0</v>
      </c>
      <c r="AU261" s="45">
        <v>7756.6</v>
      </c>
      <c r="AV261" s="45">
        <v>0</v>
      </c>
      <c r="AW261" s="45">
        <v>0</v>
      </c>
      <c r="AX261" s="45">
        <v>7943.6</v>
      </c>
      <c r="AY261" s="45">
        <v>0</v>
      </c>
      <c r="AZ261" s="45">
        <v>0</v>
      </c>
    </row>
    <row r="262" spans="2:52">
      <c r="B262" s="45">
        <v>11799.5</v>
      </c>
      <c r="C262" s="45">
        <v>0</v>
      </c>
      <c r="D262" s="45">
        <v>0</v>
      </c>
      <c r="E262" s="45">
        <v>11715.5</v>
      </c>
      <c r="F262" s="45">
        <v>0</v>
      </c>
      <c r="G262" s="45">
        <v>0</v>
      </c>
      <c r="H262" s="45">
        <v>11651.5</v>
      </c>
      <c r="I262" s="45">
        <v>0</v>
      </c>
      <c r="J262" s="45">
        <v>0</v>
      </c>
      <c r="K262" s="45">
        <v>13060.3</v>
      </c>
      <c r="L262" s="45">
        <v>10</v>
      </c>
      <c r="M262" s="45">
        <v>0</v>
      </c>
      <c r="O262" s="45">
        <v>12084.5</v>
      </c>
      <c r="P262" s="45">
        <v>0</v>
      </c>
      <c r="Q262" s="45">
        <v>1</v>
      </c>
      <c r="R262" s="45">
        <v>12928.3</v>
      </c>
      <c r="S262" s="45">
        <v>10</v>
      </c>
      <c r="T262" s="45">
        <v>0</v>
      </c>
      <c r="U262" s="45">
        <v>11595.5</v>
      </c>
      <c r="V262" s="45">
        <v>0</v>
      </c>
      <c r="W262" s="45">
        <v>0</v>
      </c>
      <c r="X262" s="45">
        <v>12258.9</v>
      </c>
      <c r="Y262" s="45">
        <v>0</v>
      </c>
      <c r="Z262" s="45">
        <v>1</v>
      </c>
      <c r="AB262" s="45">
        <v>13354.4</v>
      </c>
      <c r="AC262" s="45">
        <v>0</v>
      </c>
      <c r="AD262" s="45">
        <v>0</v>
      </c>
      <c r="AE262" s="45">
        <v>13116.5</v>
      </c>
      <c r="AF262" s="45">
        <v>0</v>
      </c>
      <c r="AG262" s="45">
        <v>0</v>
      </c>
      <c r="AH262" s="45">
        <v>12640</v>
      </c>
      <c r="AI262" s="45">
        <v>0</v>
      </c>
      <c r="AJ262" s="45">
        <v>1</v>
      </c>
      <c r="AK262" s="45">
        <v>12491.1</v>
      </c>
      <c r="AL262" s="45">
        <v>0</v>
      </c>
      <c r="AM262" s="45">
        <v>0</v>
      </c>
      <c r="AO262" s="45">
        <v>12288.5</v>
      </c>
      <c r="AP262" s="45">
        <v>0</v>
      </c>
      <c r="AQ262" s="45">
        <v>1</v>
      </c>
      <c r="AR262" s="45">
        <v>12246.7</v>
      </c>
      <c r="AS262" s="45">
        <v>0</v>
      </c>
      <c r="AT262" s="45">
        <v>0</v>
      </c>
      <c r="AU262" s="45">
        <v>11791.5</v>
      </c>
      <c r="AV262" s="45">
        <v>0</v>
      </c>
      <c r="AW262" s="45">
        <v>0</v>
      </c>
      <c r="AX262" s="45">
        <v>12084.5</v>
      </c>
      <c r="AY262" s="45">
        <v>0</v>
      </c>
      <c r="AZ262" s="45">
        <v>0</v>
      </c>
    </row>
    <row r="263" spans="2:52">
      <c r="B263" s="45">
        <v>13601.1</v>
      </c>
      <c r="C263" s="45">
        <v>0</v>
      </c>
      <c r="D263" s="45">
        <v>0</v>
      </c>
      <c r="E263" s="45">
        <v>13622.9</v>
      </c>
      <c r="F263" s="45">
        <v>0</v>
      </c>
      <c r="G263" s="45">
        <v>1</v>
      </c>
      <c r="H263" s="45">
        <v>12964.1</v>
      </c>
      <c r="I263" s="45">
        <v>0</v>
      </c>
      <c r="J263" s="45">
        <v>0</v>
      </c>
      <c r="K263" s="45">
        <v>13138</v>
      </c>
      <c r="L263" s="45">
        <v>0</v>
      </c>
      <c r="M263" s="45">
        <v>0</v>
      </c>
      <c r="O263" s="45">
        <v>13312.7</v>
      </c>
      <c r="P263" s="45">
        <v>0</v>
      </c>
      <c r="Q263" s="45">
        <v>0</v>
      </c>
      <c r="R263" s="45">
        <v>13169.2</v>
      </c>
      <c r="S263" s="45">
        <v>0</v>
      </c>
      <c r="T263" s="45">
        <v>0</v>
      </c>
      <c r="U263" s="45">
        <v>13218.7</v>
      </c>
      <c r="V263" s="45">
        <v>0</v>
      </c>
      <c r="W263" s="45">
        <v>1</v>
      </c>
      <c r="X263" s="45">
        <v>13276.6</v>
      </c>
      <c r="Y263" s="45">
        <v>0</v>
      </c>
      <c r="Z263" s="45">
        <v>0</v>
      </c>
      <c r="AB263" s="45">
        <v>13814.5</v>
      </c>
      <c r="AC263" s="45">
        <v>0</v>
      </c>
      <c r="AD263" s="45">
        <v>0</v>
      </c>
      <c r="AE263" s="45">
        <v>13641.9</v>
      </c>
      <c r="AF263" s="45">
        <v>0</v>
      </c>
      <c r="AG263" s="45">
        <v>1</v>
      </c>
      <c r="AH263" s="45">
        <v>13846.5</v>
      </c>
      <c r="AI263" s="45">
        <v>0</v>
      </c>
      <c r="AJ263" s="45">
        <v>0</v>
      </c>
      <c r="AK263" s="45">
        <v>14267.5</v>
      </c>
      <c r="AL263" s="45">
        <v>0</v>
      </c>
      <c r="AM263" s="45">
        <v>0</v>
      </c>
      <c r="AO263" s="45">
        <v>12956.1</v>
      </c>
      <c r="AP263" s="45">
        <v>0</v>
      </c>
      <c r="AQ263" s="45">
        <v>0</v>
      </c>
      <c r="AR263" s="45">
        <v>13336.7</v>
      </c>
      <c r="AS263" s="45">
        <v>0</v>
      </c>
      <c r="AT263" s="45">
        <v>0</v>
      </c>
      <c r="AU263" s="45">
        <v>13456.7</v>
      </c>
      <c r="AV263" s="45">
        <v>0</v>
      </c>
      <c r="AW263" s="45">
        <v>1</v>
      </c>
      <c r="AX263" s="45">
        <v>14112.5</v>
      </c>
      <c r="AY263" s="45">
        <v>0</v>
      </c>
      <c r="AZ263" s="45">
        <v>0</v>
      </c>
    </row>
    <row r="264" spans="2:52">
      <c r="B264" s="45">
        <v>7972.5</v>
      </c>
      <c r="C264" s="45">
        <v>0</v>
      </c>
      <c r="D264" s="45">
        <v>0</v>
      </c>
      <c r="E264" s="45">
        <v>7788.3</v>
      </c>
      <c r="F264" s="45">
        <v>0</v>
      </c>
      <c r="G264" s="45">
        <v>0</v>
      </c>
      <c r="H264" s="45">
        <v>7868.3</v>
      </c>
      <c r="I264" s="45">
        <v>0</v>
      </c>
      <c r="J264" s="45">
        <v>0</v>
      </c>
      <c r="K264" s="45">
        <v>7876.3</v>
      </c>
      <c r="L264" s="45">
        <v>0</v>
      </c>
      <c r="M264" s="45">
        <v>1</v>
      </c>
      <c r="O264" s="45">
        <v>7788.3</v>
      </c>
      <c r="P264" s="45">
        <v>0</v>
      </c>
      <c r="Q264" s="45">
        <v>0</v>
      </c>
      <c r="R264" s="45">
        <v>7788.3</v>
      </c>
      <c r="S264" s="45">
        <v>0</v>
      </c>
      <c r="T264" s="45">
        <v>0</v>
      </c>
      <c r="U264" s="45">
        <v>7804.3</v>
      </c>
      <c r="V264" s="45">
        <v>0</v>
      </c>
      <c r="W264" s="45">
        <v>1</v>
      </c>
      <c r="X264" s="45">
        <v>7788.3</v>
      </c>
      <c r="Y264" s="45">
        <v>0</v>
      </c>
      <c r="Z264" s="45">
        <v>0</v>
      </c>
      <c r="AB264" s="45">
        <v>9979.5</v>
      </c>
      <c r="AC264" s="45">
        <v>0</v>
      </c>
      <c r="AD264" s="45">
        <v>1</v>
      </c>
      <c r="AE264" s="45">
        <v>9472.7999999999993</v>
      </c>
      <c r="AF264" s="45">
        <v>0</v>
      </c>
      <c r="AG264" s="45">
        <v>0</v>
      </c>
      <c r="AH264" s="45">
        <v>8567.2999999999993</v>
      </c>
      <c r="AI264" s="45">
        <v>0</v>
      </c>
      <c r="AJ264" s="45">
        <v>0</v>
      </c>
      <c r="AK264" s="45">
        <v>8982.4</v>
      </c>
      <c r="AL264" s="45">
        <v>0</v>
      </c>
      <c r="AM264" s="45">
        <v>0</v>
      </c>
      <c r="AO264" s="45">
        <v>8315.2000000000007</v>
      </c>
      <c r="AP264" s="45">
        <v>0</v>
      </c>
      <c r="AQ264" s="45">
        <v>0</v>
      </c>
      <c r="AR264" s="45">
        <v>7868.3</v>
      </c>
      <c r="AS264" s="45">
        <v>0</v>
      </c>
      <c r="AT264" s="45">
        <v>0</v>
      </c>
      <c r="AU264" s="45">
        <v>7788.3</v>
      </c>
      <c r="AV264" s="45">
        <v>0</v>
      </c>
      <c r="AW264" s="45">
        <v>0</v>
      </c>
      <c r="AX264" s="45">
        <v>7804.3</v>
      </c>
      <c r="AY264" s="45">
        <v>0</v>
      </c>
      <c r="AZ264" s="45">
        <v>1</v>
      </c>
    </row>
    <row r="265" spans="2:52">
      <c r="B265" s="45">
        <v>11934</v>
      </c>
      <c r="C265" s="45">
        <v>0</v>
      </c>
      <c r="D265" s="45">
        <v>0</v>
      </c>
      <c r="E265" s="45">
        <v>11631.1</v>
      </c>
      <c r="F265" s="45">
        <v>0</v>
      </c>
      <c r="G265" s="45">
        <v>0</v>
      </c>
      <c r="H265" s="45">
        <v>11799.2</v>
      </c>
      <c r="I265" s="45">
        <v>0</v>
      </c>
      <c r="J265" s="45">
        <v>0</v>
      </c>
      <c r="K265" s="45">
        <v>11414.6</v>
      </c>
      <c r="L265" s="45">
        <v>2</v>
      </c>
      <c r="M265" s="45">
        <v>0</v>
      </c>
      <c r="O265" s="45">
        <v>12086.6</v>
      </c>
      <c r="P265" s="45">
        <v>0</v>
      </c>
      <c r="Q265" s="45">
        <v>0</v>
      </c>
      <c r="R265" s="45">
        <v>12410.8</v>
      </c>
      <c r="S265" s="45">
        <v>0</v>
      </c>
      <c r="T265" s="45">
        <v>1</v>
      </c>
      <c r="U265" s="45">
        <v>10064.799999999999</v>
      </c>
      <c r="V265" s="45">
        <v>0</v>
      </c>
      <c r="W265" s="45">
        <v>0</v>
      </c>
      <c r="X265" s="45">
        <v>10088.799999999999</v>
      </c>
      <c r="Y265" s="45">
        <v>0</v>
      </c>
      <c r="Z265" s="45">
        <v>0</v>
      </c>
      <c r="AB265" s="45">
        <v>13281.4</v>
      </c>
      <c r="AC265" s="45">
        <v>0</v>
      </c>
      <c r="AD265" s="45">
        <v>1</v>
      </c>
      <c r="AE265" s="45">
        <v>13209.8</v>
      </c>
      <c r="AF265" s="45">
        <v>0</v>
      </c>
      <c r="AG265" s="45">
        <v>0</v>
      </c>
      <c r="AH265" s="45">
        <v>12604.3</v>
      </c>
      <c r="AI265" s="45">
        <v>0</v>
      </c>
      <c r="AJ265" s="45">
        <v>0</v>
      </c>
      <c r="AK265" s="45">
        <v>12492.8</v>
      </c>
      <c r="AL265" s="45">
        <v>0</v>
      </c>
      <c r="AM265" s="45">
        <v>1</v>
      </c>
      <c r="AO265" s="45">
        <v>12394.5</v>
      </c>
      <c r="AP265" s="45">
        <v>0</v>
      </c>
      <c r="AQ265" s="45">
        <v>0</v>
      </c>
      <c r="AR265" s="45">
        <v>12557.6</v>
      </c>
      <c r="AS265" s="45">
        <v>0</v>
      </c>
      <c r="AT265" s="45">
        <v>0</v>
      </c>
      <c r="AU265" s="45">
        <v>10176.799999999999</v>
      </c>
      <c r="AV265" s="45">
        <v>2</v>
      </c>
      <c r="AW265" s="45">
        <v>0</v>
      </c>
      <c r="AX265" s="45">
        <v>12667.2</v>
      </c>
      <c r="AY265" s="45">
        <v>9</v>
      </c>
      <c r="AZ265" s="45">
        <v>1</v>
      </c>
    </row>
    <row r="266" spans="2:52">
      <c r="B266" s="45">
        <v>11438.4</v>
      </c>
      <c r="C266" s="45">
        <v>0</v>
      </c>
      <c r="D266" s="45">
        <v>0</v>
      </c>
      <c r="E266" s="45">
        <v>11764.2</v>
      </c>
      <c r="F266" s="45">
        <v>0</v>
      </c>
      <c r="G266" s="45">
        <v>1</v>
      </c>
      <c r="H266" s="45">
        <v>11627</v>
      </c>
      <c r="I266" s="45">
        <v>0</v>
      </c>
      <c r="J266" s="45">
        <v>0</v>
      </c>
      <c r="K266" s="45">
        <v>11297.4</v>
      </c>
      <c r="L266" s="45">
        <v>0</v>
      </c>
      <c r="M266" s="45">
        <v>0</v>
      </c>
      <c r="O266" s="45">
        <v>11705.7</v>
      </c>
      <c r="P266" s="45">
        <v>0</v>
      </c>
      <c r="Q266" s="45">
        <v>1</v>
      </c>
      <c r="R266" s="45">
        <v>10894.2</v>
      </c>
      <c r="S266" s="45">
        <v>0</v>
      </c>
      <c r="T266" s="45">
        <v>0</v>
      </c>
      <c r="U266" s="45">
        <v>10878.2</v>
      </c>
      <c r="V266" s="45">
        <v>0</v>
      </c>
      <c r="W266" s="45">
        <v>0</v>
      </c>
      <c r="X266" s="45">
        <v>11122.6</v>
      </c>
      <c r="Y266" s="45">
        <v>0</v>
      </c>
      <c r="Z266" s="45">
        <v>0</v>
      </c>
      <c r="AB266" s="45">
        <v>13209.1</v>
      </c>
      <c r="AC266" s="45">
        <v>0</v>
      </c>
      <c r="AD266" s="45">
        <v>0</v>
      </c>
      <c r="AE266" s="45">
        <v>11417.4</v>
      </c>
      <c r="AF266" s="45">
        <v>0</v>
      </c>
      <c r="AG266" s="45">
        <v>0</v>
      </c>
      <c r="AH266" s="45">
        <v>12056.1</v>
      </c>
      <c r="AI266" s="45">
        <v>0</v>
      </c>
      <c r="AJ266" s="45">
        <v>0</v>
      </c>
      <c r="AK266" s="45">
        <v>12699.4</v>
      </c>
      <c r="AL266" s="45">
        <v>0</v>
      </c>
      <c r="AM266" s="45">
        <v>1</v>
      </c>
      <c r="AO266" s="45">
        <v>12253.7</v>
      </c>
      <c r="AP266" s="45">
        <v>0</v>
      </c>
      <c r="AQ266" s="45">
        <v>0</v>
      </c>
      <c r="AR266" s="45">
        <v>11534.4</v>
      </c>
      <c r="AS266" s="45">
        <v>0</v>
      </c>
      <c r="AT266" s="45">
        <v>0</v>
      </c>
      <c r="AU266" s="45">
        <v>11630.4</v>
      </c>
      <c r="AV266" s="45">
        <v>0</v>
      </c>
      <c r="AW266" s="45">
        <v>0</v>
      </c>
      <c r="AX266" s="45">
        <v>11961.8</v>
      </c>
      <c r="AY266" s="45">
        <v>0</v>
      </c>
      <c r="AZ266" s="45">
        <v>0</v>
      </c>
    </row>
    <row r="267" spans="2:52">
      <c r="B267" s="45">
        <v>7358.2</v>
      </c>
      <c r="C267" s="45">
        <v>0</v>
      </c>
      <c r="D267" s="45">
        <v>0</v>
      </c>
      <c r="E267" s="45">
        <v>7350.2</v>
      </c>
      <c r="F267" s="45">
        <v>0</v>
      </c>
      <c r="G267" s="45">
        <v>0</v>
      </c>
      <c r="H267" s="45">
        <v>8210.2000000000007</v>
      </c>
      <c r="I267" s="45">
        <v>0</v>
      </c>
      <c r="J267" s="45">
        <v>0</v>
      </c>
      <c r="K267" s="45">
        <v>7454.2</v>
      </c>
      <c r="L267" s="45">
        <v>0</v>
      </c>
      <c r="M267" s="45">
        <v>0</v>
      </c>
      <c r="O267" s="45">
        <v>8293.2000000000007</v>
      </c>
      <c r="P267" s="45">
        <v>0</v>
      </c>
      <c r="Q267" s="45">
        <v>1</v>
      </c>
      <c r="R267" s="45">
        <v>8285.7999999999993</v>
      </c>
      <c r="S267" s="45">
        <v>0</v>
      </c>
      <c r="T267" s="45">
        <v>0</v>
      </c>
      <c r="U267" s="45">
        <v>7350.2</v>
      </c>
      <c r="V267" s="45">
        <v>0</v>
      </c>
      <c r="W267" s="45">
        <v>0</v>
      </c>
      <c r="X267" s="45">
        <v>7358.2</v>
      </c>
      <c r="Y267" s="45">
        <v>0</v>
      </c>
      <c r="Z267" s="45">
        <v>1</v>
      </c>
      <c r="AB267" s="45">
        <v>8954.5</v>
      </c>
      <c r="AC267" s="45">
        <v>0</v>
      </c>
      <c r="AD267" s="45">
        <v>0</v>
      </c>
      <c r="AE267" s="45">
        <v>8585.2000000000007</v>
      </c>
      <c r="AF267" s="45">
        <v>0</v>
      </c>
      <c r="AG267" s="45">
        <v>0</v>
      </c>
      <c r="AH267" s="45">
        <v>8676.2000000000007</v>
      </c>
      <c r="AI267" s="45">
        <v>0</v>
      </c>
      <c r="AJ267" s="45">
        <v>0</v>
      </c>
      <c r="AK267" s="45">
        <v>8702.2000000000007</v>
      </c>
      <c r="AL267" s="45">
        <v>0</v>
      </c>
      <c r="AM267" s="45">
        <v>1</v>
      </c>
      <c r="AO267" s="45">
        <v>7318.2</v>
      </c>
      <c r="AP267" s="45">
        <v>0</v>
      </c>
      <c r="AQ267" s="45">
        <v>1</v>
      </c>
      <c r="AR267" s="45">
        <v>8015</v>
      </c>
      <c r="AS267" s="45">
        <v>0</v>
      </c>
      <c r="AT267" s="45">
        <v>0</v>
      </c>
      <c r="AU267" s="45">
        <v>8015</v>
      </c>
      <c r="AV267" s="45">
        <v>0</v>
      </c>
      <c r="AW267" s="45">
        <v>0</v>
      </c>
      <c r="AX267" s="45">
        <v>7975</v>
      </c>
      <c r="AY267" s="45">
        <v>0</v>
      </c>
      <c r="AZ267" s="45">
        <v>0</v>
      </c>
    </row>
    <row r="268" spans="2:52">
      <c r="B268" s="45">
        <v>11611.2</v>
      </c>
      <c r="C268" s="45">
        <v>0</v>
      </c>
      <c r="D268" s="45">
        <v>1</v>
      </c>
      <c r="E268" s="45">
        <v>11763.6</v>
      </c>
      <c r="F268" s="45">
        <v>5</v>
      </c>
      <c r="G268" s="45">
        <v>0</v>
      </c>
      <c r="H268" s="45">
        <v>11334.3</v>
      </c>
      <c r="I268" s="45">
        <v>0</v>
      </c>
      <c r="J268" s="45">
        <v>0</v>
      </c>
      <c r="K268" s="45">
        <v>11539.2</v>
      </c>
      <c r="L268" s="45">
        <v>0</v>
      </c>
      <c r="M268" s="45">
        <v>0</v>
      </c>
      <c r="O268" s="45">
        <v>11698</v>
      </c>
      <c r="P268" s="45">
        <v>6</v>
      </c>
      <c r="Q268" s="45">
        <v>0</v>
      </c>
      <c r="R268" s="45">
        <v>11098</v>
      </c>
      <c r="S268" s="45">
        <v>0</v>
      </c>
      <c r="T268" s="45">
        <v>0</v>
      </c>
      <c r="U268" s="45">
        <v>11382</v>
      </c>
      <c r="V268" s="45">
        <v>3</v>
      </c>
      <c r="W268" s="45">
        <v>1</v>
      </c>
      <c r="X268" s="45">
        <v>11098</v>
      </c>
      <c r="Y268" s="45">
        <v>0</v>
      </c>
      <c r="Z268" s="45">
        <v>0</v>
      </c>
      <c r="AB268" s="45">
        <v>13749.2</v>
      </c>
      <c r="AC268" s="45">
        <v>0</v>
      </c>
      <c r="AD268" s="45">
        <v>0</v>
      </c>
      <c r="AE268" s="45">
        <v>12188.7</v>
      </c>
      <c r="AF268" s="45">
        <v>0</v>
      </c>
      <c r="AG268" s="45">
        <v>0</v>
      </c>
      <c r="AH268" s="45">
        <v>11871.4</v>
      </c>
      <c r="AI268" s="45">
        <v>0</v>
      </c>
      <c r="AJ268" s="45">
        <v>1</v>
      </c>
      <c r="AK268" s="45">
        <v>13577.1</v>
      </c>
      <c r="AL268" s="45">
        <v>0</v>
      </c>
      <c r="AM268" s="45">
        <v>0</v>
      </c>
      <c r="AO268" s="45">
        <v>13053</v>
      </c>
      <c r="AP268" s="45">
        <v>0</v>
      </c>
      <c r="AQ268" s="45">
        <v>1</v>
      </c>
      <c r="AR268" s="45">
        <v>11863.4</v>
      </c>
      <c r="AS268" s="45">
        <v>0</v>
      </c>
      <c r="AT268" s="45">
        <v>0</v>
      </c>
      <c r="AU268" s="45">
        <v>11879.4</v>
      </c>
      <c r="AV268" s="45">
        <v>0</v>
      </c>
      <c r="AW268" s="45">
        <v>0</v>
      </c>
      <c r="AX268" s="45">
        <v>11603.2</v>
      </c>
      <c r="AY268" s="45">
        <v>0</v>
      </c>
      <c r="AZ268" s="45">
        <v>0</v>
      </c>
    </row>
    <row r="269" spans="2:52">
      <c r="B269" s="45">
        <v>11057.2</v>
      </c>
      <c r="C269" s="45">
        <v>0</v>
      </c>
      <c r="D269" s="45">
        <v>0</v>
      </c>
      <c r="E269" s="45">
        <v>10578.1</v>
      </c>
      <c r="F269" s="45">
        <v>0</v>
      </c>
      <c r="G269" s="45">
        <v>0</v>
      </c>
      <c r="H269" s="45">
        <v>11282.9</v>
      </c>
      <c r="I269" s="45">
        <v>0</v>
      </c>
      <c r="J269" s="45">
        <v>1</v>
      </c>
      <c r="K269" s="45">
        <v>10951.9</v>
      </c>
      <c r="L269" s="45">
        <v>0</v>
      </c>
      <c r="M269" s="45">
        <v>0</v>
      </c>
      <c r="O269" s="45">
        <v>10506.1</v>
      </c>
      <c r="P269" s="45">
        <v>0</v>
      </c>
      <c r="Q269" s="45">
        <v>0</v>
      </c>
      <c r="R269" s="45">
        <v>10947</v>
      </c>
      <c r="S269" s="45">
        <v>0</v>
      </c>
      <c r="T269" s="45">
        <v>1</v>
      </c>
      <c r="U269" s="45">
        <v>10578.1</v>
      </c>
      <c r="V269" s="45">
        <v>0</v>
      </c>
      <c r="W269" s="45">
        <v>0</v>
      </c>
      <c r="X269" s="45">
        <v>10483.9</v>
      </c>
      <c r="Y269" s="45">
        <v>0</v>
      </c>
      <c r="Z269" s="45">
        <v>0</v>
      </c>
      <c r="AB269" s="45">
        <v>12588.1</v>
      </c>
      <c r="AC269" s="45">
        <v>0</v>
      </c>
      <c r="AD269" s="45">
        <v>0</v>
      </c>
      <c r="AE269" s="45">
        <v>12270.6</v>
      </c>
      <c r="AF269" s="45">
        <v>0</v>
      </c>
      <c r="AG269" s="45">
        <v>1</v>
      </c>
      <c r="AH269" s="45">
        <v>12379.2</v>
      </c>
      <c r="AI269" s="45">
        <v>0</v>
      </c>
      <c r="AJ269" s="45">
        <v>0</v>
      </c>
      <c r="AK269" s="45">
        <v>12236.4</v>
      </c>
      <c r="AL269" s="45">
        <v>0</v>
      </c>
      <c r="AM269" s="45">
        <v>0</v>
      </c>
      <c r="AO269" s="45">
        <v>10722.1</v>
      </c>
      <c r="AP269" s="45">
        <v>0</v>
      </c>
      <c r="AQ269" s="45">
        <v>0</v>
      </c>
      <c r="AR269" s="45">
        <v>11057.2</v>
      </c>
      <c r="AS269" s="45">
        <v>0</v>
      </c>
      <c r="AT269" s="45">
        <v>1</v>
      </c>
      <c r="AU269" s="45">
        <v>12192.5</v>
      </c>
      <c r="AV269" s="45">
        <v>0</v>
      </c>
      <c r="AW269" s="45">
        <v>0</v>
      </c>
      <c r="AX269" s="45">
        <v>11549.1</v>
      </c>
      <c r="AY269" s="45">
        <v>0</v>
      </c>
      <c r="AZ269" s="45">
        <v>0</v>
      </c>
    </row>
    <row r="270" spans="2:52">
      <c r="B270" s="45">
        <v>13807.4</v>
      </c>
      <c r="C270" s="45">
        <v>0</v>
      </c>
      <c r="D270" s="45">
        <v>0</v>
      </c>
      <c r="E270" s="45">
        <v>12975.2</v>
      </c>
      <c r="F270" s="45">
        <v>0</v>
      </c>
      <c r="G270" s="45">
        <v>0</v>
      </c>
      <c r="H270" s="45">
        <v>13775.4</v>
      </c>
      <c r="I270" s="45">
        <v>0</v>
      </c>
      <c r="J270" s="45">
        <v>0</v>
      </c>
      <c r="K270" s="45">
        <v>12983.2</v>
      </c>
      <c r="L270" s="45">
        <v>0</v>
      </c>
      <c r="M270" s="45">
        <v>0</v>
      </c>
      <c r="O270" s="45">
        <v>13071.2</v>
      </c>
      <c r="P270" s="45">
        <v>0</v>
      </c>
      <c r="Q270" s="45">
        <v>0</v>
      </c>
      <c r="R270" s="45">
        <v>12991.2</v>
      </c>
      <c r="S270" s="45">
        <v>0</v>
      </c>
      <c r="T270" s="45">
        <v>1</v>
      </c>
      <c r="U270" s="45">
        <v>12975.2</v>
      </c>
      <c r="V270" s="45">
        <v>0</v>
      </c>
      <c r="W270" s="45">
        <v>0</v>
      </c>
      <c r="X270" s="45">
        <v>12967.2</v>
      </c>
      <c r="Y270" s="45">
        <v>0</v>
      </c>
      <c r="Z270" s="45">
        <v>0</v>
      </c>
      <c r="AB270" s="45">
        <v>15257.4</v>
      </c>
      <c r="AC270" s="45">
        <v>0</v>
      </c>
      <c r="AD270" s="45">
        <v>0</v>
      </c>
      <c r="AE270" s="45">
        <v>15444.7</v>
      </c>
      <c r="AF270" s="45">
        <v>0</v>
      </c>
      <c r="AG270" s="45">
        <v>1</v>
      </c>
      <c r="AH270" s="45">
        <v>14545.3</v>
      </c>
      <c r="AI270" s="45">
        <v>0</v>
      </c>
      <c r="AJ270" s="45">
        <v>0</v>
      </c>
      <c r="AK270" s="45">
        <v>15489.3</v>
      </c>
      <c r="AL270" s="45">
        <v>0</v>
      </c>
      <c r="AM270" s="45">
        <v>0</v>
      </c>
      <c r="AO270" s="45">
        <v>14538.9</v>
      </c>
      <c r="AP270" s="45">
        <v>0</v>
      </c>
      <c r="AQ270" s="45">
        <v>0</v>
      </c>
      <c r="AR270" s="45">
        <v>13807.4</v>
      </c>
      <c r="AS270" s="45">
        <v>0</v>
      </c>
      <c r="AT270" s="45">
        <v>1</v>
      </c>
      <c r="AU270" s="45">
        <v>12935.2</v>
      </c>
      <c r="AV270" s="45">
        <v>0</v>
      </c>
      <c r="AW270" s="45">
        <v>0</v>
      </c>
      <c r="AX270" s="45">
        <v>13775.4</v>
      </c>
      <c r="AY270" s="45">
        <v>0</v>
      </c>
      <c r="AZ270" s="45">
        <v>0</v>
      </c>
    </row>
    <row r="271" spans="2:52">
      <c r="B271" s="45">
        <v>9693.2999999999993</v>
      </c>
      <c r="C271" s="45">
        <v>0</v>
      </c>
      <c r="D271" s="45">
        <v>0</v>
      </c>
      <c r="E271" s="45">
        <v>9716.5</v>
      </c>
      <c r="F271" s="45">
        <v>0</v>
      </c>
      <c r="G271" s="45">
        <v>1</v>
      </c>
      <c r="H271" s="45">
        <v>10963.9</v>
      </c>
      <c r="I271" s="45">
        <v>11</v>
      </c>
      <c r="J271" s="45">
        <v>0</v>
      </c>
      <c r="K271" s="45">
        <v>9660.5</v>
      </c>
      <c r="L271" s="45">
        <v>0</v>
      </c>
      <c r="M271" s="45">
        <v>0</v>
      </c>
      <c r="O271" s="45">
        <v>9481.7000000000007</v>
      </c>
      <c r="P271" s="45">
        <v>0</v>
      </c>
      <c r="Q271" s="45">
        <v>1</v>
      </c>
      <c r="R271" s="45">
        <v>9497.7000000000007</v>
      </c>
      <c r="S271" s="45">
        <v>0</v>
      </c>
      <c r="T271" s="45">
        <v>0</v>
      </c>
      <c r="U271" s="45">
        <v>10793.3</v>
      </c>
      <c r="V271" s="45">
        <v>11</v>
      </c>
      <c r="W271" s="45">
        <v>0</v>
      </c>
      <c r="X271" s="45">
        <v>10785.7</v>
      </c>
      <c r="Y271" s="45">
        <v>14</v>
      </c>
      <c r="Z271" s="45">
        <v>1</v>
      </c>
      <c r="AB271" s="45">
        <v>10270.700000000001</v>
      </c>
      <c r="AC271" s="45">
        <v>0</v>
      </c>
      <c r="AD271" s="45">
        <v>1</v>
      </c>
      <c r="AE271" s="45">
        <v>10676.6</v>
      </c>
      <c r="AF271" s="45">
        <v>0</v>
      </c>
      <c r="AG271" s="45">
        <v>0</v>
      </c>
      <c r="AH271" s="45">
        <v>9971.4</v>
      </c>
      <c r="AI271" s="45">
        <v>0</v>
      </c>
      <c r="AJ271" s="45">
        <v>0</v>
      </c>
      <c r="AK271" s="45">
        <v>10644.1</v>
      </c>
      <c r="AL271" s="45">
        <v>0</v>
      </c>
      <c r="AM271" s="45">
        <v>0</v>
      </c>
      <c r="AO271" s="45">
        <v>9637.2999999999993</v>
      </c>
      <c r="AP271" s="45">
        <v>0</v>
      </c>
      <c r="AQ271" s="45">
        <v>0</v>
      </c>
      <c r="AR271" s="45">
        <v>10761.3</v>
      </c>
      <c r="AS271" s="45">
        <v>11</v>
      </c>
      <c r="AT271" s="45">
        <v>1</v>
      </c>
      <c r="AU271" s="45">
        <v>9962.5</v>
      </c>
      <c r="AV271" s="45">
        <v>0</v>
      </c>
      <c r="AW271" s="45">
        <v>0</v>
      </c>
      <c r="AX271" s="45">
        <v>9505.7000000000007</v>
      </c>
      <c r="AY271" s="45">
        <v>0</v>
      </c>
      <c r="AZ271" s="45">
        <v>0</v>
      </c>
    </row>
    <row r="272" spans="2:52">
      <c r="B272" s="45">
        <v>12044.6</v>
      </c>
      <c r="C272" s="45">
        <v>0</v>
      </c>
      <c r="D272" s="45">
        <v>0</v>
      </c>
      <c r="E272" s="45">
        <v>11934.3</v>
      </c>
      <c r="F272" s="45">
        <v>0</v>
      </c>
      <c r="G272" s="45">
        <v>0</v>
      </c>
      <c r="H272" s="45">
        <v>10955.4</v>
      </c>
      <c r="I272" s="45">
        <v>0</v>
      </c>
      <c r="J272" s="45">
        <v>1</v>
      </c>
      <c r="K272" s="45">
        <v>10769.4</v>
      </c>
      <c r="L272" s="45">
        <v>0</v>
      </c>
      <c r="M272" s="45">
        <v>0</v>
      </c>
      <c r="O272" s="45">
        <v>12131.4</v>
      </c>
      <c r="P272" s="45">
        <v>12</v>
      </c>
      <c r="Q272" s="45">
        <v>0</v>
      </c>
      <c r="R272" s="45">
        <v>10979.4</v>
      </c>
      <c r="S272" s="45">
        <v>0</v>
      </c>
      <c r="T272" s="45">
        <v>0</v>
      </c>
      <c r="U272" s="45">
        <v>11296.6</v>
      </c>
      <c r="V272" s="45">
        <v>0</v>
      </c>
      <c r="W272" s="45">
        <v>1</v>
      </c>
      <c r="X272" s="45">
        <v>11897.4</v>
      </c>
      <c r="Y272" s="45">
        <v>12</v>
      </c>
      <c r="Z272" s="45">
        <v>0</v>
      </c>
      <c r="AB272" s="45">
        <v>11910.3</v>
      </c>
      <c r="AC272" s="45">
        <v>0</v>
      </c>
      <c r="AD272" s="45">
        <v>1</v>
      </c>
      <c r="AE272" s="45">
        <v>11950.3</v>
      </c>
      <c r="AF272" s="45">
        <v>0</v>
      </c>
      <c r="AG272" s="45">
        <v>0</v>
      </c>
      <c r="AH272" s="45">
        <v>11146.4</v>
      </c>
      <c r="AI272" s="45">
        <v>0</v>
      </c>
      <c r="AJ272" s="45">
        <v>0</v>
      </c>
      <c r="AK272" s="45">
        <v>12351.3</v>
      </c>
      <c r="AL272" s="45">
        <v>0</v>
      </c>
      <c r="AM272" s="45">
        <v>1</v>
      </c>
      <c r="AO272" s="45">
        <v>11793.6</v>
      </c>
      <c r="AP272" s="45">
        <v>0</v>
      </c>
      <c r="AQ272" s="45">
        <v>0</v>
      </c>
      <c r="AR272" s="45">
        <v>11753.6</v>
      </c>
      <c r="AS272" s="45">
        <v>0</v>
      </c>
      <c r="AT272" s="45">
        <v>0</v>
      </c>
      <c r="AU272" s="45">
        <v>11793.6</v>
      </c>
      <c r="AV272" s="45">
        <v>0</v>
      </c>
      <c r="AW272" s="45">
        <v>1</v>
      </c>
      <c r="AX272" s="45">
        <v>11256.6</v>
      </c>
      <c r="AY272" s="45">
        <v>0</v>
      </c>
      <c r="AZ272" s="45">
        <v>0</v>
      </c>
    </row>
    <row r="273" spans="2:52">
      <c r="B273" s="45">
        <v>8453.6</v>
      </c>
      <c r="C273" s="45">
        <v>0</v>
      </c>
      <c r="D273" s="45">
        <v>0</v>
      </c>
      <c r="E273" s="45">
        <v>7530.9</v>
      </c>
      <c r="F273" s="45">
        <v>0</v>
      </c>
      <c r="G273" s="45">
        <v>0</v>
      </c>
      <c r="H273" s="45">
        <v>8431.9</v>
      </c>
      <c r="I273" s="45">
        <v>0</v>
      </c>
      <c r="J273" s="45">
        <v>0</v>
      </c>
      <c r="K273" s="45">
        <v>8059.1</v>
      </c>
      <c r="L273" s="45">
        <v>0</v>
      </c>
      <c r="M273" s="45">
        <v>0</v>
      </c>
      <c r="O273" s="45">
        <v>7530.9</v>
      </c>
      <c r="P273" s="45">
        <v>0</v>
      </c>
      <c r="Q273" s="45">
        <v>0</v>
      </c>
      <c r="R273" s="45">
        <v>8240.9</v>
      </c>
      <c r="S273" s="45">
        <v>0</v>
      </c>
      <c r="T273" s="45">
        <v>0</v>
      </c>
      <c r="U273" s="45">
        <v>7506.9</v>
      </c>
      <c r="V273" s="45">
        <v>0</v>
      </c>
      <c r="W273" s="45">
        <v>1</v>
      </c>
      <c r="X273" s="45">
        <v>7370.9</v>
      </c>
      <c r="Y273" s="45">
        <v>0</v>
      </c>
      <c r="Z273" s="45">
        <v>0</v>
      </c>
      <c r="AB273" s="45">
        <v>8636.9</v>
      </c>
      <c r="AC273" s="45">
        <v>0</v>
      </c>
      <c r="AD273" s="45">
        <v>0</v>
      </c>
      <c r="AE273" s="45">
        <v>9290.4</v>
      </c>
      <c r="AF273" s="45">
        <v>0</v>
      </c>
      <c r="AG273" s="45">
        <v>0</v>
      </c>
      <c r="AH273" s="45">
        <v>8766.1</v>
      </c>
      <c r="AI273" s="45">
        <v>0</v>
      </c>
      <c r="AJ273" s="45">
        <v>0</v>
      </c>
      <c r="AK273" s="45">
        <v>9179</v>
      </c>
      <c r="AL273" s="45">
        <v>0</v>
      </c>
      <c r="AM273" s="45">
        <v>1</v>
      </c>
      <c r="AO273" s="45">
        <v>8251.2999999999993</v>
      </c>
      <c r="AP273" s="45">
        <v>0</v>
      </c>
      <c r="AQ273" s="45">
        <v>0</v>
      </c>
      <c r="AR273" s="45">
        <v>8821.2000000000007</v>
      </c>
      <c r="AS273" s="45">
        <v>0</v>
      </c>
      <c r="AT273" s="45">
        <v>0</v>
      </c>
      <c r="AU273" s="45">
        <v>8251.2999999999993</v>
      </c>
      <c r="AV273" s="45">
        <v>0</v>
      </c>
      <c r="AW273" s="45">
        <v>1</v>
      </c>
      <c r="AX273" s="45">
        <v>8012.1</v>
      </c>
      <c r="AY273" s="45">
        <v>0</v>
      </c>
      <c r="AZ273" s="45">
        <v>0</v>
      </c>
    </row>
    <row r="274" spans="2:52">
      <c r="B274" s="45">
        <v>8584.4</v>
      </c>
      <c r="C274" s="45">
        <v>0</v>
      </c>
      <c r="D274" s="45">
        <v>1</v>
      </c>
      <c r="E274" s="45">
        <v>9278.6</v>
      </c>
      <c r="F274" s="45">
        <v>0</v>
      </c>
      <c r="G274" s="45">
        <v>0</v>
      </c>
      <c r="H274" s="45">
        <v>8881</v>
      </c>
      <c r="I274" s="45">
        <v>0</v>
      </c>
      <c r="J274" s="45">
        <v>0</v>
      </c>
      <c r="K274" s="45">
        <v>8964.1</v>
      </c>
      <c r="L274" s="45">
        <v>0</v>
      </c>
      <c r="M274" s="45">
        <v>0</v>
      </c>
      <c r="O274" s="45">
        <v>9401.6</v>
      </c>
      <c r="P274" s="45">
        <v>0</v>
      </c>
      <c r="Q274" s="45">
        <v>0</v>
      </c>
      <c r="R274" s="45">
        <v>8245.1</v>
      </c>
      <c r="S274" s="45">
        <v>0</v>
      </c>
      <c r="T274" s="45">
        <v>1</v>
      </c>
      <c r="U274" s="45">
        <v>9278.6</v>
      </c>
      <c r="V274" s="45">
        <v>0</v>
      </c>
      <c r="W274" s="45">
        <v>0</v>
      </c>
      <c r="X274" s="45">
        <v>8293.1</v>
      </c>
      <c r="Y274" s="45">
        <v>0</v>
      </c>
      <c r="Z274" s="45">
        <v>0</v>
      </c>
      <c r="AB274" s="45">
        <v>9238.2000000000007</v>
      </c>
      <c r="AC274" s="45">
        <v>0</v>
      </c>
      <c r="AD274" s="45">
        <v>0</v>
      </c>
      <c r="AE274" s="45">
        <v>9684.5</v>
      </c>
      <c r="AF274" s="45">
        <v>0</v>
      </c>
      <c r="AG274" s="45">
        <v>0</v>
      </c>
      <c r="AH274" s="45">
        <v>9393.6</v>
      </c>
      <c r="AI274" s="45">
        <v>0</v>
      </c>
      <c r="AJ274" s="45">
        <v>1</v>
      </c>
      <c r="AK274" s="45">
        <v>10407.799999999999</v>
      </c>
      <c r="AL274" s="45">
        <v>0</v>
      </c>
      <c r="AM274" s="45">
        <v>0</v>
      </c>
      <c r="AO274" s="45">
        <v>9222.2999999999993</v>
      </c>
      <c r="AP274" s="45">
        <v>0</v>
      </c>
      <c r="AQ274" s="45">
        <v>0</v>
      </c>
      <c r="AR274" s="45">
        <v>9012.1</v>
      </c>
      <c r="AS274" s="45">
        <v>0</v>
      </c>
      <c r="AT274" s="45">
        <v>0</v>
      </c>
      <c r="AU274" s="45">
        <v>8964.1</v>
      </c>
      <c r="AV274" s="45">
        <v>0</v>
      </c>
      <c r="AW274" s="45">
        <v>0</v>
      </c>
      <c r="AX274" s="45">
        <v>8964.1</v>
      </c>
      <c r="AY274" s="45">
        <v>0</v>
      </c>
      <c r="AZ274" s="45">
        <v>1</v>
      </c>
    </row>
    <row r="275" spans="2:52">
      <c r="B275" s="45">
        <v>11949.7</v>
      </c>
      <c r="C275" s="45">
        <v>0</v>
      </c>
      <c r="D275" s="45">
        <v>0</v>
      </c>
      <c r="E275" s="45">
        <v>11958.2</v>
      </c>
      <c r="F275" s="45">
        <v>0</v>
      </c>
      <c r="G275" s="45">
        <v>0</v>
      </c>
      <c r="H275" s="45">
        <v>11942.4</v>
      </c>
      <c r="I275" s="45">
        <v>0</v>
      </c>
      <c r="J275" s="45">
        <v>0</v>
      </c>
      <c r="K275" s="45">
        <v>12653.2</v>
      </c>
      <c r="L275" s="45">
        <v>0</v>
      </c>
      <c r="M275" s="45">
        <v>1</v>
      </c>
      <c r="O275" s="45">
        <v>12680.2</v>
      </c>
      <c r="P275" s="45">
        <v>0</v>
      </c>
      <c r="Q275" s="45">
        <v>1</v>
      </c>
      <c r="R275" s="45">
        <v>11638</v>
      </c>
      <c r="S275" s="45">
        <v>0</v>
      </c>
      <c r="T275" s="45">
        <v>0</v>
      </c>
      <c r="U275" s="45">
        <v>11998.2</v>
      </c>
      <c r="V275" s="45">
        <v>0</v>
      </c>
      <c r="W275" s="45">
        <v>0</v>
      </c>
      <c r="X275" s="45">
        <v>11726</v>
      </c>
      <c r="Y275" s="45">
        <v>0</v>
      </c>
      <c r="Z275" s="45">
        <v>1</v>
      </c>
      <c r="AB275" s="45">
        <v>13175.4</v>
      </c>
      <c r="AC275" s="45">
        <v>0</v>
      </c>
      <c r="AD275" s="45">
        <v>0</v>
      </c>
      <c r="AE275" s="45">
        <v>13327.5</v>
      </c>
      <c r="AF275" s="45">
        <v>0</v>
      </c>
      <c r="AG275" s="45">
        <v>0</v>
      </c>
      <c r="AH275" s="45">
        <v>13867.8</v>
      </c>
      <c r="AI275" s="45">
        <v>0</v>
      </c>
      <c r="AJ275" s="45">
        <v>1</v>
      </c>
      <c r="AK275" s="45">
        <v>13131.9</v>
      </c>
      <c r="AL275" s="45">
        <v>0</v>
      </c>
      <c r="AM275" s="45">
        <v>0</v>
      </c>
      <c r="AO275" s="45">
        <v>13073.1</v>
      </c>
      <c r="AP275" s="45">
        <v>0</v>
      </c>
      <c r="AQ275" s="45">
        <v>0</v>
      </c>
      <c r="AR275" s="45">
        <v>12484.7</v>
      </c>
      <c r="AS275" s="45">
        <v>0</v>
      </c>
      <c r="AT275" s="45">
        <v>0</v>
      </c>
      <c r="AU275" s="45">
        <v>12413.9</v>
      </c>
      <c r="AV275" s="45">
        <v>0</v>
      </c>
      <c r="AW275" s="45">
        <v>0</v>
      </c>
      <c r="AX275" s="45">
        <v>12546</v>
      </c>
      <c r="AY275" s="45">
        <v>0</v>
      </c>
      <c r="AZ275" s="45">
        <v>1</v>
      </c>
    </row>
    <row r="276" spans="2:52">
      <c r="B276" s="45">
        <v>13366.4</v>
      </c>
      <c r="C276" s="45">
        <v>0</v>
      </c>
      <c r="D276" s="45">
        <v>0</v>
      </c>
      <c r="E276" s="45">
        <v>13383.2</v>
      </c>
      <c r="F276" s="45">
        <v>0</v>
      </c>
      <c r="G276" s="45">
        <v>0</v>
      </c>
      <c r="H276" s="45">
        <v>13366.4</v>
      </c>
      <c r="I276" s="45">
        <v>0</v>
      </c>
      <c r="J276" s="45">
        <v>0</v>
      </c>
      <c r="K276" s="45">
        <v>12883.9</v>
      </c>
      <c r="L276" s="45">
        <v>0</v>
      </c>
      <c r="M276" s="45">
        <v>0</v>
      </c>
      <c r="O276" s="45">
        <v>12851.9</v>
      </c>
      <c r="P276" s="45">
        <v>0</v>
      </c>
      <c r="Q276" s="45">
        <v>0</v>
      </c>
      <c r="R276" s="45">
        <v>13304.1</v>
      </c>
      <c r="S276" s="45">
        <v>0</v>
      </c>
      <c r="T276" s="45">
        <v>0</v>
      </c>
      <c r="U276" s="45">
        <v>12795.9</v>
      </c>
      <c r="V276" s="45">
        <v>0</v>
      </c>
      <c r="W276" s="45">
        <v>0</v>
      </c>
      <c r="X276" s="45">
        <v>12883.9</v>
      </c>
      <c r="Y276" s="45">
        <v>0</v>
      </c>
      <c r="Z276" s="45">
        <v>1</v>
      </c>
      <c r="AB276" s="45">
        <v>14613.2</v>
      </c>
      <c r="AC276" s="45">
        <v>0</v>
      </c>
      <c r="AD276" s="45">
        <v>0</v>
      </c>
      <c r="AE276" s="45">
        <v>15034.4</v>
      </c>
      <c r="AF276" s="45">
        <v>0</v>
      </c>
      <c r="AG276" s="45">
        <v>1</v>
      </c>
      <c r="AH276" s="45">
        <v>15206.5</v>
      </c>
      <c r="AI276" s="45">
        <v>0</v>
      </c>
      <c r="AJ276" s="45">
        <v>0</v>
      </c>
      <c r="AK276" s="45">
        <v>14712.9</v>
      </c>
      <c r="AL276" s="45">
        <v>0</v>
      </c>
      <c r="AM276" s="45">
        <v>0</v>
      </c>
      <c r="AO276" s="45">
        <v>13286.4</v>
      </c>
      <c r="AP276" s="45">
        <v>0</v>
      </c>
      <c r="AQ276" s="45">
        <v>0</v>
      </c>
      <c r="AR276" s="45">
        <v>13286.4</v>
      </c>
      <c r="AS276" s="45">
        <v>0</v>
      </c>
      <c r="AT276" s="45">
        <v>0</v>
      </c>
      <c r="AU276" s="45">
        <v>13446.4</v>
      </c>
      <c r="AV276" s="45">
        <v>0</v>
      </c>
      <c r="AW276" s="45">
        <v>0</v>
      </c>
      <c r="AX276" s="45">
        <v>12931.9</v>
      </c>
      <c r="AY276" s="45">
        <v>0</v>
      </c>
      <c r="AZ276" s="45">
        <v>0</v>
      </c>
    </row>
    <row r="277" spans="2:52">
      <c r="B277" s="45">
        <v>11732.2</v>
      </c>
      <c r="C277" s="45">
        <v>0</v>
      </c>
      <c r="D277" s="45">
        <v>0</v>
      </c>
      <c r="E277" s="45">
        <v>11056.9</v>
      </c>
      <c r="F277" s="45">
        <v>0</v>
      </c>
      <c r="G277" s="45">
        <v>1</v>
      </c>
      <c r="H277" s="45">
        <v>11716.4</v>
      </c>
      <c r="I277" s="45">
        <v>0</v>
      </c>
      <c r="J277" s="45">
        <v>0</v>
      </c>
      <c r="K277" s="45">
        <v>11219.4</v>
      </c>
      <c r="L277" s="45">
        <v>0</v>
      </c>
      <c r="M277" s="45">
        <v>0</v>
      </c>
      <c r="O277" s="45">
        <v>11115.4</v>
      </c>
      <c r="P277" s="45">
        <v>0</v>
      </c>
      <c r="Q277" s="45">
        <v>0</v>
      </c>
      <c r="R277" s="45">
        <v>11565.4</v>
      </c>
      <c r="S277" s="45">
        <v>0</v>
      </c>
      <c r="T277" s="45">
        <v>0</v>
      </c>
      <c r="U277" s="45">
        <v>11267.4</v>
      </c>
      <c r="V277" s="45">
        <v>0</v>
      </c>
      <c r="W277" s="45">
        <v>1</v>
      </c>
      <c r="X277" s="45">
        <v>10976.9</v>
      </c>
      <c r="Y277" s="45">
        <v>0</v>
      </c>
      <c r="Z277" s="45">
        <v>0</v>
      </c>
      <c r="AB277" s="45">
        <v>12137.2</v>
      </c>
      <c r="AC277" s="45">
        <v>0</v>
      </c>
      <c r="AD277" s="45">
        <v>0</v>
      </c>
      <c r="AE277" s="45">
        <v>12320.9</v>
      </c>
      <c r="AF277" s="45">
        <v>0</v>
      </c>
      <c r="AG277" s="45">
        <v>1</v>
      </c>
      <c r="AH277" s="45">
        <v>12381</v>
      </c>
      <c r="AI277" s="45">
        <v>0</v>
      </c>
      <c r="AJ277" s="45">
        <v>0</v>
      </c>
      <c r="AK277" s="45">
        <v>12516.2</v>
      </c>
      <c r="AL277" s="45">
        <v>0</v>
      </c>
      <c r="AM277" s="45">
        <v>0</v>
      </c>
      <c r="AO277" s="45">
        <v>12015</v>
      </c>
      <c r="AP277" s="45">
        <v>0</v>
      </c>
      <c r="AQ277" s="45">
        <v>1</v>
      </c>
      <c r="AR277" s="45">
        <v>11992.4</v>
      </c>
      <c r="AS277" s="45">
        <v>0</v>
      </c>
      <c r="AT277" s="45">
        <v>0</v>
      </c>
      <c r="AU277" s="45">
        <v>11815.2</v>
      </c>
      <c r="AV277" s="45">
        <v>0</v>
      </c>
      <c r="AW277" s="45">
        <v>0</v>
      </c>
      <c r="AX277" s="45">
        <v>11991</v>
      </c>
      <c r="AY277" s="45">
        <v>0</v>
      </c>
      <c r="AZ277" s="45">
        <v>0</v>
      </c>
    </row>
    <row r="278" spans="2:52">
      <c r="B278" s="45">
        <v>12914.9</v>
      </c>
      <c r="C278" s="45">
        <v>0</v>
      </c>
      <c r="D278" s="45">
        <v>0</v>
      </c>
      <c r="E278" s="45">
        <v>13508.3</v>
      </c>
      <c r="F278" s="45">
        <v>0</v>
      </c>
      <c r="G278" s="45">
        <v>0</v>
      </c>
      <c r="H278" s="45">
        <v>14078</v>
      </c>
      <c r="I278" s="45">
        <v>0</v>
      </c>
      <c r="J278" s="45">
        <v>0</v>
      </c>
      <c r="K278" s="45">
        <v>13114.9</v>
      </c>
      <c r="L278" s="45">
        <v>0</v>
      </c>
      <c r="M278" s="45">
        <v>0</v>
      </c>
      <c r="O278" s="45">
        <v>12914.9</v>
      </c>
      <c r="P278" s="45">
        <v>0</v>
      </c>
      <c r="Q278" s="45">
        <v>0</v>
      </c>
      <c r="R278" s="45">
        <v>12914.9</v>
      </c>
      <c r="S278" s="45">
        <v>0</v>
      </c>
      <c r="T278" s="45">
        <v>1</v>
      </c>
      <c r="U278" s="45">
        <v>13146.9</v>
      </c>
      <c r="V278" s="45">
        <v>0</v>
      </c>
      <c r="W278" s="45">
        <v>0</v>
      </c>
      <c r="X278" s="45">
        <v>13314.9</v>
      </c>
      <c r="Y278" s="45">
        <v>0</v>
      </c>
      <c r="Z278" s="45">
        <v>0</v>
      </c>
      <c r="AB278" s="45">
        <v>16326.7</v>
      </c>
      <c r="AC278" s="45">
        <v>0</v>
      </c>
      <c r="AD278" s="45">
        <v>1</v>
      </c>
      <c r="AE278" s="45">
        <v>15462.4</v>
      </c>
      <c r="AF278" s="45">
        <v>0</v>
      </c>
      <c r="AG278" s="45">
        <v>0</v>
      </c>
      <c r="AH278" s="45">
        <v>15387.8</v>
      </c>
      <c r="AI278" s="45">
        <v>0</v>
      </c>
      <c r="AJ278" s="45">
        <v>0</v>
      </c>
      <c r="AK278" s="45">
        <v>13906.1</v>
      </c>
      <c r="AL278" s="45">
        <v>0</v>
      </c>
      <c r="AM278" s="45">
        <v>0</v>
      </c>
      <c r="AO278" s="45">
        <v>14672.3</v>
      </c>
      <c r="AP278" s="45">
        <v>0</v>
      </c>
      <c r="AQ278" s="45">
        <v>0</v>
      </c>
      <c r="AR278" s="45">
        <v>14462</v>
      </c>
      <c r="AS278" s="45">
        <v>0</v>
      </c>
      <c r="AT278" s="45">
        <v>1</v>
      </c>
      <c r="AU278" s="45">
        <v>13498.9</v>
      </c>
      <c r="AV278" s="45">
        <v>0</v>
      </c>
      <c r="AW278" s="45">
        <v>0</v>
      </c>
      <c r="AX278" s="45">
        <v>14094</v>
      </c>
      <c r="AY278" s="45">
        <v>0</v>
      </c>
      <c r="AZ278" s="45">
        <v>0</v>
      </c>
    </row>
    <row r="279" spans="2:52">
      <c r="B279" s="45">
        <v>10422.700000000001</v>
      </c>
      <c r="C279" s="45">
        <v>0</v>
      </c>
      <c r="D279" s="45">
        <v>1</v>
      </c>
      <c r="E279" s="45">
        <v>10288.200000000001</v>
      </c>
      <c r="F279" s="45">
        <v>0</v>
      </c>
      <c r="G279" s="45">
        <v>0</v>
      </c>
      <c r="H279" s="45">
        <v>10045</v>
      </c>
      <c r="I279" s="45">
        <v>0</v>
      </c>
      <c r="J279" s="45">
        <v>0</v>
      </c>
      <c r="K279" s="45">
        <v>10069</v>
      </c>
      <c r="L279" s="45">
        <v>0</v>
      </c>
      <c r="M279" s="45">
        <v>0</v>
      </c>
      <c r="O279" s="45">
        <v>9564.9</v>
      </c>
      <c r="P279" s="45">
        <v>0</v>
      </c>
      <c r="Q279" s="45">
        <v>1</v>
      </c>
      <c r="R279" s="45">
        <v>9360.1</v>
      </c>
      <c r="S279" s="45">
        <v>0</v>
      </c>
      <c r="T279" s="45">
        <v>0</v>
      </c>
      <c r="U279" s="45">
        <v>9680.1</v>
      </c>
      <c r="V279" s="45">
        <v>2</v>
      </c>
      <c r="W279" s="45">
        <v>0</v>
      </c>
      <c r="X279" s="45">
        <v>9664.2999999999993</v>
      </c>
      <c r="Y279" s="45">
        <v>0</v>
      </c>
      <c r="Z279" s="45">
        <v>1</v>
      </c>
      <c r="AB279" s="45">
        <v>12171.7</v>
      </c>
      <c r="AC279" s="45">
        <v>0</v>
      </c>
      <c r="AD279" s="45">
        <v>1</v>
      </c>
      <c r="AE279" s="45">
        <v>10245.200000000001</v>
      </c>
      <c r="AF279" s="45">
        <v>0</v>
      </c>
      <c r="AG279" s="45">
        <v>0</v>
      </c>
      <c r="AH279" s="45">
        <v>11872.6</v>
      </c>
      <c r="AI279" s="45">
        <v>0</v>
      </c>
      <c r="AJ279" s="45">
        <v>0</v>
      </c>
      <c r="AK279" s="45">
        <v>10542</v>
      </c>
      <c r="AL279" s="45">
        <v>0</v>
      </c>
      <c r="AM279" s="45">
        <v>1</v>
      </c>
      <c r="AO279" s="45">
        <v>10631</v>
      </c>
      <c r="AP279" s="45">
        <v>0</v>
      </c>
      <c r="AQ279" s="45">
        <v>0</v>
      </c>
      <c r="AR279" s="45">
        <v>11556</v>
      </c>
      <c r="AS279" s="45">
        <v>0</v>
      </c>
      <c r="AT279" s="45">
        <v>0</v>
      </c>
      <c r="AU279" s="45">
        <v>10447</v>
      </c>
      <c r="AV279" s="45">
        <v>0</v>
      </c>
      <c r="AW279" s="45">
        <v>1</v>
      </c>
      <c r="AX279" s="45">
        <v>10575</v>
      </c>
      <c r="AY279" s="45">
        <v>0</v>
      </c>
      <c r="AZ279" s="45">
        <v>0</v>
      </c>
    </row>
    <row r="280" spans="2:52">
      <c r="B280" s="45">
        <v>10823.3</v>
      </c>
      <c r="C280" s="45">
        <v>0</v>
      </c>
      <c r="D280" s="45">
        <v>0</v>
      </c>
      <c r="E280" s="45">
        <v>11337.6</v>
      </c>
      <c r="F280" s="45">
        <v>0</v>
      </c>
      <c r="G280" s="45">
        <v>0</v>
      </c>
      <c r="H280" s="45">
        <v>11004.5</v>
      </c>
      <c r="I280" s="45">
        <v>0</v>
      </c>
      <c r="J280" s="45">
        <v>1</v>
      </c>
      <c r="K280" s="45">
        <v>10769.6</v>
      </c>
      <c r="L280" s="45">
        <v>0</v>
      </c>
      <c r="M280" s="45">
        <v>0</v>
      </c>
      <c r="O280" s="45">
        <v>11203.8</v>
      </c>
      <c r="P280" s="45">
        <v>0</v>
      </c>
      <c r="Q280" s="45">
        <v>0</v>
      </c>
      <c r="R280" s="45">
        <v>11994.6</v>
      </c>
      <c r="S280" s="45">
        <v>0</v>
      </c>
      <c r="T280" s="45">
        <v>0</v>
      </c>
      <c r="U280" s="45">
        <v>10546.8</v>
      </c>
      <c r="V280" s="45">
        <v>0</v>
      </c>
      <c r="W280" s="45">
        <v>0</v>
      </c>
      <c r="X280" s="45">
        <v>10197</v>
      </c>
      <c r="Y280" s="45">
        <v>0</v>
      </c>
      <c r="Z280" s="45">
        <v>1</v>
      </c>
      <c r="AB280" s="45">
        <v>11901</v>
      </c>
      <c r="AC280" s="45">
        <v>0</v>
      </c>
      <c r="AD280" s="45">
        <v>0</v>
      </c>
      <c r="AE280" s="45">
        <v>11807.6</v>
      </c>
      <c r="AF280" s="45">
        <v>0</v>
      </c>
      <c r="AG280" s="45">
        <v>0</v>
      </c>
      <c r="AH280" s="45">
        <v>12411.9</v>
      </c>
      <c r="AI280" s="45">
        <v>0</v>
      </c>
      <c r="AJ280" s="45">
        <v>0</v>
      </c>
      <c r="AK280" s="45">
        <v>12577.2</v>
      </c>
      <c r="AL280" s="45">
        <v>0</v>
      </c>
      <c r="AM280" s="45">
        <v>1</v>
      </c>
      <c r="AO280" s="45">
        <v>10781.1</v>
      </c>
      <c r="AP280" s="45">
        <v>0</v>
      </c>
      <c r="AQ280" s="45">
        <v>0</v>
      </c>
      <c r="AR280" s="45">
        <v>11913.6</v>
      </c>
      <c r="AS280" s="45">
        <v>0</v>
      </c>
      <c r="AT280" s="45">
        <v>1</v>
      </c>
      <c r="AU280" s="45">
        <v>11128.7</v>
      </c>
      <c r="AV280" s="45">
        <v>0</v>
      </c>
      <c r="AW280" s="45">
        <v>0</v>
      </c>
      <c r="AX280" s="45">
        <v>11733</v>
      </c>
      <c r="AY280" s="45">
        <v>0</v>
      </c>
      <c r="AZ280" s="45">
        <v>0</v>
      </c>
    </row>
    <row r="281" spans="2:52">
      <c r="B281" s="45">
        <v>17174</v>
      </c>
      <c r="C281" s="45">
        <v>12</v>
      </c>
      <c r="D281" s="45">
        <v>0</v>
      </c>
      <c r="E281" s="45">
        <v>16041.2</v>
      </c>
      <c r="F281" s="45">
        <v>0</v>
      </c>
      <c r="G281" s="45">
        <v>0</v>
      </c>
      <c r="H281" s="45">
        <v>15813.8</v>
      </c>
      <c r="I281" s="45">
        <v>0</v>
      </c>
      <c r="J281" s="45">
        <v>0</v>
      </c>
      <c r="K281" s="45">
        <v>15769.2</v>
      </c>
      <c r="L281" s="45">
        <v>0</v>
      </c>
      <c r="M281" s="45">
        <v>1</v>
      </c>
      <c r="O281" s="45">
        <v>20978.2</v>
      </c>
      <c r="P281" s="45">
        <v>53</v>
      </c>
      <c r="Q281" s="45">
        <v>0</v>
      </c>
      <c r="R281" s="45">
        <v>19066.2</v>
      </c>
      <c r="S281" s="45">
        <v>37</v>
      </c>
      <c r="T281" s="45">
        <v>1</v>
      </c>
      <c r="U281" s="45">
        <v>19066.2</v>
      </c>
      <c r="V281" s="45">
        <v>37</v>
      </c>
      <c r="W281" s="45">
        <v>0</v>
      </c>
      <c r="X281" s="45">
        <v>20666.2</v>
      </c>
      <c r="Y281" s="45">
        <v>53</v>
      </c>
      <c r="Z281" s="45">
        <v>0</v>
      </c>
      <c r="AB281" s="45">
        <v>16352.6</v>
      </c>
      <c r="AC281" s="45">
        <v>0</v>
      </c>
      <c r="AD281" s="45">
        <v>0</v>
      </c>
      <c r="AE281" s="45">
        <v>17041.400000000001</v>
      </c>
      <c r="AF281" s="45">
        <v>0</v>
      </c>
      <c r="AG281" s="45">
        <v>0</v>
      </c>
      <c r="AH281" s="45">
        <v>16937.599999999999</v>
      </c>
      <c r="AI281" s="45">
        <v>0</v>
      </c>
      <c r="AJ281" s="45">
        <v>1</v>
      </c>
      <c r="AK281" s="45">
        <v>16690.400000000001</v>
      </c>
      <c r="AL281" s="45">
        <v>0</v>
      </c>
      <c r="AM281" s="45">
        <v>0</v>
      </c>
      <c r="AO281" s="45">
        <v>16038</v>
      </c>
      <c r="AP281" s="45">
        <v>0</v>
      </c>
      <c r="AQ281" s="45">
        <v>0</v>
      </c>
      <c r="AR281" s="45">
        <v>15806</v>
      </c>
      <c r="AS281" s="45">
        <v>0</v>
      </c>
      <c r="AT281" s="45">
        <v>1</v>
      </c>
      <c r="AU281" s="45">
        <v>15934</v>
      </c>
      <c r="AV281" s="45">
        <v>0</v>
      </c>
      <c r="AW281" s="45">
        <v>0</v>
      </c>
      <c r="AX281" s="45">
        <v>15726</v>
      </c>
      <c r="AY281" s="45">
        <v>0</v>
      </c>
      <c r="AZ281" s="45">
        <v>0</v>
      </c>
    </row>
    <row r="282" spans="2:52">
      <c r="B282" s="45">
        <v>12005.4</v>
      </c>
      <c r="C282" s="45">
        <v>0</v>
      </c>
      <c r="D282" s="45">
        <v>0</v>
      </c>
      <c r="E282" s="45">
        <v>12040.3</v>
      </c>
      <c r="F282" s="45">
        <v>0</v>
      </c>
      <c r="G282" s="45">
        <v>0</v>
      </c>
      <c r="H282" s="45">
        <v>11966.3</v>
      </c>
      <c r="I282" s="45">
        <v>0</v>
      </c>
      <c r="J282" s="45">
        <v>0</v>
      </c>
      <c r="K282" s="45">
        <v>11488.9</v>
      </c>
      <c r="L282" s="45">
        <v>0</v>
      </c>
      <c r="M282" s="45">
        <v>0</v>
      </c>
      <c r="O282" s="45">
        <v>12005.4</v>
      </c>
      <c r="P282" s="45">
        <v>0</v>
      </c>
      <c r="Q282" s="45">
        <v>1</v>
      </c>
      <c r="R282" s="45">
        <v>11400.9</v>
      </c>
      <c r="S282" s="45">
        <v>0</v>
      </c>
      <c r="T282" s="45">
        <v>0</v>
      </c>
      <c r="U282" s="45">
        <v>12307.1</v>
      </c>
      <c r="V282" s="45">
        <v>0</v>
      </c>
      <c r="W282" s="45">
        <v>0</v>
      </c>
      <c r="X282" s="45">
        <v>11933.4</v>
      </c>
      <c r="Y282" s="45">
        <v>0</v>
      </c>
      <c r="Z282" s="45">
        <v>1</v>
      </c>
      <c r="AB282" s="45">
        <v>12437.5</v>
      </c>
      <c r="AC282" s="45">
        <v>0</v>
      </c>
      <c r="AD282" s="45">
        <v>0</v>
      </c>
      <c r="AE282" s="45">
        <v>12094.3</v>
      </c>
      <c r="AF282" s="45">
        <v>0</v>
      </c>
      <c r="AG282" s="45">
        <v>0</v>
      </c>
      <c r="AH282" s="45">
        <v>13188.4</v>
      </c>
      <c r="AI282" s="45">
        <v>0</v>
      </c>
      <c r="AJ282" s="45">
        <v>1</v>
      </c>
      <c r="AK282" s="45">
        <v>12166.9</v>
      </c>
      <c r="AL282" s="45">
        <v>0</v>
      </c>
      <c r="AM282" s="45">
        <v>0</v>
      </c>
      <c r="AO282" s="45">
        <v>13629.3</v>
      </c>
      <c r="AP282" s="45">
        <v>0</v>
      </c>
      <c r="AQ282" s="45">
        <v>0</v>
      </c>
      <c r="AR282" s="45">
        <v>11989.4</v>
      </c>
      <c r="AS282" s="45">
        <v>0</v>
      </c>
      <c r="AT282" s="45">
        <v>1</v>
      </c>
      <c r="AU282" s="45">
        <v>13088.8</v>
      </c>
      <c r="AV282" s="45">
        <v>0</v>
      </c>
      <c r="AW282" s="45">
        <v>0</v>
      </c>
      <c r="AX282" s="45">
        <v>12005.4</v>
      </c>
      <c r="AY282" s="45">
        <v>0</v>
      </c>
      <c r="AZ282" s="45">
        <v>0</v>
      </c>
    </row>
    <row r="283" spans="2:52">
      <c r="B283" s="45">
        <v>13378.9</v>
      </c>
      <c r="C283" s="45">
        <v>0</v>
      </c>
      <c r="D283" s="45">
        <v>0</v>
      </c>
      <c r="E283" s="45">
        <v>13447</v>
      </c>
      <c r="F283" s="45">
        <v>0</v>
      </c>
      <c r="G283" s="45">
        <v>1</v>
      </c>
      <c r="H283" s="45">
        <v>13258</v>
      </c>
      <c r="I283" s="45">
        <v>0</v>
      </c>
      <c r="J283" s="45">
        <v>0</v>
      </c>
      <c r="K283" s="45">
        <v>13726.8</v>
      </c>
      <c r="L283" s="45">
        <v>0</v>
      </c>
      <c r="M283" s="45">
        <v>0</v>
      </c>
      <c r="O283" s="45">
        <v>13010.4</v>
      </c>
      <c r="P283" s="45">
        <v>0</v>
      </c>
      <c r="Q283" s="45">
        <v>0</v>
      </c>
      <c r="R283" s="45">
        <v>12818.4</v>
      </c>
      <c r="S283" s="45">
        <v>0</v>
      </c>
      <c r="T283" s="45">
        <v>0</v>
      </c>
      <c r="U283" s="45">
        <v>13225.8</v>
      </c>
      <c r="V283" s="45">
        <v>0</v>
      </c>
      <c r="W283" s="45">
        <v>0</v>
      </c>
      <c r="X283" s="45">
        <v>12929.8</v>
      </c>
      <c r="Y283" s="45">
        <v>0</v>
      </c>
      <c r="Z283" s="45">
        <v>1</v>
      </c>
      <c r="AB283" s="45">
        <v>14057.1</v>
      </c>
      <c r="AC283" s="45">
        <v>0</v>
      </c>
      <c r="AD283" s="45">
        <v>0</v>
      </c>
      <c r="AE283" s="45">
        <v>13953.1</v>
      </c>
      <c r="AF283" s="45">
        <v>0</v>
      </c>
      <c r="AG283" s="45">
        <v>1</v>
      </c>
      <c r="AH283" s="45">
        <v>15061</v>
      </c>
      <c r="AI283" s="45">
        <v>0</v>
      </c>
      <c r="AJ283" s="45">
        <v>0</v>
      </c>
      <c r="AK283" s="45">
        <v>14442.4</v>
      </c>
      <c r="AL283" s="45">
        <v>0</v>
      </c>
      <c r="AM283" s="45">
        <v>0</v>
      </c>
      <c r="AO283" s="45">
        <v>13725.5</v>
      </c>
      <c r="AP283" s="45">
        <v>0</v>
      </c>
      <c r="AQ283" s="45">
        <v>0</v>
      </c>
      <c r="AR283" s="45">
        <v>14117.8</v>
      </c>
      <c r="AS283" s="45">
        <v>0</v>
      </c>
      <c r="AT283" s="45">
        <v>1</v>
      </c>
      <c r="AU283" s="45">
        <v>13546.9</v>
      </c>
      <c r="AV283" s="45">
        <v>0</v>
      </c>
      <c r="AW283" s="45">
        <v>0</v>
      </c>
      <c r="AX283" s="45">
        <v>12930.4</v>
      </c>
      <c r="AY283" s="45">
        <v>0</v>
      </c>
      <c r="AZ283" s="45">
        <v>0</v>
      </c>
    </row>
    <row r="284" spans="2:52">
      <c r="B284" s="45">
        <v>10969.5</v>
      </c>
      <c r="C284" s="45">
        <v>0</v>
      </c>
      <c r="D284" s="45">
        <v>0</v>
      </c>
      <c r="E284" s="45">
        <v>9339.5</v>
      </c>
      <c r="F284" s="45">
        <v>0</v>
      </c>
      <c r="G284" s="45">
        <v>0</v>
      </c>
      <c r="H284" s="45">
        <v>9265.9</v>
      </c>
      <c r="I284" s="45">
        <v>0</v>
      </c>
      <c r="J284" s="45">
        <v>1</v>
      </c>
      <c r="K284" s="45">
        <v>9470.1</v>
      </c>
      <c r="L284" s="45">
        <v>0</v>
      </c>
      <c r="M284" s="45">
        <v>0</v>
      </c>
      <c r="O284" s="45">
        <v>10540.3</v>
      </c>
      <c r="P284" s="45">
        <v>17</v>
      </c>
      <c r="Q284" s="45">
        <v>0</v>
      </c>
      <c r="R284" s="45">
        <v>10405.9</v>
      </c>
      <c r="S284" s="45">
        <v>0</v>
      </c>
      <c r="T284" s="45">
        <v>0</v>
      </c>
      <c r="U284" s="45">
        <v>9201.9</v>
      </c>
      <c r="V284" s="45">
        <v>0</v>
      </c>
      <c r="W284" s="45">
        <v>1</v>
      </c>
      <c r="X284" s="45">
        <v>9072.2999999999993</v>
      </c>
      <c r="Y284" s="45">
        <v>0</v>
      </c>
      <c r="Z284" s="45">
        <v>0</v>
      </c>
      <c r="AB284" s="45">
        <v>11694.5</v>
      </c>
      <c r="AC284" s="45">
        <v>0</v>
      </c>
      <c r="AD284" s="45">
        <v>0</v>
      </c>
      <c r="AE284" s="45">
        <v>10756.7</v>
      </c>
      <c r="AF284" s="45">
        <v>0</v>
      </c>
      <c r="AG284" s="45">
        <v>1</v>
      </c>
      <c r="AH284" s="45">
        <v>12010.6</v>
      </c>
      <c r="AI284" s="45">
        <v>0</v>
      </c>
      <c r="AJ284" s="45">
        <v>0</v>
      </c>
      <c r="AK284" s="45">
        <v>12056.2</v>
      </c>
      <c r="AL284" s="45">
        <v>0</v>
      </c>
      <c r="AM284" s="45">
        <v>0</v>
      </c>
      <c r="AO284" s="45">
        <v>10969.5</v>
      </c>
      <c r="AP284" s="45">
        <v>0</v>
      </c>
      <c r="AQ284" s="45">
        <v>0</v>
      </c>
      <c r="AR284" s="45">
        <v>9422.1</v>
      </c>
      <c r="AS284" s="45">
        <v>0</v>
      </c>
      <c r="AT284" s="45">
        <v>0</v>
      </c>
      <c r="AU284" s="45">
        <v>9358.1</v>
      </c>
      <c r="AV284" s="45">
        <v>0</v>
      </c>
      <c r="AW284" s="45">
        <v>1</v>
      </c>
      <c r="AX284" s="45">
        <v>9470.1</v>
      </c>
      <c r="AY284" s="45">
        <v>0</v>
      </c>
      <c r="AZ284" s="45">
        <v>0</v>
      </c>
    </row>
    <row r="285" spans="2:52">
      <c r="B285" s="45">
        <v>11135.9</v>
      </c>
      <c r="C285" s="45">
        <v>0</v>
      </c>
      <c r="D285" s="45">
        <v>0</v>
      </c>
      <c r="E285" s="45">
        <v>11322.5</v>
      </c>
      <c r="F285" s="45">
        <v>0</v>
      </c>
      <c r="G285" s="45">
        <v>0</v>
      </c>
      <c r="H285" s="45">
        <v>11187.3</v>
      </c>
      <c r="I285" s="45">
        <v>0</v>
      </c>
      <c r="J285" s="45">
        <v>1</v>
      </c>
      <c r="K285" s="45">
        <v>10744.6</v>
      </c>
      <c r="L285" s="45">
        <v>0</v>
      </c>
      <c r="M285" s="45">
        <v>0</v>
      </c>
      <c r="O285" s="45">
        <v>10569.4</v>
      </c>
      <c r="P285" s="45">
        <v>0</v>
      </c>
      <c r="Q285" s="45">
        <v>0</v>
      </c>
      <c r="R285" s="45">
        <v>11283.3</v>
      </c>
      <c r="S285" s="45">
        <v>0</v>
      </c>
      <c r="T285" s="45">
        <v>1</v>
      </c>
      <c r="U285" s="45">
        <v>11512.3</v>
      </c>
      <c r="V285" s="45">
        <v>0</v>
      </c>
      <c r="W285" s="45">
        <v>0</v>
      </c>
      <c r="X285" s="45">
        <v>10409.4</v>
      </c>
      <c r="Y285" s="45">
        <v>0</v>
      </c>
      <c r="Z285" s="45">
        <v>0</v>
      </c>
      <c r="AB285" s="45">
        <v>12066.8</v>
      </c>
      <c r="AC285" s="45">
        <v>0</v>
      </c>
      <c r="AD285" s="45">
        <v>1</v>
      </c>
      <c r="AE285" s="45">
        <v>12136.9</v>
      </c>
      <c r="AF285" s="45">
        <v>0</v>
      </c>
      <c r="AG285" s="45">
        <v>0</v>
      </c>
      <c r="AH285" s="45">
        <v>11871.7</v>
      </c>
      <c r="AI285" s="45">
        <v>0</v>
      </c>
      <c r="AJ285" s="45">
        <v>0</v>
      </c>
      <c r="AK285" s="45">
        <v>12061.1</v>
      </c>
      <c r="AL285" s="45">
        <v>0</v>
      </c>
      <c r="AM285" s="45">
        <v>1</v>
      </c>
      <c r="AO285" s="45">
        <v>11195.3</v>
      </c>
      <c r="AP285" s="45">
        <v>0</v>
      </c>
      <c r="AQ285" s="45">
        <v>0</v>
      </c>
      <c r="AR285" s="45">
        <v>12328.9</v>
      </c>
      <c r="AS285" s="45">
        <v>0</v>
      </c>
      <c r="AT285" s="45">
        <v>0</v>
      </c>
      <c r="AU285" s="45">
        <v>10723.9</v>
      </c>
      <c r="AV285" s="45">
        <v>0</v>
      </c>
      <c r="AW285" s="45">
        <v>1</v>
      </c>
      <c r="AX285" s="45">
        <v>10947.3</v>
      </c>
      <c r="AY285" s="45">
        <v>0</v>
      </c>
      <c r="AZ285" s="45">
        <v>0</v>
      </c>
    </row>
    <row r="286" spans="2:52">
      <c r="B286" s="45">
        <v>11167.8</v>
      </c>
      <c r="C286" s="45">
        <v>0</v>
      </c>
      <c r="D286" s="45">
        <v>0</v>
      </c>
      <c r="E286" s="45">
        <v>11120.3</v>
      </c>
      <c r="F286" s="45">
        <v>0</v>
      </c>
      <c r="G286" s="45">
        <v>0</v>
      </c>
      <c r="H286" s="45">
        <v>11251.7</v>
      </c>
      <c r="I286" s="45">
        <v>0</v>
      </c>
      <c r="J286" s="45">
        <v>0</v>
      </c>
      <c r="K286" s="45">
        <v>12388.8</v>
      </c>
      <c r="L286" s="45">
        <v>18</v>
      </c>
      <c r="M286" s="45">
        <v>1</v>
      </c>
      <c r="O286" s="45">
        <v>14017.7</v>
      </c>
      <c r="P286" s="45">
        <v>29</v>
      </c>
      <c r="Q286" s="45">
        <v>1</v>
      </c>
      <c r="R286" s="45">
        <v>13517.7</v>
      </c>
      <c r="S286" s="45">
        <v>24</v>
      </c>
      <c r="T286" s="45">
        <v>0</v>
      </c>
      <c r="U286" s="45">
        <v>15193</v>
      </c>
      <c r="V286" s="45">
        <v>37</v>
      </c>
      <c r="W286" s="45">
        <v>0</v>
      </c>
      <c r="X286" s="45">
        <v>12308.8</v>
      </c>
      <c r="Y286" s="45">
        <v>18</v>
      </c>
      <c r="Z286" s="45">
        <v>1</v>
      </c>
      <c r="AB286" s="45">
        <v>11558.4</v>
      </c>
      <c r="AC286" s="45">
        <v>0</v>
      </c>
      <c r="AD286" s="45">
        <v>0</v>
      </c>
      <c r="AE286" s="45">
        <v>12218.1</v>
      </c>
      <c r="AF286" s="45">
        <v>0</v>
      </c>
      <c r="AG286" s="45">
        <v>0</v>
      </c>
      <c r="AH286" s="45">
        <v>12063.5</v>
      </c>
      <c r="AI286" s="45">
        <v>0</v>
      </c>
      <c r="AJ286" s="45">
        <v>0</v>
      </c>
      <c r="AK286" s="45">
        <v>12421.4</v>
      </c>
      <c r="AL286" s="45">
        <v>0</v>
      </c>
      <c r="AM286" s="45">
        <v>1</v>
      </c>
      <c r="AO286" s="45">
        <v>11131.7</v>
      </c>
      <c r="AP286" s="45">
        <v>0</v>
      </c>
      <c r="AQ286" s="45">
        <v>0</v>
      </c>
      <c r="AR286" s="45">
        <v>11231.5</v>
      </c>
      <c r="AS286" s="45">
        <v>0</v>
      </c>
      <c r="AT286" s="45">
        <v>1</v>
      </c>
      <c r="AU286" s="45">
        <v>11846.5</v>
      </c>
      <c r="AV286" s="45">
        <v>1</v>
      </c>
      <c r="AW286" s="45">
        <v>0</v>
      </c>
      <c r="AX286" s="45">
        <v>11058.4</v>
      </c>
      <c r="AY286" s="45">
        <v>0</v>
      </c>
      <c r="AZ286" s="45">
        <v>0</v>
      </c>
    </row>
    <row r="287" spans="2:52">
      <c r="B287" s="45">
        <v>9594.5</v>
      </c>
      <c r="C287" s="45">
        <v>0</v>
      </c>
      <c r="D287" s="45">
        <v>0</v>
      </c>
      <c r="E287" s="45">
        <v>9122.7000000000007</v>
      </c>
      <c r="F287" s="45">
        <v>0</v>
      </c>
      <c r="G287" s="45">
        <v>0</v>
      </c>
      <c r="H287" s="45">
        <v>8205.7000000000007</v>
      </c>
      <c r="I287" s="45">
        <v>0</v>
      </c>
      <c r="J287" s="45">
        <v>0</v>
      </c>
      <c r="K287" s="45">
        <v>8837.7000000000007</v>
      </c>
      <c r="L287" s="45">
        <v>0</v>
      </c>
      <c r="M287" s="45">
        <v>1</v>
      </c>
      <c r="O287" s="45">
        <v>8898.5</v>
      </c>
      <c r="P287" s="45">
        <v>0</v>
      </c>
      <c r="Q287" s="45">
        <v>0</v>
      </c>
      <c r="R287" s="45">
        <v>8834.5</v>
      </c>
      <c r="S287" s="45">
        <v>0</v>
      </c>
      <c r="T287" s="45">
        <v>0</v>
      </c>
      <c r="U287" s="45">
        <v>8053.7</v>
      </c>
      <c r="V287" s="45">
        <v>0</v>
      </c>
      <c r="W287" s="45">
        <v>1</v>
      </c>
      <c r="X287" s="45">
        <v>8141.7</v>
      </c>
      <c r="Y287" s="45">
        <v>0</v>
      </c>
      <c r="Z287" s="45">
        <v>0</v>
      </c>
      <c r="AB287" s="45">
        <v>10132.4</v>
      </c>
      <c r="AC287" s="45">
        <v>0</v>
      </c>
      <c r="AD287" s="45">
        <v>0</v>
      </c>
      <c r="AE287" s="45">
        <v>11426.5</v>
      </c>
      <c r="AF287" s="45">
        <v>0</v>
      </c>
      <c r="AG287" s="45">
        <v>0</v>
      </c>
      <c r="AH287" s="45">
        <v>11593.4</v>
      </c>
      <c r="AI287" s="45">
        <v>0</v>
      </c>
      <c r="AJ287" s="45">
        <v>1</v>
      </c>
      <c r="AK287" s="45">
        <v>8754.5</v>
      </c>
      <c r="AL287" s="45">
        <v>0</v>
      </c>
      <c r="AM287" s="45">
        <v>0</v>
      </c>
      <c r="AO287" s="45">
        <v>9446.7000000000007</v>
      </c>
      <c r="AP287" s="45">
        <v>0</v>
      </c>
      <c r="AQ287" s="45">
        <v>1</v>
      </c>
      <c r="AR287" s="45">
        <v>10140.4</v>
      </c>
      <c r="AS287" s="45">
        <v>0</v>
      </c>
      <c r="AT287" s="45">
        <v>0</v>
      </c>
      <c r="AU287" s="45">
        <v>9981.1</v>
      </c>
      <c r="AV287" s="45">
        <v>0</v>
      </c>
      <c r="AW287" s="45">
        <v>0</v>
      </c>
      <c r="AX287" s="45">
        <v>8829.7000000000007</v>
      </c>
      <c r="AY287" s="45">
        <v>0</v>
      </c>
      <c r="AZ287" s="45">
        <v>0</v>
      </c>
    </row>
    <row r="288" spans="2:52">
      <c r="B288" s="45">
        <v>10122.799999999999</v>
      </c>
      <c r="C288" s="45">
        <v>0</v>
      </c>
      <c r="D288" s="45">
        <v>0</v>
      </c>
      <c r="E288" s="45">
        <v>10390.4</v>
      </c>
      <c r="F288" s="45">
        <v>0</v>
      </c>
      <c r="G288" s="45">
        <v>0</v>
      </c>
      <c r="H288" s="45">
        <v>9932.6</v>
      </c>
      <c r="I288" s="45">
        <v>0</v>
      </c>
      <c r="J288" s="45">
        <v>0</v>
      </c>
      <c r="K288" s="45">
        <v>10235.6</v>
      </c>
      <c r="L288" s="45">
        <v>0</v>
      </c>
      <c r="M288" s="45">
        <v>0</v>
      </c>
      <c r="O288" s="45">
        <v>9903.2000000000007</v>
      </c>
      <c r="P288" s="45">
        <v>0</v>
      </c>
      <c r="Q288" s="45">
        <v>0</v>
      </c>
      <c r="R288" s="45">
        <v>9223.2000000000007</v>
      </c>
      <c r="S288" s="45">
        <v>0</v>
      </c>
      <c r="T288" s="45">
        <v>0</v>
      </c>
      <c r="U288" s="45">
        <v>10023</v>
      </c>
      <c r="V288" s="45">
        <v>0</v>
      </c>
      <c r="W288" s="45">
        <v>1</v>
      </c>
      <c r="X288" s="45">
        <v>9223.2000000000007</v>
      </c>
      <c r="Y288" s="45">
        <v>0</v>
      </c>
      <c r="Z288" s="45">
        <v>0</v>
      </c>
      <c r="AB288" s="45">
        <v>10518.4</v>
      </c>
      <c r="AC288" s="45">
        <v>0</v>
      </c>
      <c r="AD288" s="45">
        <v>0</v>
      </c>
      <c r="AE288" s="45">
        <v>9852.2000000000007</v>
      </c>
      <c r="AF288" s="45">
        <v>0</v>
      </c>
      <c r="AG288" s="45">
        <v>0</v>
      </c>
      <c r="AH288" s="45">
        <v>10794.3</v>
      </c>
      <c r="AI288" s="45">
        <v>0</v>
      </c>
      <c r="AJ288" s="45">
        <v>1</v>
      </c>
      <c r="AK288" s="45">
        <v>9263.2000000000007</v>
      </c>
      <c r="AL288" s="45">
        <v>0</v>
      </c>
      <c r="AM288" s="45">
        <v>0</v>
      </c>
      <c r="AO288" s="45">
        <v>11273.1</v>
      </c>
      <c r="AP288" s="45">
        <v>0</v>
      </c>
      <c r="AQ288" s="45">
        <v>1</v>
      </c>
      <c r="AR288" s="45">
        <v>9582.6</v>
      </c>
      <c r="AS288" s="45">
        <v>0</v>
      </c>
      <c r="AT288" s="45">
        <v>0</v>
      </c>
      <c r="AU288" s="45">
        <v>10267.6</v>
      </c>
      <c r="AV288" s="45">
        <v>0</v>
      </c>
      <c r="AW288" s="45">
        <v>0</v>
      </c>
      <c r="AX288" s="45">
        <v>10195.6</v>
      </c>
      <c r="AY288" s="45">
        <v>0</v>
      </c>
      <c r="AZ288" s="45">
        <v>1</v>
      </c>
    </row>
    <row r="289" spans="1:52">
      <c r="B289" s="45">
        <v>12347.9</v>
      </c>
      <c r="C289" s="45">
        <v>0</v>
      </c>
      <c r="D289" s="45">
        <v>0</v>
      </c>
      <c r="E289" s="45">
        <v>12267.3</v>
      </c>
      <c r="F289" s="45">
        <v>6</v>
      </c>
      <c r="G289" s="45">
        <v>1</v>
      </c>
      <c r="H289" s="45">
        <v>11626.6</v>
      </c>
      <c r="I289" s="45">
        <v>0</v>
      </c>
      <c r="J289" s="45">
        <v>0</v>
      </c>
      <c r="K289" s="45">
        <v>11780.9</v>
      </c>
      <c r="L289" s="45">
        <v>0</v>
      </c>
      <c r="M289" s="45">
        <v>0</v>
      </c>
      <c r="O289" s="45">
        <v>12601.1</v>
      </c>
      <c r="P289" s="45">
        <v>0</v>
      </c>
      <c r="Q289" s="45">
        <v>0</v>
      </c>
      <c r="R289" s="45">
        <v>12304.9</v>
      </c>
      <c r="S289" s="45">
        <v>3</v>
      </c>
      <c r="T289" s="45">
        <v>1</v>
      </c>
      <c r="U289" s="45">
        <v>11650.2</v>
      </c>
      <c r="V289" s="45">
        <v>0</v>
      </c>
      <c r="W289" s="45">
        <v>0</v>
      </c>
      <c r="X289" s="45">
        <v>11662.3</v>
      </c>
      <c r="Y289" s="45">
        <v>0</v>
      </c>
      <c r="Z289" s="45">
        <v>0</v>
      </c>
      <c r="AB289" s="45">
        <v>13080.6</v>
      </c>
      <c r="AC289" s="45">
        <v>0</v>
      </c>
      <c r="AD289" s="45">
        <v>0</v>
      </c>
      <c r="AE289" s="45">
        <v>13479.9</v>
      </c>
      <c r="AF289" s="45">
        <v>0</v>
      </c>
      <c r="AG289" s="45">
        <v>0</v>
      </c>
      <c r="AH289" s="45">
        <v>12660.3</v>
      </c>
      <c r="AI289" s="45">
        <v>0</v>
      </c>
      <c r="AJ289" s="45">
        <v>1</v>
      </c>
      <c r="AK289" s="45">
        <v>13869.7</v>
      </c>
      <c r="AL289" s="45">
        <v>0</v>
      </c>
      <c r="AM289" s="45">
        <v>0</v>
      </c>
      <c r="AO289" s="45">
        <v>11947.3</v>
      </c>
      <c r="AP289" s="45">
        <v>0</v>
      </c>
      <c r="AQ289" s="45">
        <v>0</v>
      </c>
      <c r="AR289" s="45">
        <v>12304.9</v>
      </c>
      <c r="AS289" s="45">
        <v>3</v>
      </c>
      <c r="AT289" s="45">
        <v>0</v>
      </c>
      <c r="AU289" s="45">
        <v>11885.7</v>
      </c>
      <c r="AV289" s="45">
        <v>0</v>
      </c>
      <c r="AW289" s="45">
        <v>1</v>
      </c>
      <c r="AX289" s="45">
        <v>11844.9</v>
      </c>
      <c r="AY289" s="45">
        <v>0</v>
      </c>
      <c r="AZ289" s="45">
        <v>0</v>
      </c>
    </row>
    <row r="290" spans="1:52">
      <c r="B290" s="45">
        <v>14031</v>
      </c>
      <c r="C290" s="45">
        <v>15</v>
      </c>
      <c r="D290" s="45">
        <v>0</v>
      </c>
      <c r="E290" s="45">
        <v>11909.9</v>
      </c>
      <c r="F290" s="45">
        <v>0</v>
      </c>
      <c r="G290" s="45">
        <v>0</v>
      </c>
      <c r="H290" s="45">
        <v>12407.5</v>
      </c>
      <c r="I290" s="45">
        <v>0</v>
      </c>
      <c r="J290" s="45">
        <v>0</v>
      </c>
      <c r="K290" s="45">
        <v>11266</v>
      </c>
      <c r="L290" s="45">
        <v>0</v>
      </c>
      <c r="M290" s="45">
        <v>1</v>
      </c>
      <c r="O290" s="45">
        <v>12697.5</v>
      </c>
      <c r="P290" s="45">
        <v>0</v>
      </c>
      <c r="Q290" s="45">
        <v>1</v>
      </c>
      <c r="R290" s="45">
        <v>12232.5</v>
      </c>
      <c r="S290" s="45">
        <v>0</v>
      </c>
      <c r="T290" s="45">
        <v>0</v>
      </c>
      <c r="U290" s="45">
        <v>11234</v>
      </c>
      <c r="V290" s="45">
        <v>0</v>
      </c>
      <c r="W290" s="45">
        <v>0</v>
      </c>
      <c r="X290" s="45">
        <v>12117.9</v>
      </c>
      <c r="Y290" s="45">
        <v>0</v>
      </c>
      <c r="Z290" s="45">
        <v>0</v>
      </c>
      <c r="AB290" s="45">
        <v>13738.6</v>
      </c>
      <c r="AC290" s="45">
        <v>0</v>
      </c>
      <c r="AD290" s="45">
        <v>0</v>
      </c>
      <c r="AE290" s="45">
        <v>13853.8</v>
      </c>
      <c r="AF290" s="45">
        <v>0</v>
      </c>
      <c r="AG290" s="45">
        <v>1</v>
      </c>
      <c r="AH290" s="45">
        <v>14450.4</v>
      </c>
      <c r="AI290" s="45">
        <v>0</v>
      </c>
      <c r="AJ290" s="45">
        <v>0</v>
      </c>
      <c r="AK290" s="45">
        <v>13749.4</v>
      </c>
      <c r="AL290" s="45">
        <v>0</v>
      </c>
      <c r="AM290" s="45">
        <v>0</v>
      </c>
      <c r="AO290" s="45">
        <v>12893</v>
      </c>
      <c r="AP290" s="45">
        <v>0</v>
      </c>
      <c r="AQ290" s="45">
        <v>0</v>
      </c>
      <c r="AR290" s="45">
        <v>13211.8</v>
      </c>
      <c r="AS290" s="45">
        <v>0</v>
      </c>
      <c r="AT290" s="45">
        <v>0</v>
      </c>
      <c r="AU290" s="45">
        <v>12915.6</v>
      </c>
      <c r="AV290" s="45">
        <v>0</v>
      </c>
      <c r="AW290" s="45">
        <v>1</v>
      </c>
      <c r="AX290" s="45">
        <v>12229.9</v>
      </c>
      <c r="AY290" s="45">
        <v>0</v>
      </c>
      <c r="AZ290" s="45">
        <v>0</v>
      </c>
    </row>
    <row r="291" spans="1:52">
      <c r="B291" s="45">
        <v>10651.6</v>
      </c>
      <c r="C291" s="45">
        <v>0</v>
      </c>
      <c r="D291" s="45">
        <v>0</v>
      </c>
      <c r="E291" s="45">
        <v>11036.4</v>
      </c>
      <c r="F291" s="45">
        <v>0</v>
      </c>
      <c r="G291" s="45">
        <v>0</v>
      </c>
      <c r="H291" s="45">
        <v>10818</v>
      </c>
      <c r="I291" s="45">
        <v>0</v>
      </c>
      <c r="J291" s="45">
        <v>0</v>
      </c>
      <c r="K291" s="45">
        <v>10316.4</v>
      </c>
      <c r="L291" s="45">
        <v>0</v>
      </c>
      <c r="M291" s="45">
        <v>0</v>
      </c>
      <c r="O291" s="45">
        <v>10177.4</v>
      </c>
      <c r="P291" s="45">
        <v>0</v>
      </c>
      <c r="Q291" s="45">
        <v>1</v>
      </c>
      <c r="R291" s="45">
        <v>10065.299999999999</v>
      </c>
      <c r="S291" s="45">
        <v>0</v>
      </c>
      <c r="T291" s="45">
        <v>0</v>
      </c>
      <c r="U291" s="45">
        <v>10065.299999999999</v>
      </c>
      <c r="V291" s="45">
        <v>0</v>
      </c>
      <c r="W291" s="45">
        <v>0</v>
      </c>
      <c r="X291" s="45">
        <v>9793.2999999999993</v>
      </c>
      <c r="Y291" s="45">
        <v>0</v>
      </c>
      <c r="Z291" s="45">
        <v>1</v>
      </c>
      <c r="AB291" s="45">
        <v>12665.6</v>
      </c>
      <c r="AC291" s="45">
        <v>0</v>
      </c>
      <c r="AD291" s="45">
        <v>0</v>
      </c>
      <c r="AE291" s="45">
        <v>12824.2</v>
      </c>
      <c r="AF291" s="45">
        <v>0</v>
      </c>
      <c r="AG291" s="45">
        <v>1</v>
      </c>
      <c r="AH291" s="45">
        <v>12578.2</v>
      </c>
      <c r="AI291" s="45">
        <v>0</v>
      </c>
      <c r="AJ291" s="45">
        <v>0</v>
      </c>
      <c r="AK291" s="45">
        <v>13021.7</v>
      </c>
      <c r="AL291" s="45">
        <v>0</v>
      </c>
      <c r="AM291" s="45">
        <v>0</v>
      </c>
      <c r="AO291" s="45">
        <v>10388.4</v>
      </c>
      <c r="AP291" s="45">
        <v>0</v>
      </c>
      <c r="AQ291" s="45">
        <v>0</v>
      </c>
      <c r="AR291" s="45">
        <v>11361.7</v>
      </c>
      <c r="AS291" s="45">
        <v>0</v>
      </c>
      <c r="AT291" s="45">
        <v>1</v>
      </c>
      <c r="AU291" s="45">
        <v>10555.6</v>
      </c>
      <c r="AV291" s="45">
        <v>0</v>
      </c>
      <c r="AW291" s="45">
        <v>0</v>
      </c>
      <c r="AX291" s="45">
        <v>10692.4</v>
      </c>
      <c r="AY291" s="45">
        <v>0</v>
      </c>
      <c r="AZ291" s="45">
        <v>0</v>
      </c>
    </row>
    <row r="292" spans="1:52">
      <c r="B292" s="45">
        <v>12444.9</v>
      </c>
      <c r="C292" s="45">
        <v>0</v>
      </c>
      <c r="D292" s="45">
        <v>0</v>
      </c>
      <c r="E292" s="45">
        <v>11005.9</v>
      </c>
      <c r="F292" s="45">
        <v>0</v>
      </c>
      <c r="G292" s="45">
        <v>0</v>
      </c>
      <c r="H292" s="45">
        <v>11056.3</v>
      </c>
      <c r="I292" s="45">
        <v>0</v>
      </c>
      <c r="J292" s="45">
        <v>1</v>
      </c>
      <c r="K292" s="45">
        <v>12932.1</v>
      </c>
      <c r="L292" s="45">
        <v>11</v>
      </c>
      <c r="M292" s="45">
        <v>0</v>
      </c>
      <c r="O292" s="45">
        <v>10984.3</v>
      </c>
      <c r="P292" s="45">
        <v>0</v>
      </c>
      <c r="Q292" s="45">
        <v>0</v>
      </c>
      <c r="R292" s="45">
        <v>11208.3</v>
      </c>
      <c r="S292" s="45">
        <v>0</v>
      </c>
      <c r="T292" s="45">
        <v>0</v>
      </c>
      <c r="U292" s="45">
        <v>10968.3</v>
      </c>
      <c r="V292" s="45">
        <v>0</v>
      </c>
      <c r="W292" s="45">
        <v>1</v>
      </c>
      <c r="X292" s="45">
        <v>11296.3</v>
      </c>
      <c r="Y292" s="45">
        <v>0</v>
      </c>
      <c r="Z292" s="45">
        <v>0</v>
      </c>
      <c r="AB292" s="45">
        <v>11398.7</v>
      </c>
      <c r="AC292" s="45">
        <v>0</v>
      </c>
      <c r="AD292" s="45">
        <v>1</v>
      </c>
      <c r="AE292" s="45">
        <v>12220.9</v>
      </c>
      <c r="AF292" s="45">
        <v>0</v>
      </c>
      <c r="AG292" s="45">
        <v>0</v>
      </c>
      <c r="AH292" s="45">
        <v>12410.9</v>
      </c>
      <c r="AI292" s="45">
        <v>0</v>
      </c>
      <c r="AJ292" s="45">
        <v>0</v>
      </c>
      <c r="AK292" s="45">
        <v>13025.6</v>
      </c>
      <c r="AL292" s="45">
        <v>0</v>
      </c>
      <c r="AM292" s="45">
        <v>1</v>
      </c>
      <c r="AO292" s="45">
        <v>11832.1</v>
      </c>
      <c r="AP292" s="45">
        <v>0</v>
      </c>
      <c r="AQ292" s="45">
        <v>1</v>
      </c>
      <c r="AR292" s="45">
        <v>11398.7</v>
      </c>
      <c r="AS292" s="45">
        <v>0</v>
      </c>
      <c r="AT292" s="45">
        <v>0</v>
      </c>
      <c r="AU292" s="45">
        <v>11984.1</v>
      </c>
      <c r="AV292" s="45">
        <v>0</v>
      </c>
      <c r="AW292" s="45">
        <v>0</v>
      </c>
      <c r="AX292" s="45">
        <v>12632.1</v>
      </c>
      <c r="AY292" s="45">
        <v>8</v>
      </c>
      <c r="AZ292" s="45">
        <v>1</v>
      </c>
    </row>
    <row r="293" spans="1:52">
      <c r="B293" s="45">
        <v>15734</v>
      </c>
      <c r="C293" s="45">
        <v>18</v>
      </c>
      <c r="D293" s="45">
        <v>0</v>
      </c>
      <c r="E293" s="45">
        <v>14192.7</v>
      </c>
      <c r="F293" s="45">
        <v>0</v>
      </c>
      <c r="G293" s="45">
        <v>0</v>
      </c>
      <c r="H293" s="45">
        <v>18192.2</v>
      </c>
      <c r="I293" s="45">
        <v>34</v>
      </c>
      <c r="J293" s="45">
        <v>0</v>
      </c>
      <c r="K293" s="45">
        <v>14166.7</v>
      </c>
      <c r="L293" s="45">
        <v>0</v>
      </c>
      <c r="M293" s="45">
        <v>0</v>
      </c>
      <c r="O293" s="45">
        <v>14405.8</v>
      </c>
      <c r="P293" s="45">
        <v>0</v>
      </c>
      <c r="Q293" s="45">
        <v>0</v>
      </c>
      <c r="R293" s="45">
        <v>19298</v>
      </c>
      <c r="S293" s="45">
        <v>57</v>
      </c>
      <c r="T293" s="45">
        <v>0</v>
      </c>
      <c r="U293" s="45">
        <v>15273.6</v>
      </c>
      <c r="V293" s="45">
        <v>6</v>
      </c>
      <c r="W293" s="45">
        <v>1</v>
      </c>
      <c r="X293" s="45">
        <v>16056.3</v>
      </c>
      <c r="Y293" s="45">
        <v>28</v>
      </c>
      <c r="Z293" s="45">
        <v>0</v>
      </c>
      <c r="AB293" s="45">
        <v>14061.3</v>
      </c>
      <c r="AC293" s="45">
        <v>0</v>
      </c>
      <c r="AD293" s="45">
        <v>0</v>
      </c>
      <c r="AE293" s="45">
        <v>14400.9</v>
      </c>
      <c r="AF293" s="45">
        <v>0</v>
      </c>
      <c r="AG293" s="45">
        <v>0</v>
      </c>
      <c r="AH293" s="45">
        <v>16006.4</v>
      </c>
      <c r="AI293" s="45">
        <v>0</v>
      </c>
      <c r="AJ293" s="45">
        <v>0</v>
      </c>
      <c r="AK293" s="45">
        <v>15363.2</v>
      </c>
      <c r="AL293" s="45">
        <v>0</v>
      </c>
      <c r="AM293" s="45">
        <v>1</v>
      </c>
      <c r="AO293" s="45">
        <v>15015.6</v>
      </c>
      <c r="AP293" s="45">
        <v>0</v>
      </c>
      <c r="AQ293" s="45">
        <v>0</v>
      </c>
      <c r="AR293" s="45">
        <v>14863.6</v>
      </c>
      <c r="AS293" s="45">
        <v>0</v>
      </c>
      <c r="AT293" s="45">
        <v>0</v>
      </c>
      <c r="AU293" s="45">
        <v>15983.9</v>
      </c>
      <c r="AV293" s="45">
        <v>0</v>
      </c>
      <c r="AW293" s="45">
        <v>1</v>
      </c>
      <c r="AX293" s="45">
        <v>15469</v>
      </c>
      <c r="AY293" s="45">
        <v>0</v>
      </c>
      <c r="AZ293" s="45">
        <v>0</v>
      </c>
    </row>
    <row r="294" spans="1:52">
      <c r="B294" s="45">
        <v>10945.2</v>
      </c>
      <c r="C294" s="45">
        <v>0</v>
      </c>
      <c r="D294" s="45">
        <v>1</v>
      </c>
      <c r="E294" s="45">
        <v>10815.2</v>
      </c>
      <c r="F294" s="45">
        <v>0</v>
      </c>
      <c r="G294" s="45">
        <v>0</v>
      </c>
      <c r="H294" s="45">
        <v>10806.1</v>
      </c>
      <c r="I294" s="45">
        <v>0</v>
      </c>
      <c r="J294" s="45">
        <v>0</v>
      </c>
      <c r="K294" s="45">
        <v>10144.1</v>
      </c>
      <c r="L294" s="45">
        <v>0</v>
      </c>
      <c r="M294" s="45">
        <v>0</v>
      </c>
      <c r="O294" s="45">
        <v>9957.1</v>
      </c>
      <c r="P294" s="45">
        <v>0</v>
      </c>
      <c r="Q294" s="45">
        <v>1</v>
      </c>
      <c r="R294" s="45">
        <v>10008.1</v>
      </c>
      <c r="S294" s="45">
        <v>0</v>
      </c>
      <c r="T294" s="45">
        <v>0</v>
      </c>
      <c r="U294" s="45">
        <v>9957.1</v>
      </c>
      <c r="V294" s="45">
        <v>0</v>
      </c>
      <c r="W294" s="45">
        <v>0</v>
      </c>
      <c r="X294" s="45">
        <v>10072.1</v>
      </c>
      <c r="Y294" s="45">
        <v>0</v>
      </c>
      <c r="Z294" s="45">
        <v>1</v>
      </c>
      <c r="AB294" s="45">
        <v>12317.7</v>
      </c>
      <c r="AC294" s="45">
        <v>0</v>
      </c>
      <c r="AD294" s="45">
        <v>0</v>
      </c>
      <c r="AE294" s="45">
        <v>10449.799999999999</v>
      </c>
      <c r="AF294" s="45">
        <v>0</v>
      </c>
      <c r="AG294" s="45">
        <v>0</v>
      </c>
      <c r="AH294" s="45">
        <v>10533.1</v>
      </c>
      <c r="AI294" s="45">
        <v>0</v>
      </c>
      <c r="AJ294" s="45">
        <v>0</v>
      </c>
      <c r="AK294" s="45">
        <v>12518.4</v>
      </c>
      <c r="AL294" s="45">
        <v>0</v>
      </c>
      <c r="AM294" s="45">
        <v>1</v>
      </c>
      <c r="AO294" s="45">
        <v>10937.5</v>
      </c>
      <c r="AP294" s="45">
        <v>0</v>
      </c>
      <c r="AQ294" s="45">
        <v>0</v>
      </c>
      <c r="AR294" s="45">
        <v>10181.1</v>
      </c>
      <c r="AS294" s="45">
        <v>0</v>
      </c>
      <c r="AT294" s="45">
        <v>1</v>
      </c>
      <c r="AU294" s="45">
        <v>10735.2</v>
      </c>
      <c r="AV294" s="45">
        <v>0</v>
      </c>
      <c r="AW294" s="45">
        <v>0</v>
      </c>
      <c r="AX294" s="45">
        <v>10801.5</v>
      </c>
      <c r="AY294" s="45">
        <v>0</v>
      </c>
      <c r="AZ294" s="45">
        <v>0</v>
      </c>
    </row>
    <row r="295" spans="1:52">
      <c r="B295" s="45">
        <v>11147.6</v>
      </c>
      <c r="C295" s="45">
        <v>0</v>
      </c>
      <c r="D295" s="45">
        <v>0</v>
      </c>
      <c r="E295" s="45">
        <v>11019.6</v>
      </c>
      <c r="F295" s="45">
        <v>0</v>
      </c>
      <c r="G295" s="45">
        <v>0</v>
      </c>
      <c r="H295" s="45">
        <v>11256.4</v>
      </c>
      <c r="I295" s="45">
        <v>0</v>
      </c>
      <c r="J295" s="45">
        <v>0</v>
      </c>
      <c r="K295" s="45">
        <v>11194.2</v>
      </c>
      <c r="L295" s="45">
        <v>0</v>
      </c>
      <c r="M295" s="45">
        <v>1</v>
      </c>
      <c r="O295" s="45">
        <v>11906.4</v>
      </c>
      <c r="P295" s="45">
        <v>9</v>
      </c>
      <c r="Q295" s="45">
        <v>0</v>
      </c>
      <c r="R295" s="45">
        <v>11476.5</v>
      </c>
      <c r="S295" s="45">
        <v>0</v>
      </c>
      <c r="T295" s="45">
        <v>0</v>
      </c>
      <c r="U295" s="45">
        <v>11123.6</v>
      </c>
      <c r="V295" s="45">
        <v>0</v>
      </c>
      <c r="W295" s="45">
        <v>1</v>
      </c>
      <c r="X295" s="45">
        <v>11014.4</v>
      </c>
      <c r="Y295" s="45">
        <v>0</v>
      </c>
      <c r="Z295" s="45">
        <v>0</v>
      </c>
      <c r="AB295" s="45">
        <v>12177.4</v>
      </c>
      <c r="AC295" s="45">
        <v>0</v>
      </c>
      <c r="AD295" s="45">
        <v>0</v>
      </c>
      <c r="AE295" s="45">
        <v>12978.4</v>
      </c>
      <c r="AF295" s="45">
        <v>0</v>
      </c>
      <c r="AG295" s="45">
        <v>0</v>
      </c>
      <c r="AH295" s="45">
        <v>13181.1</v>
      </c>
      <c r="AI295" s="45">
        <v>0</v>
      </c>
      <c r="AJ295" s="45">
        <v>1</v>
      </c>
      <c r="AK295" s="45">
        <v>12373</v>
      </c>
      <c r="AL295" s="45">
        <v>0</v>
      </c>
      <c r="AM295" s="45">
        <v>0</v>
      </c>
      <c r="AO295" s="45">
        <v>11984.3</v>
      </c>
      <c r="AP295" s="45">
        <v>0</v>
      </c>
      <c r="AQ295" s="45">
        <v>1</v>
      </c>
      <c r="AR295" s="45">
        <v>11748.8</v>
      </c>
      <c r="AS295" s="45">
        <v>0</v>
      </c>
      <c r="AT295" s="45">
        <v>0</v>
      </c>
      <c r="AU295" s="45">
        <v>11338.2</v>
      </c>
      <c r="AV295" s="45">
        <v>0</v>
      </c>
      <c r="AW295" s="45">
        <v>0</v>
      </c>
      <c r="AX295" s="45">
        <v>11202.2</v>
      </c>
      <c r="AY295" s="45">
        <v>0</v>
      </c>
      <c r="AZ295" s="45">
        <v>1</v>
      </c>
    </row>
    <row r="296" spans="1:52">
      <c r="B296" s="45">
        <v>10768.5</v>
      </c>
      <c r="C296" s="45">
        <v>0</v>
      </c>
      <c r="D296" s="45">
        <v>0</v>
      </c>
      <c r="E296" s="45">
        <v>10641.7</v>
      </c>
      <c r="F296" s="45">
        <v>0</v>
      </c>
      <c r="G296" s="45">
        <v>0</v>
      </c>
      <c r="H296" s="45">
        <v>9823.9</v>
      </c>
      <c r="I296" s="45">
        <v>0</v>
      </c>
      <c r="J296" s="45">
        <v>0</v>
      </c>
      <c r="K296" s="45">
        <v>10478.4</v>
      </c>
      <c r="L296" s="45">
        <v>0</v>
      </c>
      <c r="M296" s="45">
        <v>0</v>
      </c>
      <c r="O296" s="45">
        <v>11031.2</v>
      </c>
      <c r="P296" s="45">
        <v>0</v>
      </c>
      <c r="Q296" s="45">
        <v>0</v>
      </c>
      <c r="R296" s="45">
        <v>10736.5</v>
      </c>
      <c r="S296" s="45">
        <v>0</v>
      </c>
      <c r="T296" s="45">
        <v>0</v>
      </c>
      <c r="U296" s="45">
        <v>10055.9</v>
      </c>
      <c r="V296" s="45">
        <v>0</v>
      </c>
      <c r="W296" s="45">
        <v>1</v>
      </c>
      <c r="X296" s="45">
        <v>10526.2</v>
      </c>
      <c r="Y296" s="45">
        <v>0</v>
      </c>
      <c r="Z296" s="45">
        <v>0</v>
      </c>
      <c r="AB296" s="45">
        <v>10515.5</v>
      </c>
      <c r="AC296" s="45">
        <v>0</v>
      </c>
      <c r="AD296" s="45">
        <v>0</v>
      </c>
      <c r="AE296" s="45">
        <v>11411</v>
      </c>
      <c r="AF296" s="45">
        <v>0</v>
      </c>
      <c r="AG296" s="45">
        <v>1</v>
      </c>
      <c r="AH296" s="45">
        <v>11268.1</v>
      </c>
      <c r="AI296" s="45">
        <v>0</v>
      </c>
      <c r="AJ296" s="45">
        <v>0</v>
      </c>
      <c r="AK296" s="45">
        <v>11326.4</v>
      </c>
      <c r="AL296" s="45">
        <v>0</v>
      </c>
      <c r="AM296" s="45">
        <v>0</v>
      </c>
      <c r="AO296" s="45">
        <v>11213.2</v>
      </c>
      <c r="AP296" s="45">
        <v>0</v>
      </c>
      <c r="AQ296" s="45">
        <v>0</v>
      </c>
      <c r="AR296" s="45">
        <v>10707.5</v>
      </c>
      <c r="AS296" s="45">
        <v>0</v>
      </c>
      <c r="AT296" s="45">
        <v>0</v>
      </c>
      <c r="AU296" s="45">
        <v>11268.1</v>
      </c>
      <c r="AV296" s="45">
        <v>0</v>
      </c>
      <c r="AW296" s="45">
        <v>0</v>
      </c>
      <c r="AX296" s="45">
        <v>10374.200000000001</v>
      </c>
      <c r="AY296" s="45">
        <v>0</v>
      </c>
      <c r="AZ296" s="45">
        <v>1</v>
      </c>
    </row>
    <row r="297" spans="1:52">
      <c r="B297" s="45">
        <v>8230.7000000000007</v>
      </c>
      <c r="C297" s="45">
        <v>0</v>
      </c>
      <c r="D297" s="45">
        <v>0</v>
      </c>
      <c r="E297" s="45">
        <v>8003.5</v>
      </c>
      <c r="F297" s="45">
        <v>0</v>
      </c>
      <c r="G297" s="45">
        <v>1</v>
      </c>
      <c r="H297" s="45">
        <v>8497.9</v>
      </c>
      <c r="I297" s="45">
        <v>0</v>
      </c>
      <c r="J297" s="45">
        <v>0</v>
      </c>
      <c r="K297" s="45">
        <v>8003.5</v>
      </c>
      <c r="L297" s="45">
        <v>0</v>
      </c>
      <c r="M297" s="45">
        <v>0</v>
      </c>
      <c r="O297" s="45">
        <v>9066.9</v>
      </c>
      <c r="P297" s="45">
        <v>14</v>
      </c>
      <c r="Q297" s="45">
        <v>1</v>
      </c>
      <c r="R297" s="45">
        <v>8035.5</v>
      </c>
      <c r="S297" s="45">
        <v>0</v>
      </c>
      <c r="T297" s="45">
        <v>0</v>
      </c>
      <c r="U297" s="45">
        <v>8003.5</v>
      </c>
      <c r="V297" s="45">
        <v>0</v>
      </c>
      <c r="W297" s="45">
        <v>0</v>
      </c>
      <c r="X297" s="45">
        <v>8003.5</v>
      </c>
      <c r="Y297" s="45">
        <v>0</v>
      </c>
      <c r="Z297" s="45">
        <v>0</v>
      </c>
      <c r="AB297" s="45">
        <v>9030.1</v>
      </c>
      <c r="AC297" s="45">
        <v>0</v>
      </c>
      <c r="AD297" s="45">
        <v>0</v>
      </c>
      <c r="AE297" s="45">
        <v>9228.2999999999993</v>
      </c>
      <c r="AF297" s="45">
        <v>0</v>
      </c>
      <c r="AG297" s="45">
        <v>1</v>
      </c>
      <c r="AH297" s="45">
        <v>9389.1</v>
      </c>
      <c r="AI297" s="45">
        <v>0</v>
      </c>
      <c r="AJ297" s="45">
        <v>0</v>
      </c>
      <c r="AK297" s="45">
        <v>8974.1</v>
      </c>
      <c r="AL297" s="45">
        <v>0</v>
      </c>
      <c r="AM297" s="45">
        <v>0</v>
      </c>
      <c r="AO297" s="45">
        <v>8688.4</v>
      </c>
      <c r="AP297" s="45">
        <v>0</v>
      </c>
      <c r="AQ297" s="45">
        <v>0</v>
      </c>
      <c r="AR297" s="45">
        <v>8497.9</v>
      </c>
      <c r="AS297" s="45">
        <v>0</v>
      </c>
      <c r="AT297" s="45">
        <v>0</v>
      </c>
      <c r="AU297" s="45">
        <v>8681</v>
      </c>
      <c r="AV297" s="45">
        <v>0</v>
      </c>
      <c r="AW297" s="45">
        <v>1</v>
      </c>
      <c r="AX297" s="45">
        <v>8353.9</v>
      </c>
      <c r="AY297" s="45">
        <v>0</v>
      </c>
      <c r="AZ297" s="45">
        <v>0</v>
      </c>
    </row>
    <row r="298" spans="1:52">
      <c r="B298" s="45">
        <v>11389.6</v>
      </c>
      <c r="C298" s="45">
        <v>0</v>
      </c>
      <c r="D298" s="45">
        <v>0</v>
      </c>
      <c r="E298" s="45">
        <v>10826</v>
      </c>
      <c r="F298" s="45">
        <v>0</v>
      </c>
      <c r="G298" s="45">
        <v>0</v>
      </c>
      <c r="H298" s="45">
        <v>12814</v>
      </c>
      <c r="I298" s="45">
        <v>21</v>
      </c>
      <c r="J298" s="45">
        <v>0</v>
      </c>
      <c r="K298" s="45">
        <v>12558</v>
      </c>
      <c r="L298" s="45">
        <v>21</v>
      </c>
      <c r="M298" s="45">
        <v>1</v>
      </c>
      <c r="O298" s="45">
        <v>10725.8</v>
      </c>
      <c r="P298" s="45">
        <v>0</v>
      </c>
      <c r="Q298" s="45">
        <v>1</v>
      </c>
      <c r="R298" s="45">
        <v>17174.3</v>
      </c>
      <c r="S298" s="45">
        <v>64</v>
      </c>
      <c r="T298" s="45">
        <v>0</v>
      </c>
      <c r="U298" s="45">
        <v>10701.8</v>
      </c>
      <c r="V298" s="45">
        <v>0</v>
      </c>
      <c r="W298" s="45">
        <v>0</v>
      </c>
      <c r="X298" s="45">
        <v>11082</v>
      </c>
      <c r="Y298" s="45">
        <v>0</v>
      </c>
      <c r="Z298" s="45">
        <v>1</v>
      </c>
      <c r="AB298" s="45">
        <v>11934.8</v>
      </c>
      <c r="AC298" s="45">
        <v>0</v>
      </c>
      <c r="AD298" s="45">
        <v>1</v>
      </c>
      <c r="AE298" s="45">
        <v>11360.5</v>
      </c>
      <c r="AF298" s="45">
        <v>0</v>
      </c>
      <c r="AG298" s="45">
        <v>0</v>
      </c>
      <c r="AH298" s="45">
        <v>12770.3</v>
      </c>
      <c r="AI298" s="45">
        <v>0</v>
      </c>
      <c r="AJ298" s="45">
        <v>0</v>
      </c>
      <c r="AK298" s="45">
        <v>12151</v>
      </c>
      <c r="AL298" s="45">
        <v>0</v>
      </c>
      <c r="AM298" s="45">
        <v>0</v>
      </c>
      <c r="AO298" s="45">
        <v>12000.3</v>
      </c>
      <c r="AP298" s="45">
        <v>0</v>
      </c>
      <c r="AQ298" s="45">
        <v>0</v>
      </c>
      <c r="AR298" s="45">
        <v>10725.8</v>
      </c>
      <c r="AS298" s="45">
        <v>0</v>
      </c>
      <c r="AT298" s="45">
        <v>1</v>
      </c>
      <c r="AU298" s="45">
        <v>10794</v>
      </c>
      <c r="AV298" s="45">
        <v>0</v>
      </c>
      <c r="AW298" s="45">
        <v>0</v>
      </c>
      <c r="AX298" s="45">
        <v>11831.8</v>
      </c>
      <c r="AY298" s="45">
        <v>0</v>
      </c>
      <c r="AZ298" s="45">
        <v>0</v>
      </c>
    </row>
    <row r="299" spans="1:52">
      <c r="B299" s="45">
        <v>12433.2</v>
      </c>
      <c r="C299" s="45">
        <v>0</v>
      </c>
      <c r="D299" s="45">
        <v>0</v>
      </c>
      <c r="E299" s="45">
        <v>12756.7</v>
      </c>
      <c r="F299" s="45">
        <v>0</v>
      </c>
      <c r="G299" s="45">
        <v>0</v>
      </c>
      <c r="H299" s="45">
        <v>12081.2</v>
      </c>
      <c r="I299" s="45">
        <v>0</v>
      </c>
      <c r="J299" s="45">
        <v>0</v>
      </c>
      <c r="K299" s="45">
        <v>11977.2</v>
      </c>
      <c r="L299" s="45">
        <v>0</v>
      </c>
      <c r="M299" s="45">
        <v>0</v>
      </c>
      <c r="O299" s="45">
        <v>12832.2</v>
      </c>
      <c r="P299" s="45">
        <v>0</v>
      </c>
      <c r="Q299" s="45">
        <v>0</v>
      </c>
      <c r="R299" s="45">
        <v>11977.2</v>
      </c>
      <c r="S299" s="45">
        <v>0</v>
      </c>
      <c r="T299" s="45">
        <v>0</v>
      </c>
      <c r="U299" s="45">
        <v>11913.2</v>
      </c>
      <c r="V299" s="45">
        <v>0</v>
      </c>
      <c r="W299" s="45">
        <v>1</v>
      </c>
      <c r="X299" s="45">
        <v>12009.2</v>
      </c>
      <c r="Y299" s="45">
        <v>0</v>
      </c>
      <c r="Z299" s="45">
        <v>0</v>
      </c>
      <c r="AB299" s="45">
        <v>13016.5</v>
      </c>
      <c r="AC299" s="45">
        <v>0</v>
      </c>
      <c r="AD299" s="45">
        <v>1</v>
      </c>
      <c r="AE299" s="45">
        <v>14398.6</v>
      </c>
      <c r="AF299" s="45">
        <v>0</v>
      </c>
      <c r="AG299" s="45">
        <v>0</v>
      </c>
      <c r="AH299" s="45">
        <v>14158.7</v>
      </c>
      <c r="AI299" s="45">
        <v>0</v>
      </c>
      <c r="AJ299" s="45">
        <v>0</v>
      </c>
      <c r="AK299" s="45">
        <v>13349.6</v>
      </c>
      <c r="AL299" s="45">
        <v>0</v>
      </c>
      <c r="AM299" s="45">
        <v>1</v>
      </c>
      <c r="AO299" s="45">
        <v>12009.2</v>
      </c>
      <c r="AP299" s="45">
        <v>0</v>
      </c>
      <c r="AQ299" s="45">
        <v>0</v>
      </c>
      <c r="AR299" s="45">
        <v>12964.7</v>
      </c>
      <c r="AS299" s="45">
        <v>0</v>
      </c>
      <c r="AT299" s="45">
        <v>1</v>
      </c>
      <c r="AU299" s="45">
        <v>12231.8</v>
      </c>
      <c r="AV299" s="45">
        <v>0</v>
      </c>
      <c r="AW299" s="45">
        <v>0</v>
      </c>
      <c r="AX299" s="45">
        <v>12796.7</v>
      </c>
      <c r="AY299" s="45">
        <v>0</v>
      </c>
      <c r="AZ299" s="45">
        <v>0</v>
      </c>
    </row>
    <row r="300" spans="1:52">
      <c r="B300" s="45">
        <v>9217.7999999999993</v>
      </c>
      <c r="C300" s="45">
        <v>0</v>
      </c>
      <c r="D300" s="45">
        <v>0</v>
      </c>
      <c r="E300" s="45">
        <v>9343.4</v>
      </c>
      <c r="F300" s="45">
        <v>0</v>
      </c>
      <c r="G300" s="45">
        <v>0</v>
      </c>
      <c r="H300" s="45">
        <v>9615</v>
      </c>
      <c r="I300" s="45">
        <v>0</v>
      </c>
      <c r="J300" s="45">
        <v>1</v>
      </c>
      <c r="K300" s="45">
        <v>9319.7999999999993</v>
      </c>
      <c r="L300" s="45">
        <v>0</v>
      </c>
      <c r="M300" s="45">
        <v>0</v>
      </c>
      <c r="O300" s="45">
        <v>9065.7999999999993</v>
      </c>
      <c r="P300" s="45">
        <v>0</v>
      </c>
      <c r="Q300" s="45">
        <v>0</v>
      </c>
      <c r="R300" s="45">
        <v>9217.7999999999993</v>
      </c>
      <c r="S300" s="45">
        <v>0</v>
      </c>
      <c r="T300" s="45">
        <v>0</v>
      </c>
      <c r="U300" s="45">
        <v>9292.2000000000007</v>
      </c>
      <c r="V300" s="45">
        <v>0</v>
      </c>
      <c r="W300" s="45">
        <v>1</v>
      </c>
      <c r="X300" s="45">
        <v>9289.7999999999993</v>
      </c>
      <c r="Y300" s="45">
        <v>0</v>
      </c>
      <c r="Z300" s="45">
        <v>0</v>
      </c>
      <c r="AB300" s="45">
        <v>11886.8</v>
      </c>
      <c r="AC300" s="45">
        <v>0</v>
      </c>
      <c r="AD300" s="45">
        <v>0</v>
      </c>
      <c r="AE300" s="45">
        <v>12119.2</v>
      </c>
      <c r="AF300" s="45">
        <v>0</v>
      </c>
      <c r="AG300" s="45">
        <v>0</v>
      </c>
      <c r="AH300" s="45">
        <v>10945.6</v>
      </c>
      <c r="AI300" s="45">
        <v>0</v>
      </c>
      <c r="AJ300" s="45">
        <v>0</v>
      </c>
      <c r="AK300" s="45">
        <v>10528.8</v>
      </c>
      <c r="AL300" s="45">
        <v>0</v>
      </c>
      <c r="AM300" s="45">
        <v>1</v>
      </c>
      <c r="AO300" s="45">
        <v>10371</v>
      </c>
      <c r="AP300" s="45">
        <v>0</v>
      </c>
      <c r="AQ300" s="45">
        <v>1</v>
      </c>
      <c r="AR300" s="45">
        <v>10403</v>
      </c>
      <c r="AS300" s="45">
        <v>0</v>
      </c>
      <c r="AT300" s="45">
        <v>0</v>
      </c>
      <c r="AU300" s="45">
        <v>9421.7999999999993</v>
      </c>
      <c r="AV300" s="45">
        <v>0</v>
      </c>
      <c r="AW300" s="45">
        <v>0</v>
      </c>
      <c r="AX300" s="45">
        <v>10371</v>
      </c>
      <c r="AY300" s="45">
        <v>0</v>
      </c>
      <c r="AZ300" s="45">
        <v>1</v>
      </c>
    </row>
    <row r="301" spans="1:52">
      <c r="B301" s="45">
        <v>10666</v>
      </c>
      <c r="C301" s="45">
        <v>0</v>
      </c>
      <c r="D301" s="45">
        <v>0</v>
      </c>
      <c r="E301" s="45">
        <v>11353.6</v>
      </c>
      <c r="F301" s="45">
        <v>0</v>
      </c>
      <c r="G301" s="45">
        <v>0</v>
      </c>
      <c r="H301" s="45">
        <v>10601.2</v>
      </c>
      <c r="I301" s="45">
        <v>0</v>
      </c>
      <c r="J301" s="45">
        <v>0</v>
      </c>
      <c r="K301" s="45">
        <v>10680.6</v>
      </c>
      <c r="L301" s="45">
        <v>0</v>
      </c>
      <c r="M301" s="45">
        <v>0</v>
      </c>
      <c r="O301" s="45">
        <v>10777.2</v>
      </c>
      <c r="P301" s="45">
        <v>0</v>
      </c>
      <c r="Q301" s="45">
        <v>0</v>
      </c>
      <c r="R301" s="45">
        <v>10122.299999999999</v>
      </c>
      <c r="S301" s="45">
        <v>0</v>
      </c>
      <c r="T301" s="45">
        <v>1</v>
      </c>
      <c r="U301" s="45">
        <v>10074.299999999999</v>
      </c>
      <c r="V301" s="45">
        <v>0</v>
      </c>
      <c r="W301" s="45">
        <v>0</v>
      </c>
      <c r="X301" s="45">
        <v>10146.299999999999</v>
      </c>
      <c r="Y301" s="45">
        <v>0</v>
      </c>
      <c r="Z301" s="45">
        <v>0</v>
      </c>
      <c r="AB301" s="45">
        <v>12146.7</v>
      </c>
      <c r="AC301" s="45">
        <v>0</v>
      </c>
      <c r="AD301" s="45">
        <v>0</v>
      </c>
      <c r="AE301" s="45">
        <v>11871.2</v>
      </c>
      <c r="AF301" s="45">
        <v>0</v>
      </c>
      <c r="AG301" s="45">
        <v>0</v>
      </c>
      <c r="AH301" s="45">
        <v>12297</v>
      </c>
      <c r="AI301" s="45">
        <v>0</v>
      </c>
      <c r="AJ301" s="45">
        <v>1</v>
      </c>
      <c r="AK301" s="45">
        <v>10980.6</v>
      </c>
      <c r="AL301" s="45">
        <v>0</v>
      </c>
      <c r="AM301" s="45">
        <v>0</v>
      </c>
      <c r="AO301" s="45">
        <v>11819.9</v>
      </c>
      <c r="AP301" s="45">
        <v>6</v>
      </c>
      <c r="AQ301" s="45">
        <v>0</v>
      </c>
      <c r="AR301" s="45">
        <v>10814.1</v>
      </c>
      <c r="AS301" s="45">
        <v>0</v>
      </c>
      <c r="AT301" s="45">
        <v>0</v>
      </c>
      <c r="AU301" s="45">
        <v>11947.9</v>
      </c>
      <c r="AV301" s="45">
        <v>6</v>
      </c>
      <c r="AW301" s="45">
        <v>0</v>
      </c>
      <c r="AX301" s="45">
        <v>12019.9</v>
      </c>
      <c r="AY301" s="45">
        <v>6</v>
      </c>
      <c r="AZ301" s="45">
        <v>1</v>
      </c>
    </row>
    <row r="302" spans="1:52">
      <c r="B302" s="45">
        <v>10592.4</v>
      </c>
      <c r="C302" s="45">
        <v>0</v>
      </c>
      <c r="D302" s="45">
        <v>0</v>
      </c>
      <c r="E302" s="45">
        <v>9601.9</v>
      </c>
      <c r="F302" s="45">
        <v>0</v>
      </c>
      <c r="G302" s="45">
        <v>1</v>
      </c>
      <c r="H302" s="45">
        <v>9601.9</v>
      </c>
      <c r="I302" s="45">
        <v>0</v>
      </c>
      <c r="J302" s="45">
        <v>0</v>
      </c>
      <c r="K302" s="45">
        <v>9609.9</v>
      </c>
      <c r="L302" s="45">
        <v>0</v>
      </c>
      <c r="M302" s="45">
        <v>0</v>
      </c>
      <c r="O302" s="45">
        <v>9617.9</v>
      </c>
      <c r="P302" s="45">
        <v>0</v>
      </c>
      <c r="Q302" s="45">
        <v>1</v>
      </c>
      <c r="R302" s="45">
        <v>9481.9</v>
      </c>
      <c r="S302" s="45">
        <v>0</v>
      </c>
      <c r="T302" s="45">
        <v>0</v>
      </c>
      <c r="U302" s="45">
        <v>9521.9</v>
      </c>
      <c r="V302" s="45">
        <v>0</v>
      </c>
      <c r="W302" s="45">
        <v>0</v>
      </c>
      <c r="X302" s="45">
        <v>9505.9</v>
      </c>
      <c r="Y302" s="45">
        <v>0</v>
      </c>
      <c r="Z302" s="45">
        <v>0</v>
      </c>
      <c r="AB302" s="45">
        <v>12119.6</v>
      </c>
      <c r="AC302" s="45">
        <v>0</v>
      </c>
      <c r="AD302" s="45">
        <v>0</v>
      </c>
      <c r="AE302" s="45">
        <v>13130.7</v>
      </c>
      <c r="AF302" s="45">
        <v>0</v>
      </c>
      <c r="AG302" s="45">
        <v>0</v>
      </c>
      <c r="AH302" s="45">
        <v>11871.1</v>
      </c>
      <c r="AI302" s="45">
        <v>0</v>
      </c>
      <c r="AJ302" s="45">
        <v>1</v>
      </c>
      <c r="AK302" s="45">
        <v>11403.2</v>
      </c>
      <c r="AL302" s="45">
        <v>0</v>
      </c>
      <c r="AM302" s="45">
        <v>0</v>
      </c>
      <c r="AO302" s="45">
        <v>12234.2</v>
      </c>
      <c r="AP302" s="45">
        <v>0</v>
      </c>
      <c r="AQ302" s="45">
        <v>0</v>
      </c>
      <c r="AR302" s="45">
        <v>9920.5</v>
      </c>
      <c r="AS302" s="45">
        <v>0</v>
      </c>
      <c r="AT302" s="45">
        <v>0</v>
      </c>
      <c r="AU302" s="45">
        <v>9529.9</v>
      </c>
      <c r="AV302" s="45">
        <v>0</v>
      </c>
      <c r="AW302" s="45">
        <v>0</v>
      </c>
      <c r="AX302" s="45">
        <v>11359.9</v>
      </c>
      <c r="AY302" s="45">
        <v>0</v>
      </c>
      <c r="AZ302" s="45">
        <v>0</v>
      </c>
    </row>
    <row r="303" spans="1:52">
      <c r="A303" s="50"/>
      <c r="B303" s="50">
        <v>60053.8</v>
      </c>
      <c r="C303" s="50">
        <v>0</v>
      </c>
      <c r="D303" s="50">
        <v>0</v>
      </c>
      <c r="E303" s="50">
        <v>61752.800000000003</v>
      </c>
      <c r="F303" s="50">
        <v>0</v>
      </c>
      <c r="G303" s="50">
        <v>0</v>
      </c>
      <c r="H303" s="50">
        <v>61425.5</v>
      </c>
      <c r="I303" s="50">
        <v>0</v>
      </c>
      <c r="J303" s="50">
        <v>1</v>
      </c>
      <c r="K303" s="50">
        <v>86699.3</v>
      </c>
      <c r="L303" s="50">
        <v>62</v>
      </c>
      <c r="M303" s="50">
        <v>0</v>
      </c>
      <c r="N303" s="50"/>
      <c r="O303" s="50">
        <v>86619.199999999997</v>
      </c>
      <c r="P303" s="50">
        <v>65</v>
      </c>
      <c r="Q303" s="50">
        <v>1</v>
      </c>
      <c r="R303" s="50">
        <v>88910.3</v>
      </c>
      <c r="S303" s="50">
        <v>68</v>
      </c>
      <c r="T303" s="50">
        <v>0</v>
      </c>
      <c r="U303" s="50">
        <v>70037.5</v>
      </c>
      <c r="V303" s="50">
        <v>28</v>
      </c>
      <c r="W303" s="50">
        <v>1</v>
      </c>
      <c r="X303" s="50">
        <v>100984</v>
      </c>
      <c r="Y303" s="50">
        <v>88</v>
      </c>
      <c r="Z303" s="50">
        <v>0</v>
      </c>
      <c r="AA303" s="50"/>
      <c r="AB303" s="50">
        <v>58383.9</v>
      </c>
      <c r="AC303" s="50">
        <v>7</v>
      </c>
      <c r="AD303" s="50">
        <v>1</v>
      </c>
      <c r="AE303" s="50">
        <v>71409.100000000006</v>
      </c>
      <c r="AF303" s="50">
        <v>15</v>
      </c>
      <c r="AG303" s="50">
        <v>0</v>
      </c>
      <c r="AH303" s="50">
        <v>68800.899999999994</v>
      </c>
      <c r="AI303" s="50">
        <v>19</v>
      </c>
      <c r="AJ303" s="50">
        <v>1</v>
      </c>
      <c r="AK303" s="50">
        <v>57943.5</v>
      </c>
      <c r="AL303" s="50">
        <v>0</v>
      </c>
      <c r="AM303" s="50">
        <v>0</v>
      </c>
      <c r="AN303" s="50"/>
      <c r="AO303" s="50">
        <v>100670</v>
      </c>
      <c r="AP303" s="50">
        <v>70</v>
      </c>
      <c r="AQ303" s="50">
        <v>1</v>
      </c>
      <c r="AR303" s="50">
        <v>63735.6</v>
      </c>
      <c r="AS303" s="50">
        <v>14</v>
      </c>
      <c r="AT303" s="50">
        <v>1</v>
      </c>
      <c r="AU303" s="50">
        <v>81175.600000000006</v>
      </c>
      <c r="AV303" s="50">
        <v>52</v>
      </c>
      <c r="AW303" s="50">
        <v>0</v>
      </c>
      <c r="AX303" s="50">
        <v>55783</v>
      </c>
      <c r="AY303" s="50">
        <v>0</v>
      </c>
      <c r="AZ303" s="50">
        <v>1</v>
      </c>
    </row>
    <row r="304" spans="1:52">
      <c r="B304" s="45">
        <v>59564.7</v>
      </c>
      <c r="C304" s="45">
        <v>0</v>
      </c>
      <c r="D304" s="45">
        <v>0</v>
      </c>
      <c r="E304" s="45">
        <v>57188.3</v>
      </c>
      <c r="F304" s="45">
        <v>0</v>
      </c>
      <c r="G304" s="45">
        <v>1</v>
      </c>
      <c r="H304" s="45">
        <v>62315.1</v>
      </c>
      <c r="I304" s="45">
        <v>0</v>
      </c>
      <c r="J304" s="45">
        <v>0</v>
      </c>
      <c r="K304" s="45">
        <v>58569.3</v>
      </c>
      <c r="L304" s="45">
        <v>0</v>
      </c>
      <c r="M304" s="45">
        <v>0</v>
      </c>
      <c r="O304" s="45">
        <v>63772.5</v>
      </c>
      <c r="P304" s="45">
        <v>3</v>
      </c>
      <c r="Q304" s="45">
        <v>1</v>
      </c>
      <c r="R304" s="45">
        <v>63922.7</v>
      </c>
      <c r="S304" s="45">
        <v>0</v>
      </c>
      <c r="T304" s="45">
        <v>0</v>
      </c>
      <c r="U304" s="45">
        <v>59266.2</v>
      </c>
      <c r="V304" s="45">
        <v>0</v>
      </c>
      <c r="W304" s="45">
        <v>0</v>
      </c>
      <c r="X304" s="45">
        <v>104191</v>
      </c>
      <c r="Y304" s="45">
        <v>94</v>
      </c>
      <c r="Z304" s="45">
        <v>1</v>
      </c>
      <c r="AB304" s="45">
        <v>62522.400000000001</v>
      </c>
      <c r="AC304" s="45">
        <v>0</v>
      </c>
      <c r="AD304" s="45">
        <v>0</v>
      </c>
      <c r="AE304" s="45">
        <v>59286.400000000001</v>
      </c>
      <c r="AF304" s="45">
        <v>0</v>
      </c>
      <c r="AG304" s="45">
        <v>1</v>
      </c>
      <c r="AH304" s="45">
        <v>79540.399999999994</v>
      </c>
      <c r="AI304" s="45">
        <v>33</v>
      </c>
      <c r="AJ304" s="45">
        <v>0</v>
      </c>
      <c r="AK304" s="45">
        <v>63677</v>
      </c>
      <c r="AL304" s="45">
        <v>0</v>
      </c>
      <c r="AM304" s="45">
        <v>1</v>
      </c>
      <c r="AO304" s="45">
        <v>56212.6</v>
      </c>
      <c r="AP304" s="45">
        <v>0</v>
      </c>
      <c r="AQ304" s="45">
        <v>1</v>
      </c>
      <c r="AR304" s="45">
        <v>62748.7</v>
      </c>
      <c r="AS304" s="45">
        <v>0</v>
      </c>
      <c r="AT304" s="45">
        <v>0</v>
      </c>
      <c r="AU304" s="45">
        <v>64629.9</v>
      </c>
      <c r="AV304" s="45">
        <v>6</v>
      </c>
      <c r="AW304" s="45">
        <v>1</v>
      </c>
      <c r="AX304" s="45">
        <v>56308</v>
      </c>
      <c r="AY304" s="45">
        <v>0</v>
      </c>
      <c r="AZ304" s="45">
        <v>1</v>
      </c>
    </row>
    <row r="305" spans="2:52">
      <c r="B305" s="45">
        <v>50903.4</v>
      </c>
      <c r="C305" s="45">
        <v>0</v>
      </c>
      <c r="D305" s="45">
        <v>1</v>
      </c>
      <c r="E305" s="45">
        <v>84856.3</v>
      </c>
      <c r="F305" s="45">
        <v>66</v>
      </c>
      <c r="G305" s="45">
        <v>0</v>
      </c>
      <c r="H305" s="45">
        <v>64006.6</v>
      </c>
      <c r="I305" s="45">
        <v>22</v>
      </c>
      <c r="J305" s="45">
        <v>1</v>
      </c>
      <c r="K305" s="45">
        <v>87499.5</v>
      </c>
      <c r="L305" s="45">
        <v>62</v>
      </c>
      <c r="M305" s="45">
        <v>0</v>
      </c>
      <c r="O305" s="45">
        <v>53365.7</v>
      </c>
      <c r="P305" s="45">
        <v>0</v>
      </c>
      <c r="Q305" s="45">
        <v>0</v>
      </c>
      <c r="R305" s="45">
        <v>93217.5</v>
      </c>
      <c r="S305" s="45">
        <v>80</v>
      </c>
      <c r="T305" s="45">
        <v>1</v>
      </c>
      <c r="U305" s="45">
        <v>75893.5</v>
      </c>
      <c r="V305" s="45">
        <v>50</v>
      </c>
      <c r="W305" s="45">
        <v>0</v>
      </c>
      <c r="X305" s="45">
        <v>90576.1</v>
      </c>
      <c r="Y305" s="45">
        <v>74</v>
      </c>
      <c r="Z305" s="45">
        <v>1</v>
      </c>
      <c r="AB305" s="45">
        <v>52332.2</v>
      </c>
      <c r="AC305" s="45">
        <v>0</v>
      </c>
      <c r="AD305" s="45">
        <v>0</v>
      </c>
      <c r="AE305" s="45">
        <v>83675.3</v>
      </c>
      <c r="AF305" s="45">
        <v>59</v>
      </c>
      <c r="AG305" s="45">
        <v>0</v>
      </c>
      <c r="AH305" s="45">
        <v>73154.899999999994</v>
      </c>
      <c r="AI305" s="45">
        <v>47</v>
      </c>
      <c r="AJ305" s="45">
        <v>1</v>
      </c>
      <c r="AK305" s="45">
        <v>55822.400000000001</v>
      </c>
      <c r="AL305" s="45">
        <v>0</v>
      </c>
      <c r="AM305" s="45">
        <v>0</v>
      </c>
      <c r="AO305" s="45">
        <v>71090.3</v>
      </c>
      <c r="AP305" s="45">
        <v>32</v>
      </c>
      <c r="AQ305" s="45">
        <v>1</v>
      </c>
      <c r="AR305" s="45">
        <v>54850.6</v>
      </c>
      <c r="AS305" s="45">
        <v>0</v>
      </c>
      <c r="AT305" s="45">
        <v>0</v>
      </c>
      <c r="AU305" s="45">
        <v>53755.7</v>
      </c>
      <c r="AV305" s="45">
        <v>0</v>
      </c>
      <c r="AW305" s="45">
        <v>1</v>
      </c>
      <c r="AX305" s="45">
        <v>50723.9</v>
      </c>
      <c r="AY305" s="45">
        <v>0</v>
      </c>
      <c r="AZ305" s="45">
        <v>0</v>
      </c>
    </row>
    <row r="306" spans="2:52">
      <c r="B306" s="45">
        <v>68839.8</v>
      </c>
      <c r="C306" s="45">
        <v>35</v>
      </c>
      <c r="D306" s="45">
        <v>1</v>
      </c>
      <c r="E306" s="45">
        <v>49749.1</v>
      </c>
      <c r="F306" s="45">
        <v>0</v>
      </c>
      <c r="G306" s="45">
        <v>0</v>
      </c>
      <c r="H306" s="45">
        <v>50082</v>
      </c>
      <c r="I306" s="45">
        <v>0</v>
      </c>
      <c r="J306" s="45">
        <v>0</v>
      </c>
      <c r="K306" s="45">
        <v>70570.100000000006</v>
      </c>
      <c r="L306" s="45">
        <v>37</v>
      </c>
      <c r="M306" s="45">
        <v>1</v>
      </c>
      <c r="O306" s="45">
        <v>51189.599999999999</v>
      </c>
      <c r="P306" s="45">
        <v>0</v>
      </c>
      <c r="Q306" s="45">
        <v>0</v>
      </c>
      <c r="R306" s="45">
        <v>81125.7</v>
      </c>
      <c r="S306" s="45">
        <v>66</v>
      </c>
      <c r="T306" s="45">
        <v>1</v>
      </c>
      <c r="U306" s="45">
        <v>68145.899999999994</v>
      </c>
      <c r="V306" s="45">
        <v>34</v>
      </c>
      <c r="W306" s="45">
        <v>0</v>
      </c>
      <c r="X306" s="45">
        <v>48175</v>
      </c>
      <c r="Y306" s="45">
        <v>0</v>
      </c>
      <c r="Z306" s="45">
        <v>0</v>
      </c>
      <c r="AB306" s="45">
        <v>43941.5</v>
      </c>
      <c r="AC306" s="45">
        <v>0</v>
      </c>
      <c r="AD306" s="45">
        <v>0</v>
      </c>
      <c r="AE306" s="45">
        <v>53378.400000000001</v>
      </c>
      <c r="AF306" s="45">
        <v>0</v>
      </c>
      <c r="AG306" s="45">
        <v>1</v>
      </c>
      <c r="AH306" s="45">
        <v>53511.9</v>
      </c>
      <c r="AI306" s="45">
        <v>0</v>
      </c>
      <c r="AJ306" s="45">
        <v>0</v>
      </c>
      <c r="AK306" s="45">
        <v>44225.8</v>
      </c>
      <c r="AL306" s="45">
        <v>0</v>
      </c>
      <c r="AM306" s="45">
        <v>0</v>
      </c>
      <c r="AO306" s="45">
        <v>91053.9</v>
      </c>
      <c r="AP306" s="45">
        <v>91</v>
      </c>
      <c r="AQ306" s="45">
        <v>1</v>
      </c>
      <c r="AR306" s="45">
        <v>51646.7</v>
      </c>
      <c r="AS306" s="45">
        <v>0</v>
      </c>
      <c r="AT306" s="45">
        <v>1</v>
      </c>
      <c r="AU306" s="45">
        <v>54672.4</v>
      </c>
      <c r="AV306" s="45">
        <v>0</v>
      </c>
      <c r="AW306" s="45">
        <v>1</v>
      </c>
      <c r="AX306" s="45">
        <v>63138.2</v>
      </c>
      <c r="AY306" s="45">
        <v>34</v>
      </c>
      <c r="AZ306" s="45">
        <v>1</v>
      </c>
    </row>
    <row r="307" spans="2:52">
      <c r="B307" s="45">
        <v>80653.399999999994</v>
      </c>
      <c r="C307" s="45">
        <v>44</v>
      </c>
      <c r="D307" s="45">
        <v>0</v>
      </c>
      <c r="E307" s="45">
        <v>69593.8</v>
      </c>
      <c r="F307" s="45">
        <v>18</v>
      </c>
      <c r="G307" s="45">
        <v>1</v>
      </c>
      <c r="H307" s="45">
        <v>78436.399999999994</v>
      </c>
      <c r="I307" s="45">
        <v>42</v>
      </c>
      <c r="J307" s="45">
        <v>0</v>
      </c>
      <c r="K307" s="45">
        <v>82989.5</v>
      </c>
      <c r="L307" s="45">
        <v>33</v>
      </c>
      <c r="M307" s="45">
        <v>1</v>
      </c>
      <c r="O307" s="45">
        <v>96735.8</v>
      </c>
      <c r="P307" s="45">
        <v>58</v>
      </c>
      <c r="Q307" s="45">
        <v>1</v>
      </c>
      <c r="R307" s="45">
        <v>78284.7</v>
      </c>
      <c r="S307" s="45">
        <v>32</v>
      </c>
      <c r="T307" s="45">
        <v>0</v>
      </c>
      <c r="U307" s="45">
        <v>114848</v>
      </c>
      <c r="V307" s="45">
        <v>114</v>
      </c>
      <c r="W307" s="45">
        <v>1</v>
      </c>
      <c r="X307" s="45">
        <v>59509.9</v>
      </c>
      <c r="Y307" s="45">
        <v>0</v>
      </c>
      <c r="Z307" s="45">
        <v>0</v>
      </c>
      <c r="AB307" s="45">
        <v>66709.7</v>
      </c>
      <c r="AC307" s="45">
        <v>0</v>
      </c>
      <c r="AD307" s="45">
        <v>1</v>
      </c>
      <c r="AE307" s="45">
        <v>92776.8</v>
      </c>
      <c r="AF307" s="45">
        <v>57</v>
      </c>
      <c r="AG307" s="45">
        <v>1</v>
      </c>
      <c r="AH307" s="45">
        <v>62659.4</v>
      </c>
      <c r="AI307" s="45">
        <v>0</v>
      </c>
      <c r="AJ307" s="45">
        <v>0</v>
      </c>
      <c r="AK307" s="45">
        <v>77397.600000000006</v>
      </c>
      <c r="AL307" s="45">
        <v>38</v>
      </c>
      <c r="AM307" s="45">
        <v>1</v>
      </c>
      <c r="AO307" s="45">
        <v>91479.9</v>
      </c>
      <c r="AP307" s="45">
        <v>64</v>
      </c>
      <c r="AQ307" s="45">
        <v>1</v>
      </c>
      <c r="AR307" s="45">
        <v>73060.600000000006</v>
      </c>
      <c r="AS307" s="45">
        <v>30</v>
      </c>
      <c r="AT307" s="45">
        <v>0</v>
      </c>
      <c r="AU307" s="45">
        <v>68583.5</v>
      </c>
      <c r="AV307" s="45">
        <v>7</v>
      </c>
      <c r="AW307" s="45">
        <v>1</v>
      </c>
      <c r="AX307" s="45">
        <v>64047.5</v>
      </c>
      <c r="AY307" s="45">
        <v>0</v>
      </c>
      <c r="AZ307" s="45">
        <v>1</v>
      </c>
    </row>
    <row r="308" spans="2:52">
      <c r="B308" s="45">
        <v>78641.600000000006</v>
      </c>
      <c r="C308" s="45">
        <v>33</v>
      </c>
      <c r="D308" s="45">
        <v>0</v>
      </c>
      <c r="E308" s="45">
        <v>69762.399999999994</v>
      </c>
      <c r="F308" s="45">
        <v>23</v>
      </c>
      <c r="G308" s="45">
        <v>0</v>
      </c>
      <c r="H308" s="45">
        <v>80791.8</v>
      </c>
      <c r="I308" s="45">
        <v>58</v>
      </c>
      <c r="J308" s="45">
        <v>1</v>
      </c>
      <c r="K308" s="45">
        <v>80605.600000000006</v>
      </c>
      <c r="L308" s="45">
        <v>58</v>
      </c>
      <c r="M308" s="45">
        <v>0</v>
      </c>
      <c r="O308" s="45">
        <v>57816.9</v>
      </c>
      <c r="P308" s="45">
        <v>16</v>
      </c>
      <c r="Q308" s="45">
        <v>1</v>
      </c>
      <c r="R308" s="45">
        <v>68630.600000000006</v>
      </c>
      <c r="S308" s="45">
        <v>34</v>
      </c>
      <c r="T308" s="45">
        <v>0</v>
      </c>
      <c r="U308" s="45">
        <v>49508.2</v>
      </c>
      <c r="V308" s="45">
        <v>0</v>
      </c>
      <c r="W308" s="45">
        <v>0</v>
      </c>
      <c r="X308" s="45">
        <v>78996.7</v>
      </c>
      <c r="Y308" s="45">
        <v>57</v>
      </c>
      <c r="Z308" s="45">
        <v>1</v>
      </c>
      <c r="AB308" s="45">
        <v>58973.4</v>
      </c>
      <c r="AC308" s="45">
        <v>6</v>
      </c>
      <c r="AD308" s="45">
        <v>0</v>
      </c>
      <c r="AE308" s="45">
        <v>67182</v>
      </c>
      <c r="AF308" s="45">
        <v>28</v>
      </c>
      <c r="AG308" s="45">
        <v>0</v>
      </c>
      <c r="AH308" s="45">
        <v>50745.2</v>
      </c>
      <c r="AI308" s="45">
        <v>0</v>
      </c>
      <c r="AJ308" s="45">
        <v>1</v>
      </c>
      <c r="AK308" s="45">
        <v>49891.3</v>
      </c>
      <c r="AL308" s="45">
        <v>0</v>
      </c>
      <c r="AM308" s="45">
        <v>1</v>
      </c>
      <c r="AO308" s="45">
        <v>61573.4</v>
      </c>
      <c r="AP308" s="45">
        <v>15</v>
      </c>
      <c r="AQ308" s="45">
        <v>1</v>
      </c>
      <c r="AR308" s="45">
        <v>49819.3</v>
      </c>
      <c r="AS308" s="45">
        <v>0</v>
      </c>
      <c r="AT308" s="45">
        <v>1</v>
      </c>
      <c r="AU308" s="45">
        <v>57811.7</v>
      </c>
      <c r="AV308" s="45">
        <v>0</v>
      </c>
      <c r="AW308" s="45">
        <v>0</v>
      </c>
      <c r="AX308" s="45">
        <v>59079.5</v>
      </c>
      <c r="AY308" s="45">
        <v>7</v>
      </c>
      <c r="AZ308" s="45">
        <v>1</v>
      </c>
    </row>
    <row r="309" spans="2:52">
      <c r="B309" s="45">
        <v>45731.9</v>
      </c>
      <c r="C309" s="45">
        <v>0</v>
      </c>
      <c r="D309" s="45">
        <v>1</v>
      </c>
      <c r="E309" s="45">
        <v>71122.100000000006</v>
      </c>
      <c r="F309" s="45">
        <v>52</v>
      </c>
      <c r="G309" s="45">
        <v>0</v>
      </c>
      <c r="H309" s="45">
        <v>46498.2</v>
      </c>
      <c r="I309" s="45">
        <v>0</v>
      </c>
      <c r="J309" s="45">
        <v>1</v>
      </c>
      <c r="K309" s="45">
        <v>66719.8</v>
      </c>
      <c r="L309" s="45">
        <v>40</v>
      </c>
      <c r="M309" s="45">
        <v>0</v>
      </c>
      <c r="O309" s="45">
        <v>43070.6</v>
      </c>
      <c r="P309" s="45">
        <v>0</v>
      </c>
      <c r="Q309" s="45">
        <v>0</v>
      </c>
      <c r="R309" s="45">
        <v>47281.9</v>
      </c>
      <c r="S309" s="45">
        <v>0</v>
      </c>
      <c r="T309" s="45">
        <v>1</v>
      </c>
      <c r="U309" s="45">
        <v>44811</v>
      </c>
      <c r="V309" s="45">
        <v>3</v>
      </c>
      <c r="W309" s="45">
        <v>0</v>
      </c>
      <c r="X309" s="45">
        <v>67928.3</v>
      </c>
      <c r="Y309" s="45">
        <v>50</v>
      </c>
      <c r="Z309" s="45">
        <v>0</v>
      </c>
      <c r="AB309" s="45">
        <v>68339.100000000006</v>
      </c>
      <c r="AC309" s="45">
        <v>50</v>
      </c>
      <c r="AD309" s="45">
        <v>0</v>
      </c>
      <c r="AE309" s="45">
        <v>45256.6</v>
      </c>
      <c r="AF309" s="45">
        <v>0</v>
      </c>
      <c r="AG309" s="45">
        <v>1</v>
      </c>
      <c r="AH309" s="45">
        <v>42989.5</v>
      </c>
      <c r="AI309" s="45">
        <v>0</v>
      </c>
      <c r="AJ309" s="45">
        <v>0</v>
      </c>
      <c r="AK309" s="45">
        <v>43099</v>
      </c>
      <c r="AL309" s="45">
        <v>0</v>
      </c>
      <c r="AM309" s="45">
        <v>0</v>
      </c>
      <c r="AO309" s="45">
        <v>42935.9</v>
      </c>
      <c r="AP309" s="45">
        <v>0</v>
      </c>
      <c r="AQ309" s="45">
        <v>1</v>
      </c>
      <c r="AR309" s="45">
        <v>58294.6</v>
      </c>
      <c r="AS309" s="45">
        <v>30</v>
      </c>
      <c r="AT309" s="45">
        <v>0</v>
      </c>
      <c r="AU309" s="45">
        <v>45298.1</v>
      </c>
      <c r="AV309" s="45">
        <v>0</v>
      </c>
      <c r="AW309" s="45">
        <v>1</v>
      </c>
      <c r="AX309" s="45">
        <v>48042</v>
      </c>
      <c r="AY309" s="45">
        <v>0</v>
      </c>
      <c r="AZ309" s="45">
        <v>0</v>
      </c>
    </row>
    <row r="310" spans="2:52">
      <c r="B310" s="45">
        <v>60958.3</v>
      </c>
      <c r="C310" s="45">
        <v>18</v>
      </c>
      <c r="D310" s="45">
        <v>1</v>
      </c>
      <c r="E310" s="45">
        <v>95900.5</v>
      </c>
      <c r="F310" s="45">
        <v>75</v>
      </c>
      <c r="G310" s="45">
        <v>1</v>
      </c>
      <c r="H310" s="45">
        <v>90083.1</v>
      </c>
      <c r="I310" s="45">
        <v>72</v>
      </c>
      <c r="J310" s="45">
        <v>0</v>
      </c>
      <c r="K310" s="45">
        <v>107091</v>
      </c>
      <c r="L310" s="45">
        <v>110</v>
      </c>
      <c r="M310" s="45">
        <v>1</v>
      </c>
      <c r="O310" s="45">
        <v>92732.6</v>
      </c>
      <c r="P310" s="45">
        <v>74</v>
      </c>
      <c r="Q310" s="45">
        <v>1</v>
      </c>
      <c r="R310" s="45">
        <v>60986.7</v>
      </c>
      <c r="S310" s="45">
        <v>5</v>
      </c>
      <c r="T310" s="45">
        <v>0</v>
      </c>
      <c r="U310" s="45">
        <v>67142.899999999994</v>
      </c>
      <c r="V310" s="45">
        <v>31</v>
      </c>
      <c r="W310" s="45">
        <v>1</v>
      </c>
      <c r="X310" s="45">
        <v>84215.4</v>
      </c>
      <c r="Y310" s="45">
        <v>57</v>
      </c>
      <c r="Z310" s="45">
        <v>0</v>
      </c>
      <c r="AB310" s="45">
        <v>106385</v>
      </c>
      <c r="AC310" s="45">
        <v>104</v>
      </c>
      <c r="AD310" s="45">
        <v>1</v>
      </c>
      <c r="AE310" s="45">
        <v>82556.800000000003</v>
      </c>
      <c r="AF310" s="45">
        <v>58</v>
      </c>
      <c r="AG310" s="45">
        <v>0</v>
      </c>
      <c r="AH310" s="45">
        <v>68161.8</v>
      </c>
      <c r="AI310" s="45">
        <v>27</v>
      </c>
      <c r="AJ310" s="45">
        <v>0</v>
      </c>
      <c r="AK310" s="45">
        <v>73968.2</v>
      </c>
      <c r="AL310" s="45">
        <v>44</v>
      </c>
      <c r="AM310" s="45">
        <v>1</v>
      </c>
      <c r="AO310" s="45">
        <v>67188.399999999994</v>
      </c>
      <c r="AP310" s="45">
        <v>31</v>
      </c>
      <c r="AQ310" s="45">
        <v>1</v>
      </c>
      <c r="AR310" s="45">
        <v>59563.5</v>
      </c>
      <c r="AS310" s="45">
        <v>12</v>
      </c>
      <c r="AT310" s="45">
        <v>1</v>
      </c>
      <c r="AU310" s="45">
        <v>81211.100000000006</v>
      </c>
      <c r="AV310" s="45">
        <v>57</v>
      </c>
      <c r="AW310" s="45">
        <v>1</v>
      </c>
      <c r="AX310" s="45">
        <v>83091.5</v>
      </c>
      <c r="AY310" s="45">
        <v>58</v>
      </c>
      <c r="AZ310" s="45">
        <v>1</v>
      </c>
    </row>
    <row r="311" spans="2:52">
      <c r="B311" s="45">
        <v>58400.4</v>
      </c>
      <c r="C311" s="45">
        <v>0</v>
      </c>
      <c r="D311" s="45">
        <v>0</v>
      </c>
      <c r="E311" s="45">
        <v>58565.4</v>
      </c>
      <c r="F311" s="45">
        <v>0</v>
      </c>
      <c r="G311" s="45">
        <v>1</v>
      </c>
      <c r="H311" s="45">
        <v>63120.3</v>
      </c>
      <c r="I311" s="45">
        <v>0</v>
      </c>
      <c r="J311" s="45">
        <v>0</v>
      </c>
      <c r="K311" s="45">
        <v>61955.199999999997</v>
      </c>
      <c r="L311" s="45">
        <v>9</v>
      </c>
      <c r="M311" s="45">
        <v>0</v>
      </c>
      <c r="O311" s="45">
        <v>63015.3</v>
      </c>
      <c r="P311" s="45">
        <v>0</v>
      </c>
      <c r="Q311" s="45">
        <v>1</v>
      </c>
      <c r="R311" s="45">
        <v>59211.1</v>
      </c>
      <c r="S311" s="45">
        <v>0</v>
      </c>
      <c r="T311" s="45">
        <v>0</v>
      </c>
      <c r="U311" s="45">
        <v>59082</v>
      </c>
      <c r="V311" s="45">
        <v>0</v>
      </c>
      <c r="W311" s="45">
        <v>0</v>
      </c>
      <c r="X311" s="45">
        <v>55515.8</v>
      </c>
      <c r="Y311" s="45">
        <v>4</v>
      </c>
      <c r="Z311" s="45">
        <v>1</v>
      </c>
      <c r="AB311" s="45">
        <v>66024.899999999994</v>
      </c>
      <c r="AC311" s="45">
        <v>12</v>
      </c>
      <c r="AD311" s="45">
        <v>1</v>
      </c>
      <c r="AE311" s="45">
        <v>60247.4</v>
      </c>
      <c r="AF311" s="45">
        <v>5</v>
      </c>
      <c r="AG311" s="45">
        <v>0</v>
      </c>
      <c r="AH311" s="45">
        <v>57892.1</v>
      </c>
      <c r="AI311" s="45">
        <v>0</v>
      </c>
      <c r="AJ311" s="45">
        <v>0</v>
      </c>
      <c r="AK311" s="45">
        <v>71520.399999999994</v>
      </c>
      <c r="AL311" s="45">
        <v>20</v>
      </c>
      <c r="AM311" s="45">
        <v>1</v>
      </c>
      <c r="AO311" s="45">
        <v>60010.5</v>
      </c>
      <c r="AP311" s="45">
        <v>0</v>
      </c>
      <c r="AQ311" s="45">
        <v>0</v>
      </c>
      <c r="AR311" s="45">
        <v>64264.7</v>
      </c>
      <c r="AS311" s="45">
        <v>15</v>
      </c>
      <c r="AT311" s="45">
        <v>1</v>
      </c>
      <c r="AU311" s="45">
        <v>60193.4</v>
      </c>
      <c r="AV311" s="45">
        <v>0</v>
      </c>
      <c r="AW311" s="45">
        <v>1</v>
      </c>
      <c r="AX311" s="45">
        <v>61510.2</v>
      </c>
      <c r="AY311" s="45">
        <v>9</v>
      </c>
      <c r="AZ311" s="45">
        <v>0</v>
      </c>
    </row>
    <row r="312" spans="2:52">
      <c r="B312" s="45">
        <v>83969.1</v>
      </c>
      <c r="C312" s="45">
        <v>59</v>
      </c>
      <c r="D312" s="45">
        <v>1</v>
      </c>
      <c r="E312" s="45">
        <v>57470.9</v>
      </c>
      <c r="F312" s="45">
        <v>0</v>
      </c>
      <c r="G312" s="45">
        <v>1</v>
      </c>
      <c r="H312" s="45">
        <v>52267.9</v>
      </c>
      <c r="I312" s="45">
        <v>0</v>
      </c>
      <c r="J312" s="45">
        <v>0</v>
      </c>
      <c r="K312" s="45">
        <v>52147.9</v>
      </c>
      <c r="L312" s="45">
        <v>0</v>
      </c>
      <c r="M312" s="45">
        <v>0</v>
      </c>
      <c r="O312" s="45">
        <v>74870.600000000006</v>
      </c>
      <c r="P312" s="45">
        <v>49</v>
      </c>
      <c r="Q312" s="45">
        <v>0</v>
      </c>
      <c r="R312" s="45">
        <v>58829</v>
      </c>
      <c r="S312" s="45">
        <v>15</v>
      </c>
      <c r="T312" s="45">
        <v>1</v>
      </c>
      <c r="U312" s="45">
        <v>53268.1</v>
      </c>
      <c r="V312" s="45">
        <v>0</v>
      </c>
      <c r="W312" s="45">
        <v>0</v>
      </c>
      <c r="X312" s="45">
        <v>52451.7</v>
      </c>
      <c r="Y312" s="45">
        <v>0</v>
      </c>
      <c r="Z312" s="45">
        <v>1</v>
      </c>
      <c r="AB312" s="45">
        <v>57293.1</v>
      </c>
      <c r="AC312" s="45">
        <v>0</v>
      </c>
      <c r="AD312" s="45">
        <v>0</v>
      </c>
      <c r="AE312" s="45">
        <v>64366.7</v>
      </c>
      <c r="AF312" s="45">
        <v>22</v>
      </c>
      <c r="AG312" s="45">
        <v>1</v>
      </c>
      <c r="AH312" s="45">
        <v>56115.199999999997</v>
      </c>
      <c r="AI312" s="45">
        <v>16</v>
      </c>
      <c r="AJ312" s="45">
        <v>0</v>
      </c>
      <c r="AK312" s="45">
        <v>48327.6</v>
      </c>
      <c r="AL312" s="45">
        <v>0</v>
      </c>
      <c r="AM312" s="45">
        <v>1</v>
      </c>
      <c r="AO312" s="45">
        <v>52575.3</v>
      </c>
      <c r="AP312" s="45">
        <v>0</v>
      </c>
      <c r="AQ312" s="45">
        <v>1</v>
      </c>
      <c r="AR312" s="45">
        <v>54289.599999999999</v>
      </c>
      <c r="AS312" s="45">
        <v>9</v>
      </c>
      <c r="AT312" s="45">
        <v>1</v>
      </c>
      <c r="AU312" s="45">
        <v>58745.1</v>
      </c>
      <c r="AV312" s="45">
        <v>0</v>
      </c>
      <c r="AW312" s="45">
        <v>0</v>
      </c>
      <c r="AX312" s="45">
        <v>58950.5</v>
      </c>
      <c r="AY312" s="45">
        <v>0</v>
      </c>
      <c r="AZ312" s="45">
        <v>1</v>
      </c>
    </row>
    <row r="313" spans="2:52">
      <c r="B313" s="45">
        <v>75516.600000000006</v>
      </c>
      <c r="C313" s="45">
        <v>22</v>
      </c>
      <c r="D313" s="45">
        <v>1</v>
      </c>
      <c r="E313" s="45">
        <v>107190</v>
      </c>
      <c r="F313" s="45">
        <v>85</v>
      </c>
      <c r="G313" s="45">
        <v>1</v>
      </c>
      <c r="H313" s="45">
        <v>74862.5</v>
      </c>
      <c r="I313" s="45">
        <v>24</v>
      </c>
      <c r="J313" s="45">
        <v>0</v>
      </c>
      <c r="K313" s="45">
        <v>66877.3</v>
      </c>
      <c r="L313" s="45">
        <v>0</v>
      </c>
      <c r="M313" s="45">
        <v>0</v>
      </c>
      <c r="O313" s="45">
        <v>80649.5</v>
      </c>
      <c r="P313" s="45">
        <v>38</v>
      </c>
      <c r="Q313" s="45">
        <v>0</v>
      </c>
      <c r="R313" s="45">
        <v>68936.3</v>
      </c>
      <c r="S313" s="45">
        <v>16</v>
      </c>
      <c r="T313" s="45">
        <v>0</v>
      </c>
      <c r="U313" s="45">
        <v>67773.399999999994</v>
      </c>
      <c r="V313" s="45">
        <v>0</v>
      </c>
      <c r="W313" s="45">
        <v>1</v>
      </c>
      <c r="X313" s="45">
        <v>69900.899999999994</v>
      </c>
      <c r="Y313" s="45">
        <v>26</v>
      </c>
      <c r="Z313" s="45">
        <v>0</v>
      </c>
      <c r="AB313" s="45">
        <v>84879.5</v>
      </c>
      <c r="AC313" s="45">
        <v>37</v>
      </c>
      <c r="AD313" s="45">
        <v>0</v>
      </c>
      <c r="AE313" s="45">
        <v>60544.7</v>
      </c>
      <c r="AF313" s="45">
        <v>0</v>
      </c>
      <c r="AG313" s="45">
        <v>0</v>
      </c>
      <c r="AH313" s="45">
        <v>59190.400000000001</v>
      </c>
      <c r="AI313" s="45">
        <v>0</v>
      </c>
      <c r="AJ313" s="45">
        <v>1</v>
      </c>
      <c r="AK313" s="45">
        <v>58536.2</v>
      </c>
      <c r="AL313" s="45">
        <v>1</v>
      </c>
      <c r="AM313" s="45">
        <v>0</v>
      </c>
      <c r="AO313" s="45">
        <v>64463.5</v>
      </c>
      <c r="AP313" s="45">
        <v>10</v>
      </c>
      <c r="AQ313" s="45">
        <v>1</v>
      </c>
      <c r="AR313" s="45">
        <v>65213.3</v>
      </c>
      <c r="AS313" s="45">
        <v>3</v>
      </c>
      <c r="AT313" s="45">
        <v>1</v>
      </c>
      <c r="AU313" s="45">
        <v>62385.9</v>
      </c>
      <c r="AV313" s="45">
        <v>0</v>
      </c>
      <c r="AW313" s="45">
        <v>0</v>
      </c>
      <c r="AX313" s="45">
        <v>73606</v>
      </c>
      <c r="AY313" s="45">
        <v>36</v>
      </c>
      <c r="AZ313" s="45">
        <v>2</v>
      </c>
    </row>
    <row r="314" spans="2:52">
      <c r="B314" s="45">
        <v>75799.600000000006</v>
      </c>
      <c r="C314" s="45">
        <v>39</v>
      </c>
      <c r="D314" s="45">
        <v>1</v>
      </c>
      <c r="E314" s="45">
        <v>58076.6</v>
      </c>
      <c r="F314" s="45">
        <v>0</v>
      </c>
      <c r="G314" s="45">
        <v>0</v>
      </c>
      <c r="H314" s="45">
        <v>54465.7</v>
      </c>
      <c r="I314" s="45">
        <v>0</v>
      </c>
      <c r="J314" s="45">
        <v>1</v>
      </c>
      <c r="K314" s="45">
        <v>71473.600000000006</v>
      </c>
      <c r="L314" s="45">
        <v>27</v>
      </c>
      <c r="M314" s="45">
        <v>0</v>
      </c>
      <c r="O314" s="45">
        <v>55003.1</v>
      </c>
      <c r="P314" s="45">
        <v>0</v>
      </c>
      <c r="Q314" s="45">
        <v>1</v>
      </c>
      <c r="R314" s="45">
        <v>74202.7</v>
      </c>
      <c r="S314" s="45">
        <v>39</v>
      </c>
      <c r="T314" s="45">
        <v>0</v>
      </c>
      <c r="U314" s="45">
        <v>58450.8</v>
      </c>
      <c r="V314" s="45">
        <v>0</v>
      </c>
      <c r="W314" s="45">
        <v>0</v>
      </c>
      <c r="X314" s="45">
        <v>57185.9</v>
      </c>
      <c r="Y314" s="45">
        <v>0</v>
      </c>
      <c r="Z314" s="45">
        <v>1</v>
      </c>
      <c r="AB314" s="45">
        <v>59621.5</v>
      </c>
      <c r="AC314" s="45">
        <v>0</v>
      </c>
      <c r="AD314" s="45">
        <v>0</v>
      </c>
      <c r="AE314" s="45">
        <v>55579.5</v>
      </c>
      <c r="AF314" s="45">
        <v>0</v>
      </c>
      <c r="AG314" s="45">
        <v>1</v>
      </c>
      <c r="AH314" s="45">
        <v>57672.3</v>
      </c>
      <c r="AI314" s="45">
        <v>0</v>
      </c>
      <c r="AJ314" s="45">
        <v>0</v>
      </c>
      <c r="AK314" s="45">
        <v>59049</v>
      </c>
      <c r="AL314" s="45">
        <v>0</v>
      </c>
      <c r="AM314" s="45">
        <v>1</v>
      </c>
      <c r="AO314" s="45">
        <v>61086.1</v>
      </c>
      <c r="AP314" s="45">
        <v>5</v>
      </c>
      <c r="AQ314" s="45">
        <v>0</v>
      </c>
      <c r="AR314" s="45">
        <v>55855.6</v>
      </c>
      <c r="AS314" s="45">
        <v>0</v>
      </c>
      <c r="AT314" s="45">
        <v>1</v>
      </c>
      <c r="AU314" s="45">
        <v>72502.100000000006</v>
      </c>
      <c r="AV314" s="45">
        <v>37</v>
      </c>
      <c r="AW314" s="45">
        <v>1</v>
      </c>
      <c r="AX314" s="45">
        <v>51926.5</v>
      </c>
      <c r="AY314" s="45">
        <v>0</v>
      </c>
      <c r="AZ314" s="45">
        <v>0</v>
      </c>
    </row>
    <row r="315" spans="2:52">
      <c r="B315" s="45">
        <v>56910.3</v>
      </c>
      <c r="C315" s="45">
        <v>0</v>
      </c>
      <c r="D315" s="45">
        <v>0</v>
      </c>
      <c r="E315" s="45">
        <v>78407.8</v>
      </c>
      <c r="F315" s="45">
        <v>61</v>
      </c>
      <c r="G315" s="45">
        <v>1</v>
      </c>
      <c r="H315" s="45">
        <v>59573.8</v>
      </c>
      <c r="I315" s="45">
        <v>17</v>
      </c>
      <c r="J315" s="45">
        <v>0</v>
      </c>
      <c r="K315" s="45">
        <v>76242.399999999994</v>
      </c>
      <c r="L315" s="45">
        <v>49</v>
      </c>
      <c r="M315" s="45">
        <v>1</v>
      </c>
      <c r="O315" s="45">
        <v>66885.399999999994</v>
      </c>
      <c r="P315" s="45">
        <v>35</v>
      </c>
      <c r="Q315" s="45">
        <v>0</v>
      </c>
      <c r="R315" s="45">
        <v>52463.1</v>
      </c>
      <c r="S315" s="45">
        <v>0</v>
      </c>
      <c r="T315" s="45">
        <v>1</v>
      </c>
      <c r="U315" s="45">
        <v>55398.7</v>
      </c>
      <c r="V315" s="45">
        <v>14</v>
      </c>
      <c r="W315" s="45">
        <v>0</v>
      </c>
      <c r="X315" s="45">
        <v>50709.7</v>
      </c>
      <c r="Y315" s="45">
        <v>9</v>
      </c>
      <c r="Z315" s="45">
        <v>1</v>
      </c>
      <c r="AB315" s="45">
        <v>54353.1</v>
      </c>
      <c r="AC315" s="45">
        <v>5</v>
      </c>
      <c r="AD315" s="45">
        <v>0</v>
      </c>
      <c r="AE315" s="45">
        <v>46102.2</v>
      </c>
      <c r="AF315" s="45">
        <v>0</v>
      </c>
      <c r="AG315" s="45">
        <v>0</v>
      </c>
      <c r="AH315" s="45">
        <v>60223.9</v>
      </c>
      <c r="AI315" s="45">
        <v>25</v>
      </c>
      <c r="AJ315" s="45">
        <v>1</v>
      </c>
      <c r="AK315" s="45">
        <v>54499.1</v>
      </c>
      <c r="AL315" s="45">
        <v>12</v>
      </c>
      <c r="AM315" s="45">
        <v>0</v>
      </c>
      <c r="AO315" s="45">
        <v>54251.5</v>
      </c>
      <c r="AP315" s="45">
        <v>9</v>
      </c>
      <c r="AQ315" s="45">
        <v>1</v>
      </c>
      <c r="AR315" s="45">
        <v>46351</v>
      </c>
      <c r="AS315" s="45">
        <v>0</v>
      </c>
      <c r="AT315" s="45">
        <v>1</v>
      </c>
      <c r="AU315" s="45">
        <v>49232.1</v>
      </c>
      <c r="AV315" s="45">
        <v>0</v>
      </c>
      <c r="AW315" s="45">
        <v>1</v>
      </c>
      <c r="AX315" s="45">
        <v>49353.599999999999</v>
      </c>
      <c r="AY315" s="45">
        <v>5</v>
      </c>
      <c r="AZ315" s="45">
        <v>0</v>
      </c>
    </row>
    <row r="316" spans="2:52">
      <c r="B316" s="45">
        <v>64141.9</v>
      </c>
      <c r="C316" s="45">
        <v>25</v>
      </c>
      <c r="D316" s="45">
        <v>0</v>
      </c>
      <c r="E316" s="45">
        <v>53987.199999999997</v>
      </c>
      <c r="F316" s="45">
        <v>0</v>
      </c>
      <c r="G316" s="45">
        <v>1</v>
      </c>
      <c r="H316" s="45">
        <v>54854.3</v>
      </c>
      <c r="I316" s="45">
        <v>5</v>
      </c>
      <c r="J316" s="45">
        <v>0</v>
      </c>
      <c r="K316" s="45">
        <v>47642.400000000001</v>
      </c>
      <c r="L316" s="45">
        <v>0</v>
      </c>
      <c r="M316" s="45">
        <v>1</v>
      </c>
      <c r="O316" s="45">
        <v>109008</v>
      </c>
      <c r="P316" s="45">
        <v>106</v>
      </c>
      <c r="Q316" s="45">
        <v>0</v>
      </c>
      <c r="R316" s="45">
        <v>48890.400000000001</v>
      </c>
      <c r="S316" s="45">
        <v>0</v>
      </c>
      <c r="T316" s="45">
        <v>1</v>
      </c>
      <c r="U316" s="45">
        <v>50806.6</v>
      </c>
      <c r="V316" s="45">
        <v>0</v>
      </c>
      <c r="W316" s="45">
        <v>0</v>
      </c>
      <c r="X316" s="45">
        <v>74818.600000000006</v>
      </c>
      <c r="Y316" s="45">
        <v>43</v>
      </c>
      <c r="Z316" s="45">
        <v>0</v>
      </c>
      <c r="AB316" s="45">
        <v>54483.5</v>
      </c>
      <c r="AC316" s="45">
        <v>11</v>
      </c>
      <c r="AD316" s="45">
        <v>1</v>
      </c>
      <c r="AE316" s="45">
        <v>73833.899999999994</v>
      </c>
      <c r="AF316" s="45">
        <v>52</v>
      </c>
      <c r="AG316" s="45">
        <v>0</v>
      </c>
      <c r="AH316" s="45">
        <v>72417.8</v>
      </c>
      <c r="AI316" s="45">
        <v>44</v>
      </c>
      <c r="AJ316" s="45">
        <v>1</v>
      </c>
      <c r="AK316" s="45">
        <v>58851.1</v>
      </c>
      <c r="AL316" s="45">
        <v>7</v>
      </c>
      <c r="AM316" s="45">
        <v>0</v>
      </c>
      <c r="AO316" s="45">
        <v>55158.1</v>
      </c>
      <c r="AP316" s="45">
        <v>0</v>
      </c>
      <c r="AQ316" s="45">
        <v>1</v>
      </c>
      <c r="AR316" s="45">
        <v>69314.100000000006</v>
      </c>
      <c r="AS316" s="45">
        <v>31</v>
      </c>
      <c r="AT316" s="45">
        <v>1</v>
      </c>
      <c r="AU316" s="45">
        <v>71202.399999999994</v>
      </c>
      <c r="AV316" s="45">
        <v>42</v>
      </c>
      <c r="AW316" s="45">
        <v>0</v>
      </c>
      <c r="AX316" s="45">
        <v>59311.3</v>
      </c>
      <c r="AY316" s="45">
        <v>17</v>
      </c>
      <c r="AZ316" s="45">
        <v>1</v>
      </c>
    </row>
    <row r="317" spans="2:52">
      <c r="B317" s="45">
        <v>66509.100000000006</v>
      </c>
      <c r="C317" s="45">
        <v>56</v>
      </c>
      <c r="D317" s="45">
        <v>0</v>
      </c>
      <c r="E317" s="45">
        <v>40409.5</v>
      </c>
      <c r="F317" s="45">
        <v>1</v>
      </c>
      <c r="G317" s="45">
        <v>1</v>
      </c>
      <c r="H317" s="45">
        <v>38961.800000000003</v>
      </c>
      <c r="I317" s="45">
        <v>0</v>
      </c>
      <c r="J317" s="45">
        <v>0</v>
      </c>
      <c r="K317" s="45">
        <v>49014</v>
      </c>
      <c r="L317" s="45">
        <v>25</v>
      </c>
      <c r="M317" s="45">
        <v>1</v>
      </c>
      <c r="O317" s="45">
        <v>41248.5</v>
      </c>
      <c r="P317" s="45">
        <v>0</v>
      </c>
      <c r="Q317" s="45">
        <v>1</v>
      </c>
      <c r="R317" s="45">
        <v>44664.5</v>
      </c>
      <c r="S317" s="45">
        <v>5</v>
      </c>
      <c r="T317" s="45">
        <v>0</v>
      </c>
      <c r="U317" s="45">
        <v>40246.800000000003</v>
      </c>
      <c r="V317" s="45">
        <v>0</v>
      </c>
      <c r="W317" s="45">
        <v>1</v>
      </c>
      <c r="X317" s="45">
        <v>39428</v>
      </c>
      <c r="Y317" s="45">
        <v>0</v>
      </c>
      <c r="Z317" s="45">
        <v>0</v>
      </c>
      <c r="AB317" s="45">
        <v>56240.7</v>
      </c>
      <c r="AC317" s="45">
        <v>39</v>
      </c>
      <c r="AD317" s="45">
        <v>1</v>
      </c>
      <c r="AE317" s="45">
        <v>52831.1</v>
      </c>
      <c r="AF317" s="45">
        <v>14</v>
      </c>
      <c r="AG317" s="45">
        <v>0</v>
      </c>
      <c r="AH317" s="45">
        <v>47244.7</v>
      </c>
      <c r="AI317" s="45">
        <v>18</v>
      </c>
      <c r="AJ317" s="45">
        <v>1</v>
      </c>
      <c r="AK317" s="45">
        <v>39891.199999999997</v>
      </c>
      <c r="AL317" s="45">
        <v>0</v>
      </c>
      <c r="AM317" s="45">
        <v>0</v>
      </c>
      <c r="AO317" s="45">
        <v>44529.9</v>
      </c>
      <c r="AP317" s="45">
        <v>0</v>
      </c>
      <c r="AQ317" s="45">
        <v>1</v>
      </c>
      <c r="AR317" s="45">
        <v>42494.2</v>
      </c>
      <c r="AS317" s="45">
        <v>0</v>
      </c>
      <c r="AT317" s="45">
        <v>0</v>
      </c>
      <c r="AU317" s="45">
        <v>42250.9</v>
      </c>
      <c r="AV317" s="45">
        <v>11</v>
      </c>
      <c r="AW317" s="45">
        <v>1</v>
      </c>
      <c r="AX317" s="45">
        <v>52489.7</v>
      </c>
      <c r="AY317" s="45">
        <v>32</v>
      </c>
      <c r="AZ317" s="45">
        <v>1</v>
      </c>
    </row>
    <row r="318" spans="2:52">
      <c r="B318" s="45">
        <v>64689.1</v>
      </c>
      <c r="C318" s="45">
        <v>4</v>
      </c>
      <c r="D318" s="45">
        <v>1</v>
      </c>
      <c r="E318" s="45">
        <v>67054.899999999994</v>
      </c>
      <c r="F318" s="45">
        <v>12</v>
      </c>
      <c r="G318" s="45">
        <v>0</v>
      </c>
      <c r="H318" s="45">
        <v>84369.7</v>
      </c>
      <c r="I318" s="45">
        <v>62</v>
      </c>
      <c r="J318" s="45">
        <v>1</v>
      </c>
      <c r="K318" s="45">
        <v>76889.899999999994</v>
      </c>
      <c r="L318" s="45">
        <v>46</v>
      </c>
      <c r="M318" s="45">
        <v>0</v>
      </c>
      <c r="O318" s="45">
        <v>79673.899999999994</v>
      </c>
      <c r="P318" s="45">
        <v>42</v>
      </c>
      <c r="Q318" s="45">
        <v>0</v>
      </c>
      <c r="R318" s="45">
        <v>61331.8</v>
      </c>
      <c r="S318" s="45">
        <v>0</v>
      </c>
      <c r="T318" s="45">
        <v>1</v>
      </c>
      <c r="U318" s="45">
        <v>67025.600000000006</v>
      </c>
      <c r="V318" s="45">
        <v>14</v>
      </c>
      <c r="W318" s="45">
        <v>0</v>
      </c>
      <c r="X318" s="45">
        <v>61162.9</v>
      </c>
      <c r="Y318" s="45">
        <v>0</v>
      </c>
      <c r="Z318" s="45">
        <v>0</v>
      </c>
      <c r="AB318" s="45">
        <v>71330</v>
      </c>
      <c r="AC318" s="45">
        <v>36</v>
      </c>
      <c r="AD318" s="45">
        <v>0</v>
      </c>
      <c r="AE318" s="45">
        <v>107879</v>
      </c>
      <c r="AF318" s="45">
        <v>104</v>
      </c>
      <c r="AG318" s="45">
        <v>1</v>
      </c>
      <c r="AH318" s="45">
        <v>69257.3</v>
      </c>
      <c r="AI318" s="45">
        <v>21</v>
      </c>
      <c r="AJ318" s="45">
        <v>0</v>
      </c>
      <c r="AK318" s="45">
        <v>55296.7</v>
      </c>
      <c r="AL318" s="45">
        <v>0</v>
      </c>
      <c r="AM318" s="45">
        <v>0</v>
      </c>
      <c r="AO318" s="45">
        <v>55944.800000000003</v>
      </c>
      <c r="AP318" s="45">
        <v>0</v>
      </c>
      <c r="AQ318" s="45">
        <v>0</v>
      </c>
      <c r="AR318" s="45">
        <v>85896</v>
      </c>
      <c r="AS318" s="45">
        <v>57</v>
      </c>
      <c r="AT318" s="45">
        <v>1</v>
      </c>
      <c r="AU318" s="45">
        <v>65117.599999999999</v>
      </c>
      <c r="AV318" s="45">
        <v>17</v>
      </c>
      <c r="AW318" s="45">
        <v>1</v>
      </c>
      <c r="AX318" s="45">
        <v>90932.1</v>
      </c>
      <c r="AY318" s="45">
        <v>51</v>
      </c>
      <c r="AZ318" s="45">
        <v>1</v>
      </c>
    </row>
    <row r="319" spans="2:52">
      <c r="B319" s="45">
        <v>79352.2</v>
      </c>
      <c r="C319" s="45">
        <v>28</v>
      </c>
      <c r="D319" s="45">
        <v>1</v>
      </c>
      <c r="E319" s="45">
        <v>51483.5</v>
      </c>
      <c r="F319" s="45">
        <v>0</v>
      </c>
      <c r="G319" s="45">
        <v>0</v>
      </c>
      <c r="H319" s="45">
        <v>119467</v>
      </c>
      <c r="I319" s="45">
        <v>132</v>
      </c>
      <c r="J319" s="45">
        <v>1</v>
      </c>
      <c r="K319" s="45">
        <v>55168</v>
      </c>
      <c r="L319" s="45">
        <v>0</v>
      </c>
      <c r="M319" s="45">
        <v>0</v>
      </c>
      <c r="O319" s="45">
        <v>54943</v>
      </c>
      <c r="P319" s="45">
        <v>9</v>
      </c>
      <c r="Q319" s="45">
        <v>1</v>
      </c>
      <c r="R319" s="45">
        <v>70868.2</v>
      </c>
      <c r="S319" s="45">
        <v>27</v>
      </c>
      <c r="T319" s="45">
        <v>0</v>
      </c>
      <c r="U319" s="45">
        <v>62495.9</v>
      </c>
      <c r="V319" s="45">
        <v>17</v>
      </c>
      <c r="W319" s="45">
        <v>1</v>
      </c>
      <c r="X319" s="45">
        <v>86798.1</v>
      </c>
      <c r="Y319" s="45">
        <v>73</v>
      </c>
      <c r="Z319" s="45">
        <v>0</v>
      </c>
      <c r="AB319" s="45">
        <v>57287.9</v>
      </c>
      <c r="AC319" s="45">
        <v>0</v>
      </c>
      <c r="AD319" s="45">
        <v>1</v>
      </c>
      <c r="AE319" s="45">
        <v>63391.8</v>
      </c>
      <c r="AF319" s="45">
        <v>21</v>
      </c>
      <c r="AG319" s="45">
        <v>0</v>
      </c>
      <c r="AH319" s="45">
        <v>64202.6</v>
      </c>
      <c r="AI319" s="45">
        <v>26</v>
      </c>
      <c r="AJ319" s="45">
        <v>0</v>
      </c>
      <c r="AK319" s="45">
        <v>61900.1</v>
      </c>
      <c r="AL319" s="45">
        <v>15</v>
      </c>
      <c r="AM319" s="45">
        <v>1</v>
      </c>
      <c r="AO319" s="45">
        <v>57316.7</v>
      </c>
      <c r="AP319" s="45">
        <v>0</v>
      </c>
      <c r="AQ319" s="45">
        <v>0</v>
      </c>
      <c r="AR319" s="45">
        <v>74026.899999999994</v>
      </c>
      <c r="AS319" s="45">
        <v>44</v>
      </c>
      <c r="AT319" s="45">
        <v>1</v>
      </c>
      <c r="AU319" s="45">
        <v>82000</v>
      </c>
      <c r="AV319" s="45">
        <v>54</v>
      </c>
      <c r="AW319" s="45">
        <v>1</v>
      </c>
      <c r="AX319" s="45">
        <v>57017.9</v>
      </c>
      <c r="AY319" s="45">
        <v>0</v>
      </c>
      <c r="AZ319" s="45">
        <v>0</v>
      </c>
    </row>
    <row r="320" spans="2:52">
      <c r="B320" s="45">
        <v>53484</v>
      </c>
      <c r="C320" s="45">
        <v>4</v>
      </c>
      <c r="D320" s="45">
        <v>1</v>
      </c>
      <c r="E320" s="45">
        <v>49995.6</v>
      </c>
      <c r="F320" s="45">
        <v>0</v>
      </c>
      <c r="G320" s="45">
        <v>0</v>
      </c>
      <c r="H320" s="45">
        <v>55279.7</v>
      </c>
      <c r="I320" s="45">
        <v>0</v>
      </c>
      <c r="J320" s="45">
        <v>0</v>
      </c>
      <c r="K320" s="45">
        <v>63218.8</v>
      </c>
      <c r="L320" s="45">
        <v>27</v>
      </c>
      <c r="M320" s="45">
        <v>1</v>
      </c>
      <c r="O320" s="45">
        <v>87958.3</v>
      </c>
      <c r="P320" s="45">
        <v>75</v>
      </c>
      <c r="Q320" s="45">
        <v>1</v>
      </c>
      <c r="R320" s="45">
        <v>50675</v>
      </c>
      <c r="S320" s="45">
        <v>0</v>
      </c>
      <c r="T320" s="45">
        <v>0</v>
      </c>
      <c r="U320" s="45">
        <v>50866.7</v>
      </c>
      <c r="V320" s="45">
        <v>0</v>
      </c>
      <c r="W320" s="45">
        <v>0</v>
      </c>
      <c r="X320" s="45">
        <v>56850.5</v>
      </c>
      <c r="Y320" s="45">
        <v>7</v>
      </c>
      <c r="Z320" s="45">
        <v>1</v>
      </c>
      <c r="AB320" s="45">
        <v>55620.7</v>
      </c>
      <c r="AC320" s="45">
        <v>4</v>
      </c>
      <c r="AD320" s="45">
        <v>0</v>
      </c>
      <c r="AE320" s="45">
        <v>65005.9</v>
      </c>
      <c r="AF320" s="45">
        <v>29</v>
      </c>
      <c r="AG320" s="45">
        <v>0</v>
      </c>
      <c r="AH320" s="45">
        <v>45862</v>
      </c>
      <c r="AI320" s="45">
        <v>3</v>
      </c>
      <c r="AJ320" s="45">
        <v>1</v>
      </c>
      <c r="AK320" s="45">
        <v>60098.2</v>
      </c>
      <c r="AL320" s="45">
        <v>20</v>
      </c>
      <c r="AM320" s="45">
        <v>0</v>
      </c>
      <c r="AO320" s="45">
        <v>51374.6</v>
      </c>
      <c r="AP320" s="45">
        <v>0</v>
      </c>
      <c r="AQ320" s="45">
        <v>1</v>
      </c>
      <c r="AR320" s="45">
        <v>50971</v>
      </c>
      <c r="AS320" s="45">
        <v>0</v>
      </c>
      <c r="AT320" s="45">
        <v>0</v>
      </c>
      <c r="AU320" s="45">
        <v>49552.7</v>
      </c>
      <c r="AV320" s="45">
        <v>0</v>
      </c>
      <c r="AW320" s="45">
        <v>1</v>
      </c>
      <c r="AX320" s="45">
        <v>49821.1</v>
      </c>
      <c r="AY320" s="45">
        <v>0</v>
      </c>
      <c r="AZ320" s="45">
        <v>1</v>
      </c>
    </row>
    <row r="321" spans="2:52">
      <c r="B321" s="45">
        <v>33965</v>
      </c>
      <c r="C321" s="45">
        <v>0</v>
      </c>
      <c r="D321" s="45">
        <v>0</v>
      </c>
      <c r="E321" s="45">
        <v>38892</v>
      </c>
      <c r="F321" s="45">
        <v>0</v>
      </c>
      <c r="G321" s="45">
        <v>0</v>
      </c>
      <c r="H321" s="45">
        <v>60295.1</v>
      </c>
      <c r="I321" s="45">
        <v>39</v>
      </c>
      <c r="J321" s="45">
        <v>1</v>
      </c>
      <c r="K321" s="45">
        <v>50222.8</v>
      </c>
      <c r="L321" s="45">
        <v>39</v>
      </c>
      <c r="M321" s="45">
        <v>0</v>
      </c>
      <c r="O321" s="45">
        <v>46146.3</v>
      </c>
      <c r="P321" s="45">
        <v>28</v>
      </c>
      <c r="Q321" s="45">
        <v>0</v>
      </c>
      <c r="R321" s="45">
        <v>38481.599999999999</v>
      </c>
      <c r="S321" s="45">
        <v>0</v>
      </c>
      <c r="T321" s="45">
        <v>1</v>
      </c>
      <c r="U321" s="45">
        <v>33386.699999999997</v>
      </c>
      <c r="V321" s="45">
        <v>0</v>
      </c>
      <c r="W321" s="45">
        <v>0</v>
      </c>
      <c r="X321" s="45">
        <v>34399.599999999999</v>
      </c>
      <c r="Y321" s="45">
        <v>0</v>
      </c>
      <c r="Z321" s="45">
        <v>1</v>
      </c>
      <c r="AB321" s="45">
        <v>42672.4</v>
      </c>
      <c r="AC321" s="45">
        <v>20</v>
      </c>
      <c r="AD321" s="45">
        <v>1</v>
      </c>
      <c r="AE321" s="45">
        <v>41521.9</v>
      </c>
      <c r="AF321" s="45">
        <v>0</v>
      </c>
      <c r="AG321" s="45">
        <v>0</v>
      </c>
      <c r="AH321" s="45">
        <v>34307.5</v>
      </c>
      <c r="AI321" s="45">
        <v>0</v>
      </c>
      <c r="AJ321" s="45">
        <v>0</v>
      </c>
      <c r="AK321" s="45">
        <v>34560.300000000003</v>
      </c>
      <c r="AL321" s="45">
        <v>8</v>
      </c>
      <c r="AM321" s="45">
        <v>1</v>
      </c>
      <c r="AO321" s="45">
        <v>43235.1</v>
      </c>
      <c r="AP321" s="45">
        <v>17</v>
      </c>
      <c r="AQ321" s="45">
        <v>1</v>
      </c>
      <c r="AR321" s="45">
        <v>47412.1</v>
      </c>
      <c r="AS321" s="45">
        <v>28</v>
      </c>
      <c r="AT321" s="45">
        <v>0</v>
      </c>
      <c r="AU321" s="45">
        <v>38214.699999999997</v>
      </c>
      <c r="AV321" s="45">
        <v>12</v>
      </c>
      <c r="AW321" s="45">
        <v>1</v>
      </c>
      <c r="AX321" s="45">
        <v>30753.1</v>
      </c>
      <c r="AY321" s="45">
        <v>0</v>
      </c>
      <c r="AZ321" s="45">
        <v>0</v>
      </c>
    </row>
    <row r="322" spans="2:52">
      <c r="B322" s="45">
        <v>53578.5</v>
      </c>
      <c r="C322" s="45">
        <v>0</v>
      </c>
      <c r="D322" s="45">
        <v>1</v>
      </c>
      <c r="E322" s="45">
        <v>54703.5</v>
      </c>
      <c r="F322" s="45">
        <v>0</v>
      </c>
      <c r="G322" s="45">
        <v>0</v>
      </c>
      <c r="H322" s="45">
        <v>54706.5</v>
      </c>
      <c r="I322" s="45">
        <v>0</v>
      </c>
      <c r="J322" s="45">
        <v>0</v>
      </c>
      <c r="K322" s="45">
        <v>56040.9</v>
      </c>
      <c r="L322" s="45">
        <v>0</v>
      </c>
      <c r="M322" s="45">
        <v>1</v>
      </c>
      <c r="O322" s="45">
        <v>61554.9</v>
      </c>
      <c r="P322" s="45">
        <v>0</v>
      </c>
      <c r="Q322" s="45">
        <v>0</v>
      </c>
      <c r="R322" s="45">
        <v>56150.8</v>
      </c>
      <c r="S322" s="45">
        <v>0</v>
      </c>
      <c r="T322" s="45">
        <v>1</v>
      </c>
      <c r="U322" s="45">
        <v>94215.7</v>
      </c>
      <c r="V322" s="45">
        <v>73</v>
      </c>
      <c r="W322" s="45">
        <v>1</v>
      </c>
      <c r="X322" s="45">
        <v>60221.2</v>
      </c>
      <c r="Y322" s="45">
        <v>0</v>
      </c>
      <c r="Z322" s="45">
        <v>0</v>
      </c>
      <c r="AB322" s="45">
        <v>55987</v>
      </c>
      <c r="AC322" s="45">
        <v>1</v>
      </c>
      <c r="AD322" s="45">
        <v>0</v>
      </c>
      <c r="AE322" s="45">
        <v>58632.5</v>
      </c>
      <c r="AF322" s="45">
        <v>0</v>
      </c>
      <c r="AG322" s="45">
        <v>0</v>
      </c>
      <c r="AH322" s="45">
        <v>58037.7</v>
      </c>
      <c r="AI322" s="45">
        <v>0</v>
      </c>
      <c r="AJ322" s="45">
        <v>1</v>
      </c>
      <c r="AK322" s="45">
        <v>54572</v>
      </c>
      <c r="AL322" s="45">
        <v>0</v>
      </c>
      <c r="AM322" s="45">
        <v>0</v>
      </c>
      <c r="AO322" s="45">
        <v>73826.399999999994</v>
      </c>
      <c r="AP322" s="45">
        <v>17</v>
      </c>
      <c r="AQ322" s="45">
        <v>1</v>
      </c>
      <c r="AR322" s="45">
        <v>96070.9</v>
      </c>
      <c r="AS322" s="45">
        <v>67</v>
      </c>
      <c r="AT322" s="45">
        <v>0</v>
      </c>
      <c r="AU322" s="45">
        <v>57286.6</v>
      </c>
      <c r="AV322" s="45">
        <v>0</v>
      </c>
      <c r="AW322" s="45">
        <v>1</v>
      </c>
      <c r="AX322" s="45">
        <v>62155.1</v>
      </c>
      <c r="AY322" s="45">
        <v>0</v>
      </c>
      <c r="AZ322" s="45">
        <v>0</v>
      </c>
    </row>
    <row r="323" spans="2:52">
      <c r="B323" s="45">
        <v>49606.1</v>
      </c>
      <c r="C323" s="45">
        <v>0</v>
      </c>
      <c r="D323" s="45">
        <v>0</v>
      </c>
      <c r="E323" s="45">
        <v>53000.4</v>
      </c>
      <c r="F323" s="45">
        <v>6</v>
      </c>
      <c r="G323" s="45">
        <v>0</v>
      </c>
      <c r="H323" s="45">
        <v>65781.3</v>
      </c>
      <c r="I323" s="45">
        <v>29</v>
      </c>
      <c r="J323" s="45">
        <v>1</v>
      </c>
      <c r="K323" s="45">
        <v>49929.8</v>
      </c>
      <c r="L323" s="45">
        <v>0</v>
      </c>
      <c r="M323" s="45">
        <v>0</v>
      </c>
      <c r="O323" s="45">
        <v>47419.6</v>
      </c>
      <c r="P323" s="45">
        <v>0</v>
      </c>
      <c r="Q323" s="45">
        <v>1</v>
      </c>
      <c r="R323" s="45">
        <v>57154.2</v>
      </c>
      <c r="S323" s="45">
        <v>11</v>
      </c>
      <c r="T323" s="45">
        <v>1</v>
      </c>
      <c r="U323" s="45">
        <v>82093.600000000006</v>
      </c>
      <c r="V323" s="45">
        <v>64</v>
      </c>
      <c r="W323" s="45">
        <v>0</v>
      </c>
      <c r="X323" s="45">
        <v>62342.9</v>
      </c>
      <c r="Y323" s="45">
        <v>29</v>
      </c>
      <c r="Z323" s="45">
        <v>1</v>
      </c>
      <c r="AB323" s="45">
        <v>58049.599999999999</v>
      </c>
      <c r="AC323" s="45">
        <v>19</v>
      </c>
      <c r="AD323" s="45">
        <v>0</v>
      </c>
      <c r="AE323" s="45">
        <v>55373.7</v>
      </c>
      <c r="AF323" s="45">
        <v>8</v>
      </c>
      <c r="AG323" s="45">
        <v>1</v>
      </c>
      <c r="AH323" s="45">
        <v>66061.5</v>
      </c>
      <c r="AI323" s="45">
        <v>32</v>
      </c>
      <c r="AJ323" s="45">
        <v>0</v>
      </c>
      <c r="AK323" s="45">
        <v>70121.899999999994</v>
      </c>
      <c r="AL323" s="45">
        <v>40</v>
      </c>
      <c r="AM323" s="45">
        <v>1</v>
      </c>
      <c r="AO323" s="45">
        <v>52454.6</v>
      </c>
      <c r="AP323" s="45">
        <v>6</v>
      </c>
      <c r="AQ323" s="45">
        <v>1</v>
      </c>
      <c r="AR323" s="45">
        <v>52102.3</v>
      </c>
      <c r="AS323" s="45">
        <v>3</v>
      </c>
      <c r="AT323" s="45">
        <v>0</v>
      </c>
      <c r="AU323" s="45">
        <v>50467.7</v>
      </c>
      <c r="AV323" s="45">
        <v>0</v>
      </c>
      <c r="AW323" s="45">
        <v>0</v>
      </c>
      <c r="AX323" s="45">
        <v>52355.1</v>
      </c>
      <c r="AY323" s="45">
        <v>9</v>
      </c>
      <c r="AZ323" s="45">
        <v>1</v>
      </c>
    </row>
    <row r="324" spans="2:52">
      <c r="B324" s="45">
        <v>49885.2</v>
      </c>
      <c r="C324" s="45">
        <v>0</v>
      </c>
      <c r="D324" s="45">
        <v>1</v>
      </c>
      <c r="E324" s="45">
        <v>77252</v>
      </c>
      <c r="F324" s="45">
        <v>63</v>
      </c>
      <c r="G324" s="45">
        <v>0</v>
      </c>
      <c r="H324" s="45">
        <v>46561</v>
      </c>
      <c r="I324" s="45">
        <v>0</v>
      </c>
      <c r="J324" s="45">
        <v>0</v>
      </c>
      <c r="K324" s="45">
        <v>45561.599999999999</v>
      </c>
      <c r="L324" s="45">
        <v>0</v>
      </c>
      <c r="M324" s="45">
        <v>1</v>
      </c>
      <c r="O324" s="45">
        <v>56454.1</v>
      </c>
      <c r="P324" s="45">
        <v>0</v>
      </c>
      <c r="Q324" s="45">
        <v>1</v>
      </c>
      <c r="R324" s="45">
        <v>45283.8</v>
      </c>
      <c r="S324" s="45">
        <v>0</v>
      </c>
      <c r="T324" s="45">
        <v>0</v>
      </c>
      <c r="U324" s="45">
        <v>50154.1</v>
      </c>
      <c r="V324" s="45">
        <v>0</v>
      </c>
      <c r="W324" s="45">
        <v>1</v>
      </c>
      <c r="X324" s="45">
        <v>77922.3</v>
      </c>
      <c r="Y324" s="45">
        <v>63</v>
      </c>
      <c r="Z324" s="45">
        <v>1</v>
      </c>
      <c r="AB324" s="45">
        <v>72985.7</v>
      </c>
      <c r="AC324" s="45">
        <v>41</v>
      </c>
      <c r="AD324" s="45">
        <v>0</v>
      </c>
      <c r="AE324" s="45">
        <v>63914.6</v>
      </c>
      <c r="AF324" s="45">
        <v>23</v>
      </c>
      <c r="AG324" s="45">
        <v>0</v>
      </c>
      <c r="AH324" s="45">
        <v>54607.5</v>
      </c>
      <c r="AI324" s="45">
        <v>0</v>
      </c>
      <c r="AJ324" s="45">
        <v>1</v>
      </c>
      <c r="AK324" s="45">
        <v>66844</v>
      </c>
      <c r="AL324" s="45">
        <v>42</v>
      </c>
      <c r="AM324" s="45">
        <v>0</v>
      </c>
      <c r="AO324" s="45">
        <v>83283.100000000006</v>
      </c>
      <c r="AP324" s="45">
        <v>66</v>
      </c>
      <c r="AQ324" s="45">
        <v>1</v>
      </c>
      <c r="AR324" s="45">
        <v>52434.2</v>
      </c>
      <c r="AS324" s="45">
        <v>0</v>
      </c>
      <c r="AT324" s="45">
        <v>0</v>
      </c>
      <c r="AU324" s="45">
        <v>109949</v>
      </c>
      <c r="AV324" s="45">
        <v>118</v>
      </c>
      <c r="AW324" s="45">
        <v>1</v>
      </c>
      <c r="AX324" s="45">
        <v>47065.2</v>
      </c>
      <c r="AY324" s="45">
        <v>0</v>
      </c>
      <c r="AZ324" s="45">
        <v>0</v>
      </c>
    </row>
    <row r="325" spans="2:52">
      <c r="B325" s="45">
        <v>53389.599999999999</v>
      </c>
      <c r="C325" s="45">
        <v>0</v>
      </c>
      <c r="D325" s="45">
        <v>0</v>
      </c>
      <c r="E325" s="45">
        <v>62630.5</v>
      </c>
      <c r="F325" s="45">
        <v>8</v>
      </c>
      <c r="G325" s="45">
        <v>1</v>
      </c>
      <c r="H325" s="45">
        <v>57886.5</v>
      </c>
      <c r="I325" s="45">
        <v>0</v>
      </c>
      <c r="J325" s="45">
        <v>1</v>
      </c>
      <c r="K325" s="45">
        <v>52249.4</v>
      </c>
      <c r="L325" s="45">
        <v>0</v>
      </c>
      <c r="M325" s="45">
        <v>0</v>
      </c>
      <c r="O325" s="45">
        <v>69673.8</v>
      </c>
      <c r="P325" s="45">
        <v>24</v>
      </c>
      <c r="Q325" s="45">
        <v>1</v>
      </c>
      <c r="R325" s="45">
        <v>61557.8</v>
      </c>
      <c r="S325" s="45">
        <v>0</v>
      </c>
      <c r="T325" s="45">
        <v>0</v>
      </c>
      <c r="U325" s="45">
        <v>55685.7</v>
      </c>
      <c r="V325" s="45">
        <v>0</v>
      </c>
      <c r="W325" s="45">
        <v>1</v>
      </c>
      <c r="X325" s="45">
        <v>51348.800000000003</v>
      </c>
      <c r="Y325" s="45">
        <v>0</v>
      </c>
      <c r="Z325" s="45">
        <v>1</v>
      </c>
      <c r="AB325" s="45">
        <v>66696.800000000003</v>
      </c>
      <c r="AC325" s="45">
        <v>22</v>
      </c>
      <c r="AD325" s="45">
        <v>1</v>
      </c>
      <c r="AE325" s="45">
        <v>67316</v>
      </c>
      <c r="AF325" s="45">
        <v>25</v>
      </c>
      <c r="AG325" s="45">
        <v>0</v>
      </c>
      <c r="AH325" s="45">
        <v>79737.600000000006</v>
      </c>
      <c r="AI325" s="45">
        <v>51</v>
      </c>
      <c r="AJ325" s="45">
        <v>0</v>
      </c>
      <c r="AK325" s="45">
        <v>53194.3</v>
      </c>
      <c r="AL325" s="45">
        <v>0</v>
      </c>
      <c r="AM325" s="45">
        <v>1</v>
      </c>
      <c r="AO325" s="45">
        <v>58113.9</v>
      </c>
      <c r="AP325" s="45">
        <v>0</v>
      </c>
      <c r="AQ325" s="45">
        <v>1</v>
      </c>
      <c r="AR325" s="45">
        <v>57151.3</v>
      </c>
      <c r="AS325" s="45">
        <v>0</v>
      </c>
      <c r="AT325" s="45">
        <v>0</v>
      </c>
      <c r="AU325" s="45">
        <v>52285.1</v>
      </c>
      <c r="AV325" s="45">
        <v>0</v>
      </c>
      <c r="AW325" s="45">
        <v>1</v>
      </c>
      <c r="AX325" s="45">
        <v>53069.7</v>
      </c>
      <c r="AY325" s="45">
        <v>0</v>
      </c>
      <c r="AZ325" s="45">
        <v>0</v>
      </c>
    </row>
    <row r="326" spans="2:52">
      <c r="B326" s="45">
        <v>37200.300000000003</v>
      </c>
      <c r="C326" s="45">
        <v>0</v>
      </c>
      <c r="D326" s="45">
        <v>0</v>
      </c>
      <c r="E326" s="45">
        <v>44706.6</v>
      </c>
      <c r="F326" s="45">
        <v>0</v>
      </c>
      <c r="G326" s="45">
        <v>1</v>
      </c>
      <c r="H326" s="45">
        <v>42437.2</v>
      </c>
      <c r="I326" s="45">
        <v>0</v>
      </c>
      <c r="J326" s="45">
        <v>0</v>
      </c>
      <c r="K326" s="45">
        <v>38805.800000000003</v>
      </c>
      <c r="L326" s="45">
        <v>0</v>
      </c>
      <c r="M326" s="45">
        <v>1</v>
      </c>
      <c r="O326" s="45">
        <v>45520.4</v>
      </c>
      <c r="P326" s="45">
        <v>0</v>
      </c>
      <c r="Q326" s="45">
        <v>0</v>
      </c>
      <c r="R326" s="45">
        <v>42557.1</v>
      </c>
      <c r="S326" s="45">
        <v>13</v>
      </c>
      <c r="T326" s="45">
        <v>1</v>
      </c>
      <c r="U326" s="45">
        <v>36653.300000000003</v>
      </c>
      <c r="V326" s="45">
        <v>0</v>
      </c>
      <c r="W326" s="45">
        <v>1</v>
      </c>
      <c r="X326" s="45">
        <v>41989.8</v>
      </c>
      <c r="Y326" s="45">
        <v>3</v>
      </c>
      <c r="Z326" s="45">
        <v>0</v>
      </c>
      <c r="AB326" s="45">
        <v>39987.4</v>
      </c>
      <c r="AC326" s="45">
        <v>0</v>
      </c>
      <c r="AD326" s="45">
        <v>0</v>
      </c>
      <c r="AE326" s="45">
        <v>35024.199999999997</v>
      </c>
      <c r="AF326" s="45">
        <v>0</v>
      </c>
      <c r="AG326" s="45">
        <v>0</v>
      </c>
      <c r="AH326" s="45">
        <v>43413.4</v>
      </c>
      <c r="AI326" s="45">
        <v>4</v>
      </c>
      <c r="AJ326" s="45">
        <v>1</v>
      </c>
      <c r="AK326" s="45">
        <v>38117.9</v>
      </c>
      <c r="AL326" s="45">
        <v>0</v>
      </c>
      <c r="AM326" s="45">
        <v>0</v>
      </c>
      <c r="AO326" s="45">
        <v>46250.8</v>
      </c>
      <c r="AP326" s="45">
        <v>14</v>
      </c>
      <c r="AQ326" s="45">
        <v>0</v>
      </c>
      <c r="AR326" s="45">
        <v>36042.5</v>
      </c>
      <c r="AS326" s="45">
        <v>0</v>
      </c>
      <c r="AT326" s="45">
        <v>1</v>
      </c>
      <c r="AU326" s="45">
        <v>41625.699999999997</v>
      </c>
      <c r="AV326" s="45">
        <v>0</v>
      </c>
      <c r="AW326" s="45">
        <v>0</v>
      </c>
      <c r="AX326" s="45">
        <v>39465.9</v>
      </c>
      <c r="AY326" s="45">
        <v>0</v>
      </c>
      <c r="AZ326" s="45">
        <v>1</v>
      </c>
    </row>
    <row r="327" spans="2:52">
      <c r="B327" s="45">
        <v>47097.7</v>
      </c>
      <c r="C327" s="45">
        <v>0</v>
      </c>
      <c r="D327" s="45">
        <v>0</v>
      </c>
      <c r="E327" s="45">
        <v>51452.3</v>
      </c>
      <c r="F327" s="45">
        <v>0</v>
      </c>
      <c r="G327" s="45">
        <v>0</v>
      </c>
      <c r="H327" s="45">
        <v>50218</v>
      </c>
      <c r="I327" s="45">
        <v>0</v>
      </c>
      <c r="J327" s="45">
        <v>1</v>
      </c>
      <c r="K327" s="45">
        <v>49523.9</v>
      </c>
      <c r="L327" s="45">
        <v>0</v>
      </c>
      <c r="M327" s="45">
        <v>0</v>
      </c>
      <c r="O327" s="45">
        <v>51485.2</v>
      </c>
      <c r="P327" s="45">
        <v>0</v>
      </c>
      <c r="Q327" s="45">
        <v>1</v>
      </c>
      <c r="R327" s="45">
        <v>56063.7</v>
      </c>
      <c r="S327" s="45">
        <v>0</v>
      </c>
      <c r="T327" s="45">
        <v>0</v>
      </c>
      <c r="U327" s="45">
        <v>50953.1</v>
      </c>
      <c r="V327" s="45">
        <v>0</v>
      </c>
      <c r="W327" s="45">
        <v>1</v>
      </c>
      <c r="X327" s="45">
        <v>51403.6</v>
      </c>
      <c r="Y327" s="45">
        <v>0</v>
      </c>
      <c r="Z327" s="45">
        <v>1</v>
      </c>
      <c r="AB327" s="45">
        <v>59790.7</v>
      </c>
      <c r="AC327" s="45">
        <v>0</v>
      </c>
      <c r="AD327" s="45">
        <v>0</v>
      </c>
      <c r="AE327" s="45">
        <v>53887.1</v>
      </c>
      <c r="AF327" s="45">
        <v>0</v>
      </c>
      <c r="AG327" s="45">
        <v>0</v>
      </c>
      <c r="AH327" s="45">
        <v>50747.4</v>
      </c>
      <c r="AI327" s="45">
        <v>0</v>
      </c>
      <c r="AJ327" s="45">
        <v>1</v>
      </c>
      <c r="AK327" s="45">
        <v>48923.9</v>
      </c>
      <c r="AL327" s="45">
        <v>0</v>
      </c>
      <c r="AM327" s="45">
        <v>0</v>
      </c>
      <c r="AO327" s="45">
        <v>54327.6</v>
      </c>
      <c r="AP327" s="45">
        <v>0</v>
      </c>
      <c r="AQ327" s="45">
        <v>0</v>
      </c>
      <c r="AR327" s="45">
        <v>58715.5</v>
      </c>
      <c r="AS327" s="45">
        <v>0</v>
      </c>
      <c r="AT327" s="45">
        <v>0</v>
      </c>
      <c r="AU327" s="45">
        <v>50709.599999999999</v>
      </c>
      <c r="AV327" s="45">
        <v>0</v>
      </c>
      <c r="AW327" s="45">
        <v>1</v>
      </c>
      <c r="AX327" s="45">
        <v>47638</v>
      </c>
      <c r="AY327" s="45">
        <v>0</v>
      </c>
      <c r="AZ327" s="45">
        <v>0</v>
      </c>
    </row>
    <row r="328" spans="2:52">
      <c r="B328" s="45">
        <v>75512.800000000003</v>
      </c>
      <c r="C328" s="45">
        <v>59</v>
      </c>
      <c r="D328" s="45">
        <v>1</v>
      </c>
      <c r="E328" s="45">
        <v>87262.399999999994</v>
      </c>
      <c r="F328" s="45">
        <v>81</v>
      </c>
      <c r="G328" s="45">
        <v>0</v>
      </c>
      <c r="H328" s="45">
        <v>60553.7</v>
      </c>
      <c r="I328" s="45">
        <v>34</v>
      </c>
      <c r="J328" s="45">
        <v>1</v>
      </c>
      <c r="K328" s="45">
        <v>60312.9</v>
      </c>
      <c r="L328" s="45">
        <v>38</v>
      </c>
      <c r="M328" s="45">
        <v>0</v>
      </c>
      <c r="O328" s="45">
        <v>70723</v>
      </c>
      <c r="P328" s="45">
        <v>52</v>
      </c>
      <c r="Q328" s="45">
        <v>1</v>
      </c>
      <c r="R328" s="45">
        <v>83122.899999999994</v>
      </c>
      <c r="S328" s="45">
        <v>72</v>
      </c>
      <c r="T328" s="45">
        <v>0</v>
      </c>
      <c r="U328" s="45">
        <v>67263</v>
      </c>
      <c r="V328" s="45">
        <v>47</v>
      </c>
      <c r="W328" s="45">
        <v>1</v>
      </c>
      <c r="X328" s="45">
        <v>55506</v>
      </c>
      <c r="Y328" s="45">
        <v>20</v>
      </c>
      <c r="Z328" s="45">
        <v>1</v>
      </c>
      <c r="AB328" s="45">
        <v>51777.2</v>
      </c>
      <c r="AC328" s="45">
        <v>0</v>
      </c>
      <c r="AD328" s="45">
        <v>1</v>
      </c>
      <c r="AE328" s="45">
        <v>61358.8</v>
      </c>
      <c r="AF328" s="45">
        <v>21</v>
      </c>
      <c r="AG328" s="45">
        <v>0</v>
      </c>
      <c r="AH328" s="45">
        <v>54194.9</v>
      </c>
      <c r="AI328" s="45">
        <v>18</v>
      </c>
      <c r="AJ328" s="45">
        <v>0</v>
      </c>
      <c r="AK328" s="45">
        <v>44702.9</v>
      </c>
      <c r="AL328" s="45">
        <v>0</v>
      </c>
      <c r="AM328" s="45">
        <v>1</v>
      </c>
      <c r="AO328" s="45">
        <v>57895.7</v>
      </c>
      <c r="AP328" s="45">
        <v>31</v>
      </c>
      <c r="AQ328" s="45">
        <v>1</v>
      </c>
      <c r="AR328" s="45">
        <v>51191.6</v>
      </c>
      <c r="AS328" s="45">
        <v>0</v>
      </c>
      <c r="AT328" s="45">
        <v>0</v>
      </c>
      <c r="AU328" s="45">
        <v>65045.7</v>
      </c>
      <c r="AV328" s="45">
        <v>24</v>
      </c>
      <c r="AW328" s="45">
        <v>1</v>
      </c>
      <c r="AX328" s="45">
        <v>64062.5</v>
      </c>
      <c r="AY328" s="45">
        <v>27</v>
      </c>
      <c r="AZ328" s="45">
        <v>0</v>
      </c>
    </row>
    <row r="329" spans="2:52">
      <c r="B329" s="45">
        <v>62996.5</v>
      </c>
      <c r="C329" s="45">
        <v>1</v>
      </c>
      <c r="D329" s="45">
        <v>1</v>
      </c>
      <c r="E329" s="45">
        <v>55846.7</v>
      </c>
      <c r="F329" s="45">
        <v>0</v>
      </c>
      <c r="G329" s="45">
        <v>0</v>
      </c>
      <c r="H329" s="45">
        <v>61508.7</v>
      </c>
      <c r="I329" s="45">
        <v>0</v>
      </c>
      <c r="J329" s="45">
        <v>0</v>
      </c>
      <c r="K329" s="45">
        <v>76310.7</v>
      </c>
      <c r="L329" s="45">
        <v>38</v>
      </c>
      <c r="M329" s="45">
        <v>1</v>
      </c>
      <c r="O329" s="45">
        <v>57770.6</v>
      </c>
      <c r="P329" s="45">
        <v>0</v>
      </c>
      <c r="Q329" s="45">
        <v>1</v>
      </c>
      <c r="R329" s="45">
        <v>61979.3</v>
      </c>
      <c r="S329" s="45">
        <v>0</v>
      </c>
      <c r="T329" s="45">
        <v>0</v>
      </c>
      <c r="U329" s="45">
        <v>61426.1</v>
      </c>
      <c r="V329" s="45">
        <v>0</v>
      </c>
      <c r="W329" s="45">
        <v>1</v>
      </c>
      <c r="X329" s="45">
        <v>61805.7</v>
      </c>
      <c r="Y329" s="45">
        <v>0</v>
      </c>
      <c r="Z329" s="45">
        <v>0</v>
      </c>
      <c r="AB329" s="45">
        <v>59611.9</v>
      </c>
      <c r="AC329" s="45">
        <v>0</v>
      </c>
      <c r="AD329" s="45">
        <v>0</v>
      </c>
      <c r="AE329" s="45">
        <v>63325.2</v>
      </c>
      <c r="AF329" s="45">
        <v>0</v>
      </c>
      <c r="AG329" s="45">
        <v>1</v>
      </c>
      <c r="AH329" s="45">
        <v>60607.4</v>
      </c>
      <c r="AI329" s="45">
        <v>0</v>
      </c>
      <c r="AJ329" s="45">
        <v>0</v>
      </c>
      <c r="AK329" s="45">
        <v>56194.9</v>
      </c>
      <c r="AL329" s="45">
        <v>0</v>
      </c>
      <c r="AM329" s="45">
        <v>0</v>
      </c>
      <c r="AO329" s="45">
        <v>58795.7</v>
      </c>
      <c r="AP329" s="45">
        <v>0</v>
      </c>
      <c r="AQ329" s="45">
        <v>1</v>
      </c>
      <c r="AR329" s="45">
        <v>67184</v>
      </c>
      <c r="AS329" s="45">
        <v>11</v>
      </c>
      <c r="AT329" s="45">
        <v>0</v>
      </c>
      <c r="AU329" s="45">
        <v>57744.2</v>
      </c>
      <c r="AV329" s="45">
        <v>0</v>
      </c>
      <c r="AW329" s="45">
        <v>0</v>
      </c>
      <c r="AX329" s="45">
        <v>79666.399999999994</v>
      </c>
      <c r="AY329" s="45">
        <v>38</v>
      </c>
      <c r="AZ329" s="45">
        <v>1</v>
      </c>
    </row>
    <row r="330" spans="2:52">
      <c r="B330" s="45">
        <v>60074.7</v>
      </c>
      <c r="C330" s="45">
        <v>0</v>
      </c>
      <c r="D330" s="45">
        <v>0</v>
      </c>
      <c r="E330" s="45">
        <v>54159.7</v>
      </c>
      <c r="F330" s="45">
        <v>0</v>
      </c>
      <c r="G330" s="45">
        <v>1</v>
      </c>
      <c r="H330" s="45">
        <v>60688.4</v>
      </c>
      <c r="I330" s="45">
        <v>0</v>
      </c>
      <c r="J330" s="45">
        <v>0</v>
      </c>
      <c r="K330" s="45">
        <v>54270.7</v>
      </c>
      <c r="L330" s="45">
        <v>0</v>
      </c>
      <c r="M330" s="45">
        <v>1</v>
      </c>
      <c r="O330" s="45">
        <v>58343.5</v>
      </c>
      <c r="P330" s="45">
        <v>0</v>
      </c>
      <c r="Q330" s="45">
        <v>1</v>
      </c>
      <c r="R330" s="45">
        <v>80351.100000000006</v>
      </c>
      <c r="S330" s="45">
        <v>35</v>
      </c>
      <c r="T330" s="45">
        <v>1</v>
      </c>
      <c r="U330" s="45">
        <v>53727.5</v>
      </c>
      <c r="V330" s="45">
        <v>0</v>
      </c>
      <c r="W330" s="45">
        <v>1</v>
      </c>
      <c r="X330" s="45">
        <v>67360.7</v>
      </c>
      <c r="Y330" s="45">
        <v>20</v>
      </c>
      <c r="Z330" s="45">
        <v>0</v>
      </c>
      <c r="AB330" s="45">
        <v>84613.5</v>
      </c>
      <c r="AC330" s="45">
        <v>41</v>
      </c>
      <c r="AD330" s="45">
        <v>1</v>
      </c>
      <c r="AE330" s="45">
        <v>60453</v>
      </c>
      <c r="AF330" s="45">
        <v>1</v>
      </c>
      <c r="AG330" s="45">
        <v>0</v>
      </c>
      <c r="AH330" s="45">
        <v>104942</v>
      </c>
      <c r="AI330" s="45">
        <v>97</v>
      </c>
      <c r="AJ330" s="45">
        <v>1</v>
      </c>
      <c r="AK330" s="45">
        <v>59725.3</v>
      </c>
      <c r="AL330" s="45">
        <v>0</v>
      </c>
      <c r="AM330" s="45">
        <v>0</v>
      </c>
      <c r="AO330" s="45">
        <v>55038.2</v>
      </c>
      <c r="AP330" s="45">
        <v>1</v>
      </c>
      <c r="AQ330" s="45">
        <v>0</v>
      </c>
      <c r="AR330" s="45">
        <v>59035.4</v>
      </c>
      <c r="AS330" s="45">
        <v>0</v>
      </c>
      <c r="AT330" s="45">
        <v>1</v>
      </c>
      <c r="AU330" s="45">
        <v>65541.399999999994</v>
      </c>
      <c r="AV330" s="45">
        <v>16</v>
      </c>
      <c r="AW330" s="45">
        <v>0</v>
      </c>
      <c r="AX330" s="45">
        <v>66847.899999999994</v>
      </c>
      <c r="AY330" s="45">
        <v>13</v>
      </c>
      <c r="AZ330" s="45">
        <v>1</v>
      </c>
    </row>
    <row r="331" spans="2:52">
      <c r="B331" s="45">
        <v>81293.399999999994</v>
      </c>
      <c r="C331" s="45">
        <v>0</v>
      </c>
      <c r="D331" s="45">
        <v>0</v>
      </c>
      <c r="E331" s="45">
        <v>81645.899999999994</v>
      </c>
      <c r="F331" s="45">
        <v>0</v>
      </c>
      <c r="G331" s="45">
        <v>0</v>
      </c>
      <c r="H331" s="45">
        <v>83742.8</v>
      </c>
      <c r="I331" s="45">
        <v>0</v>
      </c>
      <c r="J331" s="45">
        <v>0</v>
      </c>
      <c r="K331" s="45">
        <v>78524.3</v>
      </c>
      <c r="L331" s="45">
        <v>0</v>
      </c>
      <c r="M331" s="45">
        <v>1</v>
      </c>
      <c r="O331" s="45">
        <v>78177</v>
      </c>
      <c r="P331" s="45">
        <v>0</v>
      </c>
      <c r="Q331" s="45">
        <v>1</v>
      </c>
      <c r="R331" s="45">
        <v>82845.8</v>
      </c>
      <c r="S331" s="45">
        <v>0</v>
      </c>
      <c r="T331" s="45">
        <v>0</v>
      </c>
      <c r="U331" s="45">
        <v>78852.600000000006</v>
      </c>
      <c r="V331" s="45">
        <v>0</v>
      </c>
      <c r="W331" s="45">
        <v>0</v>
      </c>
      <c r="X331" s="45">
        <v>81293</v>
      </c>
      <c r="Y331" s="45">
        <v>0</v>
      </c>
      <c r="Z331" s="45">
        <v>1</v>
      </c>
      <c r="AB331" s="45">
        <v>79292.5</v>
      </c>
      <c r="AC331" s="45">
        <v>0</v>
      </c>
      <c r="AD331" s="45">
        <v>0</v>
      </c>
      <c r="AE331" s="45">
        <v>83701.5</v>
      </c>
      <c r="AF331" s="45">
        <v>0</v>
      </c>
      <c r="AG331" s="45">
        <v>0</v>
      </c>
      <c r="AH331" s="45">
        <v>81567.100000000006</v>
      </c>
      <c r="AI331" s="45">
        <v>0</v>
      </c>
      <c r="AJ331" s="45">
        <v>1</v>
      </c>
      <c r="AK331" s="45">
        <v>76104.5</v>
      </c>
      <c r="AL331" s="45">
        <v>0</v>
      </c>
      <c r="AM331" s="45">
        <v>0</v>
      </c>
      <c r="AO331" s="45">
        <v>75707.8</v>
      </c>
      <c r="AP331" s="45">
        <v>0</v>
      </c>
      <c r="AQ331" s="45">
        <v>0</v>
      </c>
      <c r="AR331" s="45">
        <v>76274</v>
      </c>
      <c r="AS331" s="45">
        <v>0</v>
      </c>
      <c r="AT331" s="45">
        <v>0</v>
      </c>
      <c r="AU331" s="45">
        <v>77301.100000000006</v>
      </c>
      <c r="AV331" s="45">
        <v>0</v>
      </c>
      <c r="AW331" s="45">
        <v>1</v>
      </c>
      <c r="AX331" s="45">
        <v>86520.9</v>
      </c>
      <c r="AY331" s="45">
        <v>25</v>
      </c>
      <c r="AZ331" s="45">
        <v>0</v>
      </c>
    </row>
    <row r="332" spans="2:52">
      <c r="B332" s="45">
        <v>99416.2</v>
      </c>
      <c r="C332" s="45">
        <v>88</v>
      </c>
      <c r="D332" s="45">
        <v>0</v>
      </c>
      <c r="E332" s="45">
        <v>55507.1</v>
      </c>
      <c r="F332" s="45">
        <v>0</v>
      </c>
      <c r="G332" s="45">
        <v>1</v>
      </c>
      <c r="H332" s="45">
        <v>57876.7</v>
      </c>
      <c r="I332" s="45">
        <v>0</v>
      </c>
      <c r="J332" s="45">
        <v>0</v>
      </c>
      <c r="K332" s="45">
        <v>53082.5</v>
      </c>
      <c r="L332" s="45">
        <v>0</v>
      </c>
      <c r="M332" s="45">
        <v>0</v>
      </c>
      <c r="O332" s="45">
        <v>65302.6</v>
      </c>
      <c r="P332" s="45">
        <v>20</v>
      </c>
      <c r="Q332" s="45">
        <v>0</v>
      </c>
      <c r="R332" s="45">
        <v>55187.6</v>
      </c>
      <c r="S332" s="45">
        <v>0</v>
      </c>
      <c r="T332" s="45">
        <v>0</v>
      </c>
      <c r="U332" s="45">
        <v>59345.2</v>
      </c>
      <c r="V332" s="45">
        <v>0</v>
      </c>
      <c r="W332" s="45">
        <v>1</v>
      </c>
      <c r="X332" s="45">
        <v>56513.4</v>
      </c>
      <c r="Y332" s="45">
        <v>0</v>
      </c>
      <c r="Z332" s="45">
        <v>0</v>
      </c>
      <c r="AB332" s="45">
        <v>70103</v>
      </c>
      <c r="AC332" s="45">
        <v>26</v>
      </c>
      <c r="AD332" s="45">
        <v>0</v>
      </c>
      <c r="AE332" s="45">
        <v>64450.7</v>
      </c>
      <c r="AF332" s="45">
        <v>12</v>
      </c>
      <c r="AG332" s="45">
        <v>1</v>
      </c>
      <c r="AH332" s="45">
        <v>58259</v>
      </c>
      <c r="AI332" s="45">
        <v>10</v>
      </c>
      <c r="AJ332" s="45">
        <v>0</v>
      </c>
      <c r="AK332" s="45">
        <v>50985.599999999999</v>
      </c>
      <c r="AL332" s="45">
        <v>0</v>
      </c>
      <c r="AM332" s="45">
        <v>0</v>
      </c>
      <c r="AO332" s="45">
        <v>55049.9</v>
      </c>
      <c r="AP332" s="45">
        <v>0</v>
      </c>
      <c r="AQ332" s="45">
        <v>1</v>
      </c>
      <c r="AR332" s="45">
        <v>59310</v>
      </c>
      <c r="AS332" s="45">
        <v>0</v>
      </c>
      <c r="AT332" s="45">
        <v>0</v>
      </c>
      <c r="AU332" s="45">
        <v>92345.7</v>
      </c>
      <c r="AV332" s="45">
        <v>84</v>
      </c>
      <c r="AW332" s="45">
        <v>0</v>
      </c>
      <c r="AX332" s="45">
        <v>54825.2</v>
      </c>
      <c r="AY332" s="45">
        <v>0</v>
      </c>
      <c r="AZ332" s="45">
        <v>1</v>
      </c>
    </row>
    <row r="333" spans="2:52">
      <c r="B333" s="45">
        <v>60508.3</v>
      </c>
      <c r="C333" s="45">
        <v>6</v>
      </c>
      <c r="D333" s="45">
        <v>1</v>
      </c>
      <c r="E333" s="45">
        <v>54499.8</v>
      </c>
      <c r="F333" s="45">
        <v>3</v>
      </c>
      <c r="G333" s="45">
        <v>1</v>
      </c>
      <c r="H333" s="45">
        <v>53425.9</v>
      </c>
      <c r="I333" s="45">
        <v>0</v>
      </c>
      <c r="J333" s="45">
        <v>0</v>
      </c>
      <c r="K333" s="45">
        <v>49649.2</v>
      </c>
      <c r="L333" s="45">
        <v>0</v>
      </c>
      <c r="M333" s="45">
        <v>0</v>
      </c>
      <c r="O333" s="45">
        <v>51074.7</v>
      </c>
      <c r="P333" s="45">
        <v>0</v>
      </c>
      <c r="Q333" s="45">
        <v>0</v>
      </c>
      <c r="R333" s="45">
        <v>52788</v>
      </c>
      <c r="S333" s="45">
        <v>0</v>
      </c>
      <c r="T333" s="45">
        <v>1</v>
      </c>
      <c r="U333" s="45">
        <v>81982.600000000006</v>
      </c>
      <c r="V333" s="45">
        <v>57</v>
      </c>
      <c r="W333" s="45">
        <v>0</v>
      </c>
      <c r="X333" s="45">
        <v>51074.7</v>
      </c>
      <c r="Y333" s="45">
        <v>6</v>
      </c>
      <c r="Z333" s="45">
        <v>1</v>
      </c>
      <c r="AB333" s="45">
        <v>61492.7</v>
      </c>
      <c r="AC333" s="45">
        <v>15</v>
      </c>
      <c r="AD333" s="45">
        <v>1</v>
      </c>
      <c r="AE333" s="45">
        <v>49609.9</v>
      </c>
      <c r="AF333" s="45">
        <v>0</v>
      </c>
      <c r="AG333" s="45">
        <v>0</v>
      </c>
      <c r="AH333" s="45">
        <v>51108.4</v>
      </c>
      <c r="AI333" s="45">
        <v>0</v>
      </c>
      <c r="AJ333" s="45">
        <v>0</v>
      </c>
      <c r="AK333" s="45">
        <v>50637</v>
      </c>
      <c r="AL333" s="45">
        <v>0</v>
      </c>
      <c r="AM333" s="45">
        <v>1</v>
      </c>
      <c r="AO333" s="45">
        <v>64705.5</v>
      </c>
      <c r="AP333" s="45">
        <v>34</v>
      </c>
      <c r="AQ333" s="45">
        <v>0</v>
      </c>
      <c r="AR333" s="45">
        <v>62575.5</v>
      </c>
      <c r="AS333" s="45">
        <v>22</v>
      </c>
      <c r="AT333" s="45">
        <v>1</v>
      </c>
      <c r="AU333" s="45">
        <v>51704.1</v>
      </c>
      <c r="AV333" s="45">
        <v>0</v>
      </c>
      <c r="AW333" s="45">
        <v>0</v>
      </c>
      <c r="AX333" s="45">
        <v>49119.3</v>
      </c>
      <c r="AY333" s="45">
        <v>0</v>
      </c>
      <c r="AZ333" s="45">
        <v>1</v>
      </c>
    </row>
    <row r="334" spans="2:52">
      <c r="B334" s="45">
        <v>55022.3</v>
      </c>
      <c r="C334" s="45">
        <v>0</v>
      </c>
      <c r="D334" s="45">
        <v>1</v>
      </c>
      <c r="E334" s="45">
        <v>57270.8</v>
      </c>
      <c r="F334" s="45">
        <v>3</v>
      </c>
      <c r="G334" s="45">
        <v>0</v>
      </c>
      <c r="H334" s="45">
        <v>59020.5</v>
      </c>
      <c r="I334" s="45">
        <v>0</v>
      </c>
      <c r="J334" s="45">
        <v>0</v>
      </c>
      <c r="K334" s="45">
        <v>53720.5</v>
      </c>
      <c r="L334" s="45">
        <v>0</v>
      </c>
      <c r="M334" s="45">
        <v>1</v>
      </c>
      <c r="O334" s="45">
        <v>60935.1</v>
      </c>
      <c r="P334" s="45">
        <v>0</v>
      </c>
      <c r="Q334" s="45">
        <v>0</v>
      </c>
      <c r="R334" s="45">
        <v>61652</v>
      </c>
      <c r="S334" s="45">
        <v>0</v>
      </c>
      <c r="T334" s="45">
        <v>1</v>
      </c>
      <c r="U334" s="45">
        <v>90859</v>
      </c>
      <c r="V334" s="45">
        <v>76</v>
      </c>
      <c r="W334" s="45">
        <v>0</v>
      </c>
      <c r="X334" s="45">
        <v>51669</v>
      </c>
      <c r="Y334" s="45">
        <v>0</v>
      </c>
      <c r="Z334" s="45">
        <v>0</v>
      </c>
      <c r="AB334" s="45">
        <v>58042.1</v>
      </c>
      <c r="AC334" s="45">
        <v>0</v>
      </c>
      <c r="AD334" s="45">
        <v>0</v>
      </c>
      <c r="AE334" s="45">
        <v>90682.8</v>
      </c>
      <c r="AF334" s="45">
        <v>61</v>
      </c>
      <c r="AG334" s="45">
        <v>1</v>
      </c>
      <c r="AH334" s="45">
        <v>57567.9</v>
      </c>
      <c r="AI334" s="45">
        <v>0</v>
      </c>
      <c r="AJ334" s="45">
        <v>0</v>
      </c>
      <c r="AK334" s="45">
        <v>48408.9</v>
      </c>
      <c r="AL334" s="45">
        <v>0</v>
      </c>
      <c r="AM334" s="45">
        <v>0</v>
      </c>
      <c r="AO334" s="45">
        <v>60703.199999999997</v>
      </c>
      <c r="AP334" s="45">
        <v>18</v>
      </c>
      <c r="AQ334" s="45">
        <v>0</v>
      </c>
      <c r="AR334" s="45">
        <v>54449.8</v>
      </c>
      <c r="AS334" s="45">
        <v>0</v>
      </c>
      <c r="AT334" s="45">
        <v>1</v>
      </c>
      <c r="AU334" s="45">
        <v>50934.9</v>
      </c>
      <c r="AV334" s="45">
        <v>0</v>
      </c>
      <c r="AW334" s="45">
        <v>1</v>
      </c>
      <c r="AX334" s="45">
        <v>54387.9</v>
      </c>
      <c r="AY334" s="45">
        <v>0</v>
      </c>
      <c r="AZ334" s="45">
        <v>0</v>
      </c>
    </row>
    <row r="335" spans="2:52">
      <c r="B335" s="45">
        <v>77736.800000000003</v>
      </c>
      <c r="C335" s="45">
        <v>52</v>
      </c>
      <c r="D335" s="45">
        <v>1</v>
      </c>
      <c r="E335" s="45">
        <v>75167.399999999994</v>
      </c>
      <c r="F335" s="45">
        <v>40</v>
      </c>
      <c r="G335" s="45">
        <v>0</v>
      </c>
      <c r="H335" s="45">
        <v>59978.9</v>
      </c>
      <c r="I335" s="45">
        <v>0</v>
      </c>
      <c r="J335" s="45">
        <v>1</v>
      </c>
      <c r="K335" s="45">
        <v>63835.9</v>
      </c>
      <c r="L335" s="45">
        <v>7</v>
      </c>
      <c r="M335" s="45">
        <v>0</v>
      </c>
      <c r="O335" s="45">
        <v>67466.100000000006</v>
      </c>
      <c r="P335" s="45">
        <v>19</v>
      </c>
      <c r="Q335" s="45">
        <v>1</v>
      </c>
      <c r="R335" s="45">
        <v>77309.7</v>
      </c>
      <c r="S335" s="45">
        <v>44</v>
      </c>
      <c r="T335" s="45">
        <v>0</v>
      </c>
      <c r="U335" s="45">
        <v>55719</v>
      </c>
      <c r="V335" s="45">
        <v>0</v>
      </c>
      <c r="W335" s="45">
        <v>1</v>
      </c>
      <c r="X335" s="45">
        <v>65539</v>
      </c>
      <c r="Y335" s="45">
        <v>32</v>
      </c>
      <c r="Z335" s="45">
        <v>0</v>
      </c>
      <c r="AB335" s="45">
        <v>73966.600000000006</v>
      </c>
      <c r="AC335" s="45">
        <v>36</v>
      </c>
      <c r="AD335" s="45">
        <v>1</v>
      </c>
      <c r="AE335" s="45">
        <v>78208.100000000006</v>
      </c>
      <c r="AF335" s="45">
        <v>37</v>
      </c>
      <c r="AG335" s="45">
        <v>0</v>
      </c>
      <c r="AH335" s="45">
        <v>66435.8</v>
      </c>
      <c r="AI335" s="45">
        <v>22</v>
      </c>
      <c r="AJ335" s="45">
        <v>1</v>
      </c>
      <c r="AK335" s="45">
        <v>54483.4</v>
      </c>
      <c r="AL335" s="45">
        <v>0</v>
      </c>
      <c r="AM335" s="45">
        <v>0</v>
      </c>
      <c r="AO335" s="45">
        <v>54640.2</v>
      </c>
      <c r="AP335" s="45">
        <v>0</v>
      </c>
      <c r="AQ335" s="45">
        <v>1</v>
      </c>
      <c r="AR335" s="45">
        <v>95088</v>
      </c>
      <c r="AS335" s="45">
        <v>84</v>
      </c>
      <c r="AT335" s="45">
        <v>0</v>
      </c>
      <c r="AU335" s="45">
        <v>74409.2</v>
      </c>
      <c r="AV335" s="45">
        <v>30</v>
      </c>
      <c r="AW335" s="45">
        <v>1</v>
      </c>
      <c r="AX335" s="45">
        <v>57954.9</v>
      </c>
      <c r="AY335" s="45">
        <v>0</v>
      </c>
      <c r="AZ335" s="45">
        <v>0</v>
      </c>
    </row>
    <row r="336" spans="2:52">
      <c r="B336" s="45">
        <v>80794.100000000006</v>
      </c>
      <c r="C336" s="45">
        <v>0</v>
      </c>
      <c r="D336" s="45">
        <v>0</v>
      </c>
      <c r="E336" s="45">
        <v>65681.100000000006</v>
      </c>
      <c r="F336" s="45">
        <v>0</v>
      </c>
      <c r="G336" s="45">
        <v>1</v>
      </c>
      <c r="H336" s="45">
        <v>70074.7</v>
      </c>
      <c r="I336" s="45">
        <v>0</v>
      </c>
      <c r="J336" s="45">
        <v>0</v>
      </c>
      <c r="K336" s="45">
        <v>76357</v>
      </c>
      <c r="L336" s="45">
        <v>0</v>
      </c>
      <c r="M336" s="45">
        <v>0</v>
      </c>
      <c r="O336" s="45">
        <v>69739.3</v>
      </c>
      <c r="P336" s="45">
        <v>0</v>
      </c>
      <c r="Q336" s="45">
        <v>1</v>
      </c>
      <c r="R336" s="45">
        <v>72410.399999999994</v>
      </c>
      <c r="S336" s="45">
        <v>0</v>
      </c>
      <c r="T336" s="45">
        <v>0</v>
      </c>
      <c r="U336" s="45">
        <v>69239.399999999994</v>
      </c>
      <c r="V336" s="45">
        <v>0</v>
      </c>
      <c r="W336" s="45">
        <v>1</v>
      </c>
      <c r="X336" s="45">
        <v>68169.7</v>
      </c>
      <c r="Y336" s="45">
        <v>0</v>
      </c>
      <c r="Z336" s="45">
        <v>0</v>
      </c>
      <c r="AB336" s="45">
        <v>71719.8</v>
      </c>
      <c r="AC336" s="45">
        <v>0</v>
      </c>
      <c r="AD336" s="45">
        <v>1</v>
      </c>
      <c r="AE336" s="45">
        <v>70163.600000000006</v>
      </c>
      <c r="AF336" s="45">
        <v>0</v>
      </c>
      <c r="AG336" s="45">
        <v>0</v>
      </c>
      <c r="AH336" s="45">
        <v>69615.899999999994</v>
      </c>
      <c r="AI336" s="45">
        <v>0</v>
      </c>
      <c r="AJ336" s="45">
        <v>0</v>
      </c>
      <c r="AK336" s="45">
        <v>63493.1</v>
      </c>
      <c r="AL336" s="45">
        <v>0</v>
      </c>
      <c r="AM336" s="45">
        <v>1</v>
      </c>
      <c r="AO336" s="45">
        <v>73108.800000000003</v>
      </c>
      <c r="AP336" s="45">
        <v>0</v>
      </c>
      <c r="AQ336" s="45">
        <v>1</v>
      </c>
      <c r="AR336" s="45">
        <v>69765.8</v>
      </c>
      <c r="AS336" s="45">
        <v>0</v>
      </c>
      <c r="AT336" s="45">
        <v>0</v>
      </c>
      <c r="AU336" s="45">
        <v>68956.800000000003</v>
      </c>
      <c r="AV336" s="45">
        <v>0</v>
      </c>
      <c r="AW336" s="45">
        <v>0</v>
      </c>
      <c r="AX336" s="45">
        <v>65266.3</v>
      </c>
      <c r="AY336" s="45">
        <v>0</v>
      </c>
      <c r="AZ336" s="45">
        <v>1</v>
      </c>
    </row>
    <row r="337" spans="2:52">
      <c r="B337" s="45">
        <v>65713.899999999994</v>
      </c>
      <c r="C337" s="45">
        <v>0</v>
      </c>
      <c r="D337" s="45">
        <v>1</v>
      </c>
      <c r="E337" s="45">
        <v>68605.7</v>
      </c>
      <c r="F337" s="45">
        <v>5</v>
      </c>
      <c r="G337" s="45">
        <v>0</v>
      </c>
      <c r="H337" s="45">
        <v>82441.5</v>
      </c>
      <c r="I337" s="45">
        <v>38</v>
      </c>
      <c r="J337" s="45">
        <v>0</v>
      </c>
      <c r="K337" s="45">
        <v>63992.4</v>
      </c>
      <c r="L337" s="45">
        <v>0</v>
      </c>
      <c r="M337" s="45">
        <v>1</v>
      </c>
      <c r="O337" s="45">
        <v>66271.5</v>
      </c>
      <c r="P337" s="45">
        <v>5</v>
      </c>
      <c r="Q337" s="45">
        <v>1</v>
      </c>
      <c r="R337" s="45">
        <v>59699.5</v>
      </c>
      <c r="S337" s="45">
        <v>0</v>
      </c>
      <c r="T337" s="45">
        <v>0</v>
      </c>
      <c r="U337" s="45">
        <v>80191.7</v>
      </c>
      <c r="V337" s="45">
        <v>29</v>
      </c>
      <c r="W337" s="45">
        <v>1</v>
      </c>
      <c r="X337" s="45">
        <v>74891.3</v>
      </c>
      <c r="Y337" s="45">
        <v>29</v>
      </c>
      <c r="Z337" s="45">
        <v>1</v>
      </c>
      <c r="AB337" s="45">
        <v>70020.3</v>
      </c>
      <c r="AC337" s="45">
        <v>21</v>
      </c>
      <c r="AD337" s="45">
        <v>0</v>
      </c>
      <c r="AE337" s="45">
        <v>103205</v>
      </c>
      <c r="AF337" s="45">
        <v>76</v>
      </c>
      <c r="AG337" s="45">
        <v>1</v>
      </c>
      <c r="AH337" s="45">
        <v>100676</v>
      </c>
      <c r="AI337" s="45">
        <v>80</v>
      </c>
      <c r="AJ337" s="45">
        <v>0</v>
      </c>
      <c r="AK337" s="45">
        <v>86006.5</v>
      </c>
      <c r="AL337" s="45">
        <v>54</v>
      </c>
      <c r="AM337" s="45">
        <v>0</v>
      </c>
      <c r="AO337" s="45">
        <v>86013</v>
      </c>
      <c r="AP337" s="45">
        <v>52</v>
      </c>
      <c r="AQ337" s="45">
        <v>0</v>
      </c>
      <c r="AR337" s="45">
        <v>64777</v>
      </c>
      <c r="AS337" s="45">
        <v>0</v>
      </c>
      <c r="AT337" s="45">
        <v>1</v>
      </c>
      <c r="AU337" s="45">
        <v>59829.3</v>
      </c>
      <c r="AV337" s="45">
        <v>0</v>
      </c>
      <c r="AW337" s="45">
        <v>0</v>
      </c>
      <c r="AX337" s="45">
        <v>62237</v>
      </c>
      <c r="AY337" s="45">
        <v>0</v>
      </c>
      <c r="AZ337" s="45">
        <v>0</v>
      </c>
    </row>
    <row r="338" spans="2:52">
      <c r="B338" s="45">
        <v>49316.800000000003</v>
      </c>
      <c r="C338" s="45">
        <v>0</v>
      </c>
      <c r="D338" s="45">
        <v>0</v>
      </c>
      <c r="E338" s="45">
        <v>50938.3</v>
      </c>
      <c r="F338" s="45">
        <v>0</v>
      </c>
      <c r="G338" s="45">
        <v>0</v>
      </c>
      <c r="H338" s="45">
        <v>48918.8</v>
      </c>
      <c r="I338" s="45">
        <v>0</v>
      </c>
      <c r="J338" s="45">
        <v>1</v>
      </c>
      <c r="K338" s="45">
        <v>54038.2</v>
      </c>
      <c r="L338" s="45">
        <v>9</v>
      </c>
      <c r="M338" s="45">
        <v>0</v>
      </c>
      <c r="O338" s="45">
        <v>50857.7</v>
      </c>
      <c r="P338" s="45">
        <v>0</v>
      </c>
      <c r="Q338" s="45">
        <v>1</v>
      </c>
      <c r="R338" s="45">
        <v>49020.3</v>
      </c>
      <c r="S338" s="45">
        <v>0</v>
      </c>
      <c r="T338" s="45">
        <v>0</v>
      </c>
      <c r="U338" s="45">
        <v>48193</v>
      </c>
      <c r="V338" s="45">
        <v>0</v>
      </c>
      <c r="W338" s="45">
        <v>1</v>
      </c>
      <c r="X338" s="45">
        <v>51221.2</v>
      </c>
      <c r="Y338" s="45">
        <v>0</v>
      </c>
      <c r="Z338" s="45">
        <v>1</v>
      </c>
      <c r="AB338" s="45">
        <v>46589.2</v>
      </c>
      <c r="AC338" s="45">
        <v>0</v>
      </c>
      <c r="AD338" s="45">
        <v>1</v>
      </c>
      <c r="AE338" s="45">
        <v>55773.1</v>
      </c>
      <c r="AF338" s="45">
        <v>0</v>
      </c>
      <c r="AG338" s="45">
        <v>0</v>
      </c>
      <c r="AH338" s="45">
        <v>59192.2</v>
      </c>
      <c r="AI338" s="45">
        <v>25</v>
      </c>
      <c r="AJ338" s="45">
        <v>1</v>
      </c>
      <c r="AK338" s="45">
        <v>53666.3</v>
      </c>
      <c r="AL338" s="45">
        <v>9</v>
      </c>
      <c r="AM338" s="45">
        <v>0</v>
      </c>
      <c r="AO338" s="45">
        <v>46785.8</v>
      </c>
      <c r="AP338" s="45">
        <v>0</v>
      </c>
      <c r="AQ338" s="45">
        <v>1</v>
      </c>
      <c r="AR338" s="45">
        <v>57109.599999999999</v>
      </c>
      <c r="AS338" s="45">
        <v>22</v>
      </c>
      <c r="AT338" s="45">
        <v>1</v>
      </c>
      <c r="AU338" s="45">
        <v>49248.6</v>
      </c>
      <c r="AV338" s="45">
        <v>0</v>
      </c>
      <c r="AW338" s="45">
        <v>0</v>
      </c>
      <c r="AX338" s="45">
        <v>50560</v>
      </c>
      <c r="AY338" s="45">
        <v>7</v>
      </c>
      <c r="AZ338" s="45">
        <v>1</v>
      </c>
    </row>
    <row r="339" spans="2:52">
      <c r="B339" s="45">
        <v>58015.7</v>
      </c>
      <c r="C339" s="45">
        <v>0</v>
      </c>
      <c r="D339" s="45">
        <v>1</v>
      </c>
      <c r="E339" s="45">
        <v>76524.399999999994</v>
      </c>
      <c r="F339" s="45">
        <v>43</v>
      </c>
      <c r="G339" s="45">
        <v>0</v>
      </c>
      <c r="H339" s="45">
        <v>52894.1</v>
      </c>
      <c r="I339" s="45">
        <v>0</v>
      </c>
      <c r="J339" s="45">
        <v>1</v>
      </c>
      <c r="K339" s="45">
        <v>60400.4</v>
      </c>
      <c r="L339" s="45">
        <v>0</v>
      </c>
      <c r="M339" s="45">
        <v>0</v>
      </c>
      <c r="O339" s="45">
        <v>62391.9</v>
      </c>
      <c r="P339" s="45">
        <v>0</v>
      </c>
      <c r="Q339" s="45">
        <v>0</v>
      </c>
      <c r="R339" s="45">
        <v>54797.5</v>
      </c>
      <c r="S339" s="45">
        <v>0</v>
      </c>
      <c r="T339" s="45">
        <v>1</v>
      </c>
      <c r="U339" s="45">
        <v>60902</v>
      </c>
      <c r="V339" s="45">
        <v>0</v>
      </c>
      <c r="W339" s="45">
        <v>0</v>
      </c>
      <c r="X339" s="45">
        <v>55262.6</v>
      </c>
      <c r="Y339" s="45">
        <v>0</v>
      </c>
      <c r="Z339" s="45">
        <v>1</v>
      </c>
      <c r="AB339" s="45">
        <v>51767.199999999997</v>
      </c>
      <c r="AC339" s="45">
        <v>0</v>
      </c>
      <c r="AD339" s="45">
        <v>1</v>
      </c>
      <c r="AE339" s="45">
        <v>54230.5</v>
      </c>
      <c r="AF339" s="45">
        <v>0</v>
      </c>
      <c r="AG339" s="45">
        <v>0</v>
      </c>
      <c r="AH339" s="45">
        <v>52720.7</v>
      </c>
      <c r="AI339" s="45">
        <v>0</v>
      </c>
      <c r="AJ339" s="45">
        <v>0</v>
      </c>
      <c r="AK339" s="45">
        <v>59958.7</v>
      </c>
      <c r="AL339" s="45">
        <v>0</v>
      </c>
      <c r="AM339" s="45">
        <v>1</v>
      </c>
      <c r="AO339" s="45">
        <v>57430.400000000001</v>
      </c>
      <c r="AP339" s="45">
        <v>0</v>
      </c>
      <c r="AQ339" s="45">
        <v>0</v>
      </c>
      <c r="AR339" s="45">
        <v>53894.8</v>
      </c>
      <c r="AS339" s="45">
        <v>0</v>
      </c>
      <c r="AT339" s="45">
        <v>0</v>
      </c>
      <c r="AU339" s="45">
        <v>56398.8</v>
      </c>
      <c r="AV339" s="45">
        <v>0</v>
      </c>
      <c r="AW339" s="45">
        <v>1</v>
      </c>
      <c r="AX339" s="45">
        <v>54090.400000000001</v>
      </c>
      <c r="AY339" s="45">
        <v>0</v>
      </c>
      <c r="AZ339" s="45">
        <v>0</v>
      </c>
    </row>
    <row r="340" spans="2:52">
      <c r="B340" s="45">
        <v>67362.5</v>
      </c>
      <c r="C340" s="45">
        <v>33</v>
      </c>
      <c r="D340" s="45">
        <v>0</v>
      </c>
      <c r="E340" s="45">
        <v>59187.4</v>
      </c>
      <c r="F340" s="45">
        <v>25</v>
      </c>
      <c r="G340" s="45">
        <v>1</v>
      </c>
      <c r="H340" s="45">
        <v>47337.8</v>
      </c>
      <c r="I340" s="45">
        <v>0</v>
      </c>
      <c r="J340" s="45">
        <v>0</v>
      </c>
      <c r="K340" s="45">
        <v>48481.7</v>
      </c>
      <c r="L340" s="45">
        <v>0</v>
      </c>
      <c r="M340" s="45">
        <v>1</v>
      </c>
      <c r="O340" s="45">
        <v>44687</v>
      </c>
      <c r="P340" s="45">
        <v>0</v>
      </c>
      <c r="Q340" s="45">
        <v>1</v>
      </c>
      <c r="R340" s="45">
        <v>44813</v>
      </c>
      <c r="S340" s="45">
        <v>0</v>
      </c>
      <c r="T340" s="45">
        <v>0</v>
      </c>
      <c r="U340" s="45">
        <v>43640</v>
      </c>
      <c r="V340" s="45">
        <v>0</v>
      </c>
      <c r="W340" s="45">
        <v>1</v>
      </c>
      <c r="X340" s="45">
        <v>46535</v>
      </c>
      <c r="Y340" s="45">
        <v>0</v>
      </c>
      <c r="Z340" s="45">
        <v>1</v>
      </c>
      <c r="AB340" s="45">
        <v>45617.7</v>
      </c>
      <c r="AC340" s="45">
        <v>0</v>
      </c>
      <c r="AD340" s="45">
        <v>0</v>
      </c>
      <c r="AE340" s="45">
        <v>51928.1</v>
      </c>
      <c r="AF340" s="45">
        <v>6</v>
      </c>
      <c r="AG340" s="45">
        <v>1</v>
      </c>
      <c r="AH340" s="45">
        <v>47208</v>
      </c>
      <c r="AI340" s="45">
        <v>3</v>
      </c>
      <c r="AJ340" s="45">
        <v>0</v>
      </c>
      <c r="AK340" s="45">
        <v>44969.4</v>
      </c>
      <c r="AL340" s="45">
        <v>0</v>
      </c>
      <c r="AM340" s="45">
        <v>1</v>
      </c>
      <c r="AO340" s="45">
        <v>46169.7</v>
      </c>
      <c r="AP340" s="45">
        <v>0</v>
      </c>
      <c r="AQ340" s="45">
        <v>1</v>
      </c>
      <c r="AR340" s="45">
        <v>52266.9</v>
      </c>
      <c r="AS340" s="45">
        <v>0</v>
      </c>
      <c r="AT340" s="45">
        <v>0</v>
      </c>
      <c r="AU340" s="45">
        <v>51166.8</v>
      </c>
      <c r="AV340" s="45">
        <v>0</v>
      </c>
      <c r="AW340" s="45">
        <v>0</v>
      </c>
      <c r="AX340" s="45">
        <v>43877.2</v>
      </c>
      <c r="AY340" s="45">
        <v>0</v>
      </c>
      <c r="AZ340" s="45">
        <v>1</v>
      </c>
    </row>
    <row r="341" spans="2:52">
      <c r="B341" s="45">
        <v>67351.199999999997</v>
      </c>
      <c r="C341" s="45">
        <v>29</v>
      </c>
      <c r="D341" s="45">
        <v>0</v>
      </c>
      <c r="E341" s="45">
        <v>85676.9</v>
      </c>
      <c r="F341" s="45">
        <v>78</v>
      </c>
      <c r="G341" s="45">
        <v>1</v>
      </c>
      <c r="H341" s="45">
        <v>61467.4</v>
      </c>
      <c r="I341" s="45">
        <v>23</v>
      </c>
      <c r="J341" s="45">
        <v>1</v>
      </c>
      <c r="K341" s="45">
        <v>91030.1</v>
      </c>
      <c r="L341" s="45">
        <v>66</v>
      </c>
      <c r="M341" s="45">
        <v>1</v>
      </c>
      <c r="O341" s="45">
        <v>62250.3</v>
      </c>
      <c r="P341" s="45">
        <v>19</v>
      </c>
      <c r="Q341" s="45">
        <v>0</v>
      </c>
      <c r="R341" s="45">
        <v>53021.8</v>
      </c>
      <c r="S341" s="45">
        <v>0</v>
      </c>
      <c r="T341" s="45">
        <v>1</v>
      </c>
      <c r="U341" s="45">
        <v>49149.1</v>
      </c>
      <c r="V341" s="45">
        <v>0</v>
      </c>
      <c r="W341" s="45">
        <v>0</v>
      </c>
      <c r="X341" s="45">
        <v>47634.1</v>
      </c>
      <c r="Y341" s="45">
        <v>0</v>
      </c>
      <c r="Z341" s="45">
        <v>1</v>
      </c>
      <c r="AB341" s="45">
        <v>52241.3</v>
      </c>
      <c r="AC341" s="45">
        <v>0</v>
      </c>
      <c r="AD341" s="45">
        <v>0</v>
      </c>
      <c r="AE341" s="45">
        <v>73979.7</v>
      </c>
      <c r="AF341" s="45">
        <v>57</v>
      </c>
      <c r="AG341" s="45">
        <v>0</v>
      </c>
      <c r="AH341" s="45">
        <v>50886</v>
      </c>
      <c r="AI341" s="45">
        <v>8</v>
      </c>
      <c r="AJ341" s="45">
        <v>1</v>
      </c>
      <c r="AK341" s="45">
        <v>51879.9</v>
      </c>
      <c r="AL341" s="45">
        <v>0</v>
      </c>
      <c r="AM341" s="45">
        <v>0</v>
      </c>
      <c r="AO341" s="45">
        <v>50380.1</v>
      </c>
      <c r="AP341" s="45">
        <v>0</v>
      </c>
      <c r="AQ341" s="45">
        <v>0</v>
      </c>
      <c r="AR341" s="45">
        <v>54759.4</v>
      </c>
      <c r="AS341" s="45">
        <v>11</v>
      </c>
      <c r="AT341" s="45">
        <v>1</v>
      </c>
      <c r="AU341" s="45">
        <v>51160.5</v>
      </c>
      <c r="AV341" s="45">
        <v>0</v>
      </c>
      <c r="AW341" s="45">
        <v>0</v>
      </c>
      <c r="AX341" s="45">
        <v>46415.1</v>
      </c>
      <c r="AY341" s="45">
        <v>0</v>
      </c>
      <c r="AZ341" s="45">
        <v>0</v>
      </c>
    </row>
    <row r="342" spans="2:52">
      <c r="B342" s="45">
        <v>50570.3</v>
      </c>
      <c r="C342" s="45">
        <v>0</v>
      </c>
      <c r="D342" s="45">
        <v>0</v>
      </c>
      <c r="E342" s="45">
        <v>50369</v>
      </c>
      <c r="F342" s="45">
        <v>0</v>
      </c>
      <c r="G342" s="45">
        <v>0</v>
      </c>
      <c r="H342" s="45">
        <v>50001.2</v>
      </c>
      <c r="I342" s="45">
        <v>0</v>
      </c>
      <c r="J342" s="45">
        <v>1</v>
      </c>
      <c r="K342" s="45">
        <v>55511.199999999997</v>
      </c>
      <c r="L342" s="45">
        <v>0</v>
      </c>
      <c r="M342" s="45">
        <v>0</v>
      </c>
      <c r="O342" s="45">
        <v>51713.9</v>
      </c>
      <c r="P342" s="45">
        <v>0</v>
      </c>
      <c r="Q342" s="45">
        <v>1</v>
      </c>
      <c r="R342" s="45">
        <v>50168</v>
      </c>
      <c r="S342" s="45">
        <v>0</v>
      </c>
      <c r="T342" s="45">
        <v>0</v>
      </c>
      <c r="U342" s="45">
        <v>50299</v>
      </c>
      <c r="V342" s="45">
        <v>0</v>
      </c>
      <c r="W342" s="45">
        <v>1</v>
      </c>
      <c r="X342" s="45">
        <v>48624.4</v>
      </c>
      <c r="Y342" s="45">
        <v>0</v>
      </c>
      <c r="Z342" s="45">
        <v>0</v>
      </c>
      <c r="AB342" s="45">
        <v>49015.6</v>
      </c>
      <c r="AC342" s="45">
        <v>0</v>
      </c>
      <c r="AD342" s="45">
        <v>0</v>
      </c>
      <c r="AE342" s="45">
        <v>51248.3</v>
      </c>
      <c r="AF342" s="45">
        <v>0</v>
      </c>
      <c r="AG342" s="45">
        <v>0</v>
      </c>
      <c r="AH342" s="45">
        <v>48374.1</v>
      </c>
      <c r="AI342" s="45">
        <v>0</v>
      </c>
      <c r="AJ342" s="45">
        <v>1</v>
      </c>
      <c r="AK342" s="45">
        <v>47712</v>
      </c>
      <c r="AL342" s="45">
        <v>0</v>
      </c>
      <c r="AM342" s="45">
        <v>0</v>
      </c>
      <c r="AO342" s="45">
        <v>53587</v>
      </c>
      <c r="AP342" s="45">
        <v>0</v>
      </c>
      <c r="AQ342" s="45">
        <v>1</v>
      </c>
      <c r="AR342" s="45">
        <v>49750.6</v>
      </c>
      <c r="AS342" s="45">
        <v>0</v>
      </c>
      <c r="AT342" s="45">
        <v>0</v>
      </c>
      <c r="AU342" s="45">
        <v>50720.7</v>
      </c>
      <c r="AV342" s="45">
        <v>0</v>
      </c>
      <c r="AW342" s="45">
        <v>1</v>
      </c>
      <c r="AX342" s="45">
        <v>49537.5</v>
      </c>
      <c r="AY342" s="45">
        <v>0</v>
      </c>
      <c r="AZ342" s="45">
        <v>0</v>
      </c>
    </row>
    <row r="343" spans="2:52">
      <c r="B343" s="45">
        <v>66597.8</v>
      </c>
      <c r="C343" s="45">
        <v>0</v>
      </c>
      <c r="D343" s="45">
        <v>0</v>
      </c>
      <c r="E343" s="45">
        <v>64649.4</v>
      </c>
      <c r="F343" s="45">
        <v>0</v>
      </c>
      <c r="G343" s="45">
        <v>1</v>
      </c>
      <c r="H343" s="45">
        <v>66908</v>
      </c>
      <c r="I343" s="45">
        <v>0</v>
      </c>
      <c r="J343" s="45">
        <v>0</v>
      </c>
      <c r="K343" s="45">
        <v>64971.5</v>
      </c>
      <c r="L343" s="45">
        <v>0</v>
      </c>
      <c r="M343" s="45">
        <v>1</v>
      </c>
      <c r="O343" s="45">
        <v>56458.1</v>
      </c>
      <c r="P343" s="45">
        <v>3</v>
      </c>
      <c r="Q343" s="45">
        <v>1</v>
      </c>
      <c r="R343" s="45">
        <v>61232.7</v>
      </c>
      <c r="S343" s="45">
        <v>0</v>
      </c>
      <c r="T343" s="45">
        <v>1</v>
      </c>
      <c r="U343" s="45">
        <v>58171.4</v>
      </c>
      <c r="V343" s="45">
        <v>0</v>
      </c>
      <c r="W343" s="45">
        <v>0</v>
      </c>
      <c r="X343" s="45">
        <v>67488.2</v>
      </c>
      <c r="Y343" s="45">
        <v>0</v>
      </c>
      <c r="Z343" s="45">
        <v>1</v>
      </c>
      <c r="AB343" s="45">
        <v>76937.100000000006</v>
      </c>
      <c r="AC343" s="45">
        <v>0</v>
      </c>
      <c r="AD343" s="45">
        <v>0</v>
      </c>
      <c r="AE343" s="45">
        <v>96762.4</v>
      </c>
      <c r="AF343" s="45">
        <v>73</v>
      </c>
      <c r="AG343" s="45">
        <v>1</v>
      </c>
      <c r="AH343" s="45">
        <v>69995.399999999994</v>
      </c>
      <c r="AI343" s="45">
        <v>4</v>
      </c>
      <c r="AJ343" s="45">
        <v>0</v>
      </c>
      <c r="AK343" s="45">
        <v>63014.400000000001</v>
      </c>
      <c r="AL343" s="45">
        <v>0</v>
      </c>
      <c r="AM343" s="45">
        <v>0</v>
      </c>
      <c r="AO343" s="45">
        <v>58362.7</v>
      </c>
      <c r="AP343" s="45">
        <v>0</v>
      </c>
      <c r="AQ343" s="45">
        <v>1</v>
      </c>
      <c r="AR343" s="45">
        <v>86483.199999999997</v>
      </c>
      <c r="AS343" s="45">
        <v>52</v>
      </c>
      <c r="AT343" s="45">
        <v>0</v>
      </c>
      <c r="AU343" s="45">
        <v>60443.6</v>
      </c>
      <c r="AV343" s="45">
        <v>0</v>
      </c>
      <c r="AW343" s="45">
        <v>0</v>
      </c>
      <c r="AX343" s="45">
        <v>78525.2</v>
      </c>
      <c r="AY343" s="45">
        <v>42</v>
      </c>
      <c r="AZ343" s="45">
        <v>1</v>
      </c>
    </row>
    <row r="344" spans="2:52">
      <c r="B344" s="45">
        <v>59767.9</v>
      </c>
      <c r="C344" s="45">
        <v>0</v>
      </c>
      <c r="D344" s="45">
        <v>0</v>
      </c>
      <c r="E344" s="45">
        <v>58800.1</v>
      </c>
      <c r="F344" s="45">
        <v>0</v>
      </c>
      <c r="G344" s="45">
        <v>1</v>
      </c>
      <c r="H344" s="45">
        <v>53450.6</v>
      </c>
      <c r="I344" s="45">
        <v>0</v>
      </c>
      <c r="J344" s="45">
        <v>0</v>
      </c>
      <c r="K344" s="45">
        <v>52501.599999999999</v>
      </c>
      <c r="L344" s="45">
        <v>0</v>
      </c>
      <c r="M344" s="45">
        <v>1</v>
      </c>
      <c r="O344" s="45">
        <v>53140.800000000003</v>
      </c>
      <c r="P344" s="45">
        <v>0</v>
      </c>
      <c r="Q344" s="45">
        <v>1</v>
      </c>
      <c r="R344" s="45">
        <v>58283.8</v>
      </c>
      <c r="S344" s="45">
        <v>0</v>
      </c>
      <c r="T344" s="45">
        <v>0</v>
      </c>
      <c r="U344" s="45">
        <v>53797.3</v>
      </c>
      <c r="V344" s="45">
        <v>0</v>
      </c>
      <c r="W344" s="45">
        <v>1</v>
      </c>
      <c r="X344" s="45">
        <v>53381.5</v>
      </c>
      <c r="Y344" s="45">
        <v>0</v>
      </c>
      <c r="Z344" s="45">
        <v>0</v>
      </c>
      <c r="AB344" s="45">
        <v>60294.9</v>
      </c>
      <c r="AC344" s="45">
        <v>0</v>
      </c>
      <c r="AD344" s="45">
        <v>1</v>
      </c>
      <c r="AE344" s="45">
        <v>58901.5</v>
      </c>
      <c r="AF344" s="45">
        <v>0</v>
      </c>
      <c r="AG344" s="45">
        <v>0</v>
      </c>
      <c r="AH344" s="45">
        <v>54147.5</v>
      </c>
      <c r="AI344" s="45">
        <v>0</v>
      </c>
      <c r="AJ344" s="45">
        <v>0</v>
      </c>
      <c r="AK344" s="45">
        <v>52856</v>
      </c>
      <c r="AL344" s="45">
        <v>0</v>
      </c>
      <c r="AM344" s="45">
        <v>1</v>
      </c>
      <c r="AO344" s="45">
        <v>55224.6</v>
      </c>
      <c r="AP344" s="45">
        <v>0</v>
      </c>
      <c r="AQ344" s="45">
        <v>0</v>
      </c>
      <c r="AR344" s="45">
        <v>54082.6</v>
      </c>
      <c r="AS344" s="45">
        <v>0</v>
      </c>
      <c r="AT344" s="45">
        <v>1</v>
      </c>
      <c r="AU344" s="45">
        <v>56975.6</v>
      </c>
      <c r="AV344" s="45">
        <v>0</v>
      </c>
      <c r="AW344" s="45">
        <v>0</v>
      </c>
      <c r="AX344" s="45">
        <v>56944.6</v>
      </c>
      <c r="AY344" s="45">
        <v>0</v>
      </c>
      <c r="AZ344" s="45">
        <v>0</v>
      </c>
    </row>
    <row r="345" spans="2:52">
      <c r="B345" s="45">
        <v>67763.7</v>
      </c>
      <c r="C345" s="45">
        <v>23</v>
      </c>
      <c r="D345" s="45">
        <v>0</v>
      </c>
      <c r="E345" s="45">
        <v>56315.9</v>
      </c>
      <c r="F345" s="45">
        <v>0</v>
      </c>
      <c r="G345" s="45">
        <v>1</v>
      </c>
      <c r="H345" s="45">
        <v>61435</v>
      </c>
      <c r="I345" s="45">
        <v>0</v>
      </c>
      <c r="J345" s="45">
        <v>0</v>
      </c>
      <c r="K345" s="45">
        <v>56198.9</v>
      </c>
      <c r="L345" s="45">
        <v>0</v>
      </c>
      <c r="M345" s="45">
        <v>1</v>
      </c>
      <c r="O345" s="45">
        <v>65839.7</v>
      </c>
      <c r="P345" s="45">
        <v>0</v>
      </c>
      <c r="Q345" s="45">
        <v>1</v>
      </c>
      <c r="R345" s="45">
        <v>63577.4</v>
      </c>
      <c r="S345" s="45">
        <v>0</v>
      </c>
      <c r="T345" s="45">
        <v>0</v>
      </c>
      <c r="U345" s="45">
        <v>61479.9</v>
      </c>
      <c r="V345" s="45">
        <v>0</v>
      </c>
      <c r="W345" s="45">
        <v>1</v>
      </c>
      <c r="X345" s="45">
        <v>55197.2</v>
      </c>
      <c r="Y345" s="45">
        <v>0</v>
      </c>
      <c r="Z345" s="45">
        <v>1</v>
      </c>
      <c r="AB345" s="45">
        <v>53660.800000000003</v>
      </c>
      <c r="AC345" s="45">
        <v>0</v>
      </c>
      <c r="AD345" s="45">
        <v>0</v>
      </c>
      <c r="AE345" s="45">
        <v>56592.5</v>
      </c>
      <c r="AF345" s="45">
        <v>0</v>
      </c>
      <c r="AG345" s="45">
        <v>0</v>
      </c>
      <c r="AH345" s="45">
        <v>54741.9</v>
      </c>
      <c r="AI345" s="45">
        <v>0</v>
      </c>
      <c r="AJ345" s="45">
        <v>0</v>
      </c>
      <c r="AK345" s="45">
        <v>56490.2</v>
      </c>
      <c r="AL345" s="45">
        <v>2</v>
      </c>
      <c r="AM345" s="45">
        <v>1</v>
      </c>
      <c r="AO345" s="45">
        <v>50793</v>
      </c>
      <c r="AP345" s="45">
        <v>0</v>
      </c>
      <c r="AQ345" s="45">
        <v>1</v>
      </c>
      <c r="AR345" s="45">
        <v>55898.2</v>
      </c>
      <c r="AS345" s="45">
        <v>0</v>
      </c>
      <c r="AT345" s="45">
        <v>0</v>
      </c>
      <c r="AU345" s="45">
        <v>51691.3</v>
      </c>
      <c r="AV345" s="45">
        <v>0</v>
      </c>
      <c r="AW345" s="45">
        <v>1</v>
      </c>
      <c r="AX345" s="45">
        <v>54478.400000000001</v>
      </c>
      <c r="AY345" s="45">
        <v>0</v>
      </c>
      <c r="AZ345" s="45">
        <v>0</v>
      </c>
    </row>
    <row r="346" spans="2:52">
      <c r="B346" s="45">
        <v>44475.199999999997</v>
      </c>
      <c r="C346" s="45">
        <v>0</v>
      </c>
      <c r="D346" s="45">
        <v>0</v>
      </c>
      <c r="E346" s="45">
        <v>43492.9</v>
      </c>
      <c r="F346" s="45">
        <v>0</v>
      </c>
      <c r="G346" s="45">
        <v>1</v>
      </c>
      <c r="H346" s="45">
        <v>45146.400000000001</v>
      </c>
      <c r="I346" s="45">
        <v>0</v>
      </c>
      <c r="J346" s="45">
        <v>0</v>
      </c>
      <c r="K346" s="45">
        <v>39728.699999999997</v>
      </c>
      <c r="L346" s="45">
        <v>0</v>
      </c>
      <c r="M346" s="45">
        <v>0</v>
      </c>
      <c r="O346" s="45">
        <v>41037</v>
      </c>
      <c r="P346" s="45">
        <v>0</v>
      </c>
      <c r="Q346" s="45">
        <v>0</v>
      </c>
      <c r="R346" s="45">
        <v>42308.3</v>
      </c>
      <c r="S346" s="45">
        <v>0</v>
      </c>
      <c r="T346" s="45">
        <v>1</v>
      </c>
      <c r="U346" s="45">
        <v>39291.300000000003</v>
      </c>
      <c r="V346" s="45">
        <v>0</v>
      </c>
      <c r="W346" s="45">
        <v>0</v>
      </c>
      <c r="X346" s="45">
        <v>39068.6</v>
      </c>
      <c r="Y346" s="45">
        <v>0</v>
      </c>
      <c r="Z346" s="45">
        <v>1</v>
      </c>
      <c r="AB346" s="45">
        <v>43132.4</v>
      </c>
      <c r="AC346" s="45">
        <v>0</v>
      </c>
      <c r="AD346" s="45">
        <v>0</v>
      </c>
      <c r="AE346" s="45">
        <v>42142.5</v>
      </c>
      <c r="AF346" s="45">
        <v>0</v>
      </c>
      <c r="AG346" s="45">
        <v>0</v>
      </c>
      <c r="AH346" s="45">
        <v>43562.6</v>
      </c>
      <c r="AI346" s="45">
        <v>0</v>
      </c>
      <c r="AJ346" s="45">
        <v>1</v>
      </c>
      <c r="AK346" s="45">
        <v>40528.5</v>
      </c>
      <c r="AL346" s="45">
        <v>0</v>
      </c>
      <c r="AM346" s="45">
        <v>0</v>
      </c>
      <c r="AO346" s="45">
        <v>39675.4</v>
      </c>
      <c r="AP346" s="45">
        <v>0</v>
      </c>
      <c r="AQ346" s="45">
        <v>0</v>
      </c>
      <c r="AR346" s="45">
        <v>49250</v>
      </c>
      <c r="AS346" s="45">
        <v>0</v>
      </c>
      <c r="AT346" s="45">
        <v>1</v>
      </c>
      <c r="AU346" s="45">
        <v>42301.599999999999</v>
      </c>
      <c r="AV346" s="45">
        <v>0</v>
      </c>
      <c r="AW346" s="45">
        <v>0</v>
      </c>
      <c r="AX346" s="45">
        <v>38986.6</v>
      </c>
      <c r="AY346" s="45">
        <v>0</v>
      </c>
      <c r="AZ346" s="45">
        <v>1</v>
      </c>
    </row>
    <row r="347" spans="2:52">
      <c r="B347" s="45">
        <v>76478.399999999994</v>
      </c>
      <c r="C347" s="45">
        <v>0</v>
      </c>
      <c r="D347" s="45">
        <v>1</v>
      </c>
      <c r="E347" s="45">
        <v>69617.100000000006</v>
      </c>
      <c r="F347" s="45">
        <v>0</v>
      </c>
      <c r="G347" s="45">
        <v>0</v>
      </c>
      <c r="H347" s="45">
        <v>74414.100000000006</v>
      </c>
      <c r="I347" s="45">
        <v>0</v>
      </c>
      <c r="J347" s="45">
        <v>0</v>
      </c>
      <c r="K347" s="45">
        <v>69097.399999999994</v>
      </c>
      <c r="L347" s="45">
        <v>0</v>
      </c>
      <c r="M347" s="45">
        <v>1</v>
      </c>
      <c r="O347" s="45">
        <v>70200.600000000006</v>
      </c>
      <c r="P347" s="45">
        <v>0</v>
      </c>
      <c r="Q347" s="45">
        <v>1</v>
      </c>
      <c r="R347" s="45">
        <v>78047</v>
      </c>
      <c r="S347" s="45">
        <v>0</v>
      </c>
      <c r="T347" s="45">
        <v>0</v>
      </c>
      <c r="U347" s="45">
        <v>68319.600000000006</v>
      </c>
      <c r="V347" s="45">
        <v>0</v>
      </c>
      <c r="W347" s="45">
        <v>1</v>
      </c>
      <c r="X347" s="45">
        <v>72990.8</v>
      </c>
      <c r="Y347" s="45">
        <v>0</v>
      </c>
      <c r="Z347" s="45">
        <v>0</v>
      </c>
      <c r="AB347" s="45">
        <v>72682.5</v>
      </c>
      <c r="AC347" s="45">
        <v>0</v>
      </c>
      <c r="AD347" s="45">
        <v>0</v>
      </c>
      <c r="AE347" s="45">
        <v>71668.3</v>
      </c>
      <c r="AF347" s="45">
        <v>0</v>
      </c>
      <c r="AG347" s="45">
        <v>1</v>
      </c>
      <c r="AH347" s="45">
        <v>72865.3</v>
      </c>
      <c r="AI347" s="45">
        <v>0</v>
      </c>
      <c r="AJ347" s="45">
        <v>0</v>
      </c>
      <c r="AK347" s="45">
        <v>75180.7</v>
      </c>
      <c r="AL347" s="45">
        <v>0</v>
      </c>
      <c r="AM347" s="45">
        <v>1</v>
      </c>
      <c r="AO347" s="45">
        <v>76985.7</v>
      </c>
      <c r="AP347" s="45">
        <v>0</v>
      </c>
      <c r="AQ347" s="45">
        <v>0</v>
      </c>
      <c r="AR347" s="45">
        <v>71667.199999999997</v>
      </c>
      <c r="AS347" s="45">
        <v>0</v>
      </c>
      <c r="AT347" s="45">
        <v>0</v>
      </c>
      <c r="AU347" s="45">
        <v>71287.5</v>
      </c>
      <c r="AV347" s="45">
        <v>0</v>
      </c>
      <c r="AW347" s="45">
        <v>1</v>
      </c>
      <c r="AX347" s="45">
        <v>72930.3</v>
      </c>
      <c r="AY347" s="45">
        <v>0</v>
      </c>
      <c r="AZ347" s="45">
        <v>0</v>
      </c>
    </row>
    <row r="348" spans="2:52">
      <c r="B348" s="45">
        <v>51516.7</v>
      </c>
      <c r="C348" s="45">
        <v>0</v>
      </c>
      <c r="D348" s="45">
        <v>0</v>
      </c>
      <c r="E348" s="45">
        <v>51292.1</v>
      </c>
      <c r="F348" s="45">
        <v>0</v>
      </c>
      <c r="G348" s="45">
        <v>1</v>
      </c>
      <c r="H348" s="45">
        <v>52699</v>
      </c>
      <c r="I348" s="45">
        <v>0</v>
      </c>
      <c r="J348" s="45">
        <v>0</v>
      </c>
      <c r="K348" s="45">
        <v>53801.1</v>
      </c>
      <c r="L348" s="45">
        <v>3</v>
      </c>
      <c r="M348" s="45">
        <v>1</v>
      </c>
      <c r="O348" s="45">
        <v>50881.5</v>
      </c>
      <c r="P348" s="45">
        <v>0</v>
      </c>
      <c r="Q348" s="45">
        <v>1</v>
      </c>
      <c r="R348" s="45">
        <v>52373.9</v>
      </c>
      <c r="S348" s="45">
        <v>0</v>
      </c>
      <c r="T348" s="45">
        <v>0</v>
      </c>
      <c r="U348" s="45">
        <v>53912.5</v>
      </c>
      <c r="V348" s="45">
        <v>0</v>
      </c>
      <c r="W348" s="45">
        <v>1</v>
      </c>
      <c r="X348" s="45">
        <v>51650.7</v>
      </c>
      <c r="Y348" s="45">
        <v>0</v>
      </c>
      <c r="Z348" s="45">
        <v>1</v>
      </c>
      <c r="AB348" s="45">
        <v>50154.8</v>
      </c>
      <c r="AC348" s="45">
        <v>0</v>
      </c>
      <c r="AD348" s="45">
        <v>0</v>
      </c>
      <c r="AE348" s="45">
        <v>59070.400000000001</v>
      </c>
      <c r="AF348" s="45">
        <v>0</v>
      </c>
      <c r="AG348" s="45">
        <v>0</v>
      </c>
      <c r="AH348" s="45">
        <v>62909.8</v>
      </c>
      <c r="AI348" s="45">
        <v>0</v>
      </c>
      <c r="AJ348" s="45">
        <v>1</v>
      </c>
      <c r="AK348" s="45">
        <v>72112.600000000006</v>
      </c>
      <c r="AL348" s="45">
        <v>37</v>
      </c>
      <c r="AM348" s="45">
        <v>0</v>
      </c>
      <c r="AO348" s="45">
        <v>58564.2</v>
      </c>
      <c r="AP348" s="45">
        <v>0</v>
      </c>
      <c r="AQ348" s="45">
        <v>1</v>
      </c>
      <c r="AR348" s="45">
        <v>53274.1</v>
      </c>
      <c r="AS348" s="45">
        <v>0</v>
      </c>
      <c r="AT348" s="45">
        <v>0</v>
      </c>
      <c r="AU348" s="45">
        <v>59124.4</v>
      </c>
      <c r="AV348" s="45">
        <v>0</v>
      </c>
      <c r="AW348" s="45">
        <v>0</v>
      </c>
      <c r="AX348" s="45">
        <v>49714.9</v>
      </c>
      <c r="AY348" s="45">
        <v>0</v>
      </c>
      <c r="AZ348" s="45">
        <v>1</v>
      </c>
    </row>
    <row r="349" spans="2:52">
      <c r="B349" s="45">
        <v>56334.400000000001</v>
      </c>
      <c r="C349" s="45">
        <v>0</v>
      </c>
      <c r="D349" s="45">
        <v>0</v>
      </c>
      <c r="E349" s="45">
        <v>60322.5</v>
      </c>
      <c r="F349" s="45">
        <v>0</v>
      </c>
      <c r="G349" s="45">
        <v>0</v>
      </c>
      <c r="H349" s="45">
        <v>60707</v>
      </c>
      <c r="I349" s="45">
        <v>0</v>
      </c>
      <c r="J349" s="45">
        <v>1</v>
      </c>
      <c r="K349" s="45">
        <v>58103.8</v>
      </c>
      <c r="L349" s="45">
        <v>0</v>
      </c>
      <c r="M349" s="45">
        <v>0</v>
      </c>
      <c r="O349" s="45">
        <v>59278.7</v>
      </c>
      <c r="P349" s="45">
        <v>0</v>
      </c>
      <c r="Q349" s="45">
        <v>0</v>
      </c>
      <c r="R349" s="45">
        <v>54433.8</v>
      </c>
      <c r="S349" s="45">
        <v>0</v>
      </c>
      <c r="T349" s="45">
        <v>1</v>
      </c>
      <c r="U349" s="45">
        <v>60310.9</v>
      </c>
      <c r="V349" s="45">
        <v>0</v>
      </c>
      <c r="W349" s="45">
        <v>0</v>
      </c>
      <c r="X349" s="45">
        <v>145240</v>
      </c>
      <c r="Y349" s="45">
        <v>177</v>
      </c>
      <c r="Z349" s="45">
        <v>1</v>
      </c>
      <c r="AB349" s="45">
        <v>60295.199999999997</v>
      </c>
      <c r="AC349" s="45">
        <v>0</v>
      </c>
      <c r="AD349" s="45">
        <v>0</v>
      </c>
      <c r="AE349" s="45">
        <v>63195.7</v>
      </c>
      <c r="AF349" s="45">
        <v>0</v>
      </c>
      <c r="AG349" s="45">
        <v>1</v>
      </c>
      <c r="AH349" s="45">
        <v>53510.400000000001</v>
      </c>
      <c r="AI349" s="45">
        <v>0</v>
      </c>
      <c r="AJ349" s="45">
        <v>0</v>
      </c>
      <c r="AK349" s="45">
        <v>54154.1</v>
      </c>
      <c r="AL349" s="45">
        <v>0</v>
      </c>
      <c r="AM349" s="45">
        <v>0</v>
      </c>
      <c r="AO349" s="45">
        <v>96215.4</v>
      </c>
      <c r="AP349" s="45">
        <v>82</v>
      </c>
      <c r="AQ349" s="45">
        <v>0</v>
      </c>
      <c r="AR349" s="45">
        <v>59054.3</v>
      </c>
      <c r="AS349" s="45">
        <v>0</v>
      </c>
      <c r="AT349" s="45">
        <v>1</v>
      </c>
      <c r="AU349" s="45">
        <v>59502.3</v>
      </c>
      <c r="AV349" s="45">
        <v>0</v>
      </c>
      <c r="AW349" s="45">
        <v>0</v>
      </c>
      <c r="AX349" s="45">
        <v>59468.4</v>
      </c>
      <c r="AY349" s="45">
        <v>0</v>
      </c>
      <c r="AZ349" s="45">
        <v>1</v>
      </c>
    </row>
    <row r="350" spans="2:52">
      <c r="B350" s="45">
        <v>111195</v>
      </c>
      <c r="C350" s="45">
        <v>120</v>
      </c>
      <c r="D350" s="45">
        <v>0</v>
      </c>
      <c r="E350" s="45">
        <v>69842.7</v>
      </c>
      <c r="F350" s="45">
        <v>36</v>
      </c>
      <c r="G350" s="45">
        <v>1</v>
      </c>
      <c r="H350" s="45">
        <v>118566</v>
      </c>
      <c r="I350" s="45">
        <v>133</v>
      </c>
      <c r="J350" s="45">
        <v>0</v>
      </c>
      <c r="K350" s="45">
        <v>134290</v>
      </c>
      <c r="L350" s="45">
        <v>158</v>
      </c>
      <c r="M350" s="45">
        <v>1</v>
      </c>
      <c r="O350" s="45">
        <v>101936</v>
      </c>
      <c r="P350" s="45">
        <v>100</v>
      </c>
      <c r="Q350" s="45">
        <v>1</v>
      </c>
      <c r="R350" s="45">
        <v>70251.3</v>
      </c>
      <c r="S350" s="45">
        <v>30</v>
      </c>
      <c r="T350" s="45">
        <v>1</v>
      </c>
      <c r="U350" s="45">
        <v>53223</v>
      </c>
      <c r="V350" s="45">
        <v>0</v>
      </c>
      <c r="W350" s="45">
        <v>0</v>
      </c>
      <c r="X350" s="45">
        <v>55311.7</v>
      </c>
      <c r="Y350" s="45">
        <v>0</v>
      </c>
      <c r="Z350" s="45">
        <v>1</v>
      </c>
      <c r="AB350" s="45">
        <v>57603</v>
      </c>
      <c r="AC350" s="45">
        <v>0</v>
      </c>
      <c r="AD350" s="45">
        <v>1</v>
      </c>
      <c r="AE350" s="45">
        <v>65333</v>
      </c>
      <c r="AF350" s="45">
        <v>27</v>
      </c>
      <c r="AG350" s="45">
        <v>0</v>
      </c>
      <c r="AH350" s="45">
        <v>52649</v>
      </c>
      <c r="AI350" s="45">
        <v>0</v>
      </c>
      <c r="AJ350" s="45">
        <v>0</v>
      </c>
      <c r="AK350" s="45">
        <v>55873.5</v>
      </c>
      <c r="AL350" s="45">
        <v>0</v>
      </c>
      <c r="AM350" s="45">
        <v>1</v>
      </c>
      <c r="AO350" s="45">
        <v>70269.899999999994</v>
      </c>
      <c r="AP350" s="45">
        <v>37</v>
      </c>
      <c r="AQ350" s="45">
        <v>0</v>
      </c>
      <c r="AR350" s="45">
        <v>49873.5</v>
      </c>
      <c r="AS350" s="45">
        <v>0</v>
      </c>
      <c r="AT350" s="45">
        <v>1</v>
      </c>
      <c r="AU350" s="45">
        <v>76434.3</v>
      </c>
      <c r="AV350" s="45">
        <v>29</v>
      </c>
      <c r="AW350" s="45">
        <v>0</v>
      </c>
      <c r="AX350" s="45">
        <v>53929.599999999999</v>
      </c>
      <c r="AY350" s="45">
        <v>0</v>
      </c>
      <c r="AZ350" s="45">
        <v>1</v>
      </c>
    </row>
    <row r="351" spans="2:52">
      <c r="B351" s="45">
        <v>124717</v>
      </c>
      <c r="C351" s="45">
        <v>144</v>
      </c>
      <c r="D351" s="45">
        <v>1</v>
      </c>
      <c r="E351" s="45">
        <v>86493</v>
      </c>
      <c r="F351" s="45">
        <v>57</v>
      </c>
      <c r="G351" s="45">
        <v>0</v>
      </c>
      <c r="H351" s="45">
        <v>61857.5</v>
      </c>
      <c r="I351" s="45">
        <v>10</v>
      </c>
      <c r="J351" s="45">
        <v>1</v>
      </c>
      <c r="K351" s="45">
        <v>65083.6</v>
      </c>
      <c r="L351" s="45">
        <v>21</v>
      </c>
      <c r="M351" s="45">
        <v>0</v>
      </c>
      <c r="O351" s="45">
        <v>94500.800000000003</v>
      </c>
      <c r="P351" s="45">
        <v>72</v>
      </c>
      <c r="Q351" s="45">
        <v>1</v>
      </c>
      <c r="R351" s="45">
        <v>114120</v>
      </c>
      <c r="S351" s="45">
        <v>119</v>
      </c>
      <c r="T351" s="45">
        <v>0</v>
      </c>
      <c r="U351" s="45">
        <v>77423.600000000006</v>
      </c>
      <c r="V351" s="45">
        <v>42</v>
      </c>
      <c r="W351" s="45">
        <v>1</v>
      </c>
      <c r="X351" s="45">
        <v>76732.2</v>
      </c>
      <c r="Y351" s="45">
        <v>50</v>
      </c>
      <c r="Z351" s="45">
        <v>1</v>
      </c>
      <c r="AB351" s="45">
        <v>70463.600000000006</v>
      </c>
      <c r="AC351" s="45">
        <v>31</v>
      </c>
      <c r="AD351" s="45">
        <v>0</v>
      </c>
      <c r="AE351" s="45">
        <v>83323</v>
      </c>
      <c r="AF351" s="45">
        <v>55</v>
      </c>
      <c r="AG351" s="45">
        <v>1</v>
      </c>
      <c r="AH351" s="45">
        <v>58547.7</v>
      </c>
      <c r="AI351" s="45">
        <v>0</v>
      </c>
      <c r="AJ351" s="45">
        <v>0</v>
      </c>
      <c r="AK351" s="45">
        <v>58732.800000000003</v>
      </c>
      <c r="AL351" s="45">
        <v>0</v>
      </c>
      <c r="AM351" s="45">
        <v>0</v>
      </c>
      <c r="AO351" s="45">
        <v>64770.2</v>
      </c>
      <c r="AP351" s="45">
        <v>17</v>
      </c>
      <c r="AQ351" s="45">
        <v>0</v>
      </c>
      <c r="AR351" s="45">
        <v>63492.800000000003</v>
      </c>
      <c r="AS351" s="45">
        <v>0</v>
      </c>
      <c r="AT351" s="45">
        <v>1</v>
      </c>
      <c r="AU351" s="45">
        <v>55581.599999999999</v>
      </c>
      <c r="AV351" s="45">
        <v>0</v>
      </c>
      <c r="AW351" s="45">
        <v>0</v>
      </c>
      <c r="AX351" s="45">
        <v>56143.8</v>
      </c>
      <c r="AY351" s="45">
        <v>0</v>
      </c>
      <c r="AZ351" s="45">
        <v>1</v>
      </c>
    </row>
    <row r="352" spans="2:52">
      <c r="B352" s="45">
        <v>72840.899999999994</v>
      </c>
      <c r="C352" s="45">
        <v>13</v>
      </c>
      <c r="D352" s="45">
        <v>0</v>
      </c>
      <c r="E352" s="45">
        <v>79839.600000000006</v>
      </c>
      <c r="F352" s="45">
        <v>25</v>
      </c>
      <c r="G352" s="45">
        <v>1</v>
      </c>
      <c r="H352" s="45">
        <v>71805.600000000006</v>
      </c>
      <c r="I352" s="45">
        <v>2</v>
      </c>
      <c r="J352" s="45">
        <v>0</v>
      </c>
      <c r="K352" s="45">
        <v>63341.4</v>
      </c>
      <c r="L352" s="45">
        <v>0</v>
      </c>
      <c r="M352" s="45">
        <v>1</v>
      </c>
      <c r="O352" s="45">
        <v>68336.800000000003</v>
      </c>
      <c r="P352" s="45">
        <v>0</v>
      </c>
      <c r="Q352" s="45">
        <v>1</v>
      </c>
      <c r="R352" s="45">
        <v>58333</v>
      </c>
      <c r="S352" s="45">
        <v>0</v>
      </c>
      <c r="T352" s="45">
        <v>0</v>
      </c>
      <c r="U352" s="45">
        <v>73143.899999999994</v>
      </c>
      <c r="V352" s="45">
        <v>31</v>
      </c>
      <c r="W352" s="45">
        <v>1</v>
      </c>
      <c r="X352" s="45">
        <v>62077.9</v>
      </c>
      <c r="Y352" s="45">
        <v>0</v>
      </c>
      <c r="Z352" s="45">
        <v>1</v>
      </c>
      <c r="AB352" s="45">
        <v>68432.100000000006</v>
      </c>
      <c r="AC352" s="45">
        <v>6</v>
      </c>
      <c r="AD352" s="45">
        <v>1</v>
      </c>
      <c r="AE352" s="45">
        <v>78667.199999999997</v>
      </c>
      <c r="AF352" s="45">
        <v>34</v>
      </c>
      <c r="AG352" s="45">
        <v>0</v>
      </c>
      <c r="AH352" s="45">
        <v>65749.7</v>
      </c>
      <c r="AI352" s="45">
        <v>11</v>
      </c>
      <c r="AJ352" s="45">
        <v>1</v>
      </c>
      <c r="AK352" s="45">
        <v>61663.8</v>
      </c>
      <c r="AL352" s="45">
        <v>0</v>
      </c>
      <c r="AM352" s="45">
        <v>0</v>
      </c>
      <c r="AO352" s="45">
        <v>77459.3</v>
      </c>
      <c r="AP352" s="45">
        <v>23</v>
      </c>
      <c r="AQ352" s="45">
        <v>1</v>
      </c>
      <c r="AR352" s="45">
        <v>74391.600000000006</v>
      </c>
      <c r="AS352" s="45">
        <v>16</v>
      </c>
      <c r="AT352" s="45">
        <v>0</v>
      </c>
      <c r="AU352" s="45">
        <v>66436.600000000006</v>
      </c>
      <c r="AV352" s="45">
        <v>5</v>
      </c>
      <c r="AW352" s="45">
        <v>1</v>
      </c>
      <c r="AX352" s="45">
        <v>60651.4</v>
      </c>
      <c r="AY352" s="45">
        <v>0</v>
      </c>
      <c r="AZ352" s="45">
        <v>0</v>
      </c>
    </row>
    <row r="353" spans="2:52">
      <c r="B353" s="45">
        <v>64587.199999999997</v>
      </c>
      <c r="C353" s="45">
        <v>0</v>
      </c>
      <c r="D353" s="45">
        <v>0</v>
      </c>
      <c r="E353" s="45">
        <v>57956.7</v>
      </c>
      <c r="F353" s="45">
        <v>0</v>
      </c>
      <c r="G353" s="45">
        <v>0</v>
      </c>
      <c r="H353" s="45">
        <v>54993.7</v>
      </c>
      <c r="I353" s="45">
        <v>0</v>
      </c>
      <c r="J353" s="45">
        <v>1</v>
      </c>
      <c r="K353" s="45">
        <v>60113</v>
      </c>
      <c r="L353" s="45">
        <v>0</v>
      </c>
      <c r="M353" s="45">
        <v>0</v>
      </c>
      <c r="O353" s="45">
        <v>61658.6</v>
      </c>
      <c r="P353" s="45">
        <v>17</v>
      </c>
      <c r="Q353" s="45">
        <v>0</v>
      </c>
      <c r="R353" s="45">
        <v>73831</v>
      </c>
      <c r="S353" s="45">
        <v>29</v>
      </c>
      <c r="T353" s="45">
        <v>1</v>
      </c>
      <c r="U353" s="45">
        <v>55549.5</v>
      </c>
      <c r="V353" s="45">
        <v>0</v>
      </c>
      <c r="W353" s="45">
        <v>1</v>
      </c>
      <c r="X353" s="45">
        <v>57002.2</v>
      </c>
      <c r="Y353" s="45">
        <v>0</v>
      </c>
      <c r="Z353" s="45">
        <v>1</v>
      </c>
      <c r="AB353" s="45">
        <v>58676.4</v>
      </c>
      <c r="AC353" s="45">
        <v>0</v>
      </c>
      <c r="AD353" s="45">
        <v>0</v>
      </c>
      <c r="AE353" s="45">
        <v>61917.1</v>
      </c>
      <c r="AF353" s="45">
        <v>0</v>
      </c>
      <c r="AG353" s="45">
        <v>1</v>
      </c>
      <c r="AH353" s="45">
        <v>57685.599999999999</v>
      </c>
      <c r="AI353" s="45">
        <v>0</v>
      </c>
      <c r="AJ353" s="45">
        <v>0</v>
      </c>
      <c r="AK353" s="45">
        <v>53343.1</v>
      </c>
      <c r="AL353" s="45">
        <v>0</v>
      </c>
      <c r="AM353" s="45">
        <v>0</v>
      </c>
      <c r="AO353" s="45">
        <v>54879.8</v>
      </c>
      <c r="AP353" s="45">
        <v>0</v>
      </c>
      <c r="AQ353" s="45">
        <v>1</v>
      </c>
      <c r="AR353" s="45">
        <v>57810.8</v>
      </c>
      <c r="AS353" s="45">
        <v>0</v>
      </c>
      <c r="AT353" s="45">
        <v>0</v>
      </c>
      <c r="AU353" s="45">
        <v>58647.8</v>
      </c>
      <c r="AV353" s="45">
        <v>0</v>
      </c>
      <c r="AW353" s="45">
        <v>1</v>
      </c>
      <c r="AX353" s="45">
        <v>56312.800000000003</v>
      </c>
      <c r="AY353" s="45">
        <v>0</v>
      </c>
      <c r="AZ353" s="45">
        <v>0</v>
      </c>
    </row>
    <row r="354" spans="2:52">
      <c r="B354" s="45">
        <v>59065.3</v>
      </c>
      <c r="C354" s="45">
        <v>0</v>
      </c>
      <c r="D354" s="45">
        <v>1</v>
      </c>
      <c r="E354" s="45">
        <v>58003.7</v>
      </c>
      <c r="F354" s="45">
        <v>0</v>
      </c>
      <c r="G354" s="45">
        <v>0</v>
      </c>
      <c r="H354" s="45">
        <v>61458.3</v>
      </c>
      <c r="I354" s="45">
        <v>0</v>
      </c>
      <c r="J354" s="45">
        <v>1</v>
      </c>
      <c r="K354" s="45">
        <v>57843.3</v>
      </c>
      <c r="L354" s="45">
        <v>0</v>
      </c>
      <c r="M354" s="45">
        <v>0</v>
      </c>
      <c r="O354" s="45">
        <v>64563.3</v>
      </c>
      <c r="P354" s="45">
        <v>0</v>
      </c>
      <c r="Q354" s="45">
        <v>0</v>
      </c>
      <c r="R354" s="45">
        <v>58729.4</v>
      </c>
      <c r="S354" s="45">
        <v>0</v>
      </c>
      <c r="T354" s="45">
        <v>1</v>
      </c>
      <c r="U354" s="45">
        <v>58159.7</v>
      </c>
      <c r="V354" s="45">
        <v>0</v>
      </c>
      <c r="W354" s="45">
        <v>0</v>
      </c>
      <c r="X354" s="45">
        <v>57852.9</v>
      </c>
      <c r="Y354" s="45">
        <v>0</v>
      </c>
      <c r="Z354" s="45">
        <v>1</v>
      </c>
      <c r="AB354" s="45">
        <v>59671.5</v>
      </c>
      <c r="AC354" s="45">
        <v>0</v>
      </c>
      <c r="AD354" s="45">
        <v>1</v>
      </c>
      <c r="AE354" s="45">
        <v>64305.3</v>
      </c>
      <c r="AF354" s="45">
        <v>0</v>
      </c>
      <c r="AG354" s="45">
        <v>0</v>
      </c>
      <c r="AH354" s="45">
        <v>57739</v>
      </c>
      <c r="AI354" s="45">
        <v>0</v>
      </c>
      <c r="AJ354" s="45">
        <v>0</v>
      </c>
      <c r="AK354" s="45">
        <v>59694.400000000001</v>
      </c>
      <c r="AL354" s="45">
        <v>0</v>
      </c>
      <c r="AM354" s="45">
        <v>0</v>
      </c>
      <c r="AO354" s="45">
        <v>57102.1</v>
      </c>
      <c r="AP354" s="45">
        <v>0</v>
      </c>
      <c r="AQ354" s="45">
        <v>0</v>
      </c>
      <c r="AR354" s="45">
        <v>62001.5</v>
      </c>
      <c r="AS354" s="45">
        <v>0</v>
      </c>
      <c r="AT354" s="45">
        <v>1</v>
      </c>
      <c r="AU354" s="45">
        <v>59542.9</v>
      </c>
      <c r="AV354" s="45">
        <v>0</v>
      </c>
      <c r="AW354" s="45">
        <v>0</v>
      </c>
      <c r="AX354" s="45">
        <v>58500.6</v>
      </c>
      <c r="AY354" s="45">
        <v>0</v>
      </c>
      <c r="AZ354" s="45">
        <v>0</v>
      </c>
    </row>
    <row r="355" spans="2:52">
      <c r="B355" s="45">
        <v>71025.899999999994</v>
      </c>
      <c r="C355" s="45">
        <v>38</v>
      </c>
      <c r="D355" s="45">
        <v>1</v>
      </c>
      <c r="E355" s="45">
        <v>75811.7</v>
      </c>
      <c r="F355" s="45">
        <v>37</v>
      </c>
      <c r="G355" s="45">
        <v>0</v>
      </c>
      <c r="H355" s="45">
        <v>80564.800000000003</v>
      </c>
      <c r="I355" s="45">
        <v>56</v>
      </c>
      <c r="J355" s="45">
        <v>1</v>
      </c>
      <c r="K355" s="45">
        <v>76859.399999999994</v>
      </c>
      <c r="L355" s="45">
        <v>49</v>
      </c>
      <c r="M355" s="45">
        <v>1</v>
      </c>
      <c r="O355" s="45">
        <v>58335.3</v>
      </c>
      <c r="P355" s="45">
        <v>7</v>
      </c>
      <c r="Q355" s="45">
        <v>1</v>
      </c>
      <c r="R355" s="45">
        <v>90175.7</v>
      </c>
      <c r="S355" s="45">
        <v>69</v>
      </c>
      <c r="T355" s="45">
        <v>0</v>
      </c>
      <c r="U355" s="45">
        <v>94378.1</v>
      </c>
      <c r="V355" s="45">
        <v>78</v>
      </c>
      <c r="W355" s="45">
        <v>1</v>
      </c>
      <c r="X355" s="45">
        <v>55307.6</v>
      </c>
      <c r="Y355" s="45">
        <v>1</v>
      </c>
      <c r="Z355" s="45">
        <v>1</v>
      </c>
      <c r="AB355" s="45">
        <v>63275.7</v>
      </c>
      <c r="AC355" s="45">
        <v>9</v>
      </c>
      <c r="AD355" s="45">
        <v>1</v>
      </c>
      <c r="AE355" s="45">
        <v>80415.600000000006</v>
      </c>
      <c r="AF355" s="45">
        <v>56</v>
      </c>
      <c r="AG355" s="45">
        <v>0</v>
      </c>
      <c r="AH355" s="45">
        <v>50188.800000000003</v>
      </c>
      <c r="AI355" s="45">
        <v>0</v>
      </c>
      <c r="AJ355" s="45">
        <v>1</v>
      </c>
      <c r="AK355" s="45">
        <v>78473.5</v>
      </c>
      <c r="AL355" s="45">
        <v>53</v>
      </c>
      <c r="AM355" s="45">
        <v>0</v>
      </c>
      <c r="AO355" s="45">
        <v>88421.6</v>
      </c>
      <c r="AP355" s="45">
        <v>53</v>
      </c>
      <c r="AQ355" s="45">
        <v>1</v>
      </c>
      <c r="AR355" s="45">
        <v>58675.1</v>
      </c>
      <c r="AS355" s="45">
        <v>8</v>
      </c>
      <c r="AT355" s="45">
        <v>0</v>
      </c>
      <c r="AU355" s="45">
        <v>52519.6</v>
      </c>
      <c r="AV355" s="45">
        <v>0</v>
      </c>
      <c r="AW355" s="45">
        <v>1</v>
      </c>
      <c r="AX355" s="45">
        <v>49214.2</v>
      </c>
      <c r="AY355" s="45">
        <v>0</v>
      </c>
      <c r="AZ355" s="45">
        <v>0</v>
      </c>
    </row>
    <row r="356" spans="2:52">
      <c r="B356" s="45">
        <v>68978.399999999994</v>
      </c>
      <c r="C356" s="45">
        <v>0</v>
      </c>
      <c r="D356" s="45">
        <v>0</v>
      </c>
      <c r="E356" s="45">
        <v>79327.5</v>
      </c>
      <c r="F356" s="45">
        <v>31</v>
      </c>
      <c r="G356" s="45">
        <v>0</v>
      </c>
      <c r="H356" s="45">
        <v>89038.5</v>
      </c>
      <c r="I356" s="45">
        <v>58</v>
      </c>
      <c r="J356" s="45">
        <v>1</v>
      </c>
      <c r="K356" s="45">
        <v>64493.3</v>
      </c>
      <c r="L356" s="45">
        <v>0</v>
      </c>
      <c r="M356" s="45">
        <v>1</v>
      </c>
      <c r="O356" s="45">
        <v>64367.5</v>
      </c>
      <c r="P356" s="45">
        <v>0</v>
      </c>
      <c r="Q356" s="45">
        <v>1</v>
      </c>
      <c r="R356" s="45">
        <v>62711.1</v>
      </c>
      <c r="S356" s="45">
        <v>0</v>
      </c>
      <c r="T356" s="45">
        <v>0</v>
      </c>
      <c r="U356" s="45">
        <v>62770.400000000001</v>
      </c>
      <c r="V356" s="45">
        <v>0</v>
      </c>
      <c r="W356" s="45">
        <v>1</v>
      </c>
      <c r="X356" s="45">
        <v>92496.6</v>
      </c>
      <c r="Y356" s="45">
        <v>63</v>
      </c>
      <c r="Z356" s="45">
        <v>0</v>
      </c>
      <c r="AB356" s="45">
        <v>60732.3</v>
      </c>
      <c r="AC356" s="45">
        <v>0</v>
      </c>
      <c r="AD356" s="45">
        <v>1</v>
      </c>
      <c r="AE356" s="45">
        <v>93280.9</v>
      </c>
      <c r="AF356" s="45">
        <v>73</v>
      </c>
      <c r="AG356" s="45">
        <v>0</v>
      </c>
      <c r="AH356" s="45">
        <v>67954.2</v>
      </c>
      <c r="AI356" s="45">
        <v>0</v>
      </c>
      <c r="AJ356" s="45">
        <v>0</v>
      </c>
      <c r="AK356" s="45">
        <v>82413.5</v>
      </c>
      <c r="AL356" s="45">
        <v>45</v>
      </c>
      <c r="AM356" s="45">
        <v>1</v>
      </c>
      <c r="AO356" s="45">
        <v>87857.8</v>
      </c>
      <c r="AP356" s="45">
        <v>49</v>
      </c>
      <c r="AQ356" s="45">
        <v>1</v>
      </c>
      <c r="AR356" s="45">
        <v>60484.5</v>
      </c>
      <c r="AS356" s="45">
        <v>0</v>
      </c>
      <c r="AT356" s="45">
        <v>0</v>
      </c>
      <c r="AU356" s="45">
        <v>60088.800000000003</v>
      </c>
      <c r="AV356" s="45">
        <v>0</v>
      </c>
      <c r="AW356" s="45">
        <v>0</v>
      </c>
      <c r="AX356" s="45">
        <v>81243.100000000006</v>
      </c>
      <c r="AY356" s="45">
        <v>29</v>
      </c>
      <c r="AZ356" s="45">
        <v>1</v>
      </c>
    </row>
    <row r="357" spans="2:52">
      <c r="B357" s="45">
        <v>44287.199999999997</v>
      </c>
      <c r="C357" s="45">
        <v>0</v>
      </c>
      <c r="D357" s="45">
        <v>1</v>
      </c>
      <c r="E357" s="45">
        <v>40051.4</v>
      </c>
      <c r="F357" s="45">
        <v>0</v>
      </c>
      <c r="G357" s="45">
        <v>0</v>
      </c>
      <c r="H357" s="45">
        <v>41854.300000000003</v>
      </c>
      <c r="I357" s="45">
        <v>0</v>
      </c>
      <c r="J357" s="45">
        <v>1</v>
      </c>
      <c r="K357" s="45">
        <v>45409.4</v>
      </c>
      <c r="L357" s="45">
        <v>0</v>
      </c>
      <c r="M357" s="45">
        <v>0</v>
      </c>
      <c r="O357" s="45">
        <v>49860.2</v>
      </c>
      <c r="P357" s="45">
        <v>0</v>
      </c>
      <c r="Q357" s="45">
        <v>1</v>
      </c>
      <c r="R357" s="45">
        <v>60099.3</v>
      </c>
      <c r="S357" s="45">
        <v>31</v>
      </c>
      <c r="T357" s="45">
        <v>1</v>
      </c>
      <c r="U357" s="45">
        <v>39429.199999999997</v>
      </c>
      <c r="V357" s="45">
        <v>0</v>
      </c>
      <c r="W357" s="45">
        <v>0</v>
      </c>
      <c r="X357" s="45">
        <v>48635.8</v>
      </c>
      <c r="Y357" s="45">
        <v>7</v>
      </c>
      <c r="Z357" s="45">
        <v>1</v>
      </c>
      <c r="AB357" s="45">
        <v>42602.2</v>
      </c>
      <c r="AC357" s="45">
        <v>0</v>
      </c>
      <c r="AD357" s="45">
        <v>0</v>
      </c>
      <c r="AE357" s="45">
        <v>46487.5</v>
      </c>
      <c r="AF357" s="45">
        <v>0</v>
      </c>
      <c r="AG357" s="45">
        <v>1</v>
      </c>
      <c r="AH357" s="45">
        <v>45966.1</v>
      </c>
      <c r="AI357" s="45">
        <v>15</v>
      </c>
      <c r="AJ357" s="45">
        <v>0</v>
      </c>
      <c r="AK357" s="45">
        <v>38668</v>
      </c>
      <c r="AL357" s="45">
        <v>0</v>
      </c>
      <c r="AM357" s="45">
        <v>0</v>
      </c>
      <c r="AO357" s="45">
        <v>46183.3</v>
      </c>
      <c r="AP357" s="45">
        <v>0</v>
      </c>
      <c r="AQ357" s="45">
        <v>0</v>
      </c>
      <c r="AR357" s="45">
        <v>41770</v>
      </c>
      <c r="AS357" s="45">
        <v>0</v>
      </c>
      <c r="AT357" s="45">
        <v>0</v>
      </c>
      <c r="AU357" s="45">
        <v>57438.6</v>
      </c>
      <c r="AV357" s="45">
        <v>21</v>
      </c>
      <c r="AW357" s="45">
        <v>1</v>
      </c>
      <c r="AX357" s="45">
        <v>40368.300000000003</v>
      </c>
      <c r="AY357" s="45">
        <v>0</v>
      </c>
      <c r="AZ357" s="45">
        <v>1</v>
      </c>
    </row>
    <row r="358" spans="2:52">
      <c r="B358" s="45">
        <v>61213.8</v>
      </c>
      <c r="C358" s="45">
        <v>0</v>
      </c>
      <c r="D358" s="45">
        <v>0</v>
      </c>
      <c r="E358" s="45">
        <v>64784.9</v>
      </c>
      <c r="F358" s="45">
        <v>0</v>
      </c>
      <c r="G358" s="45">
        <v>1</v>
      </c>
      <c r="H358" s="45">
        <v>102310</v>
      </c>
      <c r="I358" s="45">
        <v>82</v>
      </c>
      <c r="J358" s="45">
        <v>0</v>
      </c>
      <c r="K358" s="45">
        <v>56021.8</v>
      </c>
      <c r="L358" s="45">
        <v>0</v>
      </c>
      <c r="M358" s="45">
        <v>1</v>
      </c>
      <c r="O358" s="45">
        <v>61506.3</v>
      </c>
      <c r="P358" s="45">
        <v>0</v>
      </c>
      <c r="Q358" s="45">
        <v>1</v>
      </c>
      <c r="R358" s="45">
        <v>62464.5</v>
      </c>
      <c r="S358" s="45">
        <v>0</v>
      </c>
      <c r="T358" s="45">
        <v>0</v>
      </c>
      <c r="U358" s="45">
        <v>111418</v>
      </c>
      <c r="V358" s="45">
        <v>103</v>
      </c>
      <c r="W358" s="45">
        <v>1</v>
      </c>
      <c r="X358" s="45">
        <v>60188.3</v>
      </c>
      <c r="Y358" s="45">
        <v>0</v>
      </c>
      <c r="Z358" s="45">
        <v>0</v>
      </c>
      <c r="AB358" s="45">
        <v>126451</v>
      </c>
      <c r="AC358" s="45">
        <v>129</v>
      </c>
      <c r="AD358" s="45">
        <v>1</v>
      </c>
      <c r="AE358" s="45">
        <v>64329.7</v>
      </c>
      <c r="AF358" s="45">
        <v>12</v>
      </c>
      <c r="AG358" s="45">
        <v>0</v>
      </c>
      <c r="AH358" s="45">
        <v>95667.199999999997</v>
      </c>
      <c r="AI358" s="45">
        <v>67</v>
      </c>
      <c r="AJ358" s="45">
        <v>0</v>
      </c>
      <c r="AK358" s="45">
        <v>156115</v>
      </c>
      <c r="AL358" s="45">
        <v>193</v>
      </c>
      <c r="AM358" s="45">
        <v>1</v>
      </c>
      <c r="AO358" s="45">
        <v>106625</v>
      </c>
      <c r="AP358" s="45">
        <v>87</v>
      </c>
      <c r="AQ358" s="45">
        <v>0</v>
      </c>
      <c r="AR358" s="45">
        <v>134477</v>
      </c>
      <c r="AS358" s="45">
        <v>136</v>
      </c>
      <c r="AT358" s="45">
        <v>1</v>
      </c>
      <c r="AU358" s="45">
        <v>63810.7</v>
      </c>
      <c r="AV358" s="45">
        <v>0</v>
      </c>
      <c r="AW358" s="45">
        <v>0</v>
      </c>
      <c r="AX358" s="45">
        <v>120800</v>
      </c>
      <c r="AY358" s="45">
        <v>124</v>
      </c>
      <c r="AZ358" s="45">
        <v>1</v>
      </c>
    </row>
    <row r="359" spans="2:52">
      <c r="B359" s="45">
        <v>52409</v>
      </c>
      <c r="C359" s="45">
        <v>0</v>
      </c>
      <c r="D359" s="45">
        <v>0</v>
      </c>
      <c r="E359" s="45">
        <v>51087.4</v>
      </c>
      <c r="F359" s="45">
        <v>0</v>
      </c>
      <c r="G359" s="45">
        <v>1</v>
      </c>
      <c r="H359" s="45">
        <v>53736.5</v>
      </c>
      <c r="I359" s="45">
        <v>0</v>
      </c>
      <c r="J359" s="45">
        <v>0</v>
      </c>
      <c r="K359" s="45">
        <v>49316.4</v>
      </c>
      <c r="L359" s="45">
        <v>0</v>
      </c>
      <c r="M359" s="45">
        <v>1</v>
      </c>
      <c r="O359" s="45">
        <v>50204.7</v>
      </c>
      <c r="P359" s="45">
        <v>0</v>
      </c>
      <c r="Q359" s="45">
        <v>1</v>
      </c>
      <c r="R359" s="45">
        <v>50812.5</v>
      </c>
      <c r="S359" s="45">
        <v>0</v>
      </c>
      <c r="T359" s="45">
        <v>1</v>
      </c>
      <c r="U359" s="45">
        <v>48972.7</v>
      </c>
      <c r="V359" s="45">
        <v>0</v>
      </c>
      <c r="W359" s="45">
        <v>0</v>
      </c>
      <c r="X359" s="45">
        <v>50019.5</v>
      </c>
      <c r="Y359" s="45">
        <v>0</v>
      </c>
      <c r="Z359" s="45">
        <v>0</v>
      </c>
      <c r="AB359" s="45">
        <v>50506.400000000001</v>
      </c>
      <c r="AC359" s="45">
        <v>0</v>
      </c>
      <c r="AD359" s="45">
        <v>0</v>
      </c>
      <c r="AE359" s="45">
        <v>48999.5</v>
      </c>
      <c r="AF359" s="45">
        <v>0</v>
      </c>
      <c r="AG359" s="45">
        <v>0</v>
      </c>
      <c r="AH359" s="45">
        <v>48175</v>
      </c>
      <c r="AI359" s="45">
        <v>0</v>
      </c>
      <c r="AJ359" s="45">
        <v>1</v>
      </c>
      <c r="AK359" s="45">
        <v>49702</v>
      </c>
      <c r="AL359" s="45">
        <v>0</v>
      </c>
      <c r="AM359" s="45">
        <v>0</v>
      </c>
      <c r="AO359" s="45">
        <v>55296.1</v>
      </c>
      <c r="AP359" s="45">
        <v>0</v>
      </c>
      <c r="AQ359" s="45">
        <v>0</v>
      </c>
      <c r="AR359" s="45">
        <v>54497.599999999999</v>
      </c>
      <c r="AS359" s="45">
        <v>0</v>
      </c>
      <c r="AT359" s="45">
        <v>0</v>
      </c>
      <c r="AU359" s="45">
        <v>55049.599999999999</v>
      </c>
      <c r="AV359" s="45">
        <v>0</v>
      </c>
      <c r="AW359" s="45">
        <v>1</v>
      </c>
      <c r="AX359" s="45">
        <v>56062.3</v>
      </c>
      <c r="AY359" s="45">
        <v>0</v>
      </c>
      <c r="AZ359" s="45">
        <v>1</v>
      </c>
    </row>
    <row r="360" spans="2:52">
      <c r="B360" s="45">
        <v>65436.5</v>
      </c>
      <c r="C360" s="45">
        <v>0</v>
      </c>
      <c r="D360" s="45">
        <v>1</v>
      </c>
      <c r="E360" s="45">
        <v>77747.899999999994</v>
      </c>
      <c r="F360" s="45">
        <v>28</v>
      </c>
      <c r="G360" s="45">
        <v>0</v>
      </c>
      <c r="H360" s="45">
        <v>78711.399999999994</v>
      </c>
      <c r="I360" s="45">
        <v>29</v>
      </c>
      <c r="J360" s="45">
        <v>0</v>
      </c>
      <c r="K360" s="45">
        <v>63477</v>
      </c>
      <c r="L360" s="45">
        <v>0</v>
      </c>
      <c r="M360" s="45">
        <v>1</v>
      </c>
      <c r="O360" s="45">
        <v>63833.9</v>
      </c>
      <c r="P360" s="45">
        <v>0</v>
      </c>
      <c r="Q360" s="45">
        <v>1</v>
      </c>
      <c r="R360" s="45">
        <v>79002.3</v>
      </c>
      <c r="S360" s="45">
        <v>30</v>
      </c>
      <c r="T360" s="45">
        <v>0</v>
      </c>
      <c r="U360" s="45">
        <v>65999.600000000006</v>
      </c>
      <c r="V360" s="45">
        <v>0</v>
      </c>
      <c r="W360" s="45">
        <v>0</v>
      </c>
      <c r="X360" s="45">
        <v>69342.899999999994</v>
      </c>
      <c r="Y360" s="45">
        <v>24</v>
      </c>
      <c r="Z360" s="45">
        <v>1</v>
      </c>
      <c r="AB360" s="45">
        <v>62955</v>
      </c>
      <c r="AC360" s="45">
        <v>0</v>
      </c>
      <c r="AD360" s="45">
        <v>0</v>
      </c>
      <c r="AE360" s="45">
        <v>100767</v>
      </c>
      <c r="AF360" s="45">
        <v>73</v>
      </c>
      <c r="AG360" s="45">
        <v>1</v>
      </c>
      <c r="AH360" s="45">
        <v>70919.399999999994</v>
      </c>
      <c r="AI360" s="45">
        <v>12</v>
      </c>
      <c r="AJ360" s="45">
        <v>0</v>
      </c>
      <c r="AK360" s="45">
        <v>59419.8</v>
      </c>
      <c r="AL360" s="45">
        <v>0</v>
      </c>
      <c r="AM360" s="45">
        <v>1</v>
      </c>
      <c r="AO360" s="45">
        <v>94382</v>
      </c>
      <c r="AP360" s="45">
        <v>62</v>
      </c>
      <c r="AQ360" s="45">
        <v>1</v>
      </c>
      <c r="AR360" s="45">
        <v>104968</v>
      </c>
      <c r="AS360" s="45">
        <v>89</v>
      </c>
      <c r="AT360" s="45">
        <v>1</v>
      </c>
      <c r="AU360" s="45">
        <v>63354.2</v>
      </c>
      <c r="AV360" s="45">
        <v>0</v>
      </c>
      <c r="AW360" s="45">
        <v>0</v>
      </c>
      <c r="AX360" s="45">
        <v>74930.600000000006</v>
      </c>
      <c r="AY360" s="45">
        <v>30</v>
      </c>
      <c r="AZ360" s="45">
        <v>1</v>
      </c>
    </row>
    <row r="361" spans="2:52">
      <c r="B361" s="45">
        <v>102605</v>
      </c>
      <c r="C361" s="45">
        <v>60</v>
      </c>
      <c r="D361" s="45">
        <v>0</v>
      </c>
      <c r="E361" s="45">
        <v>76031.899999999994</v>
      </c>
      <c r="F361" s="45">
        <v>0</v>
      </c>
      <c r="G361" s="45">
        <v>1</v>
      </c>
      <c r="H361" s="45">
        <v>69739.5</v>
      </c>
      <c r="I361" s="45">
        <v>0</v>
      </c>
      <c r="J361" s="45">
        <v>0</v>
      </c>
      <c r="K361" s="45">
        <v>84132</v>
      </c>
      <c r="L361" s="45">
        <v>29</v>
      </c>
      <c r="M361" s="45">
        <v>1</v>
      </c>
      <c r="O361" s="45">
        <v>79938.5</v>
      </c>
      <c r="P361" s="45">
        <v>0</v>
      </c>
      <c r="Q361" s="45">
        <v>0</v>
      </c>
      <c r="R361" s="45">
        <v>75557.600000000006</v>
      </c>
      <c r="S361" s="45">
        <v>0</v>
      </c>
      <c r="T361" s="45">
        <v>1</v>
      </c>
      <c r="U361" s="45">
        <v>71168.5</v>
      </c>
      <c r="V361" s="45">
        <v>0</v>
      </c>
      <c r="W361" s="45">
        <v>0</v>
      </c>
      <c r="X361" s="45">
        <v>77321.2</v>
      </c>
      <c r="Y361" s="45">
        <v>0</v>
      </c>
      <c r="Z361" s="45">
        <v>1</v>
      </c>
      <c r="AB361" s="45">
        <v>72097.600000000006</v>
      </c>
      <c r="AC361" s="45">
        <v>0</v>
      </c>
      <c r="AD361" s="45">
        <v>0</v>
      </c>
      <c r="AE361" s="45">
        <v>68832.3</v>
      </c>
      <c r="AF361" s="45">
        <v>0</v>
      </c>
      <c r="AG361" s="45">
        <v>1</v>
      </c>
      <c r="AH361" s="45">
        <v>73643.600000000006</v>
      </c>
      <c r="AI361" s="45">
        <v>0</v>
      </c>
      <c r="AJ361" s="45">
        <v>0</v>
      </c>
      <c r="AK361" s="45">
        <v>72367.199999999997</v>
      </c>
      <c r="AL361" s="45">
        <v>0</v>
      </c>
      <c r="AM361" s="45">
        <v>0</v>
      </c>
      <c r="AO361" s="45">
        <v>106288</v>
      </c>
      <c r="AP361" s="45">
        <v>64</v>
      </c>
      <c r="AQ361" s="45">
        <v>0</v>
      </c>
      <c r="AR361" s="45">
        <v>69596.800000000003</v>
      </c>
      <c r="AS361" s="45">
        <v>0</v>
      </c>
      <c r="AT361" s="45">
        <v>1</v>
      </c>
      <c r="AU361" s="45">
        <v>72616</v>
      </c>
      <c r="AV361" s="45">
        <v>0</v>
      </c>
      <c r="AW361" s="45">
        <v>0</v>
      </c>
      <c r="AX361" s="45">
        <v>72024.399999999994</v>
      </c>
      <c r="AY361" s="45">
        <v>0</v>
      </c>
      <c r="AZ361" s="45">
        <v>0</v>
      </c>
    </row>
    <row r="362" spans="2:52">
      <c r="B362" s="45">
        <v>59483.4</v>
      </c>
      <c r="C362" s="45">
        <v>0</v>
      </c>
      <c r="D362" s="45">
        <v>0</v>
      </c>
      <c r="E362" s="45">
        <v>72585.600000000006</v>
      </c>
      <c r="F362" s="45">
        <v>23</v>
      </c>
      <c r="G362" s="45">
        <v>0</v>
      </c>
      <c r="H362" s="45">
        <v>62858.3</v>
      </c>
      <c r="I362" s="45">
        <v>7</v>
      </c>
      <c r="J362" s="45">
        <v>1</v>
      </c>
      <c r="K362" s="45">
        <v>58667.5</v>
      </c>
      <c r="L362" s="45">
        <v>0</v>
      </c>
      <c r="M362" s="45">
        <v>0</v>
      </c>
      <c r="O362" s="45">
        <v>61961.3</v>
      </c>
      <c r="P362" s="45">
        <v>0</v>
      </c>
      <c r="Q362" s="45">
        <v>0</v>
      </c>
      <c r="R362" s="45">
        <v>59894</v>
      </c>
      <c r="S362" s="45">
        <v>5</v>
      </c>
      <c r="T362" s="45">
        <v>0</v>
      </c>
      <c r="U362" s="45">
        <v>58407</v>
      </c>
      <c r="V362" s="45">
        <v>0</v>
      </c>
      <c r="W362" s="45">
        <v>1</v>
      </c>
      <c r="X362" s="45">
        <v>54283.6</v>
      </c>
      <c r="Y362" s="45">
        <v>0</v>
      </c>
      <c r="Z362" s="45">
        <v>0</v>
      </c>
      <c r="AB362" s="45">
        <v>61185.4</v>
      </c>
      <c r="AC362" s="45">
        <v>0</v>
      </c>
      <c r="AD362" s="45">
        <v>0</v>
      </c>
      <c r="AE362" s="45">
        <v>61075.9</v>
      </c>
      <c r="AF362" s="45">
        <v>0</v>
      </c>
      <c r="AG362" s="45">
        <v>1</v>
      </c>
      <c r="AH362" s="45">
        <v>55636.7</v>
      </c>
      <c r="AI362" s="45">
        <v>0</v>
      </c>
      <c r="AJ362" s="45">
        <v>0</v>
      </c>
      <c r="AK362" s="45">
        <v>65850.5</v>
      </c>
      <c r="AL362" s="45">
        <v>14</v>
      </c>
      <c r="AM362" s="45">
        <v>0</v>
      </c>
      <c r="AO362" s="45">
        <v>70009.3</v>
      </c>
      <c r="AP362" s="45">
        <v>20</v>
      </c>
      <c r="AQ362" s="45">
        <v>1</v>
      </c>
      <c r="AR362" s="45">
        <v>58438.9</v>
      </c>
      <c r="AS362" s="45">
        <v>0</v>
      </c>
      <c r="AT362" s="45">
        <v>0</v>
      </c>
      <c r="AU362" s="45">
        <v>55760.7</v>
      </c>
      <c r="AV362" s="45">
        <v>0</v>
      </c>
      <c r="AW362" s="45">
        <v>1</v>
      </c>
      <c r="AX362" s="45">
        <v>58305.7</v>
      </c>
      <c r="AY362" s="45">
        <v>0</v>
      </c>
      <c r="AZ362" s="45">
        <v>0</v>
      </c>
    </row>
    <row r="363" spans="2:52">
      <c r="B363" s="45">
        <v>70654.7</v>
      </c>
      <c r="C363" s="45">
        <v>13</v>
      </c>
      <c r="D363" s="45">
        <v>1</v>
      </c>
      <c r="E363" s="45">
        <v>57792</v>
      </c>
      <c r="F363" s="45">
        <v>9</v>
      </c>
      <c r="G363" s="45">
        <v>1</v>
      </c>
      <c r="H363" s="45">
        <v>58232.4</v>
      </c>
      <c r="I363" s="45">
        <v>9</v>
      </c>
      <c r="J363" s="45">
        <v>0</v>
      </c>
      <c r="K363" s="45">
        <v>103718</v>
      </c>
      <c r="L363" s="45">
        <v>88</v>
      </c>
      <c r="M363" s="45">
        <v>1</v>
      </c>
      <c r="O363" s="45">
        <v>67783</v>
      </c>
      <c r="P363" s="45">
        <v>6</v>
      </c>
      <c r="Q363" s="45">
        <v>1</v>
      </c>
      <c r="R363" s="45">
        <v>56637.8</v>
      </c>
      <c r="S363" s="45">
        <v>0</v>
      </c>
      <c r="T363" s="45">
        <v>0</v>
      </c>
      <c r="U363" s="45">
        <v>56577</v>
      </c>
      <c r="V363" s="45">
        <v>0</v>
      </c>
      <c r="W363" s="45">
        <v>1</v>
      </c>
      <c r="X363" s="45">
        <v>82724</v>
      </c>
      <c r="Y363" s="45">
        <v>50</v>
      </c>
      <c r="Z363" s="45">
        <v>1</v>
      </c>
      <c r="AB363" s="45">
        <v>65987.600000000006</v>
      </c>
      <c r="AC363" s="45">
        <v>0</v>
      </c>
      <c r="AD363" s="45">
        <v>1</v>
      </c>
      <c r="AE363" s="45">
        <v>80674.399999999994</v>
      </c>
      <c r="AF363" s="45">
        <v>43</v>
      </c>
      <c r="AG363" s="45">
        <v>0</v>
      </c>
      <c r="AH363" s="45">
        <v>59397.4</v>
      </c>
      <c r="AI363" s="45">
        <v>7</v>
      </c>
      <c r="AJ363" s="45">
        <v>1</v>
      </c>
      <c r="AK363" s="45">
        <v>61530</v>
      </c>
      <c r="AL363" s="45">
        <v>0</v>
      </c>
      <c r="AM363" s="45">
        <v>0</v>
      </c>
      <c r="AO363" s="45">
        <v>57127.199999999997</v>
      </c>
      <c r="AP363" s="45">
        <v>0</v>
      </c>
      <c r="AQ363" s="45">
        <v>0</v>
      </c>
      <c r="AR363" s="45">
        <v>60974.9</v>
      </c>
      <c r="AS363" s="45">
        <v>0</v>
      </c>
      <c r="AT363" s="45">
        <v>1</v>
      </c>
      <c r="AU363" s="45">
        <v>62045.9</v>
      </c>
      <c r="AV363" s="45">
        <v>0</v>
      </c>
      <c r="AW363" s="45">
        <v>0</v>
      </c>
      <c r="AX363" s="45">
        <v>58290.3</v>
      </c>
      <c r="AY363" s="45">
        <v>0</v>
      </c>
      <c r="AZ363" s="45">
        <v>0</v>
      </c>
    </row>
    <row r="364" spans="2:52">
      <c r="B364" s="45">
        <v>64369.2</v>
      </c>
      <c r="C364" s="45">
        <v>6</v>
      </c>
      <c r="D364" s="45">
        <v>0</v>
      </c>
      <c r="E364" s="45">
        <v>53054</v>
      </c>
      <c r="F364" s="45">
        <v>0</v>
      </c>
      <c r="G364" s="45">
        <v>1</v>
      </c>
      <c r="H364" s="45">
        <v>55695.7</v>
      </c>
      <c r="I364" s="45">
        <v>0</v>
      </c>
      <c r="J364" s="45">
        <v>0</v>
      </c>
      <c r="K364" s="45">
        <v>52730.7</v>
      </c>
      <c r="L364" s="45">
        <v>0</v>
      </c>
      <c r="M364" s="45">
        <v>1</v>
      </c>
      <c r="O364" s="45">
        <v>54811.9</v>
      </c>
      <c r="P364" s="45">
        <v>0</v>
      </c>
      <c r="Q364" s="45">
        <v>0</v>
      </c>
      <c r="R364" s="45">
        <v>53400.7</v>
      </c>
      <c r="S364" s="45">
        <v>0</v>
      </c>
      <c r="T364" s="45">
        <v>1</v>
      </c>
      <c r="U364" s="45">
        <v>57214.1</v>
      </c>
      <c r="V364" s="45">
        <v>0</v>
      </c>
      <c r="W364" s="45">
        <v>0</v>
      </c>
      <c r="X364" s="45">
        <v>54655.9</v>
      </c>
      <c r="Y364" s="45">
        <v>0</v>
      </c>
      <c r="Z364" s="45">
        <v>1</v>
      </c>
      <c r="AB364" s="45">
        <v>57500.7</v>
      </c>
      <c r="AC364" s="45">
        <v>0</v>
      </c>
      <c r="AD364" s="45">
        <v>0</v>
      </c>
      <c r="AE364" s="45">
        <v>54268.800000000003</v>
      </c>
      <c r="AF364" s="45">
        <v>0</v>
      </c>
      <c r="AG364" s="45">
        <v>1</v>
      </c>
      <c r="AH364" s="45">
        <v>59656.5</v>
      </c>
      <c r="AI364" s="45">
        <v>0</v>
      </c>
      <c r="AJ364" s="45">
        <v>0</v>
      </c>
      <c r="AK364" s="45">
        <v>52408.9</v>
      </c>
      <c r="AL364" s="45">
        <v>0</v>
      </c>
      <c r="AM364" s="45">
        <v>0</v>
      </c>
      <c r="AO364" s="45">
        <v>57921</v>
      </c>
      <c r="AP364" s="45">
        <v>0</v>
      </c>
      <c r="AQ364" s="45">
        <v>1</v>
      </c>
      <c r="AR364" s="45">
        <v>50288</v>
      </c>
      <c r="AS364" s="45">
        <v>0</v>
      </c>
      <c r="AT364" s="45">
        <v>0</v>
      </c>
      <c r="AU364" s="45">
        <v>51798.9</v>
      </c>
      <c r="AV364" s="45">
        <v>0</v>
      </c>
      <c r="AW364" s="45">
        <v>1</v>
      </c>
      <c r="AX364" s="45">
        <v>55191.7</v>
      </c>
      <c r="AY364" s="45">
        <v>0</v>
      </c>
      <c r="AZ364" s="45">
        <v>0</v>
      </c>
    </row>
    <row r="365" spans="2:52">
      <c r="B365" s="45">
        <v>47985.9</v>
      </c>
      <c r="C365" s="45">
        <v>0</v>
      </c>
      <c r="D365" s="45">
        <v>0</v>
      </c>
      <c r="E365" s="45">
        <v>62842.1</v>
      </c>
      <c r="F365" s="45">
        <v>36</v>
      </c>
      <c r="G365" s="45">
        <v>1</v>
      </c>
      <c r="H365" s="45">
        <v>45195.1</v>
      </c>
      <c r="I365" s="45">
        <v>0</v>
      </c>
      <c r="J365" s="45">
        <v>0</v>
      </c>
      <c r="K365" s="45">
        <v>63874</v>
      </c>
      <c r="L365" s="45">
        <v>42</v>
      </c>
      <c r="M365" s="45">
        <v>1</v>
      </c>
      <c r="O365" s="45">
        <v>53172.2</v>
      </c>
      <c r="P365" s="45">
        <v>9</v>
      </c>
      <c r="Q365" s="45">
        <v>1</v>
      </c>
      <c r="R365" s="45">
        <v>73893.5</v>
      </c>
      <c r="S365" s="45">
        <v>53</v>
      </c>
      <c r="T365" s="45">
        <v>0</v>
      </c>
      <c r="U365" s="45">
        <v>50643.1</v>
      </c>
      <c r="V365" s="45">
        <v>0</v>
      </c>
      <c r="W365" s="45">
        <v>1</v>
      </c>
      <c r="X365" s="45">
        <v>67858.2</v>
      </c>
      <c r="Y365" s="45">
        <v>50</v>
      </c>
      <c r="Z365" s="45">
        <v>0</v>
      </c>
      <c r="AB365" s="45">
        <v>45006.7</v>
      </c>
      <c r="AC365" s="45">
        <v>0</v>
      </c>
      <c r="AD365" s="45">
        <v>1</v>
      </c>
      <c r="AE365" s="45">
        <v>52891.7</v>
      </c>
      <c r="AF365" s="45">
        <v>12</v>
      </c>
      <c r="AG365" s="45">
        <v>0</v>
      </c>
      <c r="AH365" s="45">
        <v>44605.2</v>
      </c>
      <c r="AI365" s="45">
        <v>0</v>
      </c>
      <c r="AJ365" s="45">
        <v>0</v>
      </c>
      <c r="AK365" s="45">
        <v>68139.5</v>
      </c>
      <c r="AL365" s="45">
        <v>49</v>
      </c>
      <c r="AM365" s="45">
        <v>1</v>
      </c>
      <c r="AO365" s="45">
        <v>64877.4</v>
      </c>
      <c r="AP365" s="45">
        <v>28</v>
      </c>
      <c r="AQ365" s="45">
        <v>0</v>
      </c>
      <c r="AR365" s="45">
        <v>55240.5</v>
      </c>
      <c r="AS365" s="45">
        <v>17</v>
      </c>
      <c r="AT365" s="45">
        <v>1</v>
      </c>
      <c r="AU365" s="45">
        <v>59566.1</v>
      </c>
      <c r="AV365" s="45">
        <v>20</v>
      </c>
      <c r="AW365" s="45">
        <v>1</v>
      </c>
      <c r="AX365" s="45">
        <v>45174.6</v>
      </c>
      <c r="AY365" s="45">
        <v>0</v>
      </c>
      <c r="AZ365" s="45">
        <v>0</v>
      </c>
    </row>
    <row r="366" spans="2:52">
      <c r="B366" s="45">
        <v>71434.8</v>
      </c>
      <c r="C366" s="45">
        <v>0</v>
      </c>
      <c r="D366" s="45">
        <v>0</v>
      </c>
      <c r="E366" s="45">
        <v>67851.899999999994</v>
      </c>
      <c r="F366" s="45">
        <v>0</v>
      </c>
      <c r="G366" s="45">
        <v>0</v>
      </c>
      <c r="H366" s="45">
        <v>68718</v>
      </c>
      <c r="I366" s="45">
        <v>0</v>
      </c>
      <c r="J366" s="45">
        <v>1</v>
      </c>
      <c r="K366" s="45">
        <v>75506.7</v>
      </c>
      <c r="L366" s="45">
        <v>0</v>
      </c>
      <c r="M366" s="45">
        <v>0</v>
      </c>
      <c r="O366" s="45">
        <v>69729.399999999994</v>
      </c>
      <c r="P366" s="45">
        <v>0</v>
      </c>
      <c r="Q366" s="45">
        <v>1</v>
      </c>
      <c r="R366" s="45">
        <v>68079.3</v>
      </c>
      <c r="S366" s="45">
        <v>0</v>
      </c>
      <c r="T366" s="45">
        <v>0</v>
      </c>
      <c r="U366" s="45">
        <v>65698.600000000006</v>
      </c>
      <c r="V366" s="45">
        <v>0</v>
      </c>
      <c r="W366" s="45">
        <v>1</v>
      </c>
      <c r="X366" s="45">
        <v>71378.3</v>
      </c>
      <c r="Y366" s="45">
        <v>0</v>
      </c>
      <c r="Z366" s="45">
        <v>1</v>
      </c>
      <c r="AB366" s="45">
        <v>71110.600000000006</v>
      </c>
      <c r="AC366" s="45">
        <v>0</v>
      </c>
      <c r="AD366" s="45">
        <v>0</v>
      </c>
      <c r="AE366" s="45">
        <v>71043.199999999997</v>
      </c>
      <c r="AF366" s="45">
        <v>0</v>
      </c>
      <c r="AG366" s="45">
        <v>1</v>
      </c>
      <c r="AH366" s="45">
        <v>74329.2</v>
      </c>
      <c r="AI366" s="45">
        <v>0</v>
      </c>
      <c r="AJ366" s="45">
        <v>0</v>
      </c>
      <c r="AK366" s="45">
        <v>70662.899999999994</v>
      </c>
      <c r="AL366" s="45">
        <v>0</v>
      </c>
      <c r="AM366" s="45">
        <v>0</v>
      </c>
      <c r="AO366" s="45">
        <v>74088.800000000003</v>
      </c>
      <c r="AP366" s="45">
        <v>0</v>
      </c>
      <c r="AQ366" s="45">
        <v>1</v>
      </c>
      <c r="AR366" s="45">
        <v>66900.7</v>
      </c>
      <c r="AS366" s="45">
        <v>0</v>
      </c>
      <c r="AT366" s="45">
        <v>0</v>
      </c>
      <c r="AU366" s="45">
        <v>66022.7</v>
      </c>
      <c r="AV366" s="45">
        <v>0</v>
      </c>
      <c r="AW366" s="45">
        <v>1</v>
      </c>
      <c r="AX366" s="45">
        <v>72656</v>
      </c>
      <c r="AY366" s="45">
        <v>0</v>
      </c>
      <c r="AZ366" s="45">
        <v>0</v>
      </c>
    </row>
    <row r="367" spans="2:52">
      <c r="B367" s="45">
        <v>62785.8</v>
      </c>
      <c r="C367" s="45">
        <v>0</v>
      </c>
      <c r="D367" s="45">
        <v>1</v>
      </c>
      <c r="E367" s="45">
        <v>67187.399999999994</v>
      </c>
      <c r="F367" s="45">
        <v>0</v>
      </c>
      <c r="G367" s="45">
        <v>0</v>
      </c>
      <c r="H367" s="45">
        <v>61583.3</v>
      </c>
      <c r="I367" s="45">
        <v>0</v>
      </c>
      <c r="J367" s="45">
        <v>1</v>
      </c>
      <c r="K367" s="45">
        <v>62166.1</v>
      </c>
      <c r="L367" s="45">
        <v>0</v>
      </c>
      <c r="M367" s="45">
        <v>0</v>
      </c>
      <c r="O367" s="45">
        <v>61081.3</v>
      </c>
      <c r="P367" s="45">
        <v>0</v>
      </c>
      <c r="Q367" s="45">
        <v>1</v>
      </c>
      <c r="R367" s="45">
        <v>64218.6</v>
      </c>
      <c r="S367" s="45">
        <v>0</v>
      </c>
      <c r="T367" s="45">
        <v>0</v>
      </c>
      <c r="U367" s="45">
        <v>66598.8</v>
      </c>
      <c r="V367" s="45">
        <v>11</v>
      </c>
      <c r="W367" s="45">
        <v>1</v>
      </c>
      <c r="X367" s="45">
        <v>60226</v>
      </c>
      <c r="Y367" s="45">
        <v>0</v>
      </c>
      <c r="Z367" s="45">
        <v>0</v>
      </c>
      <c r="AB367" s="45">
        <v>63469.2</v>
      </c>
      <c r="AC367" s="45">
        <v>0</v>
      </c>
      <c r="AD367" s="45">
        <v>1</v>
      </c>
      <c r="AE367" s="45">
        <v>61359.199999999997</v>
      </c>
      <c r="AF367" s="45">
        <v>0</v>
      </c>
      <c r="AG367" s="45">
        <v>0</v>
      </c>
      <c r="AH367" s="45">
        <v>62316.800000000003</v>
      </c>
      <c r="AI367" s="45">
        <v>0</v>
      </c>
      <c r="AJ367" s="45">
        <v>0</v>
      </c>
      <c r="AK367" s="45">
        <v>58580.6</v>
      </c>
      <c r="AL367" s="45">
        <v>0</v>
      </c>
      <c r="AM367" s="45">
        <v>0</v>
      </c>
      <c r="AO367" s="45">
        <v>67301.7</v>
      </c>
      <c r="AP367" s="45">
        <v>0</v>
      </c>
      <c r="AQ367" s="45">
        <v>1</v>
      </c>
      <c r="AR367" s="45">
        <v>61969.3</v>
      </c>
      <c r="AS367" s="45">
        <v>0</v>
      </c>
      <c r="AT367" s="45">
        <v>0</v>
      </c>
      <c r="AU367" s="45">
        <v>58442.5</v>
      </c>
      <c r="AV367" s="45">
        <v>0</v>
      </c>
      <c r="AW367" s="45">
        <v>1</v>
      </c>
      <c r="AX367" s="45">
        <v>60089.1</v>
      </c>
      <c r="AY367" s="45">
        <v>0</v>
      </c>
      <c r="AZ367" s="45">
        <v>1</v>
      </c>
    </row>
    <row r="368" spans="2:52">
      <c r="B368" s="45">
        <v>56919.1</v>
      </c>
      <c r="C368" s="45">
        <v>0</v>
      </c>
      <c r="D368" s="45">
        <v>0</v>
      </c>
      <c r="E368" s="45">
        <v>67294</v>
      </c>
      <c r="F368" s="45">
        <v>25</v>
      </c>
      <c r="G368" s="45">
        <v>1</v>
      </c>
      <c r="H368" s="45">
        <v>49463.1</v>
      </c>
      <c r="I368" s="45">
        <v>0</v>
      </c>
      <c r="J368" s="45">
        <v>0</v>
      </c>
      <c r="K368" s="45">
        <v>57242.3</v>
      </c>
      <c r="L368" s="45">
        <v>9</v>
      </c>
      <c r="M368" s="45">
        <v>1</v>
      </c>
      <c r="O368" s="45">
        <v>57047.199999999997</v>
      </c>
      <c r="P368" s="45">
        <v>0</v>
      </c>
      <c r="Q368" s="45">
        <v>1</v>
      </c>
      <c r="R368" s="45">
        <v>51907.199999999997</v>
      </c>
      <c r="S368" s="45">
        <v>0</v>
      </c>
      <c r="T368" s="45">
        <v>0</v>
      </c>
      <c r="U368" s="45">
        <v>58482.7</v>
      </c>
      <c r="V368" s="45">
        <v>3</v>
      </c>
      <c r="W368" s="45">
        <v>1</v>
      </c>
      <c r="X368" s="45">
        <v>52403.1</v>
      </c>
      <c r="Y368" s="45">
        <v>0</v>
      </c>
      <c r="Z368" s="45">
        <v>1</v>
      </c>
      <c r="AB368" s="45">
        <v>76979</v>
      </c>
      <c r="AC368" s="45">
        <v>50</v>
      </c>
      <c r="AD368" s="45">
        <v>1</v>
      </c>
      <c r="AE368" s="45">
        <v>72983.8</v>
      </c>
      <c r="AF368" s="45">
        <v>44</v>
      </c>
      <c r="AG368" s="45">
        <v>0</v>
      </c>
      <c r="AH368" s="45">
        <v>54736.3</v>
      </c>
      <c r="AI368" s="45">
        <v>0</v>
      </c>
      <c r="AJ368" s="45">
        <v>0</v>
      </c>
      <c r="AK368" s="45">
        <v>49564.2</v>
      </c>
      <c r="AL368" s="45">
        <v>3</v>
      </c>
      <c r="AM368" s="45">
        <v>1</v>
      </c>
      <c r="AO368" s="45">
        <v>54646.400000000001</v>
      </c>
      <c r="AP368" s="45">
        <v>0</v>
      </c>
      <c r="AQ368" s="45">
        <v>0</v>
      </c>
      <c r="AR368" s="45">
        <v>55165.8</v>
      </c>
      <c r="AS368" s="45">
        <v>0</v>
      </c>
      <c r="AT368" s="45">
        <v>1</v>
      </c>
      <c r="AU368" s="45">
        <v>84571.4</v>
      </c>
      <c r="AV368" s="45">
        <v>59</v>
      </c>
      <c r="AW368" s="45">
        <v>0</v>
      </c>
      <c r="AX368" s="45">
        <v>48048.9</v>
      </c>
      <c r="AY368" s="45">
        <v>0</v>
      </c>
      <c r="AZ368" s="45">
        <v>1</v>
      </c>
    </row>
    <row r="369" spans="2:52">
      <c r="B369" s="45">
        <v>64308.3</v>
      </c>
      <c r="C369" s="45">
        <v>0</v>
      </c>
      <c r="D369" s="45">
        <v>0</v>
      </c>
      <c r="E369" s="45">
        <v>69316.3</v>
      </c>
      <c r="F369" s="45">
        <v>0</v>
      </c>
      <c r="G369" s="45">
        <v>1</v>
      </c>
      <c r="H369" s="45">
        <v>71721.8</v>
      </c>
      <c r="I369" s="45">
        <v>0</v>
      </c>
      <c r="J369" s="45">
        <v>0</v>
      </c>
      <c r="K369" s="45">
        <v>97585.7</v>
      </c>
      <c r="L369" s="45">
        <v>67</v>
      </c>
      <c r="M369" s="45">
        <v>1</v>
      </c>
      <c r="O369" s="45">
        <v>73801</v>
      </c>
      <c r="P369" s="45">
        <v>0</v>
      </c>
      <c r="Q369" s="45">
        <v>0</v>
      </c>
      <c r="R369" s="45">
        <v>79385.5</v>
      </c>
      <c r="S369" s="45">
        <v>0</v>
      </c>
      <c r="T369" s="45">
        <v>1</v>
      </c>
      <c r="U369" s="45">
        <v>75554.600000000006</v>
      </c>
      <c r="V369" s="45">
        <v>0</v>
      </c>
      <c r="W369" s="45">
        <v>0</v>
      </c>
      <c r="X369" s="45">
        <v>63115.1</v>
      </c>
      <c r="Y369" s="45">
        <v>0</v>
      </c>
      <c r="Z369" s="45">
        <v>1</v>
      </c>
      <c r="AB369" s="45">
        <v>77051.5</v>
      </c>
      <c r="AC369" s="45">
        <v>0</v>
      </c>
      <c r="AD369" s="45">
        <v>0</v>
      </c>
      <c r="AE369" s="45">
        <v>66012</v>
      </c>
      <c r="AF369" s="45">
        <v>0</v>
      </c>
      <c r="AG369" s="45">
        <v>1</v>
      </c>
      <c r="AH369" s="45">
        <v>70364.3</v>
      </c>
      <c r="AI369" s="45">
        <v>0</v>
      </c>
      <c r="AJ369" s="45">
        <v>0</v>
      </c>
      <c r="AK369" s="45">
        <v>71543.5</v>
      </c>
      <c r="AL369" s="45">
        <v>0</v>
      </c>
      <c r="AM369" s="45">
        <v>0</v>
      </c>
      <c r="AO369" s="45">
        <v>72390.100000000006</v>
      </c>
      <c r="AP369" s="45">
        <v>0</v>
      </c>
      <c r="AQ369" s="45">
        <v>0</v>
      </c>
      <c r="AR369" s="45">
        <v>69353.399999999994</v>
      </c>
      <c r="AS369" s="45">
        <v>0</v>
      </c>
      <c r="AT369" s="45">
        <v>1</v>
      </c>
      <c r="AU369" s="45">
        <v>70608.100000000006</v>
      </c>
      <c r="AV369" s="45">
        <v>0</v>
      </c>
      <c r="AW369" s="45">
        <v>1</v>
      </c>
      <c r="AX369" s="45">
        <v>71279.7</v>
      </c>
      <c r="AY369" s="45">
        <v>0</v>
      </c>
      <c r="AZ369" s="45">
        <v>0</v>
      </c>
    </row>
    <row r="370" spans="2:52">
      <c r="B370" s="45">
        <v>51349.3</v>
      </c>
      <c r="C370" s="45">
        <v>0</v>
      </c>
      <c r="D370" s="45">
        <v>1</v>
      </c>
      <c r="E370" s="45">
        <v>46333.599999999999</v>
      </c>
      <c r="F370" s="45">
        <v>0</v>
      </c>
      <c r="G370" s="45">
        <v>0</v>
      </c>
      <c r="H370" s="45">
        <v>106660</v>
      </c>
      <c r="I370" s="45">
        <v>126</v>
      </c>
      <c r="J370" s="45">
        <v>1</v>
      </c>
      <c r="K370" s="45">
        <v>78031.7</v>
      </c>
      <c r="L370" s="45">
        <v>64</v>
      </c>
      <c r="M370" s="45">
        <v>0</v>
      </c>
      <c r="O370" s="45">
        <v>61219</v>
      </c>
      <c r="P370" s="45">
        <v>19</v>
      </c>
      <c r="Q370" s="45">
        <v>1</v>
      </c>
      <c r="R370" s="45">
        <v>54565.8</v>
      </c>
      <c r="S370" s="45">
        <v>6</v>
      </c>
      <c r="T370" s="45">
        <v>0</v>
      </c>
      <c r="U370" s="45">
        <v>48809.2</v>
      </c>
      <c r="V370" s="45">
        <v>0</v>
      </c>
      <c r="W370" s="45">
        <v>0</v>
      </c>
      <c r="X370" s="45">
        <v>47646.5</v>
      </c>
      <c r="Y370" s="45">
        <v>0</v>
      </c>
      <c r="Z370" s="45">
        <v>1</v>
      </c>
      <c r="AB370" s="45">
        <v>73836.600000000006</v>
      </c>
      <c r="AC370" s="45">
        <v>36</v>
      </c>
      <c r="AD370" s="45">
        <v>1</v>
      </c>
      <c r="AE370" s="45">
        <v>77395.399999999994</v>
      </c>
      <c r="AF370" s="45">
        <v>57</v>
      </c>
      <c r="AG370" s="45">
        <v>0</v>
      </c>
      <c r="AH370" s="45">
        <v>77731.7</v>
      </c>
      <c r="AI370" s="45">
        <v>59</v>
      </c>
      <c r="AJ370" s="45">
        <v>1</v>
      </c>
      <c r="AK370" s="45">
        <v>54469.8</v>
      </c>
      <c r="AL370" s="45">
        <v>14</v>
      </c>
      <c r="AM370" s="45">
        <v>1</v>
      </c>
      <c r="AO370" s="45">
        <v>52999.5</v>
      </c>
      <c r="AP370" s="45">
        <v>0</v>
      </c>
      <c r="AQ370" s="45">
        <v>1</v>
      </c>
      <c r="AR370" s="45">
        <v>47170.7</v>
      </c>
      <c r="AS370" s="45">
        <v>0</v>
      </c>
      <c r="AT370" s="45">
        <v>0</v>
      </c>
      <c r="AU370" s="45">
        <v>66008.7</v>
      </c>
      <c r="AV370" s="45">
        <v>40</v>
      </c>
      <c r="AW370" s="45">
        <v>1</v>
      </c>
      <c r="AX370" s="45">
        <v>79857.600000000006</v>
      </c>
      <c r="AY370" s="45">
        <v>59</v>
      </c>
      <c r="AZ370" s="45">
        <v>1</v>
      </c>
    </row>
    <row r="371" spans="2:52">
      <c r="B371" s="45">
        <v>87594.9</v>
      </c>
      <c r="C371" s="45">
        <v>57</v>
      </c>
      <c r="D371" s="45">
        <v>1</v>
      </c>
      <c r="E371" s="45">
        <v>66697.7</v>
      </c>
      <c r="F371" s="45">
        <v>0</v>
      </c>
      <c r="G371" s="45">
        <v>0</v>
      </c>
      <c r="H371" s="45">
        <v>63268.6</v>
      </c>
      <c r="I371" s="45">
        <v>0</v>
      </c>
      <c r="J371" s="45">
        <v>0</v>
      </c>
      <c r="K371" s="45">
        <v>58287.6</v>
      </c>
      <c r="L371" s="45">
        <v>0</v>
      </c>
      <c r="M371" s="45">
        <v>1</v>
      </c>
      <c r="O371" s="45">
        <v>59474.400000000001</v>
      </c>
      <c r="P371" s="45">
        <v>0</v>
      </c>
      <c r="Q371" s="45">
        <v>1</v>
      </c>
      <c r="R371" s="45">
        <v>61335.3</v>
      </c>
      <c r="S371" s="45">
        <v>0</v>
      </c>
      <c r="T371" s="45">
        <v>0</v>
      </c>
      <c r="U371" s="45">
        <v>55777.4</v>
      </c>
      <c r="V371" s="45">
        <v>0</v>
      </c>
      <c r="W371" s="45">
        <v>1</v>
      </c>
      <c r="X371" s="45">
        <v>55934.9</v>
      </c>
      <c r="Y371" s="45">
        <v>0</v>
      </c>
      <c r="Z371" s="45">
        <v>0</v>
      </c>
      <c r="AB371" s="45">
        <v>67626.2</v>
      </c>
      <c r="AC371" s="45">
        <v>9</v>
      </c>
      <c r="AD371" s="45">
        <v>0</v>
      </c>
      <c r="AE371" s="45">
        <v>61875.9</v>
      </c>
      <c r="AF371" s="45">
        <v>0</v>
      </c>
      <c r="AG371" s="45">
        <v>0</v>
      </c>
      <c r="AH371" s="45">
        <v>59612</v>
      </c>
      <c r="AI371" s="45">
        <v>0</v>
      </c>
      <c r="AJ371" s="45">
        <v>1</v>
      </c>
      <c r="AK371" s="45">
        <v>58601.3</v>
      </c>
      <c r="AL371" s="45">
        <v>0</v>
      </c>
      <c r="AM371" s="45">
        <v>0</v>
      </c>
      <c r="AO371" s="45">
        <v>84737.600000000006</v>
      </c>
      <c r="AP371" s="45">
        <v>48</v>
      </c>
      <c r="AQ371" s="45">
        <v>0</v>
      </c>
      <c r="AR371" s="45">
        <v>60871.1</v>
      </c>
      <c r="AS371" s="45">
        <v>0</v>
      </c>
      <c r="AT371" s="45">
        <v>1</v>
      </c>
      <c r="AU371" s="45">
        <v>53449.8</v>
      </c>
      <c r="AV371" s="45">
        <v>0</v>
      </c>
      <c r="AW371" s="45">
        <v>1</v>
      </c>
      <c r="AX371" s="45">
        <v>60809</v>
      </c>
      <c r="AY371" s="45">
        <v>15</v>
      </c>
      <c r="AZ371" s="45">
        <v>1</v>
      </c>
    </row>
    <row r="372" spans="2:52">
      <c r="B372" s="45">
        <v>53553.1</v>
      </c>
      <c r="C372" s="45">
        <v>18</v>
      </c>
      <c r="D372" s="45">
        <v>0</v>
      </c>
      <c r="E372" s="45">
        <v>42975.7</v>
      </c>
      <c r="F372" s="45">
        <v>0</v>
      </c>
      <c r="G372" s="45">
        <v>1</v>
      </c>
      <c r="H372" s="45">
        <v>51696</v>
      </c>
      <c r="I372" s="45">
        <v>19</v>
      </c>
      <c r="J372" s="45">
        <v>0</v>
      </c>
      <c r="K372" s="45">
        <v>40803.699999999997</v>
      </c>
      <c r="L372" s="45">
        <v>0</v>
      </c>
      <c r="M372" s="45">
        <v>1</v>
      </c>
      <c r="O372" s="45">
        <v>39555.199999999997</v>
      </c>
      <c r="P372" s="45">
        <v>0</v>
      </c>
      <c r="Q372" s="45">
        <v>1</v>
      </c>
      <c r="R372" s="45">
        <v>43417.2</v>
      </c>
      <c r="S372" s="45">
        <v>0</v>
      </c>
      <c r="T372" s="45">
        <v>0</v>
      </c>
      <c r="U372" s="45">
        <v>42874.7</v>
      </c>
      <c r="V372" s="45">
        <v>0</v>
      </c>
      <c r="W372" s="45">
        <v>1</v>
      </c>
      <c r="X372" s="45">
        <v>38923.699999999997</v>
      </c>
      <c r="Y372" s="45">
        <v>0</v>
      </c>
      <c r="Z372" s="45">
        <v>1</v>
      </c>
      <c r="AB372" s="45">
        <v>51440.9</v>
      </c>
      <c r="AC372" s="45">
        <v>22</v>
      </c>
      <c r="AD372" s="45">
        <v>1</v>
      </c>
      <c r="AE372" s="45">
        <v>41981.2</v>
      </c>
      <c r="AF372" s="45">
        <v>0</v>
      </c>
      <c r="AG372" s="45">
        <v>0</v>
      </c>
      <c r="AH372" s="45">
        <v>43649.7</v>
      </c>
      <c r="AI372" s="45">
        <v>0</v>
      </c>
      <c r="AJ372" s="45">
        <v>0</v>
      </c>
      <c r="AK372" s="45">
        <v>41489.4</v>
      </c>
      <c r="AL372" s="45">
        <v>0</v>
      </c>
      <c r="AM372" s="45">
        <v>1</v>
      </c>
      <c r="AO372" s="45">
        <v>51230.2</v>
      </c>
      <c r="AP372" s="45">
        <v>0</v>
      </c>
      <c r="AQ372" s="45">
        <v>0</v>
      </c>
      <c r="AR372" s="45">
        <v>43065.2</v>
      </c>
      <c r="AS372" s="45">
        <v>0</v>
      </c>
      <c r="AT372" s="45">
        <v>1</v>
      </c>
      <c r="AU372" s="45">
        <v>39910.199999999997</v>
      </c>
      <c r="AV372" s="45">
        <v>0</v>
      </c>
      <c r="AW372" s="45">
        <v>1</v>
      </c>
      <c r="AX372" s="45">
        <v>43287.5</v>
      </c>
      <c r="AY372" s="45">
        <v>0</v>
      </c>
      <c r="AZ372" s="45">
        <v>0</v>
      </c>
    </row>
    <row r="373" spans="2:52">
      <c r="B373" s="45">
        <v>97098.8</v>
      </c>
      <c r="C373" s="45">
        <v>85</v>
      </c>
      <c r="D373" s="45">
        <v>0</v>
      </c>
      <c r="E373" s="45">
        <v>52192.9</v>
      </c>
      <c r="F373" s="45">
        <v>0</v>
      </c>
      <c r="G373" s="45">
        <v>1</v>
      </c>
      <c r="H373" s="45">
        <v>49765.2</v>
      </c>
      <c r="I373" s="45">
        <v>0</v>
      </c>
      <c r="J373" s="45">
        <v>0</v>
      </c>
      <c r="K373" s="45">
        <v>52908.1</v>
      </c>
      <c r="L373" s="45">
        <v>0</v>
      </c>
      <c r="M373" s="45">
        <v>0</v>
      </c>
      <c r="O373" s="45">
        <v>51706.7</v>
      </c>
      <c r="P373" s="45">
        <v>0</v>
      </c>
      <c r="Q373" s="45">
        <v>0</v>
      </c>
      <c r="R373" s="45">
        <v>54639.5</v>
      </c>
      <c r="S373" s="45">
        <v>0</v>
      </c>
      <c r="T373" s="45">
        <v>1</v>
      </c>
      <c r="U373" s="45">
        <v>55360.2</v>
      </c>
      <c r="V373" s="45">
        <v>5</v>
      </c>
      <c r="W373" s="45">
        <v>0</v>
      </c>
      <c r="X373" s="45">
        <v>76374.399999999994</v>
      </c>
      <c r="Y373" s="45">
        <v>49</v>
      </c>
      <c r="Z373" s="45">
        <v>2</v>
      </c>
      <c r="AB373" s="45">
        <v>52731.5</v>
      </c>
      <c r="AC373" s="45">
        <v>0</v>
      </c>
      <c r="AD373" s="45">
        <v>0</v>
      </c>
      <c r="AE373" s="45">
        <v>60130.3</v>
      </c>
      <c r="AF373" s="45">
        <v>16</v>
      </c>
      <c r="AG373" s="45">
        <v>1</v>
      </c>
      <c r="AH373" s="45">
        <v>50879.7</v>
      </c>
      <c r="AI373" s="45">
        <v>0</v>
      </c>
      <c r="AJ373" s="45">
        <v>0</v>
      </c>
      <c r="AK373" s="45">
        <v>51583.5</v>
      </c>
      <c r="AL373" s="45">
        <v>0</v>
      </c>
      <c r="AM373" s="45">
        <v>1</v>
      </c>
      <c r="AO373" s="45">
        <v>53296.9</v>
      </c>
      <c r="AP373" s="45">
        <v>0</v>
      </c>
      <c r="AQ373" s="45">
        <v>1</v>
      </c>
      <c r="AR373" s="45">
        <v>65068</v>
      </c>
      <c r="AS373" s="45">
        <v>28</v>
      </c>
      <c r="AT373" s="45">
        <v>0</v>
      </c>
      <c r="AU373" s="45">
        <v>55363.6</v>
      </c>
      <c r="AV373" s="45">
        <v>0</v>
      </c>
      <c r="AW373" s="45">
        <v>1</v>
      </c>
      <c r="AX373" s="45">
        <v>51180.1</v>
      </c>
      <c r="AY373" s="45">
        <v>0</v>
      </c>
      <c r="AZ373" s="45">
        <v>0</v>
      </c>
    </row>
    <row r="374" spans="2:52">
      <c r="B374" s="45">
        <v>60803.8</v>
      </c>
      <c r="C374" s="45">
        <v>0</v>
      </c>
      <c r="D374" s="45">
        <v>1</v>
      </c>
      <c r="E374" s="45">
        <v>62830.3</v>
      </c>
      <c r="F374" s="45">
        <v>0</v>
      </c>
      <c r="G374" s="45">
        <v>0</v>
      </c>
      <c r="H374" s="45">
        <v>60013.8</v>
      </c>
      <c r="I374" s="45">
        <v>0</v>
      </c>
      <c r="J374" s="45">
        <v>0</v>
      </c>
      <c r="K374" s="45">
        <v>59816.3</v>
      </c>
      <c r="L374" s="45">
        <v>0</v>
      </c>
      <c r="M374" s="45">
        <v>1</v>
      </c>
      <c r="O374" s="45">
        <v>62133.599999999999</v>
      </c>
      <c r="P374" s="45">
        <v>0</v>
      </c>
      <c r="Q374" s="45">
        <v>0</v>
      </c>
      <c r="R374" s="45">
        <v>60934</v>
      </c>
      <c r="S374" s="45">
        <v>0</v>
      </c>
      <c r="T374" s="45">
        <v>1</v>
      </c>
      <c r="U374" s="45">
        <v>57789.9</v>
      </c>
      <c r="V374" s="45">
        <v>0</v>
      </c>
      <c r="W374" s="45">
        <v>0</v>
      </c>
      <c r="X374" s="45">
        <v>59065.599999999999</v>
      </c>
      <c r="Y374" s="45">
        <v>0</v>
      </c>
      <c r="Z374" s="45">
        <v>1</v>
      </c>
      <c r="AB374" s="45">
        <v>60822.7</v>
      </c>
      <c r="AC374" s="45">
        <v>0</v>
      </c>
      <c r="AD374" s="45">
        <v>0</v>
      </c>
      <c r="AE374" s="45">
        <v>58832.9</v>
      </c>
      <c r="AF374" s="45">
        <v>0</v>
      </c>
      <c r="AG374" s="45">
        <v>0</v>
      </c>
      <c r="AH374" s="45">
        <v>59390.9</v>
      </c>
      <c r="AI374" s="45">
        <v>0</v>
      </c>
      <c r="AJ374" s="45">
        <v>1</v>
      </c>
      <c r="AK374" s="45">
        <v>55820.1</v>
      </c>
      <c r="AL374" s="45">
        <v>0</v>
      </c>
      <c r="AM374" s="45">
        <v>0</v>
      </c>
      <c r="AO374" s="45">
        <v>65159.9</v>
      </c>
      <c r="AP374" s="45">
        <v>0</v>
      </c>
      <c r="AQ374" s="45">
        <v>1</v>
      </c>
      <c r="AR374" s="45">
        <v>62243.199999999997</v>
      </c>
      <c r="AS374" s="45">
        <v>0</v>
      </c>
      <c r="AT374" s="45">
        <v>0</v>
      </c>
      <c r="AU374" s="45">
        <v>55047.7</v>
      </c>
      <c r="AV374" s="45">
        <v>0</v>
      </c>
      <c r="AW374" s="45">
        <v>1</v>
      </c>
      <c r="AX374" s="45">
        <v>63019.1</v>
      </c>
      <c r="AY374" s="45">
        <v>14</v>
      </c>
      <c r="AZ374" s="45">
        <v>1</v>
      </c>
    </row>
    <row r="375" spans="2:52">
      <c r="B375" s="45">
        <v>64481.3</v>
      </c>
      <c r="C375" s="45">
        <v>0</v>
      </c>
      <c r="D375" s="45">
        <v>0</v>
      </c>
      <c r="E375" s="45">
        <v>63003.6</v>
      </c>
      <c r="F375" s="45">
        <v>0</v>
      </c>
      <c r="G375" s="45">
        <v>0</v>
      </c>
      <c r="H375" s="45">
        <v>61507.1</v>
      </c>
      <c r="I375" s="45">
        <v>0</v>
      </c>
      <c r="J375" s="45">
        <v>1</v>
      </c>
      <c r="K375" s="45">
        <v>60624.800000000003</v>
      </c>
      <c r="L375" s="45">
        <v>0</v>
      </c>
      <c r="M375" s="45">
        <v>0</v>
      </c>
      <c r="O375" s="45">
        <v>64247.9</v>
      </c>
      <c r="P375" s="45">
        <v>0</v>
      </c>
      <c r="Q375" s="45">
        <v>0</v>
      </c>
      <c r="R375" s="45">
        <v>63206.8</v>
      </c>
      <c r="S375" s="45">
        <v>0</v>
      </c>
      <c r="T375" s="45">
        <v>1</v>
      </c>
      <c r="U375" s="45">
        <v>59548.7</v>
      </c>
      <c r="V375" s="45">
        <v>0</v>
      </c>
      <c r="W375" s="45">
        <v>0</v>
      </c>
      <c r="X375" s="45">
        <v>57995.3</v>
      </c>
      <c r="Y375" s="45">
        <v>0</v>
      </c>
      <c r="Z375" s="45">
        <v>1</v>
      </c>
      <c r="AB375" s="45">
        <v>61134.5</v>
      </c>
      <c r="AC375" s="45">
        <v>0</v>
      </c>
      <c r="AD375" s="45">
        <v>0</v>
      </c>
      <c r="AE375" s="45">
        <v>59696.6</v>
      </c>
      <c r="AF375" s="45">
        <v>0</v>
      </c>
      <c r="AG375" s="45">
        <v>0</v>
      </c>
      <c r="AH375" s="45">
        <v>60378</v>
      </c>
      <c r="AI375" s="45">
        <v>0</v>
      </c>
      <c r="AJ375" s="45">
        <v>1</v>
      </c>
      <c r="AK375" s="45">
        <v>59232.3</v>
      </c>
      <c r="AL375" s="45">
        <v>0</v>
      </c>
      <c r="AM375" s="45">
        <v>0</v>
      </c>
      <c r="AO375" s="45">
        <v>57936.800000000003</v>
      </c>
      <c r="AP375" s="45">
        <v>0</v>
      </c>
      <c r="AQ375" s="45">
        <v>1</v>
      </c>
      <c r="AR375" s="45">
        <v>62236.5</v>
      </c>
      <c r="AS375" s="45">
        <v>0</v>
      </c>
      <c r="AT375" s="45">
        <v>0</v>
      </c>
      <c r="AU375" s="45">
        <v>60174.2</v>
      </c>
      <c r="AV375" s="45">
        <v>0</v>
      </c>
      <c r="AW375" s="45">
        <v>1</v>
      </c>
      <c r="AX375" s="45">
        <v>63313</v>
      </c>
      <c r="AY375" s="45">
        <v>0</v>
      </c>
      <c r="AZ375" s="45">
        <v>0</v>
      </c>
    </row>
    <row r="376" spans="2:52">
      <c r="B376" s="45">
        <v>57157.7</v>
      </c>
      <c r="C376" s="45">
        <v>19</v>
      </c>
      <c r="D376" s="45">
        <v>1</v>
      </c>
      <c r="E376" s="45">
        <v>70132.100000000006</v>
      </c>
      <c r="F376" s="45">
        <v>34</v>
      </c>
      <c r="G376" s="45">
        <v>0</v>
      </c>
      <c r="H376" s="45">
        <v>76790.600000000006</v>
      </c>
      <c r="I376" s="45">
        <v>55</v>
      </c>
      <c r="J376" s="45">
        <v>1</v>
      </c>
      <c r="K376" s="45">
        <v>82047.3</v>
      </c>
      <c r="L376" s="45">
        <v>68</v>
      </c>
      <c r="M376" s="45">
        <v>0</v>
      </c>
      <c r="O376" s="45">
        <v>82250.100000000006</v>
      </c>
      <c r="P376" s="45">
        <v>63</v>
      </c>
      <c r="Q376" s="45">
        <v>1</v>
      </c>
      <c r="R376" s="45">
        <v>49177.3</v>
      </c>
      <c r="S376" s="45">
        <v>0</v>
      </c>
      <c r="T376" s="45">
        <v>1</v>
      </c>
      <c r="U376" s="45">
        <v>54042.3</v>
      </c>
      <c r="V376" s="45">
        <v>16</v>
      </c>
      <c r="W376" s="45">
        <v>1</v>
      </c>
      <c r="X376" s="45">
        <v>57248.9</v>
      </c>
      <c r="Y376" s="45">
        <v>16</v>
      </c>
      <c r="Z376" s="45">
        <v>0</v>
      </c>
      <c r="AB376" s="45">
        <v>56011.4</v>
      </c>
      <c r="AC376" s="45">
        <v>0</v>
      </c>
      <c r="AD376" s="45">
        <v>0</v>
      </c>
      <c r="AE376" s="45">
        <v>67581.8</v>
      </c>
      <c r="AF376" s="45">
        <v>37</v>
      </c>
      <c r="AG376" s="45">
        <v>1</v>
      </c>
      <c r="AH376" s="45">
        <v>48358.5</v>
      </c>
      <c r="AI376" s="45">
        <v>0</v>
      </c>
      <c r="AJ376" s="45">
        <v>0</v>
      </c>
      <c r="AK376" s="45">
        <v>45927.7</v>
      </c>
      <c r="AL376" s="45">
        <v>0</v>
      </c>
      <c r="AM376" s="45">
        <v>0</v>
      </c>
      <c r="AO376" s="45">
        <v>58998.8</v>
      </c>
      <c r="AP376" s="45">
        <v>18</v>
      </c>
      <c r="AQ376" s="45">
        <v>1</v>
      </c>
      <c r="AR376" s="45">
        <v>63907.6</v>
      </c>
      <c r="AS376" s="45">
        <v>33</v>
      </c>
      <c r="AT376" s="45">
        <v>1</v>
      </c>
      <c r="AU376" s="45">
        <v>56555.5</v>
      </c>
      <c r="AV376" s="45">
        <v>14</v>
      </c>
      <c r="AW376" s="45">
        <v>0</v>
      </c>
      <c r="AX376" s="45">
        <v>48236.1</v>
      </c>
      <c r="AY376" s="45">
        <v>0</v>
      </c>
      <c r="AZ376" s="45">
        <v>1</v>
      </c>
    </row>
    <row r="377" spans="2:52">
      <c r="B377" s="45">
        <v>73674.600000000006</v>
      </c>
      <c r="C377" s="45">
        <v>0</v>
      </c>
      <c r="D377" s="45">
        <v>0</v>
      </c>
      <c r="E377" s="45">
        <v>62773.8</v>
      </c>
      <c r="F377" s="45">
        <v>0</v>
      </c>
      <c r="G377" s="45">
        <v>1</v>
      </c>
      <c r="H377" s="45">
        <v>64969.4</v>
      </c>
      <c r="I377" s="45">
        <v>0</v>
      </c>
      <c r="J377" s="45">
        <v>0</v>
      </c>
      <c r="K377" s="45">
        <v>70938.600000000006</v>
      </c>
      <c r="L377" s="45">
        <v>13</v>
      </c>
      <c r="M377" s="45">
        <v>0</v>
      </c>
      <c r="O377" s="45">
        <v>61943</v>
      </c>
      <c r="P377" s="45">
        <v>0</v>
      </c>
      <c r="Q377" s="45">
        <v>1</v>
      </c>
      <c r="R377" s="45">
        <v>95259.199999999997</v>
      </c>
      <c r="S377" s="45">
        <v>62</v>
      </c>
      <c r="T377" s="45">
        <v>1</v>
      </c>
      <c r="U377" s="45">
        <v>77353.899999999994</v>
      </c>
      <c r="V377" s="45">
        <v>40</v>
      </c>
      <c r="W377" s="45">
        <v>0</v>
      </c>
      <c r="X377" s="45">
        <v>63298.8</v>
      </c>
      <c r="Y377" s="45">
        <v>7</v>
      </c>
      <c r="Z377" s="45">
        <v>1</v>
      </c>
      <c r="AB377" s="45">
        <v>68984</v>
      </c>
      <c r="AC377" s="45">
        <v>16</v>
      </c>
      <c r="AD377" s="45">
        <v>1</v>
      </c>
      <c r="AE377" s="45">
        <v>72143.7</v>
      </c>
      <c r="AF377" s="45">
        <v>21</v>
      </c>
      <c r="AG377" s="45">
        <v>0</v>
      </c>
      <c r="AH377" s="45">
        <v>72380.899999999994</v>
      </c>
      <c r="AI377" s="45">
        <v>15</v>
      </c>
      <c r="AJ377" s="45">
        <v>1</v>
      </c>
      <c r="AK377" s="45">
        <v>65174.6</v>
      </c>
      <c r="AL377" s="45">
        <v>0</v>
      </c>
      <c r="AM377" s="45">
        <v>0</v>
      </c>
      <c r="AO377" s="45">
        <v>66741.8</v>
      </c>
      <c r="AP377" s="45">
        <v>0</v>
      </c>
      <c r="AQ377" s="45">
        <v>1</v>
      </c>
      <c r="AR377" s="45">
        <v>63308.6</v>
      </c>
      <c r="AS377" s="45">
        <v>0</v>
      </c>
      <c r="AT377" s="45">
        <v>0</v>
      </c>
      <c r="AU377" s="45">
        <v>60146.1</v>
      </c>
      <c r="AV377" s="45">
        <v>0</v>
      </c>
      <c r="AW377" s="45">
        <v>1</v>
      </c>
      <c r="AX377" s="45">
        <v>55911</v>
      </c>
      <c r="AY377" s="45">
        <v>0</v>
      </c>
      <c r="AZ377" s="45">
        <v>0</v>
      </c>
    </row>
    <row r="378" spans="2:52">
      <c r="B378" s="45">
        <v>52941.8</v>
      </c>
      <c r="C378" s="45">
        <v>6</v>
      </c>
      <c r="D378" s="45">
        <v>1</v>
      </c>
      <c r="E378" s="45">
        <v>59299</v>
      </c>
      <c r="F378" s="45">
        <v>25</v>
      </c>
      <c r="G378" s="45">
        <v>0</v>
      </c>
      <c r="H378" s="45">
        <v>49891.6</v>
      </c>
      <c r="I378" s="45">
        <v>3</v>
      </c>
      <c r="J378" s="45">
        <v>0</v>
      </c>
      <c r="K378" s="45">
        <v>53585.3</v>
      </c>
      <c r="L378" s="45">
        <v>18</v>
      </c>
      <c r="M378" s="45">
        <v>1</v>
      </c>
      <c r="O378" s="45">
        <v>50131.199999999997</v>
      </c>
      <c r="P378" s="45">
        <v>0</v>
      </c>
      <c r="Q378" s="45">
        <v>1</v>
      </c>
      <c r="R378" s="45">
        <v>46081.2</v>
      </c>
      <c r="S378" s="45">
        <v>0</v>
      </c>
      <c r="T378" s="45">
        <v>0</v>
      </c>
      <c r="U378" s="45">
        <v>47384.3</v>
      </c>
      <c r="V378" s="45">
        <v>0</v>
      </c>
      <c r="W378" s="45">
        <v>1</v>
      </c>
      <c r="X378" s="45">
        <v>51567</v>
      </c>
      <c r="Y378" s="45">
        <v>0</v>
      </c>
      <c r="Z378" s="45">
        <v>1</v>
      </c>
      <c r="AB378" s="45">
        <v>59550.8</v>
      </c>
      <c r="AC378" s="45">
        <v>23</v>
      </c>
      <c r="AD378" s="45">
        <v>0</v>
      </c>
      <c r="AE378" s="45">
        <v>46679.199999999997</v>
      </c>
      <c r="AF378" s="45">
        <v>5</v>
      </c>
      <c r="AG378" s="45">
        <v>1</v>
      </c>
      <c r="AH378" s="45">
        <v>49661.7</v>
      </c>
      <c r="AI378" s="45">
        <v>7</v>
      </c>
      <c r="AJ378" s="45">
        <v>0</v>
      </c>
      <c r="AK378" s="45">
        <v>45993.2</v>
      </c>
      <c r="AL378" s="45">
        <v>0</v>
      </c>
      <c r="AM378" s="45">
        <v>1</v>
      </c>
      <c r="AO378" s="45">
        <v>48865</v>
      </c>
      <c r="AP378" s="45">
        <v>0</v>
      </c>
      <c r="AQ378" s="45">
        <v>1</v>
      </c>
      <c r="AR378" s="45">
        <v>43938.5</v>
      </c>
      <c r="AS378" s="45">
        <v>0</v>
      </c>
      <c r="AT378" s="45">
        <v>1</v>
      </c>
      <c r="AU378" s="45">
        <v>46453.9</v>
      </c>
      <c r="AV378" s="45">
        <v>0</v>
      </c>
      <c r="AW378" s="45">
        <v>1</v>
      </c>
      <c r="AX378" s="45">
        <v>59672.3</v>
      </c>
      <c r="AY378" s="45">
        <v>22</v>
      </c>
      <c r="AZ378" s="45">
        <v>1</v>
      </c>
    </row>
    <row r="379" spans="2:52">
      <c r="B379" s="45">
        <v>47757.1</v>
      </c>
      <c r="C379" s="45">
        <v>0</v>
      </c>
      <c r="D379" s="45">
        <v>0</v>
      </c>
      <c r="E379" s="45">
        <v>46230.9</v>
      </c>
      <c r="F379" s="45">
        <v>0</v>
      </c>
      <c r="G379" s="45">
        <v>1</v>
      </c>
      <c r="H379" s="45">
        <v>51497.599999999999</v>
      </c>
      <c r="I379" s="45">
        <v>10</v>
      </c>
      <c r="J379" s="45">
        <v>0</v>
      </c>
      <c r="K379" s="45">
        <v>47519.6</v>
      </c>
      <c r="L379" s="45">
        <v>0</v>
      </c>
      <c r="M379" s="45">
        <v>1</v>
      </c>
      <c r="O379" s="45">
        <v>49499</v>
      </c>
      <c r="P379" s="45">
        <v>0</v>
      </c>
      <c r="Q379" s="45">
        <v>0</v>
      </c>
      <c r="R379" s="45">
        <v>54237.2</v>
      </c>
      <c r="S379" s="45">
        <v>17</v>
      </c>
      <c r="T379" s="45">
        <v>1</v>
      </c>
      <c r="U379" s="45">
        <v>48460</v>
      </c>
      <c r="V379" s="45">
        <v>0</v>
      </c>
      <c r="W379" s="45">
        <v>1</v>
      </c>
      <c r="X379" s="45">
        <v>44255.1</v>
      </c>
      <c r="Y379" s="45">
        <v>0</v>
      </c>
      <c r="Z379" s="45">
        <v>0</v>
      </c>
      <c r="AB379" s="45">
        <v>48984.7</v>
      </c>
      <c r="AC379" s="45">
        <v>0</v>
      </c>
      <c r="AD379" s="45">
        <v>0</v>
      </c>
      <c r="AE379" s="45">
        <v>49020.9</v>
      </c>
      <c r="AF379" s="45">
        <v>5</v>
      </c>
      <c r="AG379" s="45">
        <v>1</v>
      </c>
      <c r="AH379" s="45">
        <v>61896.7</v>
      </c>
      <c r="AI379" s="45">
        <v>27</v>
      </c>
      <c r="AJ379" s="45">
        <v>0</v>
      </c>
      <c r="AK379" s="45">
        <v>48934.3</v>
      </c>
      <c r="AL379" s="45">
        <v>0</v>
      </c>
      <c r="AM379" s="45">
        <v>0</v>
      </c>
      <c r="AO379" s="45">
        <v>46425.5</v>
      </c>
      <c r="AP379" s="45">
        <v>0</v>
      </c>
      <c r="AQ379" s="45">
        <v>1</v>
      </c>
      <c r="AR379" s="45">
        <v>49433.1</v>
      </c>
      <c r="AS379" s="45">
        <v>0</v>
      </c>
      <c r="AT379" s="45">
        <v>1</v>
      </c>
      <c r="AU379" s="45">
        <v>47833.2</v>
      </c>
      <c r="AV379" s="45">
        <v>0</v>
      </c>
      <c r="AW379" s="45">
        <v>0</v>
      </c>
      <c r="AX379" s="45">
        <v>47118.2</v>
      </c>
      <c r="AY379" s="45">
        <v>0</v>
      </c>
      <c r="AZ379" s="45">
        <v>1</v>
      </c>
    </row>
    <row r="380" spans="2:52">
      <c r="B380" s="45">
        <v>48748.7</v>
      </c>
      <c r="C380" s="45">
        <v>6</v>
      </c>
      <c r="D380" s="45">
        <v>0</v>
      </c>
      <c r="E380" s="45">
        <v>62376.7</v>
      </c>
      <c r="F380" s="45">
        <v>41</v>
      </c>
      <c r="G380" s="45">
        <v>1</v>
      </c>
      <c r="H380" s="45">
        <v>69303.5</v>
      </c>
      <c r="I380" s="45">
        <v>48</v>
      </c>
      <c r="J380" s="45">
        <v>1</v>
      </c>
      <c r="K380" s="45">
        <v>45578.5</v>
      </c>
      <c r="L380" s="45">
        <v>0</v>
      </c>
      <c r="M380" s="45">
        <v>0</v>
      </c>
      <c r="O380" s="45">
        <v>52417.7</v>
      </c>
      <c r="P380" s="45">
        <v>12</v>
      </c>
      <c r="Q380" s="45">
        <v>1</v>
      </c>
      <c r="R380" s="45">
        <v>49386.6</v>
      </c>
      <c r="S380" s="45">
        <v>0</v>
      </c>
      <c r="T380" s="45">
        <v>1</v>
      </c>
      <c r="U380" s="45">
        <v>79189.600000000006</v>
      </c>
      <c r="V380" s="45">
        <v>60</v>
      </c>
      <c r="W380" s="45">
        <v>1</v>
      </c>
      <c r="X380" s="45">
        <v>52363.199999999997</v>
      </c>
      <c r="Y380" s="45">
        <v>9</v>
      </c>
      <c r="Z380" s="45">
        <v>1</v>
      </c>
      <c r="AB380" s="45">
        <v>48037.4</v>
      </c>
      <c r="AC380" s="45">
        <v>7</v>
      </c>
      <c r="AD380" s="45">
        <v>1</v>
      </c>
      <c r="AE380" s="45">
        <v>93421.5</v>
      </c>
      <c r="AF380" s="45">
        <v>99</v>
      </c>
      <c r="AG380" s="45">
        <v>1</v>
      </c>
      <c r="AH380" s="45">
        <v>49861.3</v>
      </c>
      <c r="AI380" s="45">
        <v>2</v>
      </c>
      <c r="AJ380" s="45">
        <v>0</v>
      </c>
      <c r="AK380" s="45">
        <v>44637.5</v>
      </c>
      <c r="AL380" s="45">
        <v>7</v>
      </c>
      <c r="AM380" s="45">
        <v>0</v>
      </c>
      <c r="AO380" s="45">
        <v>62300.9</v>
      </c>
      <c r="AP380" s="45">
        <v>41</v>
      </c>
      <c r="AQ380" s="45">
        <v>1</v>
      </c>
      <c r="AR380" s="45">
        <v>74352</v>
      </c>
      <c r="AS380" s="45">
        <v>63</v>
      </c>
      <c r="AT380" s="45">
        <v>2</v>
      </c>
      <c r="AU380" s="45">
        <v>64116.9</v>
      </c>
      <c r="AV380" s="45">
        <v>39</v>
      </c>
      <c r="AW380" s="45">
        <v>1</v>
      </c>
      <c r="AX380" s="45">
        <v>54299.5</v>
      </c>
      <c r="AY380" s="45">
        <v>18</v>
      </c>
      <c r="AZ380" s="45">
        <v>1</v>
      </c>
    </row>
    <row r="381" spans="2:52">
      <c r="B381" s="45">
        <v>56075.6</v>
      </c>
      <c r="C381" s="45">
        <v>0</v>
      </c>
      <c r="D381" s="45">
        <v>0</v>
      </c>
      <c r="E381" s="45">
        <v>74936.800000000003</v>
      </c>
      <c r="F381" s="45">
        <v>25</v>
      </c>
      <c r="G381" s="45">
        <v>1</v>
      </c>
      <c r="H381" s="45">
        <v>72396.2</v>
      </c>
      <c r="I381" s="45">
        <v>21</v>
      </c>
      <c r="J381" s="45">
        <v>1</v>
      </c>
      <c r="K381" s="45">
        <v>73233.100000000006</v>
      </c>
      <c r="L381" s="45">
        <v>28</v>
      </c>
      <c r="M381" s="45">
        <v>0</v>
      </c>
      <c r="O381" s="45">
        <v>73378</v>
      </c>
      <c r="P381" s="45">
        <v>16</v>
      </c>
      <c r="Q381" s="45">
        <v>0</v>
      </c>
      <c r="R381" s="45">
        <v>74296.100000000006</v>
      </c>
      <c r="S381" s="45">
        <v>28</v>
      </c>
      <c r="T381" s="45">
        <v>1</v>
      </c>
      <c r="U381" s="45">
        <v>70160</v>
      </c>
      <c r="V381" s="45">
        <v>18</v>
      </c>
      <c r="W381" s="45">
        <v>1</v>
      </c>
      <c r="X381" s="45">
        <v>60234.400000000001</v>
      </c>
      <c r="Y381" s="45">
        <v>0</v>
      </c>
      <c r="Z381" s="45">
        <v>0</v>
      </c>
      <c r="AB381" s="45">
        <v>70887.600000000006</v>
      </c>
      <c r="AC381" s="45">
        <v>8</v>
      </c>
      <c r="AD381" s="45">
        <v>1</v>
      </c>
      <c r="AE381" s="45">
        <v>57555.4</v>
      </c>
      <c r="AF381" s="45">
        <v>0</v>
      </c>
      <c r="AG381" s="45">
        <v>0</v>
      </c>
      <c r="AH381" s="45">
        <v>68021.2</v>
      </c>
      <c r="AI381" s="45">
        <v>20</v>
      </c>
      <c r="AJ381" s="45">
        <v>1</v>
      </c>
      <c r="AK381" s="45">
        <v>60215.6</v>
      </c>
      <c r="AL381" s="45">
        <v>0</v>
      </c>
      <c r="AM381" s="45">
        <v>0</v>
      </c>
      <c r="AO381" s="45">
        <v>63068.7</v>
      </c>
      <c r="AP381" s="45">
        <v>6</v>
      </c>
      <c r="AQ381" s="45">
        <v>1</v>
      </c>
      <c r="AR381" s="45">
        <v>59605</v>
      </c>
      <c r="AS381" s="45">
        <v>0</v>
      </c>
      <c r="AT381" s="45">
        <v>0</v>
      </c>
      <c r="AU381" s="45">
        <v>56509.5</v>
      </c>
      <c r="AV381" s="45">
        <v>0</v>
      </c>
      <c r="AW381" s="45">
        <v>1</v>
      </c>
      <c r="AX381" s="45">
        <v>58693</v>
      </c>
      <c r="AY381" s="45">
        <v>1</v>
      </c>
      <c r="AZ381" s="45">
        <v>1</v>
      </c>
    </row>
    <row r="382" spans="2:52">
      <c r="B382" s="45">
        <v>73849.600000000006</v>
      </c>
      <c r="C382" s="45">
        <v>40</v>
      </c>
      <c r="D382" s="45">
        <v>1</v>
      </c>
      <c r="E382" s="45">
        <v>58819.7</v>
      </c>
      <c r="F382" s="45">
        <v>0</v>
      </c>
      <c r="G382" s="45">
        <v>0</v>
      </c>
      <c r="H382" s="45">
        <v>81012.100000000006</v>
      </c>
      <c r="I382" s="45">
        <v>33</v>
      </c>
      <c r="J382" s="45">
        <v>0</v>
      </c>
      <c r="K382" s="45">
        <v>58185.599999999999</v>
      </c>
      <c r="L382" s="45">
        <v>19</v>
      </c>
      <c r="M382" s="45">
        <v>1</v>
      </c>
      <c r="O382" s="45">
        <v>53963.5</v>
      </c>
      <c r="P382" s="45">
        <v>0</v>
      </c>
      <c r="Q382" s="45">
        <v>1</v>
      </c>
      <c r="R382" s="45">
        <v>59635.6</v>
      </c>
      <c r="S382" s="45">
        <v>0</v>
      </c>
      <c r="T382" s="45">
        <v>1</v>
      </c>
      <c r="U382" s="45">
        <v>57787.5</v>
      </c>
      <c r="V382" s="45">
        <v>0</v>
      </c>
      <c r="W382" s="45">
        <v>0</v>
      </c>
      <c r="X382" s="45">
        <v>52656.4</v>
      </c>
      <c r="Y382" s="45">
        <v>1</v>
      </c>
      <c r="Z382" s="45">
        <v>1</v>
      </c>
      <c r="AB382" s="45">
        <v>64391.8</v>
      </c>
      <c r="AC382" s="45">
        <v>19</v>
      </c>
      <c r="AD382" s="45">
        <v>1</v>
      </c>
      <c r="AE382" s="45">
        <v>74208.2</v>
      </c>
      <c r="AF382" s="45">
        <v>26</v>
      </c>
      <c r="AG382" s="45">
        <v>0</v>
      </c>
      <c r="AH382" s="45">
        <v>63392.7</v>
      </c>
      <c r="AI382" s="45">
        <v>19</v>
      </c>
      <c r="AJ382" s="45">
        <v>1</v>
      </c>
      <c r="AK382" s="45">
        <v>57931.6</v>
      </c>
      <c r="AL382" s="45">
        <v>0</v>
      </c>
      <c r="AM382" s="45">
        <v>0</v>
      </c>
      <c r="AO382" s="45">
        <v>64058.5</v>
      </c>
      <c r="AP382" s="45">
        <v>0</v>
      </c>
      <c r="AQ382" s="45">
        <v>0</v>
      </c>
      <c r="AR382" s="45">
        <v>59595.7</v>
      </c>
      <c r="AS382" s="45">
        <v>0</v>
      </c>
      <c r="AT382" s="45">
        <v>1</v>
      </c>
      <c r="AU382" s="45">
        <v>97871.5</v>
      </c>
      <c r="AV382" s="45">
        <v>82</v>
      </c>
      <c r="AW382" s="45">
        <v>1</v>
      </c>
      <c r="AX382" s="45">
        <v>60754.1</v>
      </c>
      <c r="AY382" s="45">
        <v>0</v>
      </c>
      <c r="AZ382" s="45">
        <v>1</v>
      </c>
    </row>
    <row r="383" spans="2:52">
      <c r="B383" s="45">
        <v>65365.4</v>
      </c>
      <c r="C383" s="45">
        <v>0</v>
      </c>
      <c r="D383" s="45">
        <v>1</v>
      </c>
      <c r="E383" s="45">
        <v>64811.6</v>
      </c>
      <c r="F383" s="45">
        <v>0</v>
      </c>
      <c r="G383" s="45">
        <v>1</v>
      </c>
      <c r="H383" s="45">
        <v>68430.100000000006</v>
      </c>
      <c r="I383" s="45">
        <v>0</v>
      </c>
      <c r="J383" s="45">
        <v>0</v>
      </c>
      <c r="K383" s="45">
        <v>63819</v>
      </c>
      <c r="L383" s="45">
        <v>0</v>
      </c>
      <c r="M383" s="45">
        <v>0</v>
      </c>
      <c r="O383" s="45">
        <v>67153.7</v>
      </c>
      <c r="P383" s="45">
        <v>0</v>
      </c>
      <c r="Q383" s="45">
        <v>1</v>
      </c>
      <c r="R383" s="45">
        <v>71994.3</v>
      </c>
      <c r="S383" s="45">
        <v>0</v>
      </c>
      <c r="T383" s="45">
        <v>0</v>
      </c>
      <c r="U383" s="45">
        <v>76518.2</v>
      </c>
      <c r="V383" s="45">
        <v>23</v>
      </c>
      <c r="W383" s="45">
        <v>1</v>
      </c>
      <c r="X383" s="45">
        <v>70049.3</v>
      </c>
      <c r="Y383" s="45">
        <v>0</v>
      </c>
      <c r="Z383" s="45">
        <v>1</v>
      </c>
      <c r="AB383" s="45">
        <v>66951.399999999994</v>
      </c>
      <c r="AC383" s="45">
        <v>0</v>
      </c>
      <c r="AD383" s="45">
        <v>1</v>
      </c>
      <c r="AE383" s="45">
        <v>64357.599999999999</v>
      </c>
      <c r="AF383" s="45">
        <v>6</v>
      </c>
      <c r="AG383" s="45">
        <v>0</v>
      </c>
      <c r="AH383" s="45">
        <v>89252.800000000003</v>
      </c>
      <c r="AI383" s="45">
        <v>44</v>
      </c>
      <c r="AJ383" s="45">
        <v>1</v>
      </c>
      <c r="AK383" s="45">
        <v>67764.600000000006</v>
      </c>
      <c r="AL383" s="45">
        <v>1</v>
      </c>
      <c r="AM383" s="45">
        <v>0</v>
      </c>
      <c r="AO383" s="45">
        <v>84327</v>
      </c>
      <c r="AP383" s="45">
        <v>46</v>
      </c>
      <c r="AQ383" s="45">
        <v>1</v>
      </c>
      <c r="AR383" s="45">
        <v>63149.9</v>
      </c>
      <c r="AS383" s="45">
        <v>0</v>
      </c>
      <c r="AT383" s="45">
        <v>1</v>
      </c>
      <c r="AU383" s="45">
        <v>85689.5</v>
      </c>
      <c r="AV383" s="45">
        <v>46</v>
      </c>
      <c r="AW383" s="45">
        <v>1</v>
      </c>
      <c r="AX383" s="45">
        <v>76476.899999999994</v>
      </c>
      <c r="AY383" s="45">
        <v>34</v>
      </c>
      <c r="AZ383" s="45">
        <v>1</v>
      </c>
    </row>
    <row r="384" spans="2:52">
      <c r="B384" s="45">
        <v>58048.3</v>
      </c>
      <c r="C384" s="45">
        <v>1</v>
      </c>
      <c r="D384" s="45">
        <v>1</v>
      </c>
      <c r="E384" s="45">
        <v>59198</v>
      </c>
      <c r="F384" s="45">
        <v>0</v>
      </c>
      <c r="G384" s="45">
        <v>0</v>
      </c>
      <c r="H384" s="45">
        <v>57106</v>
      </c>
      <c r="I384" s="45">
        <v>0</v>
      </c>
      <c r="J384" s="45">
        <v>0</v>
      </c>
      <c r="K384" s="45">
        <v>51817.599999999999</v>
      </c>
      <c r="L384" s="45">
        <v>0</v>
      </c>
      <c r="M384" s="45">
        <v>1</v>
      </c>
      <c r="O384" s="45">
        <v>63814.2</v>
      </c>
      <c r="P384" s="45">
        <v>0</v>
      </c>
      <c r="Q384" s="45">
        <v>1</v>
      </c>
      <c r="R384" s="45">
        <v>56226.6</v>
      </c>
      <c r="S384" s="45">
        <v>0</v>
      </c>
      <c r="T384" s="45">
        <v>0</v>
      </c>
      <c r="U384" s="45">
        <v>60703.9</v>
      </c>
      <c r="V384" s="45">
        <v>0</v>
      </c>
      <c r="W384" s="45">
        <v>1</v>
      </c>
      <c r="X384" s="45">
        <v>54468.9</v>
      </c>
      <c r="Y384" s="45">
        <v>0</v>
      </c>
      <c r="Z384" s="45">
        <v>0</v>
      </c>
      <c r="AB384" s="45">
        <v>61921</v>
      </c>
      <c r="AC384" s="45">
        <v>0</v>
      </c>
      <c r="AD384" s="45">
        <v>1</v>
      </c>
      <c r="AE384" s="45">
        <v>67597.3</v>
      </c>
      <c r="AF384" s="45">
        <v>31</v>
      </c>
      <c r="AG384" s="45">
        <v>0</v>
      </c>
      <c r="AH384" s="45">
        <v>54052.7</v>
      </c>
      <c r="AI384" s="45">
        <v>0</v>
      </c>
      <c r="AJ384" s="45">
        <v>0</v>
      </c>
      <c r="AK384" s="45">
        <v>56958.5</v>
      </c>
      <c r="AL384" s="45">
        <v>0</v>
      </c>
      <c r="AM384" s="45">
        <v>1</v>
      </c>
      <c r="AO384" s="45">
        <v>60241.1</v>
      </c>
      <c r="AP384" s="45">
        <v>0</v>
      </c>
      <c r="AQ384" s="45">
        <v>1</v>
      </c>
      <c r="AR384" s="45">
        <v>62780.7</v>
      </c>
      <c r="AS384" s="45">
        <v>0</v>
      </c>
      <c r="AT384" s="45">
        <v>0</v>
      </c>
      <c r="AU384" s="45">
        <v>61743.8</v>
      </c>
      <c r="AV384" s="45">
        <v>0</v>
      </c>
      <c r="AW384" s="45">
        <v>1</v>
      </c>
      <c r="AX384" s="45">
        <v>53966.5</v>
      </c>
      <c r="AY384" s="45">
        <v>0</v>
      </c>
      <c r="AZ384" s="45">
        <v>1</v>
      </c>
    </row>
    <row r="385" spans="2:52">
      <c r="B385" s="45">
        <v>87175.2</v>
      </c>
      <c r="C385" s="45">
        <v>61</v>
      </c>
      <c r="D385" s="45">
        <v>0</v>
      </c>
      <c r="E385" s="45">
        <v>67043.100000000006</v>
      </c>
      <c r="F385" s="45">
        <v>23</v>
      </c>
      <c r="G385" s="45">
        <v>1</v>
      </c>
      <c r="H385" s="45">
        <v>61900.1</v>
      </c>
      <c r="I385" s="45">
        <v>0</v>
      </c>
      <c r="J385" s="45">
        <v>0</v>
      </c>
      <c r="K385" s="45">
        <v>111734</v>
      </c>
      <c r="L385" s="45">
        <v>110</v>
      </c>
      <c r="M385" s="45">
        <v>1</v>
      </c>
      <c r="O385" s="45">
        <v>74423.5</v>
      </c>
      <c r="P385" s="45">
        <v>23</v>
      </c>
      <c r="Q385" s="45">
        <v>1</v>
      </c>
      <c r="R385" s="45">
        <v>57061.8</v>
      </c>
      <c r="S385" s="45">
        <v>0</v>
      </c>
      <c r="T385" s="45">
        <v>1</v>
      </c>
      <c r="U385" s="45">
        <v>58822.3</v>
      </c>
      <c r="V385" s="45">
        <v>0</v>
      </c>
      <c r="W385" s="45">
        <v>0</v>
      </c>
      <c r="X385" s="45">
        <v>61529.2</v>
      </c>
      <c r="Y385" s="45">
        <v>0</v>
      </c>
      <c r="Z385" s="45">
        <v>1</v>
      </c>
      <c r="AB385" s="45">
        <v>78197.8</v>
      </c>
      <c r="AC385" s="45">
        <v>42</v>
      </c>
      <c r="AD385" s="45">
        <v>0</v>
      </c>
      <c r="AE385" s="45">
        <v>81794.5</v>
      </c>
      <c r="AF385" s="45">
        <v>58</v>
      </c>
      <c r="AG385" s="45">
        <v>1</v>
      </c>
      <c r="AH385" s="45">
        <v>68942.7</v>
      </c>
      <c r="AI385" s="45">
        <v>20</v>
      </c>
      <c r="AJ385" s="45">
        <v>1</v>
      </c>
      <c r="AK385" s="45">
        <v>76370.3</v>
      </c>
      <c r="AL385" s="45">
        <v>40</v>
      </c>
      <c r="AM385" s="45">
        <v>1</v>
      </c>
      <c r="AO385" s="45">
        <v>93072.7</v>
      </c>
      <c r="AP385" s="45">
        <v>83</v>
      </c>
      <c r="AQ385" s="45">
        <v>1</v>
      </c>
      <c r="AR385" s="45">
        <v>59325.1</v>
      </c>
      <c r="AS385" s="45">
        <v>0</v>
      </c>
      <c r="AT385" s="45">
        <v>0</v>
      </c>
      <c r="AU385" s="45">
        <v>62870.9</v>
      </c>
      <c r="AV385" s="45">
        <v>8</v>
      </c>
      <c r="AW385" s="45">
        <v>1</v>
      </c>
      <c r="AX385" s="45">
        <v>86394.4</v>
      </c>
      <c r="AY385" s="45">
        <v>65</v>
      </c>
      <c r="AZ385" s="45">
        <v>1</v>
      </c>
    </row>
    <row r="386" spans="2:52">
      <c r="B386" s="45">
        <v>77303.3</v>
      </c>
      <c r="C386" s="45">
        <v>65</v>
      </c>
      <c r="D386" s="45">
        <v>0</v>
      </c>
      <c r="E386" s="45">
        <v>54987.7</v>
      </c>
      <c r="F386" s="45">
        <v>19</v>
      </c>
      <c r="G386" s="45">
        <v>1</v>
      </c>
      <c r="H386" s="45">
        <v>47755.4</v>
      </c>
      <c r="I386" s="45">
        <v>0</v>
      </c>
      <c r="J386" s="45">
        <v>0</v>
      </c>
      <c r="K386" s="45">
        <v>46577.1</v>
      </c>
      <c r="L386" s="45">
        <v>8</v>
      </c>
      <c r="M386" s="45">
        <v>1</v>
      </c>
      <c r="O386" s="45">
        <v>46859.3</v>
      </c>
      <c r="P386" s="45">
        <v>8</v>
      </c>
      <c r="Q386" s="45">
        <v>1</v>
      </c>
      <c r="R386" s="45">
        <v>65207.3</v>
      </c>
      <c r="S386" s="45">
        <v>43</v>
      </c>
      <c r="T386" s="45">
        <v>1</v>
      </c>
      <c r="U386" s="45">
        <v>47457.7</v>
      </c>
      <c r="V386" s="45">
        <v>0</v>
      </c>
      <c r="W386" s="45">
        <v>0</v>
      </c>
      <c r="X386" s="45">
        <v>44249</v>
      </c>
      <c r="Y386" s="45">
        <v>0</v>
      </c>
      <c r="Z386" s="45">
        <v>1</v>
      </c>
      <c r="AB386" s="45">
        <v>60695.5</v>
      </c>
      <c r="AC386" s="45">
        <v>40</v>
      </c>
      <c r="AD386" s="45">
        <v>0</v>
      </c>
      <c r="AE386" s="45">
        <v>56667.6</v>
      </c>
      <c r="AF386" s="45">
        <v>19</v>
      </c>
      <c r="AG386" s="45">
        <v>1</v>
      </c>
      <c r="AH386" s="45">
        <v>58731</v>
      </c>
      <c r="AI386" s="45">
        <v>30</v>
      </c>
      <c r="AJ386" s="45">
        <v>0</v>
      </c>
      <c r="AK386" s="45">
        <v>44290.3</v>
      </c>
      <c r="AL386" s="45">
        <v>0</v>
      </c>
      <c r="AM386" s="45">
        <v>1</v>
      </c>
      <c r="AO386" s="45">
        <v>45701.9</v>
      </c>
      <c r="AP386" s="45">
        <v>0</v>
      </c>
      <c r="AQ386" s="45">
        <v>0</v>
      </c>
      <c r="AR386" s="45">
        <v>52706.3</v>
      </c>
      <c r="AS386" s="45">
        <v>21</v>
      </c>
      <c r="AT386" s="45">
        <v>1</v>
      </c>
      <c r="AU386" s="45">
        <v>57801.4</v>
      </c>
      <c r="AV386" s="45">
        <v>29</v>
      </c>
      <c r="AW386" s="45">
        <v>1</v>
      </c>
      <c r="AX386" s="45">
        <v>51819.7</v>
      </c>
      <c r="AY386" s="45">
        <v>15</v>
      </c>
      <c r="AZ386" s="45">
        <v>1</v>
      </c>
    </row>
    <row r="387" spans="2:52">
      <c r="B387" s="45">
        <v>47343.3</v>
      </c>
      <c r="C387" s="45">
        <v>0</v>
      </c>
      <c r="D387" s="45">
        <v>0</v>
      </c>
      <c r="E387" s="45">
        <v>57847.4</v>
      </c>
      <c r="F387" s="45">
        <v>15</v>
      </c>
      <c r="G387" s="45">
        <v>1</v>
      </c>
      <c r="H387" s="45">
        <v>61947.4</v>
      </c>
      <c r="I387" s="45">
        <v>31</v>
      </c>
      <c r="J387" s="45">
        <v>0</v>
      </c>
      <c r="K387" s="45">
        <v>68040.100000000006</v>
      </c>
      <c r="L387" s="45">
        <v>35</v>
      </c>
      <c r="M387" s="45">
        <v>1</v>
      </c>
      <c r="O387" s="45">
        <v>56500.800000000003</v>
      </c>
      <c r="P387" s="45">
        <v>11</v>
      </c>
      <c r="Q387" s="45">
        <v>1</v>
      </c>
      <c r="R387" s="45">
        <v>62741.2</v>
      </c>
      <c r="S387" s="45">
        <v>28</v>
      </c>
      <c r="T387" s="45">
        <v>0</v>
      </c>
      <c r="U387" s="45">
        <v>53445.5</v>
      </c>
      <c r="V387" s="45">
        <v>0</v>
      </c>
      <c r="W387" s="45">
        <v>1</v>
      </c>
      <c r="X387" s="45">
        <v>51604.6</v>
      </c>
      <c r="Y387" s="45">
        <v>0</v>
      </c>
      <c r="Z387" s="45">
        <v>0</v>
      </c>
      <c r="AB387" s="45">
        <v>48017.599999999999</v>
      </c>
      <c r="AC387" s="45">
        <v>0</v>
      </c>
      <c r="AD387" s="45">
        <v>0</v>
      </c>
      <c r="AE387" s="45">
        <v>50408.3</v>
      </c>
      <c r="AF387" s="45">
        <v>4</v>
      </c>
      <c r="AG387" s="45">
        <v>1</v>
      </c>
      <c r="AH387" s="45">
        <v>49320.1</v>
      </c>
      <c r="AI387" s="45">
        <v>0</v>
      </c>
      <c r="AJ387" s="45">
        <v>0</v>
      </c>
      <c r="AK387" s="45">
        <v>48533.2</v>
      </c>
      <c r="AL387" s="45">
        <v>1</v>
      </c>
      <c r="AM387" s="45">
        <v>1</v>
      </c>
      <c r="AO387" s="45">
        <v>54844.6</v>
      </c>
      <c r="AP387" s="45">
        <v>11</v>
      </c>
      <c r="AQ387" s="45">
        <v>1</v>
      </c>
      <c r="AR387" s="45">
        <v>58224.4</v>
      </c>
      <c r="AS387" s="45">
        <v>19</v>
      </c>
      <c r="AT387" s="45">
        <v>0</v>
      </c>
      <c r="AU387" s="45">
        <v>48199.8</v>
      </c>
      <c r="AV387" s="45">
        <v>0</v>
      </c>
      <c r="AW387" s="45">
        <v>1</v>
      </c>
      <c r="AX387" s="45">
        <v>52072.1</v>
      </c>
      <c r="AY387" s="45">
        <v>0</v>
      </c>
      <c r="AZ387" s="45">
        <v>1</v>
      </c>
    </row>
    <row r="388" spans="2:52">
      <c r="B388" s="45">
        <v>91441.5</v>
      </c>
      <c r="C388" s="45">
        <v>69</v>
      </c>
      <c r="D388" s="45">
        <v>0</v>
      </c>
      <c r="E388" s="45">
        <v>50564.7</v>
      </c>
      <c r="F388" s="45">
        <v>0</v>
      </c>
      <c r="G388" s="45">
        <v>1</v>
      </c>
      <c r="H388" s="45">
        <v>58410.2</v>
      </c>
      <c r="I388" s="45">
        <v>2</v>
      </c>
      <c r="J388" s="45">
        <v>1</v>
      </c>
      <c r="K388" s="45">
        <v>56421.1</v>
      </c>
      <c r="L388" s="45">
        <v>0</v>
      </c>
      <c r="M388" s="45">
        <v>0</v>
      </c>
      <c r="O388" s="45">
        <v>55542.6</v>
      </c>
      <c r="P388" s="45">
        <v>0</v>
      </c>
      <c r="Q388" s="45">
        <v>1</v>
      </c>
      <c r="R388" s="45">
        <v>60858.2</v>
      </c>
      <c r="S388" s="45">
        <v>0</v>
      </c>
      <c r="T388" s="45">
        <v>0</v>
      </c>
      <c r="U388" s="45">
        <v>66377.3</v>
      </c>
      <c r="V388" s="45">
        <v>21</v>
      </c>
      <c r="W388" s="45">
        <v>1</v>
      </c>
      <c r="X388" s="45">
        <v>53237.8</v>
      </c>
      <c r="Y388" s="45">
        <v>0</v>
      </c>
      <c r="Z388" s="45">
        <v>1</v>
      </c>
      <c r="AB388" s="45">
        <v>56314.1</v>
      </c>
      <c r="AC388" s="45">
        <v>6</v>
      </c>
      <c r="AD388" s="45">
        <v>0</v>
      </c>
      <c r="AE388" s="45">
        <v>65940.7</v>
      </c>
      <c r="AF388" s="45">
        <v>22</v>
      </c>
      <c r="AG388" s="45">
        <v>1</v>
      </c>
      <c r="AH388" s="45">
        <v>67421.100000000006</v>
      </c>
      <c r="AI388" s="45">
        <v>29</v>
      </c>
      <c r="AJ388" s="45">
        <v>0</v>
      </c>
      <c r="AK388" s="45">
        <v>53335.6</v>
      </c>
      <c r="AL388" s="45">
        <v>0</v>
      </c>
      <c r="AM388" s="45">
        <v>1</v>
      </c>
      <c r="AO388" s="45">
        <v>56495.4</v>
      </c>
      <c r="AP388" s="45">
        <v>0</v>
      </c>
      <c r="AQ388" s="45">
        <v>0</v>
      </c>
      <c r="AR388" s="45">
        <v>54815.7</v>
      </c>
      <c r="AS388" s="45">
        <v>0</v>
      </c>
      <c r="AT388" s="45">
        <v>1</v>
      </c>
      <c r="AU388" s="45">
        <v>56317.8</v>
      </c>
      <c r="AV388" s="45">
        <v>0</v>
      </c>
      <c r="AW388" s="45">
        <v>1</v>
      </c>
      <c r="AX388" s="45">
        <v>65006.8</v>
      </c>
      <c r="AY388" s="45">
        <v>21</v>
      </c>
      <c r="AZ388" s="45">
        <v>0</v>
      </c>
    </row>
    <row r="389" spans="2:52">
      <c r="B389" s="45">
        <v>88722.4</v>
      </c>
      <c r="C389" s="45">
        <v>48</v>
      </c>
      <c r="D389" s="45">
        <v>0</v>
      </c>
      <c r="E389" s="45">
        <v>67990.899999999994</v>
      </c>
      <c r="F389" s="45">
        <v>11</v>
      </c>
      <c r="G389" s="45">
        <v>1</v>
      </c>
      <c r="H389" s="45">
        <v>59611.1</v>
      </c>
      <c r="I389" s="45">
        <v>3</v>
      </c>
      <c r="J389" s="45">
        <v>0</v>
      </c>
      <c r="K389" s="45">
        <v>63070.5</v>
      </c>
      <c r="L389" s="45">
        <v>13</v>
      </c>
      <c r="M389" s="45">
        <v>1</v>
      </c>
      <c r="O389" s="45">
        <v>72728.5</v>
      </c>
      <c r="P389" s="45">
        <v>32</v>
      </c>
      <c r="Q389" s="45">
        <v>1</v>
      </c>
      <c r="R389" s="45">
        <v>89938.6</v>
      </c>
      <c r="S389" s="45">
        <v>58</v>
      </c>
      <c r="T389" s="45">
        <v>0</v>
      </c>
      <c r="U389" s="45">
        <v>74370.5</v>
      </c>
      <c r="V389" s="45">
        <v>36</v>
      </c>
      <c r="W389" s="45">
        <v>1</v>
      </c>
      <c r="X389" s="45">
        <v>75250.600000000006</v>
      </c>
      <c r="Y389" s="45">
        <v>40</v>
      </c>
      <c r="Z389" s="45">
        <v>1</v>
      </c>
      <c r="AB389" s="45">
        <v>62232.5</v>
      </c>
      <c r="AC389" s="45">
        <v>0</v>
      </c>
      <c r="AD389" s="45">
        <v>0</v>
      </c>
      <c r="AE389" s="45">
        <v>66101.2</v>
      </c>
      <c r="AF389" s="45">
        <v>6</v>
      </c>
      <c r="AG389" s="45">
        <v>0</v>
      </c>
      <c r="AH389" s="45">
        <v>64824.9</v>
      </c>
      <c r="AI389" s="45">
        <v>10</v>
      </c>
      <c r="AJ389" s="45">
        <v>1</v>
      </c>
      <c r="AK389" s="45">
        <v>65667.100000000006</v>
      </c>
      <c r="AL389" s="45">
        <v>18</v>
      </c>
      <c r="AM389" s="45">
        <v>0</v>
      </c>
      <c r="AO389" s="45">
        <v>82448.600000000006</v>
      </c>
      <c r="AP389" s="45">
        <v>40</v>
      </c>
      <c r="AQ389" s="45">
        <v>1</v>
      </c>
      <c r="AR389" s="45">
        <v>81926.8</v>
      </c>
      <c r="AS389" s="45">
        <v>55</v>
      </c>
      <c r="AT389" s="45">
        <v>2</v>
      </c>
      <c r="AU389" s="45">
        <v>60313.2</v>
      </c>
      <c r="AV389" s="45">
        <v>0</v>
      </c>
      <c r="AW389" s="45">
        <v>0</v>
      </c>
      <c r="AX389" s="45">
        <v>58744.3</v>
      </c>
      <c r="AY389" s="45">
        <v>0</v>
      </c>
      <c r="AZ389" s="45">
        <v>1</v>
      </c>
    </row>
    <row r="390" spans="2:52">
      <c r="B390" s="45">
        <v>55216.6</v>
      </c>
      <c r="C390" s="45">
        <v>0</v>
      </c>
      <c r="D390" s="45">
        <v>0</v>
      </c>
      <c r="E390" s="45">
        <v>78100.100000000006</v>
      </c>
      <c r="F390" s="45">
        <v>42</v>
      </c>
      <c r="G390" s="45">
        <v>1</v>
      </c>
      <c r="H390" s="45">
        <v>54911.3</v>
      </c>
      <c r="I390" s="45">
        <v>0</v>
      </c>
      <c r="J390" s="45">
        <v>0</v>
      </c>
      <c r="K390" s="45">
        <v>57607.7</v>
      </c>
      <c r="L390" s="45">
        <v>0</v>
      </c>
      <c r="M390" s="45">
        <v>0</v>
      </c>
      <c r="O390" s="45">
        <v>59944.4</v>
      </c>
      <c r="P390" s="45">
        <v>0</v>
      </c>
      <c r="Q390" s="45">
        <v>1</v>
      </c>
      <c r="R390" s="45">
        <v>58767.199999999997</v>
      </c>
      <c r="S390" s="45">
        <v>0</v>
      </c>
      <c r="T390" s="45">
        <v>0</v>
      </c>
      <c r="U390" s="45">
        <v>58182.6</v>
      </c>
      <c r="V390" s="45">
        <v>5</v>
      </c>
      <c r="W390" s="45">
        <v>1</v>
      </c>
      <c r="X390" s="45">
        <v>55286.8</v>
      </c>
      <c r="Y390" s="45">
        <v>2</v>
      </c>
      <c r="Z390" s="45">
        <v>1</v>
      </c>
      <c r="AB390" s="45">
        <v>53148.3</v>
      </c>
      <c r="AC390" s="45">
        <v>2</v>
      </c>
      <c r="AD390" s="45">
        <v>1</v>
      </c>
      <c r="AE390" s="45">
        <v>61267.199999999997</v>
      </c>
      <c r="AF390" s="45">
        <v>7</v>
      </c>
      <c r="AG390" s="45">
        <v>0</v>
      </c>
      <c r="AH390" s="45">
        <v>74424.399999999994</v>
      </c>
      <c r="AI390" s="45">
        <v>33</v>
      </c>
      <c r="AJ390" s="45">
        <v>0</v>
      </c>
      <c r="AK390" s="45">
        <v>77594.8</v>
      </c>
      <c r="AL390" s="45">
        <v>42</v>
      </c>
      <c r="AM390" s="45">
        <v>1</v>
      </c>
      <c r="AO390" s="45">
        <v>53615.9</v>
      </c>
      <c r="AP390" s="45">
        <v>0</v>
      </c>
      <c r="AQ390" s="45">
        <v>0</v>
      </c>
      <c r="AR390" s="45">
        <v>54810</v>
      </c>
      <c r="AS390" s="45">
        <v>0</v>
      </c>
      <c r="AT390" s="45">
        <v>1</v>
      </c>
      <c r="AU390" s="45">
        <v>61162.400000000001</v>
      </c>
      <c r="AV390" s="45">
        <v>21</v>
      </c>
      <c r="AW390" s="45">
        <v>1</v>
      </c>
      <c r="AX390" s="45">
        <v>53726.6</v>
      </c>
      <c r="AY390" s="45">
        <v>0</v>
      </c>
      <c r="AZ390" s="45">
        <v>1</v>
      </c>
    </row>
    <row r="391" spans="2:52">
      <c r="B391" s="45">
        <v>50613.4</v>
      </c>
      <c r="C391" s="45">
        <v>0</v>
      </c>
      <c r="D391" s="45">
        <v>1</v>
      </c>
      <c r="E391" s="45">
        <v>41166</v>
      </c>
      <c r="F391" s="45">
        <v>0</v>
      </c>
      <c r="G391" s="45">
        <v>0</v>
      </c>
      <c r="H391" s="45">
        <v>49148.5</v>
      </c>
      <c r="I391" s="45">
        <v>0</v>
      </c>
      <c r="J391" s="45">
        <v>1</v>
      </c>
      <c r="K391" s="45">
        <v>44681.8</v>
      </c>
      <c r="L391" s="45">
        <v>0</v>
      </c>
      <c r="M391" s="45">
        <v>0</v>
      </c>
      <c r="O391" s="45">
        <v>48500.3</v>
      </c>
      <c r="P391" s="45">
        <v>0</v>
      </c>
      <c r="Q391" s="45">
        <v>0</v>
      </c>
      <c r="R391" s="45">
        <v>49113</v>
      </c>
      <c r="S391" s="45">
        <v>0</v>
      </c>
      <c r="T391" s="45">
        <v>1</v>
      </c>
      <c r="U391" s="45">
        <v>44837.2</v>
      </c>
      <c r="V391" s="45">
        <v>0</v>
      </c>
      <c r="W391" s="45">
        <v>0</v>
      </c>
      <c r="X391" s="45">
        <v>43068.9</v>
      </c>
      <c r="Y391" s="45">
        <v>0</v>
      </c>
      <c r="Z391" s="45">
        <v>1</v>
      </c>
      <c r="AB391" s="45">
        <v>39737.5</v>
      </c>
      <c r="AC391" s="45">
        <v>1</v>
      </c>
      <c r="AD391" s="45">
        <v>0</v>
      </c>
      <c r="AE391" s="45">
        <v>43996.1</v>
      </c>
      <c r="AF391" s="45">
        <v>7</v>
      </c>
      <c r="AG391" s="45">
        <v>1</v>
      </c>
      <c r="AH391" s="45">
        <v>40719.1</v>
      </c>
      <c r="AI391" s="45">
        <v>0</v>
      </c>
      <c r="AJ391" s="45">
        <v>0</v>
      </c>
      <c r="AK391" s="45">
        <v>44421.9</v>
      </c>
      <c r="AL391" s="45">
        <v>0</v>
      </c>
      <c r="AM391" s="45">
        <v>1</v>
      </c>
      <c r="AO391" s="45">
        <v>40140.1</v>
      </c>
      <c r="AP391" s="45">
        <v>0</v>
      </c>
      <c r="AQ391" s="45">
        <v>0</v>
      </c>
      <c r="AR391" s="45">
        <v>45319</v>
      </c>
      <c r="AS391" s="45">
        <v>0</v>
      </c>
      <c r="AT391" s="45">
        <v>1</v>
      </c>
      <c r="AU391" s="45">
        <v>43640.5</v>
      </c>
      <c r="AV391" s="45">
        <v>8</v>
      </c>
      <c r="AW391" s="45">
        <v>1</v>
      </c>
      <c r="AX391" s="45">
        <v>40513.5</v>
      </c>
      <c r="AY391" s="45">
        <v>0</v>
      </c>
      <c r="AZ391" s="45">
        <v>1</v>
      </c>
    </row>
    <row r="392" spans="2:52">
      <c r="B392" s="45">
        <v>56372.800000000003</v>
      </c>
      <c r="C392" s="45">
        <v>16</v>
      </c>
      <c r="D392" s="45">
        <v>0</v>
      </c>
      <c r="E392" s="45">
        <v>108206</v>
      </c>
      <c r="F392" s="45">
        <v>117</v>
      </c>
      <c r="G392" s="45">
        <v>1</v>
      </c>
      <c r="H392" s="45">
        <v>72636.7</v>
      </c>
      <c r="I392" s="45">
        <v>41</v>
      </c>
      <c r="J392" s="45">
        <v>0</v>
      </c>
      <c r="K392" s="45">
        <v>78567.899999999994</v>
      </c>
      <c r="L392" s="45">
        <v>61</v>
      </c>
      <c r="M392" s="45">
        <v>1</v>
      </c>
      <c r="O392" s="45">
        <v>54854.7</v>
      </c>
      <c r="P392" s="45">
        <v>0</v>
      </c>
      <c r="Q392" s="45">
        <v>1</v>
      </c>
      <c r="R392" s="45">
        <v>51264.1</v>
      </c>
      <c r="S392" s="45">
        <v>0</v>
      </c>
      <c r="T392" s="45">
        <v>0</v>
      </c>
      <c r="U392" s="45">
        <v>72579.5</v>
      </c>
      <c r="V392" s="45">
        <v>48</v>
      </c>
      <c r="W392" s="45">
        <v>1</v>
      </c>
      <c r="X392" s="45">
        <v>57479.7</v>
      </c>
      <c r="Y392" s="45">
        <v>6</v>
      </c>
      <c r="Z392" s="45">
        <v>1</v>
      </c>
      <c r="AB392" s="45">
        <v>60196.6</v>
      </c>
      <c r="AC392" s="45">
        <v>23</v>
      </c>
      <c r="AD392" s="45">
        <v>0</v>
      </c>
      <c r="AE392" s="45">
        <v>59593.599999999999</v>
      </c>
      <c r="AF392" s="45">
        <v>16</v>
      </c>
      <c r="AG392" s="45">
        <v>1</v>
      </c>
      <c r="AH392" s="45">
        <v>47811.3</v>
      </c>
      <c r="AI392" s="45">
        <v>0</v>
      </c>
      <c r="AJ392" s="45">
        <v>0</v>
      </c>
      <c r="AK392" s="45">
        <v>65220.3</v>
      </c>
      <c r="AL392" s="45">
        <v>33</v>
      </c>
      <c r="AM392" s="45">
        <v>0</v>
      </c>
      <c r="AO392" s="45">
        <v>57988.4</v>
      </c>
      <c r="AP392" s="45">
        <v>21</v>
      </c>
      <c r="AQ392" s="45">
        <v>0</v>
      </c>
      <c r="AR392" s="45">
        <v>64233.7</v>
      </c>
      <c r="AS392" s="45">
        <v>16</v>
      </c>
      <c r="AT392" s="45">
        <v>1</v>
      </c>
      <c r="AU392" s="45">
        <v>67880.3</v>
      </c>
      <c r="AV392" s="45">
        <v>41</v>
      </c>
      <c r="AW392" s="45">
        <v>1</v>
      </c>
      <c r="AX392" s="45">
        <v>53006.400000000001</v>
      </c>
      <c r="AY392" s="45">
        <v>0</v>
      </c>
      <c r="AZ392" s="45">
        <v>1</v>
      </c>
    </row>
    <row r="393" spans="2:52">
      <c r="B393" s="45">
        <v>53430.9</v>
      </c>
      <c r="C393" s="45">
        <v>0</v>
      </c>
      <c r="D393" s="45">
        <v>0</v>
      </c>
      <c r="E393" s="45">
        <v>48879.4</v>
      </c>
      <c r="F393" s="45">
        <v>0</v>
      </c>
      <c r="G393" s="45">
        <v>0</v>
      </c>
      <c r="H393" s="45">
        <v>51041.5</v>
      </c>
      <c r="I393" s="45">
        <v>0</v>
      </c>
      <c r="J393" s="45">
        <v>1</v>
      </c>
      <c r="K393" s="45">
        <v>51723.1</v>
      </c>
      <c r="L393" s="45">
        <v>1</v>
      </c>
      <c r="M393" s="45">
        <v>0</v>
      </c>
      <c r="O393" s="45">
        <v>96945</v>
      </c>
      <c r="P393" s="45">
        <v>86</v>
      </c>
      <c r="Q393" s="45">
        <v>1</v>
      </c>
      <c r="R393" s="45">
        <v>54986.9</v>
      </c>
      <c r="S393" s="45">
        <v>0</v>
      </c>
      <c r="T393" s="45">
        <v>1</v>
      </c>
      <c r="U393" s="45">
        <v>55370.8</v>
      </c>
      <c r="V393" s="45">
        <v>4</v>
      </c>
      <c r="W393" s="45">
        <v>0</v>
      </c>
      <c r="X393" s="45">
        <v>73897.7</v>
      </c>
      <c r="Y393" s="45">
        <v>36</v>
      </c>
      <c r="Z393" s="45">
        <v>1</v>
      </c>
      <c r="AB393" s="45">
        <v>57663.8</v>
      </c>
      <c r="AC393" s="45">
        <v>0</v>
      </c>
      <c r="AD393" s="45">
        <v>1</v>
      </c>
      <c r="AE393" s="45">
        <v>53444.2</v>
      </c>
      <c r="AF393" s="45">
        <v>0</v>
      </c>
      <c r="AG393" s="45">
        <v>0</v>
      </c>
      <c r="AH393" s="45">
        <v>62097.9</v>
      </c>
      <c r="AI393" s="45">
        <v>12</v>
      </c>
      <c r="AJ393" s="45">
        <v>1</v>
      </c>
      <c r="AK393" s="45">
        <v>48497.1</v>
      </c>
      <c r="AL393" s="45">
        <v>0</v>
      </c>
      <c r="AM393" s="45">
        <v>0</v>
      </c>
      <c r="AO393" s="45">
        <v>77138.100000000006</v>
      </c>
      <c r="AP393" s="45">
        <v>42</v>
      </c>
      <c r="AQ393" s="45">
        <v>0</v>
      </c>
      <c r="AR393" s="45">
        <v>53912.1</v>
      </c>
      <c r="AS393" s="45">
        <v>0</v>
      </c>
      <c r="AT393" s="45">
        <v>1</v>
      </c>
      <c r="AU393" s="45">
        <v>53792.7</v>
      </c>
      <c r="AV393" s="45">
        <v>0</v>
      </c>
      <c r="AW393" s="45">
        <v>0</v>
      </c>
      <c r="AX393" s="45">
        <v>53604.5</v>
      </c>
      <c r="AY393" s="45">
        <v>0</v>
      </c>
      <c r="AZ393" s="45">
        <v>1</v>
      </c>
    </row>
    <row r="394" spans="2:52">
      <c r="B394" s="45">
        <v>76033.5</v>
      </c>
      <c r="C394" s="45">
        <v>64</v>
      </c>
      <c r="D394" s="45">
        <v>1</v>
      </c>
      <c r="E394" s="45">
        <v>81941.8</v>
      </c>
      <c r="F394" s="45">
        <v>67</v>
      </c>
      <c r="G394" s="45">
        <v>1</v>
      </c>
      <c r="H394" s="45">
        <v>111375</v>
      </c>
      <c r="I394" s="45">
        <v>123</v>
      </c>
      <c r="J394" s="45">
        <v>0</v>
      </c>
      <c r="K394" s="45">
        <v>58385.599999999999</v>
      </c>
      <c r="L394" s="45">
        <v>15</v>
      </c>
      <c r="M394" s="45">
        <v>1</v>
      </c>
      <c r="O394" s="45">
        <v>112964</v>
      </c>
      <c r="P394" s="45">
        <v>123</v>
      </c>
      <c r="Q394" s="45">
        <v>1</v>
      </c>
      <c r="R394" s="45">
        <v>76901.3</v>
      </c>
      <c r="S394" s="45">
        <v>53</v>
      </c>
      <c r="T394" s="45">
        <v>1</v>
      </c>
      <c r="U394" s="45">
        <v>81481.3</v>
      </c>
      <c r="V394" s="45">
        <v>69</v>
      </c>
      <c r="W394" s="45">
        <v>1</v>
      </c>
      <c r="X394" s="45">
        <v>84423.9</v>
      </c>
      <c r="Y394" s="45">
        <v>70</v>
      </c>
      <c r="Z394" s="45">
        <v>1</v>
      </c>
      <c r="AB394" s="45">
        <v>75109.399999999994</v>
      </c>
      <c r="AC394" s="45">
        <v>58</v>
      </c>
      <c r="AD394" s="45">
        <v>1</v>
      </c>
      <c r="AE394" s="45">
        <v>66959.399999999994</v>
      </c>
      <c r="AF394" s="45">
        <v>34</v>
      </c>
      <c r="AG394" s="45">
        <v>0</v>
      </c>
      <c r="AH394" s="45">
        <v>68083.399999999994</v>
      </c>
      <c r="AI394" s="45">
        <v>34</v>
      </c>
      <c r="AJ394" s="45">
        <v>1</v>
      </c>
      <c r="AK394" s="45">
        <v>67330.2</v>
      </c>
      <c r="AL394" s="45">
        <v>39</v>
      </c>
      <c r="AM394" s="45">
        <v>0</v>
      </c>
      <c r="AO394" s="45">
        <v>69549.600000000006</v>
      </c>
      <c r="AP394" s="45">
        <v>44</v>
      </c>
      <c r="AQ394" s="45">
        <v>1</v>
      </c>
      <c r="AR394" s="45">
        <v>64590.1</v>
      </c>
      <c r="AS394" s="45">
        <v>37</v>
      </c>
      <c r="AT394" s="45">
        <v>1</v>
      </c>
      <c r="AU394" s="45">
        <v>65850.100000000006</v>
      </c>
      <c r="AV394" s="45">
        <v>38</v>
      </c>
      <c r="AW394" s="45">
        <v>0</v>
      </c>
      <c r="AX394" s="45">
        <v>79216.3</v>
      </c>
      <c r="AY394" s="45">
        <v>65</v>
      </c>
      <c r="AZ394" s="45">
        <v>1</v>
      </c>
    </row>
    <row r="395" spans="2:52">
      <c r="B395" s="45">
        <v>67972.2</v>
      </c>
      <c r="C395" s="45">
        <v>0</v>
      </c>
      <c r="D395" s="45">
        <v>0</v>
      </c>
      <c r="E395" s="45">
        <v>61126.3</v>
      </c>
      <c r="F395" s="45">
        <v>0</v>
      </c>
      <c r="G395" s="45">
        <v>0</v>
      </c>
      <c r="H395" s="45">
        <v>63101.4</v>
      </c>
      <c r="I395" s="45">
        <v>0</v>
      </c>
      <c r="J395" s="45">
        <v>1</v>
      </c>
      <c r="K395" s="45">
        <v>63300</v>
      </c>
      <c r="L395" s="45">
        <v>0</v>
      </c>
      <c r="M395" s="45">
        <v>0</v>
      </c>
      <c r="O395" s="45">
        <v>63535.3</v>
      </c>
      <c r="P395" s="45">
        <v>0</v>
      </c>
      <c r="Q395" s="45">
        <v>1</v>
      </c>
      <c r="R395" s="45">
        <v>62588.2</v>
      </c>
      <c r="S395" s="45">
        <v>0</v>
      </c>
      <c r="T395" s="45">
        <v>0</v>
      </c>
      <c r="U395" s="45">
        <v>63012.2</v>
      </c>
      <c r="V395" s="45">
        <v>0</v>
      </c>
      <c r="W395" s="45">
        <v>1</v>
      </c>
      <c r="X395" s="45">
        <v>65187.4</v>
      </c>
      <c r="Y395" s="45">
        <v>4</v>
      </c>
      <c r="Z395" s="45">
        <v>1</v>
      </c>
      <c r="AB395" s="45">
        <v>66429.5</v>
      </c>
      <c r="AC395" s="45">
        <v>3</v>
      </c>
      <c r="AD395" s="45">
        <v>1</v>
      </c>
      <c r="AE395" s="45">
        <v>66673.399999999994</v>
      </c>
      <c r="AF395" s="45">
        <v>8</v>
      </c>
      <c r="AG395" s="45">
        <v>0</v>
      </c>
      <c r="AH395" s="45">
        <v>62350.1</v>
      </c>
      <c r="AI395" s="45">
        <v>0</v>
      </c>
      <c r="AJ395" s="45">
        <v>1</v>
      </c>
      <c r="AK395" s="45">
        <v>94020.9</v>
      </c>
      <c r="AL395" s="45">
        <v>60</v>
      </c>
      <c r="AM395" s="45">
        <v>0</v>
      </c>
      <c r="AO395" s="45">
        <v>82477.7</v>
      </c>
      <c r="AP395" s="45">
        <v>43</v>
      </c>
      <c r="AQ395" s="45">
        <v>1</v>
      </c>
      <c r="AR395" s="45">
        <v>62705.5</v>
      </c>
      <c r="AS395" s="45">
        <v>0</v>
      </c>
      <c r="AT395" s="45">
        <v>1</v>
      </c>
      <c r="AU395" s="45">
        <v>56978.3</v>
      </c>
      <c r="AV395" s="45">
        <v>0</v>
      </c>
      <c r="AW395" s="45">
        <v>0</v>
      </c>
      <c r="AX395" s="45">
        <v>63525.9</v>
      </c>
      <c r="AY395" s="45">
        <v>5</v>
      </c>
      <c r="AZ395" s="45">
        <v>1</v>
      </c>
    </row>
    <row r="396" spans="2:52">
      <c r="B396" s="45">
        <v>50646.1</v>
      </c>
      <c r="C396" s="45">
        <v>0</v>
      </c>
      <c r="D396" s="45">
        <v>0</v>
      </c>
      <c r="E396" s="45">
        <v>58750.2</v>
      </c>
      <c r="F396" s="45">
        <v>0</v>
      </c>
      <c r="G396" s="45">
        <v>0</v>
      </c>
      <c r="H396" s="45">
        <v>52668.7</v>
      </c>
      <c r="I396" s="45">
        <v>0</v>
      </c>
      <c r="J396" s="45">
        <v>1</v>
      </c>
      <c r="K396" s="45">
        <v>56133.8</v>
      </c>
      <c r="L396" s="45">
        <v>0</v>
      </c>
      <c r="M396" s="45">
        <v>0</v>
      </c>
      <c r="O396" s="45">
        <v>61258</v>
      </c>
      <c r="P396" s="45">
        <v>0</v>
      </c>
      <c r="Q396" s="45">
        <v>0</v>
      </c>
      <c r="R396" s="45">
        <v>70358.899999999994</v>
      </c>
      <c r="S396" s="45">
        <v>20</v>
      </c>
      <c r="T396" s="45">
        <v>1</v>
      </c>
      <c r="U396" s="45">
        <v>88788.2</v>
      </c>
      <c r="V396" s="45">
        <v>73</v>
      </c>
      <c r="W396" s="45">
        <v>0</v>
      </c>
      <c r="X396" s="45">
        <v>51584</v>
      </c>
      <c r="Y396" s="45">
        <v>0</v>
      </c>
      <c r="Z396" s="45">
        <v>1</v>
      </c>
      <c r="AB396" s="45">
        <v>59844.2</v>
      </c>
      <c r="AC396" s="45">
        <v>0</v>
      </c>
      <c r="AD396" s="45">
        <v>1</v>
      </c>
      <c r="AE396" s="45">
        <v>51998</v>
      </c>
      <c r="AF396" s="45">
        <v>0</v>
      </c>
      <c r="AG396" s="45">
        <v>0</v>
      </c>
      <c r="AH396" s="45">
        <v>51532.800000000003</v>
      </c>
      <c r="AI396" s="45">
        <v>5</v>
      </c>
      <c r="AJ396" s="45">
        <v>0</v>
      </c>
      <c r="AK396" s="45">
        <v>50088.5</v>
      </c>
      <c r="AL396" s="45">
        <v>0</v>
      </c>
      <c r="AM396" s="45">
        <v>1</v>
      </c>
      <c r="AO396" s="45">
        <v>56039.199999999997</v>
      </c>
      <c r="AP396" s="45">
        <v>8</v>
      </c>
      <c r="AQ396" s="45">
        <v>1</v>
      </c>
      <c r="AR396" s="45">
        <v>52401.7</v>
      </c>
      <c r="AS396" s="45">
        <v>0</v>
      </c>
      <c r="AT396" s="45">
        <v>0</v>
      </c>
      <c r="AU396" s="45">
        <v>51320.4</v>
      </c>
      <c r="AV396" s="45">
        <v>4</v>
      </c>
      <c r="AW396" s="45">
        <v>1</v>
      </c>
      <c r="AX396" s="45">
        <v>48548.800000000003</v>
      </c>
      <c r="AY396" s="45">
        <v>0</v>
      </c>
      <c r="AZ396" s="45">
        <v>1</v>
      </c>
    </row>
    <row r="397" spans="2:52">
      <c r="B397" s="45">
        <v>85794.8</v>
      </c>
      <c r="C397" s="45">
        <v>55</v>
      </c>
      <c r="D397" s="45">
        <v>1</v>
      </c>
      <c r="E397" s="45">
        <v>78639.7</v>
      </c>
      <c r="F397" s="45">
        <v>45</v>
      </c>
      <c r="G397" s="45">
        <v>0</v>
      </c>
      <c r="H397" s="45">
        <v>68991.199999999997</v>
      </c>
      <c r="I397" s="45">
        <v>9</v>
      </c>
      <c r="J397" s="45">
        <v>1</v>
      </c>
      <c r="K397" s="45">
        <v>76969.899999999994</v>
      </c>
      <c r="L397" s="45">
        <v>37</v>
      </c>
      <c r="M397" s="45">
        <v>0</v>
      </c>
      <c r="O397" s="45">
        <v>62778.6</v>
      </c>
      <c r="P397" s="45">
        <v>0</v>
      </c>
      <c r="Q397" s="45">
        <v>1</v>
      </c>
      <c r="R397" s="45">
        <v>63976.7</v>
      </c>
      <c r="S397" s="45">
        <v>0</v>
      </c>
      <c r="T397" s="45">
        <v>0</v>
      </c>
      <c r="U397" s="45">
        <v>58456.9</v>
      </c>
      <c r="V397" s="45">
        <v>0</v>
      </c>
      <c r="W397" s="45">
        <v>1</v>
      </c>
      <c r="X397" s="45">
        <v>72218.100000000006</v>
      </c>
      <c r="Y397" s="45">
        <v>27</v>
      </c>
      <c r="Z397" s="45">
        <v>1</v>
      </c>
      <c r="AB397" s="45">
        <v>64458.6</v>
      </c>
      <c r="AC397" s="45">
        <v>20</v>
      </c>
      <c r="AD397" s="45">
        <v>1</v>
      </c>
      <c r="AE397" s="45">
        <v>89888.6</v>
      </c>
      <c r="AF397" s="45">
        <v>56</v>
      </c>
      <c r="AG397" s="45">
        <v>0</v>
      </c>
      <c r="AH397" s="45">
        <v>74738.600000000006</v>
      </c>
      <c r="AI397" s="45">
        <v>45</v>
      </c>
      <c r="AJ397" s="45">
        <v>1</v>
      </c>
      <c r="AK397" s="45">
        <v>70632.800000000003</v>
      </c>
      <c r="AL397" s="45">
        <v>24</v>
      </c>
      <c r="AM397" s="45">
        <v>0</v>
      </c>
      <c r="AO397" s="45">
        <v>63794.8</v>
      </c>
      <c r="AP397" s="45">
        <v>0</v>
      </c>
      <c r="AQ397" s="45">
        <v>0</v>
      </c>
      <c r="AR397" s="45">
        <v>64468.6</v>
      </c>
      <c r="AS397" s="45">
        <v>0</v>
      </c>
      <c r="AT397" s="45">
        <v>1</v>
      </c>
      <c r="AU397" s="45">
        <v>66027</v>
      </c>
      <c r="AV397" s="45">
        <v>14</v>
      </c>
      <c r="AW397" s="45">
        <v>1</v>
      </c>
      <c r="AX397" s="45">
        <v>65492.1</v>
      </c>
      <c r="AY397" s="45">
        <v>12</v>
      </c>
      <c r="AZ397" s="45">
        <v>0</v>
      </c>
    </row>
    <row r="398" spans="2:52">
      <c r="B398" s="45">
        <v>59952.2</v>
      </c>
      <c r="C398" s="45">
        <v>2</v>
      </c>
      <c r="D398" s="45">
        <v>0</v>
      </c>
      <c r="E398" s="45">
        <v>65942.8</v>
      </c>
      <c r="F398" s="45">
        <v>17</v>
      </c>
      <c r="G398" s="45">
        <v>1</v>
      </c>
      <c r="H398" s="45">
        <v>58524.800000000003</v>
      </c>
      <c r="I398" s="45">
        <v>0</v>
      </c>
      <c r="J398" s="45">
        <v>0</v>
      </c>
      <c r="K398" s="45">
        <v>81917.399999999994</v>
      </c>
      <c r="L398" s="45">
        <v>58</v>
      </c>
      <c r="M398" s="45">
        <v>1</v>
      </c>
      <c r="O398" s="45">
        <v>58187.1</v>
      </c>
      <c r="P398" s="45">
        <v>0</v>
      </c>
      <c r="Q398" s="45">
        <v>1</v>
      </c>
      <c r="R398" s="45">
        <v>60249.3</v>
      </c>
      <c r="S398" s="45">
        <v>0</v>
      </c>
      <c r="T398" s="45">
        <v>0</v>
      </c>
      <c r="U398" s="45">
        <v>58256.2</v>
      </c>
      <c r="V398" s="45">
        <v>0</v>
      </c>
      <c r="W398" s="45">
        <v>1</v>
      </c>
      <c r="X398" s="45">
        <v>60382.400000000001</v>
      </c>
      <c r="Y398" s="45">
        <v>12</v>
      </c>
      <c r="Z398" s="45">
        <v>1</v>
      </c>
      <c r="AB398" s="45">
        <v>65671.600000000006</v>
      </c>
      <c r="AC398" s="45">
        <v>9</v>
      </c>
      <c r="AD398" s="45">
        <v>1</v>
      </c>
      <c r="AE398" s="45">
        <v>66590.7</v>
      </c>
      <c r="AF398" s="45">
        <v>15</v>
      </c>
      <c r="AG398" s="45">
        <v>0</v>
      </c>
      <c r="AH398" s="45">
        <v>57031.8</v>
      </c>
      <c r="AI398" s="45">
        <v>0</v>
      </c>
      <c r="AJ398" s="45">
        <v>0</v>
      </c>
      <c r="AK398" s="45">
        <v>69475.199999999997</v>
      </c>
      <c r="AL398" s="45">
        <v>31</v>
      </c>
      <c r="AM398" s="45">
        <v>1</v>
      </c>
      <c r="AO398" s="45">
        <v>58089</v>
      </c>
      <c r="AP398" s="45">
        <v>9</v>
      </c>
      <c r="AQ398" s="45">
        <v>1</v>
      </c>
      <c r="AR398" s="45">
        <v>66355.600000000006</v>
      </c>
      <c r="AS398" s="45">
        <v>4</v>
      </c>
      <c r="AT398" s="45">
        <v>1</v>
      </c>
      <c r="AU398" s="45">
        <v>51172.6</v>
      </c>
      <c r="AV398" s="45">
        <v>0</v>
      </c>
      <c r="AW398" s="45">
        <v>1</v>
      </c>
      <c r="AX398" s="45">
        <v>63221.8</v>
      </c>
      <c r="AY398" s="45">
        <v>9</v>
      </c>
      <c r="AZ398" s="45">
        <v>1</v>
      </c>
    </row>
    <row r="399" spans="2:52">
      <c r="B399" s="45">
        <v>57871.9</v>
      </c>
      <c r="C399" s="45">
        <v>0</v>
      </c>
      <c r="D399" s="45">
        <v>0</v>
      </c>
      <c r="E399" s="45">
        <v>85478</v>
      </c>
      <c r="F399" s="45">
        <v>69</v>
      </c>
      <c r="G399" s="45">
        <v>1</v>
      </c>
      <c r="H399" s="45">
        <v>53937.1</v>
      </c>
      <c r="I399" s="45">
        <v>0</v>
      </c>
      <c r="J399" s="45">
        <v>0</v>
      </c>
      <c r="K399" s="45">
        <v>54971.5</v>
      </c>
      <c r="L399" s="45">
        <v>9</v>
      </c>
      <c r="M399" s="45">
        <v>0</v>
      </c>
      <c r="O399" s="45">
        <v>58102.5</v>
      </c>
      <c r="P399" s="45">
        <v>10</v>
      </c>
      <c r="Q399" s="45">
        <v>1</v>
      </c>
      <c r="R399" s="45">
        <v>66421.100000000006</v>
      </c>
      <c r="S399" s="45">
        <v>12</v>
      </c>
      <c r="T399" s="45">
        <v>0</v>
      </c>
      <c r="U399" s="45">
        <v>56367.8</v>
      </c>
      <c r="V399" s="45">
        <v>0</v>
      </c>
      <c r="W399" s="45">
        <v>1</v>
      </c>
      <c r="X399" s="45">
        <v>51781.8</v>
      </c>
      <c r="Y399" s="45">
        <v>0</v>
      </c>
      <c r="Z399" s="45">
        <v>0</v>
      </c>
      <c r="AB399" s="45">
        <v>55831.4</v>
      </c>
      <c r="AC399" s="45">
        <v>2</v>
      </c>
      <c r="AD399" s="45">
        <v>0</v>
      </c>
      <c r="AE399" s="45">
        <v>56725.2</v>
      </c>
      <c r="AF399" s="45">
        <v>0</v>
      </c>
      <c r="AG399" s="45">
        <v>1</v>
      </c>
      <c r="AH399" s="45">
        <v>72643.7</v>
      </c>
      <c r="AI399" s="45">
        <v>40</v>
      </c>
      <c r="AJ399" s="45">
        <v>0</v>
      </c>
      <c r="AK399" s="45">
        <v>51354.3</v>
      </c>
      <c r="AL399" s="45">
        <v>0</v>
      </c>
      <c r="AM399" s="45">
        <v>1</v>
      </c>
      <c r="AO399" s="45">
        <v>62328.2</v>
      </c>
      <c r="AP399" s="45">
        <v>10</v>
      </c>
      <c r="AQ399" s="45">
        <v>0</v>
      </c>
      <c r="AR399" s="45">
        <v>56484.2</v>
      </c>
      <c r="AS399" s="45">
        <v>0</v>
      </c>
      <c r="AT399" s="45">
        <v>1</v>
      </c>
      <c r="AU399" s="45">
        <v>54272.2</v>
      </c>
      <c r="AV399" s="45">
        <v>4</v>
      </c>
      <c r="AW399" s="45">
        <v>1</v>
      </c>
      <c r="AX399" s="45">
        <v>51372.2</v>
      </c>
      <c r="AY399" s="45">
        <v>0</v>
      </c>
      <c r="AZ399" s="45">
        <v>1</v>
      </c>
    </row>
    <row r="400" spans="2:52">
      <c r="B400" s="45">
        <v>60844.9</v>
      </c>
      <c r="C400" s="45">
        <v>18</v>
      </c>
      <c r="D400" s="45">
        <v>1</v>
      </c>
      <c r="E400" s="45">
        <v>59684.2</v>
      </c>
      <c r="F400" s="45">
        <v>24</v>
      </c>
      <c r="G400" s="45">
        <v>0</v>
      </c>
      <c r="H400" s="45">
        <v>50271.1</v>
      </c>
      <c r="I400" s="45">
        <v>0</v>
      </c>
      <c r="J400" s="45">
        <v>1</v>
      </c>
      <c r="K400" s="45">
        <v>48270.2</v>
      </c>
      <c r="L400" s="45">
        <v>0</v>
      </c>
      <c r="M400" s="45">
        <v>1</v>
      </c>
      <c r="O400" s="45">
        <v>64388</v>
      </c>
      <c r="P400" s="45">
        <v>24</v>
      </c>
      <c r="Q400" s="45">
        <v>1</v>
      </c>
      <c r="R400" s="45">
        <v>47622.3</v>
      </c>
      <c r="S400" s="45">
        <v>0</v>
      </c>
      <c r="T400" s="45">
        <v>1</v>
      </c>
      <c r="U400" s="45">
        <v>58727.7</v>
      </c>
      <c r="V400" s="45">
        <v>16</v>
      </c>
      <c r="W400" s="45">
        <v>0</v>
      </c>
      <c r="X400" s="45">
        <v>77727.199999999997</v>
      </c>
      <c r="Y400" s="45">
        <v>55</v>
      </c>
      <c r="Z400" s="45">
        <v>1</v>
      </c>
      <c r="AB400" s="45">
        <v>67406.600000000006</v>
      </c>
      <c r="AC400" s="45">
        <v>42</v>
      </c>
      <c r="AD400" s="45">
        <v>0</v>
      </c>
      <c r="AE400" s="45">
        <v>54351</v>
      </c>
      <c r="AF400" s="45">
        <v>0</v>
      </c>
      <c r="AG400" s="45">
        <v>0</v>
      </c>
      <c r="AH400" s="45">
        <v>47587</v>
      </c>
      <c r="AI400" s="45">
        <v>0</v>
      </c>
      <c r="AJ400" s="45">
        <v>1</v>
      </c>
      <c r="AK400" s="45">
        <v>67932.800000000003</v>
      </c>
      <c r="AL400" s="45">
        <v>39</v>
      </c>
      <c r="AM400" s="45">
        <v>0</v>
      </c>
      <c r="AO400" s="45">
        <v>72685.100000000006</v>
      </c>
      <c r="AP400" s="45">
        <v>41</v>
      </c>
      <c r="AQ400" s="45">
        <v>0</v>
      </c>
      <c r="AR400" s="45">
        <v>49579.9</v>
      </c>
      <c r="AS400" s="45">
        <v>0</v>
      </c>
      <c r="AT400" s="45">
        <v>1</v>
      </c>
      <c r="AU400" s="45">
        <v>46800.1</v>
      </c>
      <c r="AV400" s="45">
        <v>0</v>
      </c>
      <c r="AW400" s="45">
        <v>1</v>
      </c>
      <c r="AX400" s="45">
        <v>44096.4</v>
      </c>
      <c r="AY400" s="45">
        <v>0</v>
      </c>
      <c r="AZ400" s="45">
        <v>0</v>
      </c>
    </row>
    <row r="401" spans="2:52">
      <c r="B401" s="45">
        <v>89498.6</v>
      </c>
      <c r="C401" s="45">
        <v>88</v>
      </c>
      <c r="D401" s="45">
        <v>0</v>
      </c>
      <c r="E401" s="45">
        <v>82033.8</v>
      </c>
      <c r="F401" s="45">
        <v>78</v>
      </c>
      <c r="G401" s="45">
        <v>0</v>
      </c>
      <c r="H401" s="45">
        <v>54804.6</v>
      </c>
      <c r="I401" s="45">
        <v>15</v>
      </c>
      <c r="J401" s="45">
        <v>1</v>
      </c>
      <c r="K401" s="45">
        <v>74915.399999999994</v>
      </c>
      <c r="L401" s="45">
        <v>56</v>
      </c>
      <c r="M401" s="45">
        <v>0</v>
      </c>
      <c r="O401" s="45">
        <v>81306</v>
      </c>
      <c r="P401" s="45">
        <v>71</v>
      </c>
      <c r="Q401" s="45">
        <v>1</v>
      </c>
      <c r="R401" s="45">
        <v>57153.1</v>
      </c>
      <c r="S401" s="45">
        <v>24</v>
      </c>
      <c r="T401" s="45">
        <v>1</v>
      </c>
      <c r="U401" s="45">
        <v>82209.8</v>
      </c>
      <c r="V401" s="45">
        <v>80</v>
      </c>
      <c r="W401" s="45">
        <v>0</v>
      </c>
      <c r="X401" s="45">
        <v>51956.1</v>
      </c>
      <c r="Y401" s="45">
        <v>25</v>
      </c>
      <c r="Z401" s="45">
        <v>1</v>
      </c>
      <c r="AB401" s="45">
        <v>45487</v>
      </c>
      <c r="AC401" s="45">
        <v>2</v>
      </c>
      <c r="AD401" s="45">
        <v>1</v>
      </c>
      <c r="AE401" s="45">
        <v>55257.4</v>
      </c>
      <c r="AF401" s="45">
        <v>15</v>
      </c>
      <c r="AG401" s="45">
        <v>0</v>
      </c>
      <c r="AH401" s="45">
        <v>43503.1</v>
      </c>
      <c r="AI401" s="45">
        <v>2</v>
      </c>
      <c r="AJ401" s="45">
        <v>1</v>
      </c>
      <c r="AK401" s="45">
        <v>61332.6</v>
      </c>
      <c r="AL401" s="45">
        <v>28</v>
      </c>
      <c r="AM401" s="45">
        <v>0</v>
      </c>
      <c r="AO401" s="45">
        <v>50703.199999999997</v>
      </c>
      <c r="AP401" s="45">
        <v>14</v>
      </c>
      <c r="AQ401" s="45">
        <v>1</v>
      </c>
      <c r="AR401" s="45">
        <v>51809.2</v>
      </c>
      <c r="AS401" s="45">
        <v>13</v>
      </c>
      <c r="AT401" s="45">
        <v>1</v>
      </c>
      <c r="AU401" s="45">
        <v>62659.5</v>
      </c>
      <c r="AV401" s="45">
        <v>46</v>
      </c>
      <c r="AW401" s="45">
        <v>1</v>
      </c>
      <c r="AX401" s="45">
        <v>68020.2</v>
      </c>
      <c r="AY401" s="45">
        <v>48</v>
      </c>
      <c r="AZ401" s="45">
        <v>1</v>
      </c>
    </row>
    <row r="402" spans="2:52">
      <c r="B402" s="45">
        <v>75426</v>
      </c>
      <c r="C402" s="45">
        <v>59</v>
      </c>
      <c r="D402" s="45">
        <v>1</v>
      </c>
      <c r="E402" s="45">
        <v>53547.6</v>
      </c>
      <c r="F402" s="45">
        <v>7</v>
      </c>
      <c r="G402" s="45">
        <v>0</v>
      </c>
      <c r="H402" s="45">
        <v>89746.7</v>
      </c>
      <c r="I402" s="45">
        <v>78</v>
      </c>
      <c r="J402" s="45">
        <v>0</v>
      </c>
      <c r="K402" s="45">
        <v>63125.8</v>
      </c>
      <c r="L402" s="45">
        <v>35</v>
      </c>
      <c r="M402" s="45">
        <v>1</v>
      </c>
      <c r="O402" s="45">
        <v>79003.8</v>
      </c>
      <c r="P402" s="45">
        <v>67</v>
      </c>
      <c r="Q402" s="45">
        <v>1</v>
      </c>
      <c r="R402" s="45">
        <v>76480.100000000006</v>
      </c>
      <c r="S402" s="45">
        <v>57</v>
      </c>
      <c r="T402" s="45">
        <v>1</v>
      </c>
      <c r="U402" s="45">
        <v>60022.6</v>
      </c>
      <c r="V402" s="45">
        <v>24</v>
      </c>
      <c r="W402" s="45">
        <v>1</v>
      </c>
      <c r="X402" s="45">
        <v>82611.7</v>
      </c>
      <c r="Y402" s="45">
        <v>72</v>
      </c>
      <c r="Z402" s="45">
        <v>1</v>
      </c>
      <c r="AB402" s="45">
        <v>55879.4</v>
      </c>
      <c r="AC402" s="45">
        <v>9</v>
      </c>
      <c r="AD402" s="45">
        <v>1</v>
      </c>
      <c r="AE402" s="45">
        <v>48576.7</v>
      </c>
      <c r="AF402" s="45">
        <v>0</v>
      </c>
      <c r="AG402" s="45">
        <v>0</v>
      </c>
      <c r="AH402" s="45">
        <v>68603</v>
      </c>
      <c r="AI402" s="45">
        <v>34</v>
      </c>
      <c r="AJ402" s="45">
        <v>0</v>
      </c>
      <c r="AK402" s="45">
        <v>55177.8</v>
      </c>
      <c r="AL402" s="45">
        <v>16</v>
      </c>
      <c r="AM402" s="45">
        <v>1</v>
      </c>
      <c r="AO402" s="45">
        <v>70308.800000000003</v>
      </c>
      <c r="AP402" s="45">
        <v>46</v>
      </c>
      <c r="AQ402" s="45">
        <v>1</v>
      </c>
      <c r="AR402" s="45">
        <v>56445</v>
      </c>
      <c r="AS402" s="45">
        <v>21</v>
      </c>
      <c r="AT402" s="45">
        <v>1</v>
      </c>
      <c r="AU402" s="45">
        <v>62816.800000000003</v>
      </c>
      <c r="AV402" s="45">
        <v>34</v>
      </c>
      <c r="AW402" s="45">
        <v>0</v>
      </c>
      <c r="AX402" s="45">
        <v>73691.399999999994</v>
      </c>
      <c r="AY402" s="45">
        <v>56</v>
      </c>
      <c r="AZ402" s="45">
        <v>1</v>
      </c>
    </row>
    <row r="403" spans="2:52">
      <c r="B403" s="45">
        <v>54305.9</v>
      </c>
      <c r="C403" s="45">
        <v>0</v>
      </c>
      <c r="D403" s="45">
        <v>0</v>
      </c>
      <c r="E403" s="45">
        <v>49659.9</v>
      </c>
      <c r="F403" s="45">
        <v>0</v>
      </c>
      <c r="G403" s="45">
        <v>1</v>
      </c>
      <c r="H403" s="45">
        <v>53420.2</v>
      </c>
      <c r="I403" s="45">
        <v>0</v>
      </c>
      <c r="J403" s="45">
        <v>0</v>
      </c>
      <c r="K403" s="45">
        <v>54347.5</v>
      </c>
      <c r="L403" s="45">
        <v>0</v>
      </c>
      <c r="M403" s="45">
        <v>0</v>
      </c>
      <c r="O403" s="45">
        <v>53770.7</v>
      </c>
      <c r="P403" s="45">
        <v>6</v>
      </c>
      <c r="Q403" s="45">
        <v>0</v>
      </c>
      <c r="R403" s="45">
        <v>53297</v>
      </c>
      <c r="S403" s="45">
        <v>0</v>
      </c>
      <c r="T403" s="45">
        <v>1</v>
      </c>
      <c r="U403" s="45">
        <v>56736.9</v>
      </c>
      <c r="V403" s="45">
        <v>9</v>
      </c>
      <c r="W403" s="45">
        <v>1</v>
      </c>
      <c r="X403" s="45">
        <v>47653.3</v>
      </c>
      <c r="Y403" s="45">
        <v>0</v>
      </c>
      <c r="Z403" s="45">
        <v>0</v>
      </c>
      <c r="AB403" s="45">
        <v>52052.800000000003</v>
      </c>
      <c r="AC403" s="45">
        <v>0</v>
      </c>
      <c r="AD403" s="45">
        <v>0</v>
      </c>
      <c r="AE403" s="45">
        <v>50171.9</v>
      </c>
      <c r="AF403" s="45">
        <v>0</v>
      </c>
      <c r="AG403" s="45">
        <v>1</v>
      </c>
      <c r="AH403" s="45">
        <v>52243.8</v>
      </c>
      <c r="AI403" s="45">
        <v>0</v>
      </c>
      <c r="AJ403" s="45">
        <v>0</v>
      </c>
      <c r="AK403" s="45">
        <v>53642.9</v>
      </c>
      <c r="AL403" s="45">
        <v>0</v>
      </c>
      <c r="AM403" s="45">
        <v>0</v>
      </c>
      <c r="AO403" s="45">
        <v>55594.9</v>
      </c>
      <c r="AP403" s="45">
        <v>0</v>
      </c>
      <c r="AQ403" s="45">
        <v>1</v>
      </c>
      <c r="AR403" s="45">
        <v>51230.1</v>
      </c>
      <c r="AS403" s="45">
        <v>0</v>
      </c>
      <c r="AT403" s="45">
        <v>0</v>
      </c>
      <c r="AU403" s="45">
        <v>48040.5</v>
      </c>
      <c r="AV403" s="45">
        <v>0</v>
      </c>
      <c r="AW403" s="45">
        <v>1</v>
      </c>
      <c r="AX403" s="45">
        <v>48677.4</v>
      </c>
      <c r="AY403" s="45">
        <v>0</v>
      </c>
      <c r="AZ403" s="45">
        <v>1</v>
      </c>
    </row>
    <row r="404" spans="2:52">
      <c r="B404" s="45">
        <v>70520.899999999994</v>
      </c>
      <c r="C404" s="45">
        <v>38</v>
      </c>
      <c r="D404" s="45">
        <v>1</v>
      </c>
      <c r="E404" s="45">
        <v>82625.5</v>
      </c>
      <c r="F404" s="45">
        <v>72</v>
      </c>
      <c r="G404" s="45">
        <v>0</v>
      </c>
      <c r="H404" s="45">
        <v>57243.199999999997</v>
      </c>
      <c r="I404" s="45">
        <v>14</v>
      </c>
      <c r="J404" s="45">
        <v>1</v>
      </c>
      <c r="K404" s="45">
        <v>61151.6</v>
      </c>
      <c r="L404" s="45">
        <v>24</v>
      </c>
      <c r="M404" s="45">
        <v>0</v>
      </c>
      <c r="O404" s="45">
        <v>78200.2</v>
      </c>
      <c r="P404" s="45">
        <v>60</v>
      </c>
      <c r="Q404" s="45">
        <v>1</v>
      </c>
      <c r="R404" s="45">
        <v>69891.7</v>
      </c>
      <c r="S404" s="45">
        <v>31</v>
      </c>
      <c r="T404" s="45">
        <v>1</v>
      </c>
      <c r="U404" s="45">
        <v>55219</v>
      </c>
      <c r="V404" s="45">
        <v>10</v>
      </c>
      <c r="W404" s="45">
        <v>1</v>
      </c>
      <c r="X404" s="45">
        <v>49586.2</v>
      </c>
      <c r="Y404" s="45">
        <v>5</v>
      </c>
      <c r="Z404" s="45">
        <v>0</v>
      </c>
      <c r="AB404" s="45">
        <v>52972.7</v>
      </c>
      <c r="AC404" s="45">
        <v>0</v>
      </c>
      <c r="AD404" s="45">
        <v>0</v>
      </c>
      <c r="AE404" s="45">
        <v>60211.3</v>
      </c>
      <c r="AF404" s="45">
        <v>19</v>
      </c>
      <c r="AG404" s="45">
        <v>1</v>
      </c>
      <c r="AH404" s="45">
        <v>47163.7</v>
      </c>
      <c r="AI404" s="45">
        <v>0</v>
      </c>
      <c r="AJ404" s="45">
        <v>0</v>
      </c>
      <c r="AK404" s="45">
        <v>51575.8</v>
      </c>
      <c r="AL404" s="45">
        <v>0</v>
      </c>
      <c r="AM404" s="45">
        <v>1</v>
      </c>
      <c r="AO404" s="45">
        <v>57476.4</v>
      </c>
      <c r="AP404" s="45">
        <v>12</v>
      </c>
      <c r="AQ404" s="45">
        <v>1</v>
      </c>
      <c r="AR404" s="45">
        <v>77140.399999999994</v>
      </c>
      <c r="AS404" s="45">
        <v>56</v>
      </c>
      <c r="AT404" s="45">
        <v>1</v>
      </c>
      <c r="AU404" s="45">
        <v>83350.2</v>
      </c>
      <c r="AV404" s="45">
        <v>65</v>
      </c>
      <c r="AW404" s="45">
        <v>0</v>
      </c>
      <c r="AX404" s="45">
        <v>55949.7</v>
      </c>
      <c r="AY404" s="45">
        <v>0</v>
      </c>
      <c r="AZ404" s="45">
        <v>1</v>
      </c>
    </row>
    <row r="405" spans="2:52">
      <c r="B405" s="45">
        <v>49925.1</v>
      </c>
      <c r="C405" s="45">
        <v>0</v>
      </c>
      <c r="D405" s="45">
        <v>0</v>
      </c>
      <c r="E405" s="45">
        <v>55757.5</v>
      </c>
      <c r="F405" s="45">
        <v>18</v>
      </c>
      <c r="G405" s="45">
        <v>1</v>
      </c>
      <c r="H405" s="45">
        <v>49924.800000000003</v>
      </c>
      <c r="I405" s="45">
        <v>4</v>
      </c>
      <c r="J405" s="45">
        <v>0</v>
      </c>
      <c r="K405" s="45">
        <v>59130.7</v>
      </c>
      <c r="L405" s="45">
        <v>24</v>
      </c>
      <c r="M405" s="45">
        <v>1</v>
      </c>
      <c r="O405" s="45">
        <v>59449</v>
      </c>
      <c r="P405" s="45">
        <v>30</v>
      </c>
      <c r="Q405" s="45">
        <v>1</v>
      </c>
      <c r="R405" s="45">
        <v>45250.6</v>
      </c>
      <c r="S405" s="45">
        <v>0</v>
      </c>
      <c r="T405" s="45">
        <v>1</v>
      </c>
      <c r="U405" s="45">
        <v>46998.5</v>
      </c>
      <c r="V405" s="45">
        <v>0</v>
      </c>
      <c r="W405" s="45">
        <v>0</v>
      </c>
      <c r="X405" s="45">
        <v>71450.3</v>
      </c>
      <c r="Y405" s="45">
        <v>48</v>
      </c>
      <c r="Z405" s="45">
        <v>1</v>
      </c>
      <c r="AB405" s="45">
        <v>51663.3</v>
      </c>
      <c r="AC405" s="45">
        <v>2</v>
      </c>
      <c r="AD405" s="45">
        <v>0</v>
      </c>
      <c r="AE405" s="45">
        <v>53260.1</v>
      </c>
      <c r="AF405" s="45">
        <v>3</v>
      </c>
      <c r="AG405" s="45">
        <v>0</v>
      </c>
      <c r="AH405" s="45">
        <v>45164.9</v>
      </c>
      <c r="AI405" s="45">
        <v>0</v>
      </c>
      <c r="AJ405" s="45">
        <v>1</v>
      </c>
      <c r="AK405" s="45">
        <v>46071.9</v>
      </c>
      <c r="AL405" s="45">
        <v>0</v>
      </c>
      <c r="AM405" s="45">
        <v>0</v>
      </c>
      <c r="AO405" s="45">
        <v>57810</v>
      </c>
      <c r="AP405" s="45">
        <v>27</v>
      </c>
      <c r="AQ405" s="45">
        <v>1</v>
      </c>
      <c r="AR405" s="45">
        <v>47080.9</v>
      </c>
      <c r="AS405" s="45">
        <v>0</v>
      </c>
      <c r="AT405" s="45">
        <v>1</v>
      </c>
      <c r="AU405" s="45">
        <v>53009.9</v>
      </c>
      <c r="AV405" s="45">
        <v>19</v>
      </c>
      <c r="AW405" s="45">
        <v>1</v>
      </c>
      <c r="AX405" s="45">
        <v>42882.8</v>
      </c>
      <c r="AY405" s="45">
        <v>0</v>
      </c>
      <c r="AZ405" s="45">
        <v>0</v>
      </c>
    </row>
    <row r="406" spans="2:52">
      <c r="B406" s="45">
        <v>63007</v>
      </c>
      <c r="C406" s="45">
        <v>0</v>
      </c>
      <c r="D406" s="45">
        <v>0</v>
      </c>
      <c r="E406" s="45">
        <v>89764.1</v>
      </c>
      <c r="F406" s="45">
        <v>57</v>
      </c>
      <c r="G406" s="45">
        <v>1</v>
      </c>
      <c r="H406" s="45">
        <v>62678.8</v>
      </c>
      <c r="I406" s="45">
        <v>0</v>
      </c>
      <c r="J406" s="45">
        <v>0</v>
      </c>
      <c r="K406" s="45">
        <v>59202.400000000001</v>
      </c>
      <c r="L406" s="45">
        <v>0</v>
      </c>
      <c r="M406" s="45">
        <v>0</v>
      </c>
      <c r="O406" s="45">
        <v>68838.399999999994</v>
      </c>
      <c r="P406" s="45">
        <v>1</v>
      </c>
      <c r="Q406" s="45">
        <v>0</v>
      </c>
      <c r="R406" s="45">
        <v>114918</v>
      </c>
      <c r="S406" s="45">
        <v>110</v>
      </c>
      <c r="T406" s="45">
        <v>1</v>
      </c>
      <c r="U406" s="45">
        <v>65031.1</v>
      </c>
      <c r="V406" s="45">
        <v>0</v>
      </c>
      <c r="W406" s="45">
        <v>0</v>
      </c>
      <c r="X406" s="45">
        <v>72280</v>
      </c>
      <c r="Y406" s="45">
        <v>13</v>
      </c>
      <c r="Z406" s="45">
        <v>1</v>
      </c>
      <c r="AB406" s="45">
        <v>64164.4</v>
      </c>
      <c r="AC406" s="45">
        <v>0</v>
      </c>
      <c r="AD406" s="45">
        <v>0</v>
      </c>
      <c r="AE406" s="45">
        <v>58107.1</v>
      </c>
      <c r="AF406" s="45">
        <v>2</v>
      </c>
      <c r="AG406" s="45">
        <v>1</v>
      </c>
      <c r="AH406" s="45">
        <v>60455.5</v>
      </c>
      <c r="AI406" s="45">
        <v>0</v>
      </c>
      <c r="AJ406" s="45">
        <v>0</v>
      </c>
      <c r="AK406" s="45">
        <v>62530.400000000001</v>
      </c>
      <c r="AL406" s="45">
        <v>0</v>
      </c>
      <c r="AM406" s="45">
        <v>1</v>
      </c>
      <c r="AO406" s="45">
        <v>61257.5</v>
      </c>
      <c r="AP406" s="45">
        <v>0</v>
      </c>
      <c r="AQ406" s="45">
        <v>1</v>
      </c>
      <c r="AR406" s="45">
        <v>61759.8</v>
      </c>
      <c r="AS406" s="45">
        <v>0</v>
      </c>
      <c r="AT406" s="45">
        <v>1</v>
      </c>
      <c r="AU406" s="45">
        <v>64322.9</v>
      </c>
      <c r="AV406" s="45">
        <v>3</v>
      </c>
      <c r="AW406" s="45">
        <v>0</v>
      </c>
      <c r="AX406" s="45">
        <v>61454.9</v>
      </c>
      <c r="AY406" s="45">
        <v>0</v>
      </c>
      <c r="AZ406" s="45">
        <v>1</v>
      </c>
    </row>
    <row r="407" spans="2:52">
      <c r="B407" s="45">
        <v>62623.9</v>
      </c>
      <c r="C407" s="45">
        <v>34</v>
      </c>
      <c r="D407" s="45">
        <v>1</v>
      </c>
      <c r="E407" s="45">
        <v>43550.1</v>
      </c>
      <c r="F407" s="45">
        <v>0</v>
      </c>
      <c r="G407" s="45">
        <v>0</v>
      </c>
      <c r="H407" s="45">
        <v>49281.3</v>
      </c>
      <c r="I407" s="45">
        <v>6</v>
      </c>
      <c r="J407" s="45">
        <v>1</v>
      </c>
      <c r="K407" s="45">
        <v>84081.3</v>
      </c>
      <c r="L407" s="45">
        <v>75</v>
      </c>
      <c r="M407" s="45">
        <v>0</v>
      </c>
      <c r="O407" s="45">
        <v>44346.1</v>
      </c>
      <c r="P407" s="45">
        <v>0</v>
      </c>
      <c r="Q407" s="45">
        <v>1</v>
      </c>
      <c r="R407" s="45">
        <v>47703.4</v>
      </c>
      <c r="S407" s="45">
        <v>15</v>
      </c>
      <c r="T407" s="45">
        <v>0</v>
      </c>
      <c r="U407" s="45">
        <v>44923.5</v>
      </c>
      <c r="V407" s="45">
        <v>8</v>
      </c>
      <c r="W407" s="45">
        <v>1</v>
      </c>
      <c r="X407" s="45">
        <v>42052.7</v>
      </c>
      <c r="Y407" s="45">
        <v>0</v>
      </c>
      <c r="Z407" s="45">
        <v>1</v>
      </c>
      <c r="AB407" s="45">
        <v>43401.599999999999</v>
      </c>
      <c r="AC407" s="45">
        <v>0</v>
      </c>
      <c r="AD407" s="45">
        <v>0</v>
      </c>
      <c r="AE407" s="45">
        <v>45462.5</v>
      </c>
      <c r="AF407" s="45">
        <v>0</v>
      </c>
      <c r="AG407" s="45">
        <v>0</v>
      </c>
      <c r="AH407" s="45">
        <v>43177.9</v>
      </c>
      <c r="AI407" s="45">
        <v>0</v>
      </c>
      <c r="AJ407" s="45">
        <v>0</v>
      </c>
      <c r="AK407" s="45">
        <v>69698.8</v>
      </c>
      <c r="AL407" s="45">
        <v>51</v>
      </c>
      <c r="AM407" s="45">
        <v>1</v>
      </c>
      <c r="AO407" s="45">
        <v>48130.7</v>
      </c>
      <c r="AP407" s="45">
        <v>0</v>
      </c>
      <c r="AQ407" s="45">
        <v>1</v>
      </c>
      <c r="AR407" s="45">
        <v>51027.7</v>
      </c>
      <c r="AS407" s="45">
        <v>8</v>
      </c>
      <c r="AT407" s="45">
        <v>1</v>
      </c>
      <c r="AU407" s="45">
        <v>46023.9</v>
      </c>
      <c r="AV407" s="45">
        <v>0</v>
      </c>
      <c r="AW407" s="45">
        <v>0</v>
      </c>
      <c r="AX407" s="45">
        <v>45002.8</v>
      </c>
      <c r="AY407" s="45">
        <v>0</v>
      </c>
      <c r="AZ407" s="45">
        <v>1</v>
      </c>
    </row>
    <row r="408" spans="2:52">
      <c r="B408" s="45">
        <v>53399.6</v>
      </c>
      <c r="C408" s="45">
        <v>0</v>
      </c>
      <c r="D408" s="45">
        <v>0</v>
      </c>
      <c r="E408" s="45">
        <v>80288.600000000006</v>
      </c>
      <c r="F408" s="45">
        <v>50</v>
      </c>
      <c r="G408" s="45">
        <v>1</v>
      </c>
      <c r="H408" s="45">
        <v>55138.9</v>
      </c>
      <c r="I408" s="45">
        <v>0</v>
      </c>
      <c r="J408" s="45">
        <v>1</v>
      </c>
      <c r="K408" s="45">
        <v>51522.9</v>
      </c>
      <c r="L408" s="45">
        <v>0</v>
      </c>
      <c r="M408" s="45">
        <v>0</v>
      </c>
      <c r="O408" s="45">
        <v>83016.5</v>
      </c>
      <c r="P408" s="45">
        <v>57</v>
      </c>
      <c r="Q408" s="45">
        <v>1</v>
      </c>
      <c r="R408" s="45">
        <v>114931</v>
      </c>
      <c r="S408" s="45">
        <v>125</v>
      </c>
      <c r="T408" s="45">
        <v>1</v>
      </c>
      <c r="U408" s="45">
        <v>49176.800000000003</v>
      </c>
      <c r="V408" s="45">
        <v>0</v>
      </c>
      <c r="W408" s="45">
        <v>1</v>
      </c>
      <c r="X408" s="45">
        <v>49765.5</v>
      </c>
      <c r="Y408" s="45">
        <v>0</v>
      </c>
      <c r="Z408" s="45">
        <v>0</v>
      </c>
      <c r="AB408" s="45">
        <v>52685.5</v>
      </c>
      <c r="AC408" s="45">
        <v>0</v>
      </c>
      <c r="AD408" s="45">
        <v>0</v>
      </c>
      <c r="AE408" s="45">
        <v>85499.199999999997</v>
      </c>
      <c r="AF408" s="45">
        <v>52</v>
      </c>
      <c r="AG408" s="45">
        <v>1</v>
      </c>
      <c r="AH408" s="45">
        <v>73268.899999999994</v>
      </c>
      <c r="AI408" s="45">
        <v>35</v>
      </c>
      <c r="AJ408" s="45">
        <v>0</v>
      </c>
      <c r="AK408" s="45">
        <v>53623.199999999997</v>
      </c>
      <c r="AL408" s="45">
        <v>5</v>
      </c>
      <c r="AM408" s="45">
        <v>1</v>
      </c>
      <c r="AO408" s="45">
        <v>70655.600000000006</v>
      </c>
      <c r="AP408" s="45">
        <v>31</v>
      </c>
      <c r="AQ408" s="45">
        <v>1</v>
      </c>
      <c r="AR408" s="45">
        <v>132801</v>
      </c>
      <c r="AS408" s="45">
        <v>154</v>
      </c>
      <c r="AT408" s="45">
        <v>1</v>
      </c>
      <c r="AU408" s="45">
        <v>99816.7</v>
      </c>
      <c r="AV408" s="45">
        <v>97</v>
      </c>
      <c r="AW408" s="45">
        <v>1</v>
      </c>
      <c r="AX408" s="45">
        <v>52983.8</v>
      </c>
      <c r="AY408" s="45">
        <v>0</v>
      </c>
      <c r="AZ408" s="45">
        <v>0</v>
      </c>
    </row>
    <row r="409" spans="2:52">
      <c r="B409" s="45">
        <v>54653.5</v>
      </c>
      <c r="C409" s="45">
        <v>20</v>
      </c>
      <c r="D409" s="45">
        <v>0</v>
      </c>
      <c r="E409" s="45">
        <v>53950.3</v>
      </c>
      <c r="F409" s="45">
        <v>24</v>
      </c>
      <c r="G409" s="45">
        <v>1</v>
      </c>
      <c r="H409" s="45">
        <v>42448.4</v>
      </c>
      <c r="I409" s="45">
        <v>0</v>
      </c>
      <c r="J409" s="45">
        <v>0</v>
      </c>
      <c r="K409" s="45">
        <v>40471.4</v>
      </c>
      <c r="L409" s="45">
        <v>0</v>
      </c>
      <c r="M409" s="45">
        <v>1</v>
      </c>
      <c r="O409" s="45">
        <v>46790</v>
      </c>
      <c r="P409" s="45">
        <v>0</v>
      </c>
      <c r="Q409" s="45">
        <v>1</v>
      </c>
      <c r="R409" s="45">
        <v>48720.6</v>
      </c>
      <c r="S409" s="45">
        <v>0</v>
      </c>
      <c r="T409" s="45">
        <v>0</v>
      </c>
      <c r="U409" s="45">
        <v>48086.3</v>
      </c>
      <c r="V409" s="45">
        <v>0</v>
      </c>
      <c r="W409" s="45">
        <v>1</v>
      </c>
      <c r="X409" s="45">
        <v>38664</v>
      </c>
      <c r="Y409" s="45">
        <v>0</v>
      </c>
      <c r="Z409" s="45">
        <v>1</v>
      </c>
      <c r="AB409" s="45">
        <v>61196.7</v>
      </c>
      <c r="AC409" s="45">
        <v>22</v>
      </c>
      <c r="AD409" s="45">
        <v>0</v>
      </c>
      <c r="AE409" s="45">
        <v>56225.9</v>
      </c>
      <c r="AF409" s="45">
        <v>25</v>
      </c>
      <c r="AG409" s="45">
        <v>1</v>
      </c>
      <c r="AH409" s="45">
        <v>56975.9</v>
      </c>
      <c r="AI409" s="45">
        <v>25</v>
      </c>
      <c r="AJ409" s="45">
        <v>0</v>
      </c>
      <c r="AK409" s="45">
        <v>40483.699999999997</v>
      </c>
      <c r="AL409" s="45">
        <v>0</v>
      </c>
      <c r="AM409" s="45">
        <v>1</v>
      </c>
      <c r="AO409" s="45">
        <v>39839.9</v>
      </c>
      <c r="AP409" s="45">
        <v>0</v>
      </c>
      <c r="AQ409" s="45">
        <v>1</v>
      </c>
      <c r="AR409" s="45">
        <v>61817.9</v>
      </c>
      <c r="AS409" s="45">
        <v>35</v>
      </c>
      <c r="AT409" s="45">
        <v>1</v>
      </c>
      <c r="AU409" s="45">
        <v>41450.6</v>
      </c>
      <c r="AV409" s="45">
        <v>0</v>
      </c>
      <c r="AW409" s="45">
        <v>1</v>
      </c>
      <c r="AX409" s="45">
        <v>57408.1</v>
      </c>
      <c r="AY409" s="45">
        <v>31</v>
      </c>
      <c r="AZ409" s="45">
        <v>1</v>
      </c>
    </row>
    <row r="410" spans="2:52">
      <c r="B410" s="45">
        <v>50131.7</v>
      </c>
      <c r="C410" s="45">
        <v>0</v>
      </c>
      <c r="D410" s="45">
        <v>0</v>
      </c>
      <c r="E410" s="45">
        <v>49890.3</v>
      </c>
      <c r="F410" s="45">
        <v>1</v>
      </c>
      <c r="G410" s="45">
        <v>1</v>
      </c>
      <c r="H410" s="45">
        <v>77486.2</v>
      </c>
      <c r="I410" s="45">
        <v>58</v>
      </c>
      <c r="J410" s="45">
        <v>1</v>
      </c>
      <c r="K410" s="45">
        <v>69950.600000000006</v>
      </c>
      <c r="L410" s="45">
        <v>47</v>
      </c>
      <c r="M410" s="45">
        <v>1</v>
      </c>
      <c r="O410" s="45">
        <v>52130.5</v>
      </c>
      <c r="P410" s="45">
        <v>0</v>
      </c>
      <c r="Q410" s="45">
        <v>0</v>
      </c>
      <c r="R410" s="45">
        <v>52666.1</v>
      </c>
      <c r="S410" s="45">
        <v>5</v>
      </c>
      <c r="T410" s="45">
        <v>1</v>
      </c>
      <c r="U410" s="45">
        <v>50725.5</v>
      </c>
      <c r="V410" s="45">
        <v>3</v>
      </c>
      <c r="W410" s="45">
        <v>0</v>
      </c>
      <c r="X410" s="45">
        <v>50914.2</v>
      </c>
      <c r="Y410" s="45">
        <v>9</v>
      </c>
      <c r="Z410" s="45">
        <v>1</v>
      </c>
      <c r="AB410" s="45">
        <v>47654.9</v>
      </c>
      <c r="AC410" s="45">
        <v>0</v>
      </c>
      <c r="AD410" s="45">
        <v>0</v>
      </c>
      <c r="AE410" s="45">
        <v>52298.6</v>
      </c>
      <c r="AF410" s="45">
        <v>0</v>
      </c>
      <c r="AG410" s="45">
        <v>0</v>
      </c>
      <c r="AH410" s="45">
        <v>53157.2</v>
      </c>
      <c r="AI410" s="45">
        <v>12</v>
      </c>
      <c r="AJ410" s="45">
        <v>1</v>
      </c>
      <c r="AK410" s="45">
        <v>51343.1</v>
      </c>
      <c r="AL410" s="45">
        <v>9</v>
      </c>
      <c r="AM410" s="45">
        <v>1</v>
      </c>
      <c r="AO410" s="45">
        <v>50201.5</v>
      </c>
      <c r="AP410" s="45">
        <v>0</v>
      </c>
      <c r="AQ410" s="45">
        <v>1</v>
      </c>
      <c r="AR410" s="45">
        <v>49352.7</v>
      </c>
      <c r="AS410" s="45">
        <v>0</v>
      </c>
      <c r="AT410" s="45">
        <v>0</v>
      </c>
      <c r="AU410" s="45">
        <v>86578.3</v>
      </c>
      <c r="AV410" s="45">
        <v>74</v>
      </c>
      <c r="AW410" s="45">
        <v>1</v>
      </c>
      <c r="AX410" s="45">
        <v>68733</v>
      </c>
      <c r="AY410" s="45">
        <v>43</v>
      </c>
      <c r="AZ410" s="45">
        <v>1</v>
      </c>
    </row>
    <row r="411" spans="2:52">
      <c r="B411" s="45">
        <v>69824.100000000006</v>
      </c>
      <c r="C411" s="45">
        <v>0</v>
      </c>
      <c r="D411" s="45">
        <v>0</v>
      </c>
      <c r="E411" s="45">
        <v>108919</v>
      </c>
      <c r="F411" s="45">
        <v>65</v>
      </c>
      <c r="G411" s="45">
        <v>1</v>
      </c>
      <c r="H411" s="45">
        <v>98518.5</v>
      </c>
      <c r="I411" s="45">
        <v>47</v>
      </c>
      <c r="J411" s="45">
        <v>1</v>
      </c>
      <c r="K411" s="45">
        <v>76119.399999999994</v>
      </c>
      <c r="L411" s="45">
        <v>0</v>
      </c>
      <c r="M411" s="45">
        <v>0</v>
      </c>
      <c r="O411" s="45">
        <v>78640.899999999994</v>
      </c>
      <c r="P411" s="45">
        <v>0</v>
      </c>
      <c r="Q411" s="45">
        <v>1</v>
      </c>
      <c r="R411" s="45">
        <v>79270</v>
      </c>
      <c r="S411" s="45">
        <v>0</v>
      </c>
      <c r="T411" s="45">
        <v>0</v>
      </c>
      <c r="U411" s="45">
        <v>74546.3</v>
      </c>
      <c r="V411" s="45">
        <v>0</v>
      </c>
      <c r="W411" s="45">
        <v>1</v>
      </c>
      <c r="X411" s="45">
        <v>104576</v>
      </c>
      <c r="Y411" s="45">
        <v>52</v>
      </c>
      <c r="Z411" s="45">
        <v>1</v>
      </c>
      <c r="AB411" s="45">
        <v>76950.7</v>
      </c>
      <c r="AC411" s="45">
        <v>0</v>
      </c>
      <c r="AD411" s="45">
        <v>0</v>
      </c>
      <c r="AE411" s="45">
        <v>104644</v>
      </c>
      <c r="AF411" s="45">
        <v>69</v>
      </c>
      <c r="AG411" s="45">
        <v>0</v>
      </c>
      <c r="AH411" s="45">
        <v>73354.100000000006</v>
      </c>
      <c r="AI411" s="45">
        <v>1</v>
      </c>
      <c r="AJ411" s="45">
        <v>1</v>
      </c>
      <c r="AK411" s="45">
        <v>70609.399999999994</v>
      </c>
      <c r="AL411" s="45">
        <v>0</v>
      </c>
      <c r="AM411" s="45">
        <v>0</v>
      </c>
      <c r="AO411" s="45">
        <v>73815.899999999994</v>
      </c>
      <c r="AP411" s="45">
        <v>0</v>
      </c>
      <c r="AQ411" s="45">
        <v>0</v>
      </c>
      <c r="AR411" s="45">
        <v>72929.899999999994</v>
      </c>
      <c r="AS411" s="45">
        <v>0</v>
      </c>
      <c r="AT411" s="45">
        <v>1</v>
      </c>
      <c r="AU411" s="45">
        <v>72998.8</v>
      </c>
      <c r="AV411" s="45">
        <v>0</v>
      </c>
      <c r="AW411" s="45">
        <v>1</v>
      </c>
      <c r="AX411" s="45">
        <v>81778.8</v>
      </c>
      <c r="AY411" s="45">
        <v>24</v>
      </c>
      <c r="AZ411" s="45">
        <v>1</v>
      </c>
    </row>
    <row r="412" spans="2:52">
      <c r="B412" s="45">
        <v>77879</v>
      </c>
      <c r="C412" s="45">
        <v>51</v>
      </c>
      <c r="D412" s="45">
        <v>1</v>
      </c>
      <c r="E412" s="45">
        <v>55823.1</v>
      </c>
      <c r="F412" s="45">
        <v>0</v>
      </c>
      <c r="G412" s="45">
        <v>0</v>
      </c>
      <c r="H412" s="45">
        <v>52594.7</v>
      </c>
      <c r="I412" s="45">
        <v>0</v>
      </c>
      <c r="J412" s="45">
        <v>0</v>
      </c>
      <c r="K412" s="45">
        <v>72611</v>
      </c>
      <c r="L412" s="45">
        <v>47</v>
      </c>
      <c r="M412" s="45">
        <v>1</v>
      </c>
      <c r="O412" s="45">
        <v>52587.9</v>
      </c>
      <c r="P412" s="45">
        <v>0</v>
      </c>
      <c r="Q412" s="45">
        <v>0</v>
      </c>
      <c r="R412" s="45">
        <v>49650.400000000001</v>
      </c>
      <c r="S412" s="45">
        <v>0</v>
      </c>
      <c r="T412" s="45">
        <v>1</v>
      </c>
      <c r="U412" s="45">
        <v>50946.2</v>
      </c>
      <c r="V412" s="45">
        <v>0</v>
      </c>
      <c r="W412" s="45">
        <v>0</v>
      </c>
      <c r="X412" s="45">
        <v>51822.2</v>
      </c>
      <c r="Y412" s="45">
        <v>0</v>
      </c>
      <c r="Z412" s="45">
        <v>1</v>
      </c>
      <c r="AB412" s="45">
        <v>54321.4</v>
      </c>
      <c r="AC412" s="45">
        <v>1</v>
      </c>
      <c r="AD412" s="45">
        <v>1</v>
      </c>
      <c r="AE412" s="45">
        <v>58466.6</v>
      </c>
      <c r="AF412" s="45">
        <v>0</v>
      </c>
      <c r="AG412" s="45">
        <v>0</v>
      </c>
      <c r="AH412" s="45">
        <v>57655.7</v>
      </c>
      <c r="AI412" s="45">
        <v>0</v>
      </c>
      <c r="AJ412" s="45">
        <v>0</v>
      </c>
      <c r="AK412" s="45">
        <v>57189.7</v>
      </c>
      <c r="AL412" s="45">
        <v>17</v>
      </c>
      <c r="AM412" s="45">
        <v>1</v>
      </c>
      <c r="AO412" s="45">
        <v>59805.9</v>
      </c>
      <c r="AP412" s="45">
        <v>0</v>
      </c>
      <c r="AQ412" s="45">
        <v>0</v>
      </c>
      <c r="AR412" s="45">
        <v>55174.5</v>
      </c>
      <c r="AS412" s="45">
        <v>0</v>
      </c>
      <c r="AT412" s="45">
        <v>0</v>
      </c>
      <c r="AU412" s="45">
        <v>75534.7</v>
      </c>
      <c r="AV412" s="45">
        <v>46</v>
      </c>
      <c r="AW412" s="45">
        <v>1</v>
      </c>
      <c r="AX412" s="45">
        <v>51853.1</v>
      </c>
      <c r="AY412" s="45">
        <v>0</v>
      </c>
      <c r="AZ412" s="45">
        <v>1</v>
      </c>
    </row>
    <row r="413" spans="2:52">
      <c r="B413" s="45">
        <v>67718.100000000006</v>
      </c>
      <c r="C413" s="45">
        <v>28</v>
      </c>
      <c r="D413" s="45">
        <v>1</v>
      </c>
      <c r="E413" s="45">
        <v>58934.400000000001</v>
      </c>
      <c r="F413" s="45">
        <v>28</v>
      </c>
      <c r="G413" s="45">
        <v>0</v>
      </c>
      <c r="H413" s="45">
        <v>56313.3</v>
      </c>
      <c r="I413" s="45">
        <v>1</v>
      </c>
      <c r="J413" s="45">
        <v>0</v>
      </c>
      <c r="K413" s="45">
        <v>58208.1</v>
      </c>
      <c r="L413" s="45">
        <v>19</v>
      </c>
      <c r="M413" s="45">
        <v>1</v>
      </c>
      <c r="O413" s="45">
        <v>50831</v>
      </c>
      <c r="P413" s="45">
        <v>0</v>
      </c>
      <c r="Q413" s="45">
        <v>1</v>
      </c>
      <c r="R413" s="45">
        <v>53427.9</v>
      </c>
      <c r="S413" s="45">
        <v>0</v>
      </c>
      <c r="T413" s="45">
        <v>0</v>
      </c>
      <c r="U413" s="45">
        <v>51138.7</v>
      </c>
      <c r="V413" s="45">
        <v>0</v>
      </c>
      <c r="W413" s="45">
        <v>1</v>
      </c>
      <c r="X413" s="45">
        <v>94211.8</v>
      </c>
      <c r="Y413" s="45">
        <v>83</v>
      </c>
      <c r="Z413" s="45">
        <v>1</v>
      </c>
      <c r="AB413" s="45">
        <v>66701</v>
      </c>
      <c r="AC413" s="45">
        <v>27</v>
      </c>
      <c r="AD413" s="45">
        <v>0</v>
      </c>
      <c r="AE413" s="45">
        <v>55911.8</v>
      </c>
      <c r="AF413" s="45">
        <v>8</v>
      </c>
      <c r="AG413" s="45">
        <v>1</v>
      </c>
      <c r="AH413" s="45">
        <v>69386.7</v>
      </c>
      <c r="AI413" s="45">
        <v>33</v>
      </c>
      <c r="AJ413" s="45">
        <v>0</v>
      </c>
      <c r="AK413" s="45">
        <v>48934.5</v>
      </c>
      <c r="AL413" s="45">
        <v>0</v>
      </c>
      <c r="AM413" s="45">
        <v>1</v>
      </c>
      <c r="AO413" s="45">
        <v>63398.5</v>
      </c>
      <c r="AP413" s="45">
        <v>31</v>
      </c>
      <c r="AQ413" s="45">
        <v>0</v>
      </c>
      <c r="AR413" s="45">
        <v>59579.5</v>
      </c>
      <c r="AS413" s="45">
        <v>17</v>
      </c>
      <c r="AT413" s="45">
        <v>0</v>
      </c>
      <c r="AU413" s="45">
        <v>55872.6</v>
      </c>
      <c r="AV413" s="45">
        <v>0</v>
      </c>
      <c r="AW413" s="45">
        <v>1</v>
      </c>
      <c r="AX413" s="45">
        <v>56511</v>
      </c>
      <c r="AY413" s="45">
        <v>10</v>
      </c>
      <c r="AZ413" s="45">
        <v>0</v>
      </c>
    </row>
    <row r="414" spans="2:52">
      <c r="B414" s="45">
        <v>54568.800000000003</v>
      </c>
      <c r="C414" s="45">
        <v>4</v>
      </c>
      <c r="D414" s="45">
        <v>1</v>
      </c>
      <c r="E414" s="45">
        <v>50493.7</v>
      </c>
      <c r="F414" s="45">
        <v>0</v>
      </c>
      <c r="G414" s="45">
        <v>0</v>
      </c>
      <c r="H414" s="45">
        <v>52149.1</v>
      </c>
      <c r="I414" s="45">
        <v>0</v>
      </c>
      <c r="J414" s="45">
        <v>0</v>
      </c>
      <c r="K414" s="45">
        <v>52808.4</v>
      </c>
      <c r="L414" s="45">
        <v>1</v>
      </c>
      <c r="M414" s="45">
        <v>1</v>
      </c>
      <c r="O414" s="45">
        <v>67215.899999999994</v>
      </c>
      <c r="P414" s="45">
        <v>25</v>
      </c>
      <c r="Q414" s="45">
        <v>0</v>
      </c>
      <c r="R414" s="45">
        <v>93131.7</v>
      </c>
      <c r="S414" s="45">
        <v>72</v>
      </c>
      <c r="T414" s="45">
        <v>1</v>
      </c>
      <c r="U414" s="45">
        <v>65793.8</v>
      </c>
      <c r="V414" s="45">
        <v>27</v>
      </c>
      <c r="W414" s="45">
        <v>1</v>
      </c>
      <c r="X414" s="45">
        <v>54857.9</v>
      </c>
      <c r="Y414" s="45">
        <v>0</v>
      </c>
      <c r="Z414" s="45">
        <v>1</v>
      </c>
      <c r="AB414" s="45">
        <v>53533.1</v>
      </c>
      <c r="AC414" s="45">
        <v>0</v>
      </c>
      <c r="AD414" s="45">
        <v>0</v>
      </c>
      <c r="AE414" s="45">
        <v>78537.399999999994</v>
      </c>
      <c r="AF414" s="45">
        <v>59</v>
      </c>
      <c r="AG414" s="45">
        <v>1</v>
      </c>
      <c r="AH414" s="45">
        <v>56973.8</v>
      </c>
      <c r="AI414" s="45">
        <v>15</v>
      </c>
      <c r="AJ414" s="45">
        <v>0</v>
      </c>
      <c r="AK414" s="45">
        <v>55844</v>
      </c>
      <c r="AL414" s="45">
        <v>13</v>
      </c>
      <c r="AM414" s="45">
        <v>1</v>
      </c>
      <c r="AO414" s="45">
        <v>66249</v>
      </c>
      <c r="AP414" s="45">
        <v>31</v>
      </c>
      <c r="AQ414" s="45">
        <v>1</v>
      </c>
      <c r="AR414" s="45">
        <v>50523</v>
      </c>
      <c r="AS414" s="45">
        <v>0</v>
      </c>
      <c r="AT414" s="45">
        <v>0</v>
      </c>
      <c r="AU414" s="45">
        <v>52116</v>
      </c>
      <c r="AV414" s="45">
        <v>6</v>
      </c>
      <c r="AW414" s="45">
        <v>1</v>
      </c>
      <c r="AX414" s="45">
        <v>56189.2</v>
      </c>
      <c r="AY414" s="45">
        <v>7</v>
      </c>
      <c r="AZ414" s="45">
        <v>0</v>
      </c>
    </row>
    <row r="415" spans="2:52">
      <c r="B415" s="45">
        <v>51725.4</v>
      </c>
      <c r="C415" s="45">
        <v>0</v>
      </c>
      <c r="D415" s="45">
        <v>0</v>
      </c>
      <c r="E415" s="45">
        <v>60035.1</v>
      </c>
      <c r="F415" s="45">
        <v>0</v>
      </c>
      <c r="G415" s="45">
        <v>1</v>
      </c>
      <c r="H415" s="45">
        <v>54958.8</v>
      </c>
      <c r="I415" s="45">
        <v>0</v>
      </c>
      <c r="J415" s="45">
        <v>0</v>
      </c>
      <c r="K415" s="45">
        <v>56789.2</v>
      </c>
      <c r="L415" s="45">
        <v>0</v>
      </c>
      <c r="M415" s="45">
        <v>0</v>
      </c>
      <c r="O415" s="45">
        <v>90747.8</v>
      </c>
      <c r="P415" s="45">
        <v>59</v>
      </c>
      <c r="Q415" s="45">
        <v>0</v>
      </c>
      <c r="R415" s="45">
        <v>59100.4</v>
      </c>
      <c r="S415" s="45">
        <v>0</v>
      </c>
      <c r="T415" s="45">
        <v>1</v>
      </c>
      <c r="U415" s="45">
        <v>58524.7</v>
      </c>
      <c r="V415" s="45">
        <v>0</v>
      </c>
      <c r="W415" s="45">
        <v>0</v>
      </c>
      <c r="X415" s="45">
        <v>65095</v>
      </c>
      <c r="Y415" s="45">
        <v>20</v>
      </c>
      <c r="Z415" s="45">
        <v>1</v>
      </c>
      <c r="AB415" s="45">
        <v>58094.9</v>
      </c>
      <c r="AC415" s="45">
        <v>0</v>
      </c>
      <c r="AD415" s="45">
        <v>0</v>
      </c>
      <c r="AE415" s="45">
        <v>61904.4</v>
      </c>
      <c r="AF415" s="45">
        <v>0</v>
      </c>
      <c r="AG415" s="45">
        <v>0</v>
      </c>
      <c r="AH415" s="45">
        <v>54257.5</v>
      </c>
      <c r="AI415" s="45">
        <v>0</v>
      </c>
      <c r="AJ415" s="45">
        <v>1</v>
      </c>
      <c r="AK415" s="45">
        <v>51185.1</v>
      </c>
      <c r="AL415" s="45">
        <v>0</v>
      </c>
      <c r="AM415" s="45">
        <v>0</v>
      </c>
      <c r="AO415" s="45">
        <v>67320</v>
      </c>
      <c r="AP415" s="45">
        <v>0</v>
      </c>
      <c r="AQ415" s="45">
        <v>1</v>
      </c>
      <c r="AR415" s="45">
        <v>51540.2</v>
      </c>
      <c r="AS415" s="45">
        <v>0</v>
      </c>
      <c r="AT415" s="45">
        <v>0</v>
      </c>
      <c r="AU415" s="45">
        <v>53846.8</v>
      </c>
      <c r="AV415" s="45">
        <v>0</v>
      </c>
      <c r="AW415" s="45">
        <v>0</v>
      </c>
      <c r="AX415" s="45">
        <v>54312.800000000003</v>
      </c>
      <c r="AY415" s="45">
        <v>0</v>
      </c>
      <c r="AZ415" s="45">
        <v>1</v>
      </c>
    </row>
    <row r="416" spans="2:52">
      <c r="B416" s="45">
        <v>85385</v>
      </c>
      <c r="C416" s="45">
        <v>30</v>
      </c>
      <c r="D416" s="45">
        <v>1</v>
      </c>
      <c r="E416" s="45">
        <v>116168</v>
      </c>
      <c r="F416" s="45">
        <v>90</v>
      </c>
      <c r="G416" s="45">
        <v>0</v>
      </c>
      <c r="H416" s="45">
        <v>65574.7</v>
      </c>
      <c r="I416" s="45">
        <v>0</v>
      </c>
      <c r="J416" s="45">
        <v>1</v>
      </c>
      <c r="K416" s="45">
        <v>79268.5</v>
      </c>
      <c r="L416" s="45">
        <v>21</v>
      </c>
      <c r="M416" s="45">
        <v>0</v>
      </c>
      <c r="O416" s="45">
        <v>70514.8</v>
      </c>
      <c r="P416" s="45">
        <v>0</v>
      </c>
      <c r="Q416" s="45">
        <v>1</v>
      </c>
      <c r="R416" s="45">
        <v>67179.5</v>
      </c>
      <c r="S416" s="45">
        <v>0</v>
      </c>
      <c r="T416" s="45">
        <v>0</v>
      </c>
      <c r="U416" s="45">
        <v>71242.899999999994</v>
      </c>
      <c r="V416" s="45">
        <v>7</v>
      </c>
      <c r="W416" s="45">
        <v>1</v>
      </c>
      <c r="X416" s="45">
        <v>71951.899999999994</v>
      </c>
      <c r="Y416" s="45">
        <v>14</v>
      </c>
      <c r="Z416" s="45">
        <v>1</v>
      </c>
      <c r="AB416" s="45">
        <v>83987.5</v>
      </c>
      <c r="AC416" s="45">
        <v>28</v>
      </c>
      <c r="AD416" s="45">
        <v>0</v>
      </c>
      <c r="AE416" s="45">
        <v>82396.600000000006</v>
      </c>
      <c r="AF416" s="45">
        <v>29</v>
      </c>
      <c r="AG416" s="45">
        <v>1</v>
      </c>
      <c r="AH416" s="45">
        <v>95663.4</v>
      </c>
      <c r="AI416" s="45">
        <v>60</v>
      </c>
      <c r="AJ416" s="45">
        <v>1</v>
      </c>
      <c r="AK416" s="45">
        <v>73855.7</v>
      </c>
      <c r="AL416" s="45">
        <v>9</v>
      </c>
      <c r="AM416" s="45">
        <v>0</v>
      </c>
      <c r="AO416" s="45">
        <v>73226.8</v>
      </c>
      <c r="AP416" s="45">
        <v>12</v>
      </c>
      <c r="AQ416" s="45">
        <v>0</v>
      </c>
      <c r="AR416" s="45">
        <v>108745</v>
      </c>
      <c r="AS416" s="45">
        <v>79</v>
      </c>
      <c r="AT416" s="45">
        <v>1</v>
      </c>
      <c r="AU416" s="45">
        <v>64529</v>
      </c>
      <c r="AV416" s="45">
        <v>0</v>
      </c>
      <c r="AW416" s="45">
        <v>0</v>
      </c>
      <c r="AX416" s="45">
        <v>66045.600000000006</v>
      </c>
      <c r="AY416" s="45">
        <v>0</v>
      </c>
      <c r="AZ416" s="45">
        <v>1</v>
      </c>
    </row>
    <row r="417" spans="2:52">
      <c r="B417" s="45">
        <v>62235.7</v>
      </c>
      <c r="C417" s="45">
        <v>0</v>
      </c>
      <c r="D417" s="45">
        <v>0</v>
      </c>
      <c r="E417" s="45">
        <v>63251.199999999997</v>
      </c>
      <c r="F417" s="45">
        <v>0</v>
      </c>
      <c r="G417" s="45">
        <v>1</v>
      </c>
      <c r="H417" s="45">
        <v>66709.2</v>
      </c>
      <c r="I417" s="45">
        <v>0</v>
      </c>
      <c r="J417" s="45">
        <v>0</v>
      </c>
      <c r="K417" s="45">
        <v>73519.5</v>
      </c>
      <c r="L417" s="45">
        <v>14</v>
      </c>
      <c r="M417" s="45">
        <v>0</v>
      </c>
      <c r="O417" s="45">
        <v>69578.5</v>
      </c>
      <c r="P417" s="45">
        <v>0</v>
      </c>
      <c r="Q417" s="45">
        <v>0</v>
      </c>
      <c r="R417" s="45">
        <v>70104.5</v>
      </c>
      <c r="S417" s="45">
        <v>0</v>
      </c>
      <c r="T417" s="45">
        <v>1</v>
      </c>
      <c r="U417" s="45">
        <v>103727</v>
      </c>
      <c r="V417" s="45">
        <v>74</v>
      </c>
      <c r="W417" s="45">
        <v>1</v>
      </c>
      <c r="X417" s="45">
        <v>89205.8</v>
      </c>
      <c r="Y417" s="45">
        <v>49</v>
      </c>
      <c r="Z417" s="45">
        <v>1</v>
      </c>
      <c r="AB417" s="45">
        <v>62036.7</v>
      </c>
      <c r="AC417" s="45">
        <v>0</v>
      </c>
      <c r="AD417" s="45">
        <v>1</v>
      </c>
      <c r="AE417" s="45">
        <v>64727.6</v>
      </c>
      <c r="AF417" s="45">
        <v>0</v>
      </c>
      <c r="AG417" s="45">
        <v>0</v>
      </c>
      <c r="AH417" s="45">
        <v>67969.399999999994</v>
      </c>
      <c r="AI417" s="45">
        <v>0</v>
      </c>
      <c r="AJ417" s="45">
        <v>1</v>
      </c>
      <c r="AK417" s="45">
        <v>61261.9</v>
      </c>
      <c r="AL417" s="45">
        <v>0</v>
      </c>
      <c r="AM417" s="45">
        <v>0</v>
      </c>
      <c r="AO417" s="45">
        <v>66677.8</v>
      </c>
      <c r="AP417" s="45">
        <v>0</v>
      </c>
      <c r="AQ417" s="45">
        <v>0</v>
      </c>
      <c r="AR417" s="45">
        <v>76329.3</v>
      </c>
      <c r="AS417" s="45">
        <v>23</v>
      </c>
      <c r="AT417" s="45">
        <v>1</v>
      </c>
      <c r="AU417" s="45">
        <v>67363.8</v>
      </c>
      <c r="AV417" s="45">
        <v>0</v>
      </c>
      <c r="AW417" s="45">
        <v>0</v>
      </c>
      <c r="AX417" s="45">
        <v>75136.399999999994</v>
      </c>
      <c r="AY417" s="45">
        <v>26</v>
      </c>
      <c r="AZ417" s="45">
        <v>1</v>
      </c>
    </row>
    <row r="418" spans="2:52">
      <c r="B418" s="45">
        <v>55825.9</v>
      </c>
      <c r="C418" s="45">
        <v>0</v>
      </c>
      <c r="D418" s="45">
        <v>1</v>
      </c>
      <c r="E418" s="45">
        <v>56191.199999999997</v>
      </c>
      <c r="F418" s="45">
        <v>0</v>
      </c>
      <c r="G418" s="45">
        <v>0</v>
      </c>
      <c r="H418" s="45">
        <v>52025</v>
      </c>
      <c r="I418" s="45">
        <v>0</v>
      </c>
      <c r="J418" s="45">
        <v>0</v>
      </c>
      <c r="K418" s="45">
        <v>55478.3</v>
      </c>
      <c r="L418" s="45">
        <v>0</v>
      </c>
      <c r="M418" s="45">
        <v>1</v>
      </c>
      <c r="O418" s="45">
        <v>56441.599999999999</v>
      </c>
      <c r="P418" s="45">
        <v>0</v>
      </c>
      <c r="Q418" s="45">
        <v>0</v>
      </c>
      <c r="R418" s="45">
        <v>51752.2</v>
      </c>
      <c r="S418" s="45">
        <v>0</v>
      </c>
      <c r="T418" s="45">
        <v>1</v>
      </c>
      <c r="U418" s="45">
        <v>59855.9</v>
      </c>
      <c r="V418" s="45">
        <v>0</v>
      </c>
      <c r="W418" s="45">
        <v>0</v>
      </c>
      <c r="X418" s="45">
        <v>72876.600000000006</v>
      </c>
      <c r="Y418" s="45">
        <v>32</v>
      </c>
      <c r="Z418" s="45">
        <v>1</v>
      </c>
      <c r="AB418" s="45">
        <v>64574.8</v>
      </c>
      <c r="AC418" s="45">
        <v>24</v>
      </c>
      <c r="AD418" s="45">
        <v>0</v>
      </c>
      <c r="AE418" s="45">
        <v>54932.5</v>
      </c>
      <c r="AF418" s="45">
        <v>0</v>
      </c>
      <c r="AG418" s="45">
        <v>1</v>
      </c>
      <c r="AH418" s="45">
        <v>51714.2</v>
      </c>
      <c r="AI418" s="45">
        <v>0</v>
      </c>
      <c r="AJ418" s="45">
        <v>0</v>
      </c>
      <c r="AK418" s="45">
        <v>52836.9</v>
      </c>
      <c r="AL418" s="45">
        <v>0</v>
      </c>
      <c r="AM418" s="45">
        <v>0</v>
      </c>
      <c r="AO418" s="45">
        <v>50220.3</v>
      </c>
      <c r="AP418" s="45">
        <v>0</v>
      </c>
      <c r="AQ418" s="45">
        <v>0</v>
      </c>
      <c r="AR418" s="45">
        <v>56921.8</v>
      </c>
      <c r="AS418" s="45">
        <v>11</v>
      </c>
      <c r="AT418" s="45">
        <v>1</v>
      </c>
      <c r="AU418" s="45">
        <v>50707.3</v>
      </c>
      <c r="AV418" s="45">
        <v>0</v>
      </c>
      <c r="AW418" s="45">
        <v>0</v>
      </c>
      <c r="AX418" s="45">
        <v>49580.7</v>
      </c>
      <c r="AY418" s="45">
        <v>0</v>
      </c>
      <c r="AZ418" s="45">
        <v>1</v>
      </c>
    </row>
    <row r="419" spans="2:52">
      <c r="B419" s="45">
        <v>49187.7</v>
      </c>
      <c r="C419" s="45">
        <v>0</v>
      </c>
      <c r="D419" s="45">
        <v>0</v>
      </c>
      <c r="E419" s="45">
        <v>54838.400000000001</v>
      </c>
      <c r="F419" s="45">
        <v>8</v>
      </c>
      <c r="G419" s="45">
        <v>1</v>
      </c>
      <c r="H419" s="45">
        <v>53289.599999999999</v>
      </c>
      <c r="I419" s="45">
        <v>0</v>
      </c>
      <c r="J419" s="45">
        <v>0</v>
      </c>
      <c r="K419" s="45">
        <v>50555.8</v>
      </c>
      <c r="L419" s="45">
        <v>0</v>
      </c>
      <c r="M419" s="45">
        <v>0</v>
      </c>
      <c r="O419" s="45">
        <v>52839</v>
      </c>
      <c r="P419" s="45">
        <v>0</v>
      </c>
      <c r="Q419" s="45">
        <v>1</v>
      </c>
      <c r="R419" s="45">
        <v>52365.5</v>
      </c>
      <c r="S419" s="45">
        <v>0</v>
      </c>
      <c r="T419" s="45">
        <v>0</v>
      </c>
      <c r="U419" s="45">
        <v>72826.899999999994</v>
      </c>
      <c r="V419" s="45">
        <v>44</v>
      </c>
      <c r="W419" s="45">
        <v>1</v>
      </c>
      <c r="X419" s="45">
        <v>50488.800000000003</v>
      </c>
      <c r="Y419" s="45">
        <v>0</v>
      </c>
      <c r="Z419" s="45">
        <v>1</v>
      </c>
      <c r="AB419" s="45">
        <v>56869.1</v>
      </c>
      <c r="AC419" s="45">
        <v>0</v>
      </c>
      <c r="AD419" s="45">
        <v>1</v>
      </c>
      <c r="AE419" s="45">
        <v>52160.800000000003</v>
      </c>
      <c r="AF419" s="45">
        <v>0</v>
      </c>
      <c r="AG419" s="45">
        <v>0</v>
      </c>
      <c r="AH419" s="45">
        <v>59439</v>
      </c>
      <c r="AI419" s="45">
        <v>9</v>
      </c>
      <c r="AJ419" s="45">
        <v>0</v>
      </c>
      <c r="AK419" s="45">
        <v>47996.4</v>
      </c>
      <c r="AL419" s="45">
        <v>0</v>
      </c>
      <c r="AM419" s="45">
        <v>1</v>
      </c>
      <c r="AO419" s="45">
        <v>68839.8</v>
      </c>
      <c r="AP419" s="45">
        <v>28</v>
      </c>
      <c r="AQ419" s="45">
        <v>0</v>
      </c>
      <c r="AR419" s="45">
        <v>54465.599999999999</v>
      </c>
      <c r="AS419" s="45">
        <v>0</v>
      </c>
      <c r="AT419" s="45">
        <v>0</v>
      </c>
      <c r="AU419" s="45">
        <v>49245.8</v>
      </c>
      <c r="AV419" s="45">
        <v>0</v>
      </c>
      <c r="AW419" s="45">
        <v>1</v>
      </c>
      <c r="AX419" s="45">
        <v>51391</v>
      </c>
      <c r="AY419" s="45">
        <v>0</v>
      </c>
      <c r="AZ419" s="45">
        <v>0</v>
      </c>
    </row>
    <row r="420" spans="2:52">
      <c r="B420" s="45">
        <v>42947.199999999997</v>
      </c>
      <c r="C420" s="45">
        <v>0</v>
      </c>
      <c r="D420" s="45">
        <v>1</v>
      </c>
      <c r="E420" s="45">
        <v>39223.4</v>
      </c>
      <c r="F420" s="45">
        <v>0</v>
      </c>
      <c r="G420" s="45">
        <v>0</v>
      </c>
      <c r="H420" s="45">
        <v>52511.6</v>
      </c>
      <c r="I420" s="45">
        <v>13</v>
      </c>
      <c r="J420" s="45">
        <v>0</v>
      </c>
      <c r="K420" s="45">
        <v>42017.8</v>
      </c>
      <c r="L420" s="45">
        <v>0</v>
      </c>
      <c r="M420" s="45">
        <v>1</v>
      </c>
      <c r="O420" s="45">
        <v>45520.3</v>
      </c>
      <c r="P420" s="45">
        <v>0</v>
      </c>
      <c r="Q420" s="45">
        <v>0</v>
      </c>
      <c r="R420" s="45">
        <v>44696.6</v>
      </c>
      <c r="S420" s="45">
        <v>0</v>
      </c>
      <c r="T420" s="45">
        <v>1</v>
      </c>
      <c r="U420" s="45">
        <v>44946.5</v>
      </c>
      <c r="V420" s="45">
        <v>0</v>
      </c>
      <c r="W420" s="45">
        <v>0</v>
      </c>
      <c r="X420" s="45">
        <v>64250.400000000001</v>
      </c>
      <c r="Y420" s="45">
        <v>43</v>
      </c>
      <c r="Z420" s="45">
        <v>1</v>
      </c>
      <c r="AB420" s="45">
        <v>88358.3</v>
      </c>
      <c r="AC420" s="45">
        <v>89</v>
      </c>
      <c r="AD420" s="45">
        <v>0</v>
      </c>
      <c r="AE420" s="45">
        <v>50006.3</v>
      </c>
      <c r="AF420" s="45">
        <v>0</v>
      </c>
      <c r="AG420" s="45">
        <v>0</v>
      </c>
      <c r="AH420" s="45">
        <v>43262.8</v>
      </c>
      <c r="AI420" s="45">
        <v>0</v>
      </c>
      <c r="AJ420" s="45">
        <v>1</v>
      </c>
      <c r="AK420" s="45">
        <v>45574</v>
      </c>
      <c r="AL420" s="45">
        <v>0</v>
      </c>
      <c r="AM420" s="45">
        <v>0</v>
      </c>
      <c r="AO420" s="45">
        <v>50889.3</v>
      </c>
      <c r="AP420" s="45">
        <v>17</v>
      </c>
      <c r="AQ420" s="45">
        <v>1</v>
      </c>
      <c r="AR420" s="45">
        <v>47814.400000000001</v>
      </c>
      <c r="AS420" s="45">
        <v>3</v>
      </c>
      <c r="AT420" s="45">
        <v>0</v>
      </c>
      <c r="AU420" s="45">
        <v>41453.699999999997</v>
      </c>
      <c r="AV420" s="45">
        <v>0</v>
      </c>
      <c r="AW420" s="45">
        <v>1</v>
      </c>
      <c r="AX420" s="45">
        <v>42796.9</v>
      </c>
      <c r="AY420" s="45">
        <v>0</v>
      </c>
      <c r="AZ420" s="45">
        <v>0</v>
      </c>
    </row>
    <row r="421" spans="2:52">
      <c r="B421" s="45">
        <v>78484.899999999994</v>
      </c>
      <c r="C421" s="45">
        <v>0</v>
      </c>
      <c r="D421" s="45">
        <v>0</v>
      </c>
      <c r="E421" s="45">
        <v>100027</v>
      </c>
      <c r="F421" s="45">
        <v>57</v>
      </c>
      <c r="G421" s="45">
        <v>1</v>
      </c>
      <c r="H421" s="45">
        <v>73898.8</v>
      </c>
      <c r="I421" s="45">
        <v>0</v>
      </c>
      <c r="J421" s="45">
        <v>0</v>
      </c>
      <c r="K421" s="45">
        <v>88482.9</v>
      </c>
      <c r="L421" s="45">
        <v>24</v>
      </c>
      <c r="M421" s="45">
        <v>0</v>
      </c>
      <c r="O421" s="45">
        <v>98146.9</v>
      </c>
      <c r="P421" s="45">
        <v>39</v>
      </c>
      <c r="Q421" s="45">
        <v>1</v>
      </c>
      <c r="R421" s="45">
        <v>75048.100000000006</v>
      </c>
      <c r="S421" s="45">
        <v>0</v>
      </c>
      <c r="T421" s="45">
        <v>0</v>
      </c>
      <c r="U421" s="45">
        <v>74773.7</v>
      </c>
      <c r="V421" s="45">
        <v>0</v>
      </c>
      <c r="W421" s="45">
        <v>1</v>
      </c>
      <c r="X421" s="45">
        <v>90536.1</v>
      </c>
      <c r="Y421" s="45">
        <v>36</v>
      </c>
      <c r="Z421" s="45">
        <v>1</v>
      </c>
      <c r="AB421" s="45">
        <v>74673.100000000006</v>
      </c>
      <c r="AC421" s="45">
        <v>8</v>
      </c>
      <c r="AD421" s="45">
        <v>1</v>
      </c>
      <c r="AE421" s="45">
        <v>85510</v>
      </c>
      <c r="AF421" s="45">
        <v>18</v>
      </c>
      <c r="AG421" s="45">
        <v>0</v>
      </c>
      <c r="AH421" s="45">
        <v>71826.3</v>
      </c>
      <c r="AI421" s="45">
        <v>0</v>
      </c>
      <c r="AJ421" s="45">
        <v>0</v>
      </c>
      <c r="AK421" s="45">
        <v>67765.5</v>
      </c>
      <c r="AL421" s="45">
        <v>0</v>
      </c>
      <c r="AM421" s="45">
        <v>1</v>
      </c>
      <c r="AO421" s="45">
        <v>79413.399999999994</v>
      </c>
      <c r="AP421" s="45">
        <v>8</v>
      </c>
      <c r="AQ421" s="45">
        <v>1</v>
      </c>
      <c r="AR421" s="45">
        <v>76801.7</v>
      </c>
      <c r="AS421" s="45">
        <v>3</v>
      </c>
      <c r="AT421" s="45">
        <v>1</v>
      </c>
      <c r="AU421" s="45">
        <v>75836.600000000006</v>
      </c>
      <c r="AV421" s="45">
        <v>0</v>
      </c>
      <c r="AW421" s="45">
        <v>0</v>
      </c>
      <c r="AX421" s="45">
        <v>85241.4</v>
      </c>
      <c r="AY421" s="45">
        <v>24</v>
      </c>
      <c r="AZ421" s="45">
        <v>1</v>
      </c>
    </row>
    <row r="422" spans="2:52">
      <c r="B422" s="45">
        <v>52783.1</v>
      </c>
      <c r="C422" s="45">
        <v>4</v>
      </c>
      <c r="D422" s="45">
        <v>1</v>
      </c>
      <c r="E422" s="45">
        <v>56365.7</v>
      </c>
      <c r="F422" s="45">
        <v>0</v>
      </c>
      <c r="G422" s="45">
        <v>0</v>
      </c>
      <c r="H422" s="45">
        <v>56102</v>
      </c>
      <c r="I422" s="45">
        <v>2</v>
      </c>
      <c r="J422" s="45">
        <v>1</v>
      </c>
      <c r="K422" s="45">
        <v>56059.1</v>
      </c>
      <c r="L422" s="45">
        <v>0</v>
      </c>
      <c r="M422" s="45">
        <v>0</v>
      </c>
      <c r="O422" s="45">
        <v>69902.100000000006</v>
      </c>
      <c r="P422" s="45">
        <v>30</v>
      </c>
      <c r="Q422" s="45">
        <v>1</v>
      </c>
      <c r="R422" s="45">
        <v>52390.2</v>
      </c>
      <c r="S422" s="45">
        <v>0</v>
      </c>
      <c r="T422" s="45">
        <v>1</v>
      </c>
      <c r="U422" s="45">
        <v>55394.1</v>
      </c>
      <c r="V422" s="45">
        <v>0</v>
      </c>
      <c r="W422" s="45">
        <v>0</v>
      </c>
      <c r="X422" s="45">
        <v>54469.599999999999</v>
      </c>
      <c r="Y422" s="45">
        <v>0</v>
      </c>
      <c r="Z422" s="45">
        <v>1</v>
      </c>
      <c r="AB422" s="45">
        <v>53974.400000000001</v>
      </c>
      <c r="AC422" s="45">
        <v>0</v>
      </c>
      <c r="AD422" s="45">
        <v>0</v>
      </c>
      <c r="AE422" s="45">
        <v>54518.8</v>
      </c>
      <c r="AF422" s="45">
        <v>0</v>
      </c>
      <c r="AG422" s="45">
        <v>0</v>
      </c>
      <c r="AH422" s="45">
        <v>65066.8</v>
      </c>
      <c r="AI422" s="45">
        <v>23</v>
      </c>
      <c r="AJ422" s="45">
        <v>1</v>
      </c>
      <c r="AK422" s="45">
        <v>54800.1</v>
      </c>
      <c r="AL422" s="45">
        <v>0</v>
      </c>
      <c r="AM422" s="45">
        <v>0</v>
      </c>
      <c r="AO422" s="45">
        <v>52292.3</v>
      </c>
      <c r="AP422" s="45">
        <v>0</v>
      </c>
      <c r="AQ422" s="45">
        <v>0</v>
      </c>
      <c r="AR422" s="45">
        <v>52894.6</v>
      </c>
      <c r="AS422" s="45">
        <v>5</v>
      </c>
      <c r="AT422" s="45">
        <v>1</v>
      </c>
      <c r="AU422" s="45">
        <v>53073.3</v>
      </c>
      <c r="AV422" s="45">
        <v>0</v>
      </c>
      <c r="AW422" s="45">
        <v>0</v>
      </c>
      <c r="AX422" s="45">
        <v>51056.1</v>
      </c>
      <c r="AY422" s="45">
        <v>0</v>
      </c>
      <c r="AZ422" s="45">
        <v>1</v>
      </c>
    </row>
    <row r="423" spans="2:52">
      <c r="B423" s="45">
        <v>85311</v>
      </c>
      <c r="C423" s="45">
        <v>46</v>
      </c>
      <c r="D423" s="45">
        <v>1</v>
      </c>
      <c r="E423" s="45">
        <v>62019.3</v>
      </c>
      <c r="F423" s="45">
        <v>0</v>
      </c>
      <c r="G423" s="45">
        <v>0</v>
      </c>
      <c r="H423" s="45">
        <v>104916</v>
      </c>
      <c r="I423" s="45">
        <v>67</v>
      </c>
      <c r="J423" s="45">
        <v>0</v>
      </c>
      <c r="K423" s="45">
        <v>79276.899999999994</v>
      </c>
      <c r="L423" s="45">
        <v>30</v>
      </c>
      <c r="M423" s="45">
        <v>1</v>
      </c>
      <c r="O423" s="45">
        <v>125672</v>
      </c>
      <c r="P423" s="45">
        <v>114</v>
      </c>
      <c r="Q423" s="45">
        <v>0</v>
      </c>
      <c r="R423" s="45">
        <v>68227.5</v>
      </c>
      <c r="S423" s="45">
        <v>2</v>
      </c>
      <c r="T423" s="45">
        <v>1</v>
      </c>
      <c r="U423" s="45">
        <v>107061</v>
      </c>
      <c r="V423" s="45">
        <v>78</v>
      </c>
      <c r="W423" s="45">
        <v>1</v>
      </c>
      <c r="X423" s="45">
        <v>88042</v>
      </c>
      <c r="Y423" s="45">
        <v>53</v>
      </c>
      <c r="Z423" s="45">
        <v>1</v>
      </c>
      <c r="AB423" s="45">
        <v>93454.7</v>
      </c>
      <c r="AC423" s="45">
        <v>59</v>
      </c>
      <c r="AD423" s="45">
        <v>1</v>
      </c>
      <c r="AE423" s="45">
        <v>101994</v>
      </c>
      <c r="AF423" s="45">
        <v>76</v>
      </c>
      <c r="AG423" s="45">
        <v>0</v>
      </c>
      <c r="AH423" s="45">
        <v>73003.600000000006</v>
      </c>
      <c r="AI423" s="45">
        <v>0</v>
      </c>
      <c r="AJ423" s="45">
        <v>1</v>
      </c>
      <c r="AK423" s="45">
        <v>62043.8</v>
      </c>
      <c r="AL423" s="45">
        <v>0</v>
      </c>
      <c r="AM423" s="45">
        <v>0</v>
      </c>
      <c r="AO423" s="45">
        <v>85899.199999999997</v>
      </c>
      <c r="AP423" s="45">
        <v>40</v>
      </c>
      <c r="AQ423" s="45">
        <v>1</v>
      </c>
      <c r="AR423" s="45">
        <v>99751</v>
      </c>
      <c r="AS423" s="45">
        <v>64</v>
      </c>
      <c r="AT423" s="45">
        <v>0</v>
      </c>
      <c r="AU423" s="45">
        <v>92133.4</v>
      </c>
      <c r="AV423" s="45">
        <v>54</v>
      </c>
      <c r="AW423" s="45">
        <v>1</v>
      </c>
      <c r="AX423" s="45">
        <v>111826</v>
      </c>
      <c r="AY423" s="45">
        <v>108</v>
      </c>
      <c r="AZ423" s="45">
        <v>0</v>
      </c>
    </row>
    <row r="424" spans="2:52">
      <c r="B424" s="45">
        <v>57810.7</v>
      </c>
      <c r="C424" s="45">
        <v>0</v>
      </c>
      <c r="D424" s="45">
        <v>0</v>
      </c>
      <c r="E424" s="45">
        <v>62600.4</v>
      </c>
      <c r="F424" s="45">
        <v>0</v>
      </c>
      <c r="G424" s="45">
        <v>1</v>
      </c>
      <c r="H424" s="45">
        <v>53868.5</v>
      </c>
      <c r="I424" s="45">
        <v>0</v>
      </c>
      <c r="J424" s="45">
        <v>0</v>
      </c>
      <c r="K424" s="45">
        <v>58693.4</v>
      </c>
      <c r="L424" s="45">
        <v>0</v>
      </c>
      <c r="M424" s="45">
        <v>0</v>
      </c>
      <c r="O424" s="45">
        <v>53118.2</v>
      </c>
      <c r="P424" s="45">
        <v>0</v>
      </c>
      <c r="Q424" s="45">
        <v>1</v>
      </c>
      <c r="R424" s="45">
        <v>79791</v>
      </c>
      <c r="S424" s="45">
        <v>24</v>
      </c>
      <c r="T424" s="45">
        <v>1</v>
      </c>
      <c r="U424" s="45">
        <v>65785.2</v>
      </c>
      <c r="V424" s="45">
        <v>0</v>
      </c>
      <c r="W424" s="45">
        <v>0</v>
      </c>
      <c r="X424" s="45">
        <v>52523.6</v>
      </c>
      <c r="Y424" s="45">
        <v>0</v>
      </c>
      <c r="Z424" s="45">
        <v>1</v>
      </c>
      <c r="AB424" s="45">
        <v>59621.4</v>
      </c>
      <c r="AC424" s="45">
        <v>0</v>
      </c>
      <c r="AD424" s="45">
        <v>0</v>
      </c>
      <c r="AE424" s="45">
        <v>60146</v>
      </c>
      <c r="AF424" s="45">
        <v>0</v>
      </c>
      <c r="AG424" s="45">
        <v>1</v>
      </c>
      <c r="AH424" s="45">
        <v>58680.1</v>
      </c>
      <c r="AI424" s="45">
        <v>0</v>
      </c>
      <c r="AJ424" s="45">
        <v>0</v>
      </c>
      <c r="AK424" s="45">
        <v>65970.3</v>
      </c>
      <c r="AL424" s="45">
        <v>0</v>
      </c>
      <c r="AM424" s="45">
        <v>0</v>
      </c>
      <c r="AO424" s="45">
        <v>58235.6</v>
      </c>
      <c r="AP424" s="45">
        <v>0</v>
      </c>
      <c r="AQ424" s="45">
        <v>1</v>
      </c>
      <c r="AR424" s="45">
        <v>57547.4</v>
      </c>
      <c r="AS424" s="45">
        <v>0</v>
      </c>
      <c r="AT424" s="45">
        <v>0</v>
      </c>
      <c r="AU424" s="45">
        <v>59523.3</v>
      </c>
      <c r="AV424" s="45">
        <v>0</v>
      </c>
      <c r="AW424" s="45">
        <v>1</v>
      </c>
      <c r="AX424" s="45">
        <v>55026.9</v>
      </c>
      <c r="AY424" s="45">
        <v>0</v>
      </c>
      <c r="AZ424" s="45">
        <v>0</v>
      </c>
    </row>
    <row r="425" spans="2:52">
      <c r="B425" s="45">
        <v>46220.5</v>
      </c>
      <c r="C425" s="45">
        <v>0</v>
      </c>
      <c r="D425" s="45">
        <v>1</v>
      </c>
      <c r="E425" s="45">
        <v>47181.8</v>
      </c>
      <c r="F425" s="45">
        <v>0</v>
      </c>
      <c r="G425" s="45">
        <v>0</v>
      </c>
      <c r="H425" s="45">
        <v>53262.8</v>
      </c>
      <c r="I425" s="45">
        <v>0</v>
      </c>
      <c r="J425" s="45">
        <v>0</v>
      </c>
      <c r="K425" s="45">
        <v>44216.6</v>
      </c>
      <c r="L425" s="45">
        <v>0</v>
      </c>
      <c r="M425" s="45">
        <v>1</v>
      </c>
      <c r="O425" s="45">
        <v>52559.7</v>
      </c>
      <c r="P425" s="45">
        <v>0</v>
      </c>
      <c r="Q425" s="45">
        <v>1</v>
      </c>
      <c r="R425" s="45">
        <v>50041.2</v>
      </c>
      <c r="S425" s="45">
        <v>0</v>
      </c>
      <c r="T425" s="45">
        <v>0</v>
      </c>
      <c r="U425" s="45">
        <v>49250.2</v>
      </c>
      <c r="V425" s="45">
        <v>0</v>
      </c>
      <c r="W425" s="45">
        <v>1</v>
      </c>
      <c r="X425" s="45">
        <v>61731.3</v>
      </c>
      <c r="Y425" s="45">
        <v>18</v>
      </c>
      <c r="Z425" s="45">
        <v>1</v>
      </c>
      <c r="AB425" s="45">
        <v>58525.1</v>
      </c>
      <c r="AC425" s="45">
        <v>0</v>
      </c>
      <c r="AD425" s="45">
        <v>1</v>
      </c>
      <c r="AE425" s="45">
        <v>49686.1</v>
      </c>
      <c r="AF425" s="45">
        <v>0</v>
      </c>
      <c r="AG425" s="45">
        <v>0</v>
      </c>
      <c r="AH425" s="45">
        <v>50390</v>
      </c>
      <c r="AI425" s="45">
        <v>0</v>
      </c>
      <c r="AJ425" s="45">
        <v>0</v>
      </c>
      <c r="AK425" s="45">
        <v>47416.7</v>
      </c>
      <c r="AL425" s="45">
        <v>9</v>
      </c>
      <c r="AM425" s="45">
        <v>0</v>
      </c>
      <c r="AO425" s="45">
        <v>51240.3</v>
      </c>
      <c r="AP425" s="45">
        <v>0</v>
      </c>
      <c r="AQ425" s="45">
        <v>1</v>
      </c>
      <c r="AR425" s="45">
        <v>55444.4</v>
      </c>
      <c r="AS425" s="45">
        <v>0</v>
      </c>
      <c r="AT425" s="45">
        <v>0</v>
      </c>
      <c r="AU425" s="45">
        <v>59185.4</v>
      </c>
      <c r="AV425" s="45">
        <v>0</v>
      </c>
      <c r="AW425" s="45">
        <v>1</v>
      </c>
      <c r="AX425" s="45">
        <v>48853.9</v>
      </c>
      <c r="AY425" s="45">
        <v>0</v>
      </c>
      <c r="AZ425" s="45">
        <v>0</v>
      </c>
    </row>
    <row r="426" spans="2:52">
      <c r="B426" s="45">
        <v>65519</v>
      </c>
      <c r="C426" s="45">
        <v>0</v>
      </c>
      <c r="D426" s="45">
        <v>0</v>
      </c>
      <c r="E426" s="45">
        <v>64540.4</v>
      </c>
      <c r="F426" s="45">
        <v>0</v>
      </c>
      <c r="G426" s="45">
        <v>0</v>
      </c>
      <c r="H426" s="45">
        <v>68534.7</v>
      </c>
      <c r="I426" s="45">
        <v>3</v>
      </c>
      <c r="J426" s="45">
        <v>1</v>
      </c>
      <c r="K426" s="45">
        <v>61301.4</v>
      </c>
      <c r="L426" s="45">
        <v>0</v>
      </c>
      <c r="M426" s="45">
        <v>0</v>
      </c>
      <c r="O426" s="45">
        <v>66403.899999999994</v>
      </c>
      <c r="P426" s="45">
        <v>0</v>
      </c>
      <c r="Q426" s="45">
        <v>1</v>
      </c>
      <c r="R426" s="45">
        <v>61146.8</v>
      </c>
      <c r="S426" s="45">
        <v>0</v>
      </c>
      <c r="T426" s="45">
        <v>0</v>
      </c>
      <c r="U426" s="45">
        <v>61910.6</v>
      </c>
      <c r="V426" s="45">
        <v>0</v>
      </c>
      <c r="W426" s="45">
        <v>1</v>
      </c>
      <c r="X426" s="45">
        <v>60546.400000000001</v>
      </c>
      <c r="Y426" s="45">
        <v>0</v>
      </c>
      <c r="Z426" s="45">
        <v>0</v>
      </c>
      <c r="AB426" s="45">
        <v>66051.899999999994</v>
      </c>
      <c r="AC426" s="45">
        <v>0</v>
      </c>
      <c r="AD426" s="45">
        <v>1</v>
      </c>
      <c r="AE426" s="45">
        <v>57269.3</v>
      </c>
      <c r="AF426" s="45">
        <v>0</v>
      </c>
      <c r="AG426" s="45">
        <v>0</v>
      </c>
      <c r="AH426" s="45">
        <v>61410.7</v>
      </c>
      <c r="AI426" s="45">
        <v>0</v>
      </c>
      <c r="AJ426" s="45">
        <v>0</v>
      </c>
      <c r="AK426" s="45">
        <v>68954.100000000006</v>
      </c>
      <c r="AL426" s="45">
        <v>0</v>
      </c>
      <c r="AM426" s="45">
        <v>1</v>
      </c>
      <c r="AO426" s="45">
        <v>61186.6</v>
      </c>
      <c r="AP426" s="45">
        <v>0</v>
      </c>
      <c r="AQ426" s="45">
        <v>1</v>
      </c>
      <c r="AR426" s="45">
        <v>59206.400000000001</v>
      </c>
      <c r="AS426" s="45">
        <v>0</v>
      </c>
      <c r="AT426" s="45">
        <v>0</v>
      </c>
      <c r="AU426" s="45">
        <v>64102.5</v>
      </c>
      <c r="AV426" s="45">
        <v>0</v>
      </c>
      <c r="AW426" s="45">
        <v>1</v>
      </c>
      <c r="AX426" s="45">
        <v>64820.7</v>
      </c>
      <c r="AY426" s="45">
        <v>0</v>
      </c>
      <c r="AZ426" s="45">
        <v>0</v>
      </c>
    </row>
    <row r="427" spans="2:52">
      <c r="B427" s="45">
        <v>73547.8</v>
      </c>
      <c r="C427" s="45">
        <v>14</v>
      </c>
      <c r="D427" s="45">
        <v>1</v>
      </c>
      <c r="E427" s="45">
        <v>69862.100000000006</v>
      </c>
      <c r="F427" s="45">
        <v>0</v>
      </c>
      <c r="G427" s="45">
        <v>0</v>
      </c>
      <c r="H427" s="45">
        <v>67905.600000000006</v>
      </c>
      <c r="I427" s="45">
        <v>0</v>
      </c>
      <c r="J427" s="45">
        <v>0</v>
      </c>
      <c r="K427" s="45">
        <v>65261.599999999999</v>
      </c>
      <c r="L427" s="45">
        <v>4</v>
      </c>
      <c r="M427" s="45">
        <v>1</v>
      </c>
      <c r="O427" s="45">
        <v>67713.2</v>
      </c>
      <c r="P427" s="45">
        <v>0</v>
      </c>
      <c r="Q427" s="45">
        <v>1</v>
      </c>
      <c r="R427" s="45">
        <v>86214.3</v>
      </c>
      <c r="S427" s="45">
        <v>33</v>
      </c>
      <c r="T427" s="45">
        <v>1</v>
      </c>
      <c r="U427" s="45">
        <v>74047.8</v>
      </c>
      <c r="V427" s="45">
        <v>0</v>
      </c>
      <c r="W427" s="45">
        <v>0</v>
      </c>
      <c r="X427" s="45">
        <v>66376.800000000003</v>
      </c>
      <c r="Y427" s="45">
        <v>0</v>
      </c>
      <c r="Z427" s="45">
        <v>1</v>
      </c>
      <c r="AB427" s="45">
        <v>63447.1</v>
      </c>
      <c r="AC427" s="45">
        <v>0</v>
      </c>
      <c r="AD427" s="45">
        <v>0</v>
      </c>
      <c r="AE427" s="45">
        <v>87000.3</v>
      </c>
      <c r="AF427" s="45">
        <v>48</v>
      </c>
      <c r="AG427" s="45">
        <v>1</v>
      </c>
      <c r="AH427" s="45">
        <v>68647.899999999994</v>
      </c>
      <c r="AI427" s="45">
        <v>0</v>
      </c>
      <c r="AJ427" s="45">
        <v>0</v>
      </c>
      <c r="AK427" s="45">
        <v>69260.7</v>
      </c>
      <c r="AL427" s="45">
        <v>8</v>
      </c>
      <c r="AM427" s="45">
        <v>0</v>
      </c>
      <c r="AO427" s="45">
        <v>65814.100000000006</v>
      </c>
      <c r="AP427" s="45">
        <v>0</v>
      </c>
      <c r="AQ427" s="45">
        <v>1</v>
      </c>
      <c r="AR427" s="45">
        <v>66591.8</v>
      </c>
      <c r="AS427" s="45">
        <v>0</v>
      </c>
      <c r="AT427" s="45">
        <v>0</v>
      </c>
      <c r="AU427" s="45">
        <v>60970.3</v>
      </c>
      <c r="AV427" s="45">
        <v>0</v>
      </c>
      <c r="AW427" s="45">
        <v>1</v>
      </c>
      <c r="AX427" s="45">
        <v>76778.600000000006</v>
      </c>
      <c r="AY427" s="45">
        <v>14</v>
      </c>
      <c r="AZ427" s="45">
        <v>0</v>
      </c>
    </row>
    <row r="428" spans="2:52">
      <c r="B428" s="45">
        <v>58184.1</v>
      </c>
      <c r="C428" s="45">
        <v>0</v>
      </c>
      <c r="D428" s="45">
        <v>0</v>
      </c>
      <c r="E428" s="45">
        <v>58464.3</v>
      </c>
      <c r="F428" s="45">
        <v>0</v>
      </c>
      <c r="G428" s="45">
        <v>0</v>
      </c>
      <c r="H428" s="45">
        <v>60368.3</v>
      </c>
      <c r="I428" s="45">
        <v>4</v>
      </c>
      <c r="J428" s="45">
        <v>1</v>
      </c>
      <c r="K428" s="45">
        <v>60489</v>
      </c>
      <c r="L428" s="45">
        <v>1</v>
      </c>
      <c r="M428" s="45">
        <v>0</v>
      </c>
      <c r="O428" s="45">
        <v>61102.2</v>
      </c>
      <c r="P428" s="45">
        <v>0</v>
      </c>
      <c r="Q428" s="45">
        <v>0</v>
      </c>
      <c r="R428" s="45">
        <v>59697.3</v>
      </c>
      <c r="S428" s="45">
        <v>0</v>
      </c>
      <c r="T428" s="45">
        <v>1</v>
      </c>
      <c r="U428" s="45">
        <v>56352.3</v>
      </c>
      <c r="V428" s="45">
        <v>0</v>
      </c>
      <c r="W428" s="45">
        <v>0</v>
      </c>
      <c r="X428" s="45">
        <v>58010</v>
      </c>
      <c r="Y428" s="45">
        <v>0</v>
      </c>
      <c r="Z428" s="45">
        <v>1</v>
      </c>
      <c r="AB428" s="45">
        <v>57599.6</v>
      </c>
      <c r="AC428" s="45">
        <v>0</v>
      </c>
      <c r="AD428" s="45">
        <v>1</v>
      </c>
      <c r="AE428" s="45">
        <v>59204</v>
      </c>
      <c r="AF428" s="45">
        <v>0</v>
      </c>
      <c r="AG428" s="45">
        <v>0</v>
      </c>
      <c r="AH428" s="45">
        <v>55961</v>
      </c>
      <c r="AI428" s="45">
        <v>0</v>
      </c>
      <c r="AJ428" s="45">
        <v>0</v>
      </c>
      <c r="AK428" s="45">
        <v>53684.9</v>
      </c>
      <c r="AL428" s="45">
        <v>0</v>
      </c>
      <c r="AM428" s="45">
        <v>1</v>
      </c>
      <c r="AO428" s="45">
        <v>57528.800000000003</v>
      </c>
      <c r="AP428" s="45">
        <v>0</v>
      </c>
      <c r="AQ428" s="45">
        <v>1</v>
      </c>
      <c r="AR428" s="45">
        <v>59855.3</v>
      </c>
      <c r="AS428" s="45">
        <v>0</v>
      </c>
      <c r="AT428" s="45">
        <v>0</v>
      </c>
      <c r="AU428" s="45">
        <v>57581.4</v>
      </c>
      <c r="AV428" s="45">
        <v>0</v>
      </c>
      <c r="AW428" s="45">
        <v>1</v>
      </c>
      <c r="AX428" s="45">
        <v>53597.9</v>
      </c>
      <c r="AY428" s="45">
        <v>0</v>
      </c>
      <c r="AZ428" s="45">
        <v>0</v>
      </c>
    </row>
    <row r="429" spans="2:52">
      <c r="B429" s="45">
        <v>89856</v>
      </c>
      <c r="C429" s="45">
        <v>76</v>
      </c>
      <c r="D429" s="45">
        <v>1</v>
      </c>
      <c r="E429" s="45">
        <v>56130.9</v>
      </c>
      <c r="F429" s="45">
        <v>0</v>
      </c>
      <c r="G429" s="45">
        <v>0</v>
      </c>
      <c r="H429" s="45">
        <v>53624.3</v>
      </c>
      <c r="I429" s="45">
        <v>0</v>
      </c>
      <c r="J429" s="45">
        <v>1</v>
      </c>
      <c r="K429" s="45">
        <v>51963</v>
      </c>
      <c r="L429" s="45">
        <v>0</v>
      </c>
      <c r="M429" s="45">
        <v>0</v>
      </c>
      <c r="O429" s="45">
        <v>51122.400000000001</v>
      </c>
      <c r="P429" s="45">
        <v>0</v>
      </c>
      <c r="Q429" s="45">
        <v>0</v>
      </c>
      <c r="R429" s="45">
        <v>58328.7</v>
      </c>
      <c r="S429" s="45">
        <v>0</v>
      </c>
      <c r="T429" s="45">
        <v>1</v>
      </c>
      <c r="U429" s="45">
        <v>76206.3</v>
      </c>
      <c r="V429" s="45">
        <v>51</v>
      </c>
      <c r="W429" s="45">
        <v>1</v>
      </c>
      <c r="X429" s="45">
        <v>48642.7</v>
      </c>
      <c r="Y429" s="45">
        <v>0</v>
      </c>
      <c r="Z429" s="45">
        <v>0</v>
      </c>
      <c r="AB429" s="45">
        <v>54748.7</v>
      </c>
      <c r="AC429" s="45">
        <v>0</v>
      </c>
      <c r="AD429" s="45">
        <v>0</v>
      </c>
      <c r="AE429" s="45">
        <v>51721.599999999999</v>
      </c>
      <c r="AF429" s="45">
        <v>0</v>
      </c>
      <c r="AG429" s="45">
        <v>1</v>
      </c>
      <c r="AH429" s="45">
        <v>55388.4</v>
      </c>
      <c r="AI429" s="45">
        <v>0</v>
      </c>
      <c r="AJ429" s="45">
        <v>0</v>
      </c>
      <c r="AK429" s="45">
        <v>52434.3</v>
      </c>
      <c r="AL429" s="45">
        <v>0</v>
      </c>
      <c r="AM429" s="45">
        <v>0</v>
      </c>
      <c r="AO429" s="45">
        <v>54772.2</v>
      </c>
      <c r="AP429" s="45">
        <v>0</v>
      </c>
      <c r="AQ429" s="45">
        <v>1</v>
      </c>
      <c r="AR429" s="45">
        <v>56251.8</v>
      </c>
      <c r="AS429" s="45">
        <v>0</v>
      </c>
      <c r="AT429" s="45">
        <v>1</v>
      </c>
      <c r="AU429" s="45">
        <v>54117.599999999999</v>
      </c>
      <c r="AV429" s="45">
        <v>0</v>
      </c>
      <c r="AW429" s="45">
        <v>0</v>
      </c>
      <c r="AX429" s="45">
        <v>50606.6</v>
      </c>
      <c r="AY429" s="45">
        <v>0</v>
      </c>
      <c r="AZ429" s="45">
        <v>1</v>
      </c>
    </row>
    <row r="430" spans="2:52">
      <c r="B430" s="45">
        <v>93966.2</v>
      </c>
      <c r="C430" s="45">
        <v>49</v>
      </c>
      <c r="D430" s="45">
        <v>0</v>
      </c>
      <c r="E430" s="45">
        <v>72626</v>
      </c>
      <c r="F430" s="45">
        <v>0</v>
      </c>
      <c r="G430" s="45">
        <v>1</v>
      </c>
      <c r="H430" s="45">
        <v>68727.7</v>
      </c>
      <c r="I430" s="45">
        <v>0</v>
      </c>
      <c r="J430" s="45">
        <v>0</v>
      </c>
      <c r="K430" s="45">
        <v>68213</v>
      </c>
      <c r="L430" s="45">
        <v>0</v>
      </c>
      <c r="M430" s="45">
        <v>0</v>
      </c>
      <c r="O430" s="45">
        <v>74427.399999999994</v>
      </c>
      <c r="P430" s="45">
        <v>0</v>
      </c>
      <c r="Q430" s="45">
        <v>1</v>
      </c>
      <c r="R430" s="45">
        <v>69403.3</v>
      </c>
      <c r="S430" s="45">
        <v>0</v>
      </c>
      <c r="T430" s="45">
        <v>1</v>
      </c>
      <c r="U430" s="45">
        <v>66686.5</v>
      </c>
      <c r="V430" s="45">
        <v>0</v>
      </c>
      <c r="W430" s="45">
        <v>0</v>
      </c>
      <c r="X430" s="45">
        <v>69290.600000000006</v>
      </c>
      <c r="Y430" s="45">
        <v>0</v>
      </c>
      <c r="Z430" s="45">
        <v>1</v>
      </c>
      <c r="AB430" s="45">
        <v>68686.5</v>
      </c>
      <c r="AC430" s="45">
        <v>0</v>
      </c>
      <c r="AD430" s="45">
        <v>0</v>
      </c>
      <c r="AE430" s="45">
        <v>74222.5</v>
      </c>
      <c r="AF430" s="45">
        <v>0</v>
      </c>
      <c r="AG430" s="45">
        <v>1</v>
      </c>
      <c r="AH430" s="45">
        <v>67372.5</v>
      </c>
      <c r="AI430" s="45">
        <v>0</v>
      </c>
      <c r="AJ430" s="45">
        <v>0</v>
      </c>
      <c r="AK430" s="45">
        <v>66452</v>
      </c>
      <c r="AL430" s="45">
        <v>0</v>
      </c>
      <c r="AM430" s="45">
        <v>0</v>
      </c>
      <c r="AO430" s="45">
        <v>73112.7</v>
      </c>
      <c r="AP430" s="45">
        <v>0</v>
      </c>
      <c r="AQ430" s="45">
        <v>0</v>
      </c>
      <c r="AR430" s="45">
        <v>70194.8</v>
      </c>
      <c r="AS430" s="45">
        <v>0</v>
      </c>
      <c r="AT430" s="45">
        <v>0</v>
      </c>
      <c r="AU430" s="45">
        <v>68888.100000000006</v>
      </c>
      <c r="AV430" s="45">
        <v>0</v>
      </c>
      <c r="AW430" s="45">
        <v>1</v>
      </c>
      <c r="AX430" s="45">
        <v>66712.800000000003</v>
      </c>
      <c r="AY430" s="45">
        <v>0</v>
      </c>
      <c r="AZ430" s="45">
        <v>0</v>
      </c>
    </row>
    <row r="431" spans="2:52">
      <c r="B431" s="45">
        <v>51851</v>
      </c>
      <c r="C431" s="45">
        <v>0</v>
      </c>
      <c r="D431" s="45">
        <v>1</v>
      </c>
      <c r="E431" s="45">
        <v>54519.4</v>
      </c>
      <c r="F431" s="45">
        <v>0</v>
      </c>
      <c r="G431" s="45">
        <v>0</v>
      </c>
      <c r="H431" s="45">
        <v>51673</v>
      </c>
      <c r="I431" s="45">
        <v>0</v>
      </c>
      <c r="J431" s="45">
        <v>0</v>
      </c>
      <c r="K431" s="45">
        <v>50114.8</v>
      </c>
      <c r="L431" s="45">
        <v>0</v>
      </c>
      <c r="M431" s="45">
        <v>1</v>
      </c>
      <c r="O431" s="45">
        <v>52146.1</v>
      </c>
      <c r="P431" s="45">
        <v>0</v>
      </c>
      <c r="Q431" s="45">
        <v>0</v>
      </c>
      <c r="R431" s="45">
        <v>54538.5</v>
      </c>
      <c r="S431" s="45">
        <v>0</v>
      </c>
      <c r="T431" s="45">
        <v>1</v>
      </c>
      <c r="U431" s="45">
        <v>49319.8</v>
      </c>
      <c r="V431" s="45">
        <v>0</v>
      </c>
      <c r="W431" s="45">
        <v>1</v>
      </c>
      <c r="X431" s="45">
        <v>49938.2</v>
      </c>
      <c r="Y431" s="45">
        <v>0</v>
      </c>
      <c r="Z431" s="45">
        <v>0</v>
      </c>
      <c r="AB431" s="45">
        <v>53587.5</v>
      </c>
      <c r="AC431" s="45">
        <v>0</v>
      </c>
      <c r="AD431" s="45">
        <v>1</v>
      </c>
      <c r="AE431" s="45">
        <v>53329.599999999999</v>
      </c>
      <c r="AF431" s="45">
        <v>0</v>
      </c>
      <c r="AG431" s="45">
        <v>0</v>
      </c>
      <c r="AH431" s="45">
        <v>51375</v>
      </c>
      <c r="AI431" s="45">
        <v>0</v>
      </c>
      <c r="AJ431" s="45">
        <v>0</v>
      </c>
      <c r="AK431" s="45">
        <v>48533.3</v>
      </c>
      <c r="AL431" s="45">
        <v>0</v>
      </c>
      <c r="AM431" s="45">
        <v>1</v>
      </c>
      <c r="AO431" s="45">
        <v>50585.1</v>
      </c>
      <c r="AP431" s="45">
        <v>0</v>
      </c>
      <c r="AQ431" s="45">
        <v>1</v>
      </c>
      <c r="AR431" s="45">
        <v>52150.9</v>
      </c>
      <c r="AS431" s="45">
        <v>0</v>
      </c>
      <c r="AT431" s="45">
        <v>0</v>
      </c>
      <c r="AU431" s="45">
        <v>49552.800000000003</v>
      </c>
      <c r="AV431" s="45">
        <v>0</v>
      </c>
      <c r="AW431" s="45">
        <v>0</v>
      </c>
      <c r="AX431" s="45">
        <v>49996.1</v>
      </c>
      <c r="AY431" s="45">
        <v>0</v>
      </c>
      <c r="AZ431" s="45">
        <v>1</v>
      </c>
    </row>
    <row r="432" spans="2:52">
      <c r="B432" s="45">
        <v>88110</v>
      </c>
      <c r="C432" s="45">
        <v>38</v>
      </c>
      <c r="D432" s="45">
        <v>0</v>
      </c>
      <c r="E432" s="45">
        <v>65249</v>
      </c>
      <c r="F432" s="45">
        <v>5</v>
      </c>
      <c r="G432" s="45">
        <v>0</v>
      </c>
      <c r="H432" s="45">
        <v>64094.400000000001</v>
      </c>
      <c r="I432" s="45">
        <v>0</v>
      </c>
      <c r="J432" s="45">
        <v>1</v>
      </c>
      <c r="K432" s="45">
        <v>103510</v>
      </c>
      <c r="L432" s="45">
        <v>86</v>
      </c>
      <c r="M432" s="45">
        <v>0</v>
      </c>
      <c r="O432" s="45">
        <v>63303.9</v>
      </c>
      <c r="P432" s="45">
        <v>0</v>
      </c>
      <c r="Q432" s="45">
        <v>1</v>
      </c>
      <c r="R432" s="45">
        <v>61005.599999999999</v>
      </c>
      <c r="S432" s="45">
        <v>0</v>
      </c>
      <c r="T432" s="45">
        <v>0</v>
      </c>
      <c r="U432" s="45">
        <v>87204.3</v>
      </c>
      <c r="V432" s="45">
        <v>47</v>
      </c>
      <c r="W432" s="45">
        <v>1</v>
      </c>
      <c r="X432" s="45">
        <v>64547.3</v>
      </c>
      <c r="Y432" s="45">
        <v>0</v>
      </c>
      <c r="Z432" s="45">
        <v>1</v>
      </c>
      <c r="AB432" s="45">
        <v>79444</v>
      </c>
      <c r="AC432" s="45">
        <v>42</v>
      </c>
      <c r="AD432" s="45">
        <v>0</v>
      </c>
      <c r="AE432" s="45">
        <v>80603.899999999994</v>
      </c>
      <c r="AF432" s="45">
        <v>33</v>
      </c>
      <c r="AG432" s="45">
        <v>1</v>
      </c>
      <c r="AH432" s="45">
        <v>72961.399999999994</v>
      </c>
      <c r="AI432" s="45">
        <v>20</v>
      </c>
      <c r="AJ432" s="45">
        <v>0</v>
      </c>
      <c r="AK432" s="45">
        <v>83180.899999999994</v>
      </c>
      <c r="AL432" s="45">
        <v>49</v>
      </c>
      <c r="AM432" s="45">
        <v>1</v>
      </c>
      <c r="AO432" s="45">
        <v>77336.899999999994</v>
      </c>
      <c r="AP432" s="45">
        <v>17</v>
      </c>
      <c r="AQ432" s="45">
        <v>0</v>
      </c>
      <c r="AR432" s="45">
        <v>117987</v>
      </c>
      <c r="AS432" s="45">
        <v>106</v>
      </c>
      <c r="AT432" s="45">
        <v>1</v>
      </c>
      <c r="AU432" s="45">
        <v>77933.7</v>
      </c>
      <c r="AV432" s="45">
        <v>37</v>
      </c>
      <c r="AW432" s="45">
        <v>0</v>
      </c>
      <c r="AX432" s="45">
        <v>68582.899999999994</v>
      </c>
      <c r="AY432" s="45">
        <v>23</v>
      </c>
      <c r="AZ432" s="45">
        <v>1</v>
      </c>
    </row>
    <row r="433" spans="2:52">
      <c r="B433" s="45">
        <v>56939.5</v>
      </c>
      <c r="C433" s="45">
        <v>0</v>
      </c>
      <c r="D433" s="45">
        <v>1</v>
      </c>
      <c r="E433" s="45">
        <v>60710</v>
      </c>
      <c r="F433" s="45">
        <v>7</v>
      </c>
      <c r="G433" s="45">
        <v>0</v>
      </c>
      <c r="H433" s="45">
        <v>69725</v>
      </c>
      <c r="I433" s="45">
        <v>12</v>
      </c>
      <c r="J433" s="45">
        <v>0</v>
      </c>
      <c r="K433" s="45">
        <v>56445.9</v>
      </c>
      <c r="L433" s="45">
        <v>0</v>
      </c>
      <c r="M433" s="45">
        <v>1</v>
      </c>
      <c r="O433" s="45">
        <v>59174.5</v>
      </c>
      <c r="P433" s="45">
        <v>0</v>
      </c>
      <c r="Q433" s="45">
        <v>0</v>
      </c>
      <c r="R433" s="45">
        <v>63015.3</v>
      </c>
      <c r="S433" s="45">
        <v>0</v>
      </c>
      <c r="T433" s="45">
        <v>1</v>
      </c>
      <c r="U433" s="45">
        <v>61117.5</v>
      </c>
      <c r="V433" s="45">
        <v>5</v>
      </c>
      <c r="W433" s="45">
        <v>0</v>
      </c>
      <c r="X433" s="45">
        <v>61084.800000000003</v>
      </c>
      <c r="Y433" s="45">
        <v>6</v>
      </c>
      <c r="Z433" s="45">
        <v>1</v>
      </c>
      <c r="AB433" s="45">
        <v>58547.4</v>
      </c>
      <c r="AC433" s="45">
        <v>0</v>
      </c>
      <c r="AD433" s="45">
        <v>0</v>
      </c>
      <c r="AE433" s="45">
        <v>68032.100000000006</v>
      </c>
      <c r="AF433" s="45">
        <v>10</v>
      </c>
      <c r="AG433" s="45">
        <v>0</v>
      </c>
      <c r="AH433" s="45">
        <v>56812.9</v>
      </c>
      <c r="AI433" s="45">
        <v>0</v>
      </c>
      <c r="AJ433" s="45">
        <v>1</v>
      </c>
      <c r="AK433" s="45">
        <v>64146.2</v>
      </c>
      <c r="AL433" s="45">
        <v>16</v>
      </c>
      <c r="AM433" s="45">
        <v>0</v>
      </c>
      <c r="AO433" s="45">
        <v>64509.4</v>
      </c>
      <c r="AP433" s="45">
        <v>8</v>
      </c>
      <c r="AQ433" s="45">
        <v>1</v>
      </c>
      <c r="AR433" s="45">
        <v>60742.3</v>
      </c>
      <c r="AS433" s="45">
        <v>6</v>
      </c>
      <c r="AT433" s="45">
        <v>0</v>
      </c>
      <c r="AU433" s="45">
        <v>58973.9</v>
      </c>
      <c r="AV433" s="45">
        <v>0</v>
      </c>
      <c r="AW433" s="45">
        <v>1</v>
      </c>
      <c r="AX433" s="45">
        <v>61821.2</v>
      </c>
      <c r="AY433" s="45">
        <v>0</v>
      </c>
      <c r="AZ433" s="45">
        <v>0</v>
      </c>
    </row>
    <row r="434" spans="2:52">
      <c r="B434" s="45">
        <v>60799.5</v>
      </c>
      <c r="C434" s="45">
        <v>0</v>
      </c>
      <c r="D434" s="45">
        <v>0</v>
      </c>
      <c r="E434" s="45">
        <v>55271.5</v>
      </c>
      <c r="F434" s="45">
        <v>0</v>
      </c>
      <c r="G434" s="45">
        <v>0</v>
      </c>
      <c r="H434" s="45">
        <v>57209.7</v>
      </c>
      <c r="I434" s="45">
        <v>0</v>
      </c>
      <c r="J434" s="45">
        <v>1</v>
      </c>
      <c r="K434" s="45">
        <v>56349.7</v>
      </c>
      <c r="L434" s="45">
        <v>0</v>
      </c>
      <c r="M434" s="45">
        <v>0</v>
      </c>
      <c r="O434" s="45">
        <v>56702</v>
      </c>
      <c r="P434" s="45">
        <v>0</v>
      </c>
      <c r="Q434" s="45">
        <v>1</v>
      </c>
      <c r="R434" s="45">
        <v>55733.599999999999</v>
      </c>
      <c r="S434" s="45">
        <v>0</v>
      </c>
      <c r="T434" s="45">
        <v>0</v>
      </c>
      <c r="U434" s="45">
        <v>56914.400000000001</v>
      </c>
      <c r="V434" s="45">
        <v>0</v>
      </c>
      <c r="W434" s="45">
        <v>1</v>
      </c>
      <c r="X434" s="45">
        <v>58776.5</v>
      </c>
      <c r="Y434" s="45">
        <v>0</v>
      </c>
      <c r="Z434" s="45">
        <v>1</v>
      </c>
      <c r="AB434" s="45">
        <v>54679.3</v>
      </c>
      <c r="AC434" s="45">
        <v>0</v>
      </c>
      <c r="AD434" s="45">
        <v>1</v>
      </c>
      <c r="AE434" s="45">
        <v>61096.1</v>
      </c>
      <c r="AF434" s="45">
        <v>0</v>
      </c>
      <c r="AG434" s="45">
        <v>0</v>
      </c>
      <c r="AH434" s="45">
        <v>53000</v>
      </c>
      <c r="AI434" s="45">
        <v>0</v>
      </c>
      <c r="AJ434" s="45">
        <v>0</v>
      </c>
      <c r="AK434" s="45">
        <v>52741.8</v>
      </c>
      <c r="AL434" s="45">
        <v>0</v>
      </c>
      <c r="AM434" s="45">
        <v>1</v>
      </c>
      <c r="AO434" s="45">
        <v>61329.599999999999</v>
      </c>
      <c r="AP434" s="45">
        <v>0</v>
      </c>
      <c r="AQ434" s="45">
        <v>0</v>
      </c>
      <c r="AR434" s="45">
        <v>56470.2</v>
      </c>
      <c r="AS434" s="45">
        <v>0</v>
      </c>
      <c r="AT434" s="45">
        <v>1</v>
      </c>
      <c r="AU434" s="45">
        <v>54415.3</v>
      </c>
      <c r="AV434" s="45">
        <v>0</v>
      </c>
      <c r="AW434" s="45">
        <v>0</v>
      </c>
      <c r="AX434" s="45">
        <v>56459.8</v>
      </c>
      <c r="AY434" s="45">
        <v>0</v>
      </c>
      <c r="AZ434" s="45">
        <v>1</v>
      </c>
    </row>
    <row r="435" spans="2:52">
      <c r="B435" s="45">
        <v>58304</v>
      </c>
      <c r="C435" s="45">
        <v>0</v>
      </c>
      <c r="D435" s="45">
        <v>0</v>
      </c>
      <c r="E435" s="45">
        <v>65704.399999999994</v>
      </c>
      <c r="F435" s="45">
        <v>0</v>
      </c>
      <c r="G435" s="45">
        <v>1</v>
      </c>
      <c r="H435" s="45">
        <v>56876.1</v>
      </c>
      <c r="I435" s="45">
        <v>0</v>
      </c>
      <c r="J435" s="45">
        <v>0</v>
      </c>
      <c r="K435" s="45">
        <v>57656.9</v>
      </c>
      <c r="L435" s="45">
        <v>0</v>
      </c>
      <c r="M435" s="45">
        <v>1</v>
      </c>
      <c r="O435" s="45">
        <v>69101</v>
      </c>
      <c r="P435" s="45">
        <v>0</v>
      </c>
      <c r="Q435" s="45">
        <v>0</v>
      </c>
      <c r="R435" s="45">
        <v>63219.6</v>
      </c>
      <c r="S435" s="45">
        <v>0</v>
      </c>
      <c r="T435" s="45">
        <v>1</v>
      </c>
      <c r="U435" s="45">
        <v>61200.1</v>
      </c>
      <c r="V435" s="45">
        <v>0</v>
      </c>
      <c r="W435" s="45">
        <v>0</v>
      </c>
      <c r="X435" s="45">
        <v>58799.8</v>
      </c>
      <c r="Y435" s="45">
        <v>0</v>
      </c>
      <c r="Z435" s="45">
        <v>1</v>
      </c>
      <c r="AB435" s="45">
        <v>60482.2</v>
      </c>
      <c r="AC435" s="45">
        <v>0</v>
      </c>
      <c r="AD435" s="45">
        <v>0</v>
      </c>
      <c r="AE435" s="45">
        <v>58435.5</v>
      </c>
      <c r="AF435" s="45">
        <v>0</v>
      </c>
      <c r="AG435" s="45">
        <v>0</v>
      </c>
      <c r="AH435" s="45">
        <v>57997.3</v>
      </c>
      <c r="AI435" s="45">
        <v>0</v>
      </c>
      <c r="AJ435" s="45">
        <v>1</v>
      </c>
      <c r="AK435" s="45">
        <v>55241.8</v>
      </c>
      <c r="AL435" s="45">
        <v>0</v>
      </c>
      <c r="AM435" s="45">
        <v>0</v>
      </c>
      <c r="AO435" s="45">
        <v>60038.1</v>
      </c>
      <c r="AP435" s="45">
        <v>0</v>
      </c>
      <c r="AQ435" s="45">
        <v>0</v>
      </c>
      <c r="AR435" s="45">
        <v>57432.6</v>
      </c>
      <c r="AS435" s="45">
        <v>0</v>
      </c>
      <c r="AT435" s="45">
        <v>1</v>
      </c>
      <c r="AU435" s="45">
        <v>59160.2</v>
      </c>
      <c r="AV435" s="45">
        <v>0</v>
      </c>
      <c r="AW435" s="45">
        <v>0</v>
      </c>
      <c r="AX435" s="45">
        <v>64022.9</v>
      </c>
      <c r="AY435" s="45">
        <v>0</v>
      </c>
      <c r="AZ435" s="45">
        <v>1</v>
      </c>
    </row>
    <row r="436" spans="2:52">
      <c r="B436" s="45">
        <v>59216.3</v>
      </c>
      <c r="C436" s="45">
        <v>0</v>
      </c>
      <c r="D436" s="45">
        <v>0</v>
      </c>
      <c r="E436" s="45">
        <v>65164.3</v>
      </c>
      <c r="F436" s="45">
        <v>19</v>
      </c>
      <c r="G436" s="45">
        <v>1</v>
      </c>
      <c r="H436" s="45">
        <v>57140</v>
      </c>
      <c r="I436" s="45">
        <v>0</v>
      </c>
      <c r="J436" s="45">
        <v>0</v>
      </c>
      <c r="K436" s="45">
        <v>58460.7</v>
      </c>
      <c r="L436" s="45">
        <v>0</v>
      </c>
      <c r="M436" s="45">
        <v>0</v>
      </c>
      <c r="O436" s="45">
        <v>57602.3</v>
      </c>
      <c r="P436" s="45">
        <v>0</v>
      </c>
      <c r="Q436" s="45">
        <v>1</v>
      </c>
      <c r="R436" s="45">
        <v>58003.7</v>
      </c>
      <c r="S436" s="45">
        <v>0</v>
      </c>
      <c r="T436" s="45">
        <v>0</v>
      </c>
      <c r="U436" s="45">
        <v>61280.5</v>
      </c>
      <c r="V436" s="45">
        <v>0</v>
      </c>
      <c r="W436" s="45">
        <v>1</v>
      </c>
      <c r="X436" s="45">
        <v>54604.800000000003</v>
      </c>
      <c r="Y436" s="45">
        <v>0</v>
      </c>
      <c r="Z436" s="45">
        <v>0</v>
      </c>
      <c r="AB436" s="45">
        <v>52837.2</v>
      </c>
      <c r="AC436" s="45">
        <v>0</v>
      </c>
      <c r="AD436" s="45">
        <v>1</v>
      </c>
      <c r="AE436" s="45">
        <v>54045.2</v>
      </c>
      <c r="AF436" s="45">
        <v>0</v>
      </c>
      <c r="AG436" s="45">
        <v>0</v>
      </c>
      <c r="AH436" s="45">
        <v>57926.7</v>
      </c>
      <c r="AI436" s="45">
        <v>0</v>
      </c>
      <c r="AJ436" s="45">
        <v>0</v>
      </c>
      <c r="AK436" s="45">
        <v>54743.4</v>
      </c>
      <c r="AL436" s="45">
        <v>0</v>
      </c>
      <c r="AM436" s="45">
        <v>1</v>
      </c>
      <c r="AO436" s="45">
        <v>56309.4</v>
      </c>
      <c r="AP436" s="45">
        <v>0</v>
      </c>
      <c r="AQ436" s="45">
        <v>0</v>
      </c>
      <c r="AR436" s="45">
        <v>54293.4</v>
      </c>
      <c r="AS436" s="45">
        <v>0</v>
      </c>
      <c r="AT436" s="45">
        <v>1</v>
      </c>
      <c r="AU436" s="45">
        <v>56583.6</v>
      </c>
      <c r="AV436" s="45">
        <v>0</v>
      </c>
      <c r="AW436" s="45">
        <v>0</v>
      </c>
      <c r="AX436" s="45">
        <v>54179.199999999997</v>
      </c>
      <c r="AY436" s="45">
        <v>0</v>
      </c>
      <c r="AZ436" s="45">
        <v>0</v>
      </c>
    </row>
    <row r="437" spans="2:52">
      <c r="B437" s="45">
        <v>60191.1</v>
      </c>
      <c r="C437" s="45">
        <v>0</v>
      </c>
      <c r="D437" s="45">
        <v>1</v>
      </c>
      <c r="E437" s="45">
        <v>58301.599999999999</v>
      </c>
      <c r="F437" s="45">
        <v>0</v>
      </c>
      <c r="G437" s="45">
        <v>0</v>
      </c>
      <c r="H437" s="45">
        <v>56977</v>
      </c>
      <c r="I437" s="45">
        <v>0</v>
      </c>
      <c r="J437" s="45">
        <v>0</v>
      </c>
      <c r="K437" s="45">
        <v>55112.800000000003</v>
      </c>
      <c r="L437" s="45">
        <v>0</v>
      </c>
      <c r="M437" s="45">
        <v>1</v>
      </c>
      <c r="O437" s="45">
        <v>59957.8</v>
      </c>
      <c r="P437" s="45">
        <v>0</v>
      </c>
      <c r="Q437" s="45">
        <v>1</v>
      </c>
      <c r="R437" s="45">
        <v>60108.9</v>
      </c>
      <c r="S437" s="45">
        <v>0</v>
      </c>
      <c r="T437" s="45">
        <v>0</v>
      </c>
      <c r="U437" s="45">
        <v>58005.8</v>
      </c>
      <c r="V437" s="45">
        <v>0</v>
      </c>
      <c r="W437" s="45">
        <v>1</v>
      </c>
      <c r="X437" s="45">
        <v>55905.2</v>
      </c>
      <c r="Y437" s="45">
        <v>0</v>
      </c>
      <c r="Z437" s="45">
        <v>1</v>
      </c>
      <c r="AB437" s="45">
        <v>59971.9</v>
      </c>
      <c r="AC437" s="45">
        <v>0</v>
      </c>
      <c r="AD437" s="45">
        <v>1</v>
      </c>
      <c r="AE437" s="45">
        <v>53754.7</v>
      </c>
      <c r="AF437" s="45">
        <v>0</v>
      </c>
      <c r="AG437" s="45">
        <v>0</v>
      </c>
      <c r="AH437" s="45">
        <v>56080.5</v>
      </c>
      <c r="AI437" s="45">
        <v>0</v>
      </c>
      <c r="AJ437" s="45">
        <v>0</v>
      </c>
      <c r="AK437" s="45">
        <v>56583</v>
      </c>
      <c r="AL437" s="45">
        <v>0</v>
      </c>
      <c r="AM437" s="45">
        <v>1</v>
      </c>
      <c r="AO437" s="45">
        <v>60923.8</v>
      </c>
      <c r="AP437" s="45">
        <v>0</v>
      </c>
      <c r="AQ437" s="45">
        <v>1</v>
      </c>
      <c r="AR437" s="45">
        <v>52867</v>
      </c>
      <c r="AS437" s="45">
        <v>0</v>
      </c>
      <c r="AT437" s="45">
        <v>0</v>
      </c>
      <c r="AU437" s="45">
        <v>56898.9</v>
      </c>
      <c r="AV437" s="45">
        <v>1</v>
      </c>
      <c r="AW437" s="45">
        <v>1</v>
      </c>
      <c r="AX437" s="45">
        <v>57646.3</v>
      </c>
      <c r="AY437" s="45">
        <v>0</v>
      </c>
      <c r="AZ437" s="45">
        <v>0</v>
      </c>
    </row>
    <row r="438" spans="2:52">
      <c r="B438" s="45">
        <v>57318.9</v>
      </c>
      <c r="C438" s="45">
        <v>0</v>
      </c>
      <c r="D438" s="45">
        <v>0</v>
      </c>
      <c r="E438" s="45">
        <v>60322.8</v>
      </c>
      <c r="F438" s="45">
        <v>0</v>
      </c>
      <c r="G438" s="45">
        <v>0</v>
      </c>
      <c r="H438" s="45">
        <v>55970.3</v>
      </c>
      <c r="I438" s="45">
        <v>0</v>
      </c>
      <c r="J438" s="45">
        <v>0</v>
      </c>
      <c r="K438" s="45">
        <v>53118.8</v>
      </c>
      <c r="L438" s="45">
        <v>0</v>
      </c>
      <c r="M438" s="45">
        <v>1</v>
      </c>
      <c r="O438" s="45">
        <v>57043.3</v>
      </c>
      <c r="P438" s="45">
        <v>0</v>
      </c>
      <c r="Q438" s="45">
        <v>1</v>
      </c>
      <c r="R438" s="45">
        <v>70998.600000000006</v>
      </c>
      <c r="S438" s="45">
        <v>30</v>
      </c>
      <c r="T438" s="45">
        <v>0</v>
      </c>
      <c r="U438" s="45">
        <v>57853.4</v>
      </c>
      <c r="V438" s="45">
        <v>0</v>
      </c>
      <c r="W438" s="45">
        <v>1</v>
      </c>
      <c r="X438" s="45">
        <v>60297.7</v>
      </c>
      <c r="Y438" s="45">
        <v>0</v>
      </c>
      <c r="Z438" s="45">
        <v>0</v>
      </c>
      <c r="AB438" s="45">
        <v>61725.5</v>
      </c>
      <c r="AC438" s="45">
        <v>0</v>
      </c>
      <c r="AD438" s="45">
        <v>0</v>
      </c>
      <c r="AE438" s="45">
        <v>56905.7</v>
      </c>
      <c r="AF438" s="45">
        <v>0</v>
      </c>
      <c r="AG438" s="45">
        <v>0</v>
      </c>
      <c r="AH438" s="45">
        <v>61461.3</v>
      </c>
      <c r="AI438" s="45">
        <v>3</v>
      </c>
      <c r="AJ438" s="45">
        <v>1</v>
      </c>
      <c r="AK438" s="45">
        <v>55305</v>
      </c>
      <c r="AL438" s="45">
        <v>4</v>
      </c>
      <c r="AM438" s="45">
        <v>0</v>
      </c>
      <c r="AO438" s="45">
        <v>57670.2</v>
      </c>
      <c r="AP438" s="45">
        <v>6</v>
      </c>
      <c r="AQ438" s="45">
        <v>1</v>
      </c>
      <c r="AR438" s="45">
        <v>62299.6</v>
      </c>
      <c r="AS438" s="45">
        <v>0</v>
      </c>
      <c r="AT438" s="45">
        <v>0</v>
      </c>
      <c r="AU438" s="45">
        <v>60240.1</v>
      </c>
      <c r="AV438" s="45">
        <v>0</v>
      </c>
      <c r="AW438" s="45">
        <v>0</v>
      </c>
      <c r="AX438" s="45">
        <v>58929.9</v>
      </c>
      <c r="AY438" s="45">
        <v>0</v>
      </c>
      <c r="AZ438" s="45">
        <v>1</v>
      </c>
    </row>
    <row r="439" spans="2:52">
      <c r="B439" s="45">
        <v>66087.8</v>
      </c>
      <c r="C439" s="45">
        <v>0</v>
      </c>
      <c r="D439" s="45">
        <v>0</v>
      </c>
      <c r="E439" s="45">
        <v>66215.199999999997</v>
      </c>
      <c r="F439" s="45">
        <v>0</v>
      </c>
      <c r="G439" s="45">
        <v>0</v>
      </c>
      <c r="H439" s="45">
        <v>59847.1</v>
      </c>
      <c r="I439" s="45">
        <v>0</v>
      </c>
      <c r="J439" s="45">
        <v>1</v>
      </c>
      <c r="K439" s="45">
        <v>64851.6</v>
      </c>
      <c r="L439" s="45">
        <v>0</v>
      </c>
      <c r="M439" s="45">
        <v>0</v>
      </c>
      <c r="O439" s="45">
        <v>64329.599999999999</v>
      </c>
      <c r="P439" s="45">
        <v>0</v>
      </c>
      <c r="Q439" s="45">
        <v>1</v>
      </c>
      <c r="R439" s="45">
        <v>59812.5</v>
      </c>
      <c r="S439" s="45">
        <v>0</v>
      </c>
      <c r="T439" s="45">
        <v>1</v>
      </c>
      <c r="U439" s="45">
        <v>60652.3</v>
      </c>
      <c r="V439" s="45">
        <v>0</v>
      </c>
      <c r="W439" s="45">
        <v>0</v>
      </c>
      <c r="X439" s="45">
        <v>58927.4</v>
      </c>
      <c r="Y439" s="45">
        <v>0</v>
      </c>
      <c r="Z439" s="45">
        <v>1</v>
      </c>
      <c r="AB439" s="45">
        <v>66775.600000000006</v>
      </c>
      <c r="AC439" s="45">
        <v>0</v>
      </c>
      <c r="AD439" s="45">
        <v>1</v>
      </c>
      <c r="AE439" s="45">
        <v>65181.8</v>
      </c>
      <c r="AF439" s="45">
        <v>0</v>
      </c>
      <c r="AG439" s="45">
        <v>0</v>
      </c>
      <c r="AH439" s="45">
        <v>63784.7</v>
      </c>
      <c r="AI439" s="45">
        <v>0</v>
      </c>
      <c r="AJ439" s="45">
        <v>0</v>
      </c>
      <c r="AK439" s="45">
        <v>59561.4</v>
      </c>
      <c r="AL439" s="45">
        <v>0</v>
      </c>
      <c r="AM439" s="45">
        <v>0</v>
      </c>
      <c r="AO439" s="45">
        <v>69658.5</v>
      </c>
      <c r="AP439" s="45">
        <v>0</v>
      </c>
      <c r="AQ439" s="45">
        <v>0</v>
      </c>
      <c r="AR439" s="45">
        <v>64854.2</v>
      </c>
      <c r="AS439" s="45">
        <v>0</v>
      </c>
      <c r="AT439" s="45">
        <v>1</v>
      </c>
      <c r="AU439" s="45">
        <v>67770.899999999994</v>
      </c>
      <c r="AV439" s="45">
        <v>8</v>
      </c>
      <c r="AW439" s="45">
        <v>0</v>
      </c>
      <c r="AX439" s="45">
        <v>66870.3</v>
      </c>
      <c r="AY439" s="45">
        <v>0</v>
      </c>
      <c r="AZ439" s="45">
        <v>1</v>
      </c>
    </row>
    <row r="440" spans="2:52">
      <c r="B440" s="45">
        <v>69636.399999999994</v>
      </c>
      <c r="C440" s="45">
        <v>12</v>
      </c>
      <c r="D440" s="45">
        <v>1</v>
      </c>
      <c r="E440" s="45">
        <v>69965.3</v>
      </c>
      <c r="F440" s="45">
        <v>27</v>
      </c>
      <c r="G440" s="45">
        <v>0</v>
      </c>
      <c r="H440" s="45">
        <v>57650.2</v>
      </c>
      <c r="I440" s="45">
        <v>0</v>
      </c>
      <c r="J440" s="45">
        <v>0</v>
      </c>
      <c r="K440" s="45">
        <v>58710.9</v>
      </c>
      <c r="L440" s="45">
        <v>0</v>
      </c>
      <c r="M440" s="45">
        <v>1</v>
      </c>
      <c r="O440" s="45">
        <v>63030.8</v>
      </c>
      <c r="P440" s="45">
        <v>0</v>
      </c>
      <c r="Q440" s="45">
        <v>0</v>
      </c>
      <c r="R440" s="45">
        <v>59416.9</v>
      </c>
      <c r="S440" s="45">
        <v>0</v>
      </c>
      <c r="T440" s="45">
        <v>1</v>
      </c>
      <c r="U440" s="45">
        <v>62234.2</v>
      </c>
      <c r="V440" s="45">
        <v>0</v>
      </c>
      <c r="W440" s="45">
        <v>1</v>
      </c>
      <c r="X440" s="45">
        <v>80252.2</v>
      </c>
      <c r="Y440" s="45">
        <v>48</v>
      </c>
      <c r="Z440" s="45">
        <v>1</v>
      </c>
      <c r="AB440" s="45">
        <v>73646.8</v>
      </c>
      <c r="AC440" s="45">
        <v>24</v>
      </c>
      <c r="AD440" s="45">
        <v>1</v>
      </c>
      <c r="AE440" s="45">
        <v>88111.7</v>
      </c>
      <c r="AF440" s="45">
        <v>54</v>
      </c>
      <c r="AG440" s="45">
        <v>0</v>
      </c>
      <c r="AH440" s="45">
        <v>58220.9</v>
      </c>
      <c r="AI440" s="45">
        <v>0</v>
      </c>
      <c r="AJ440" s="45">
        <v>1</v>
      </c>
      <c r="AK440" s="45">
        <v>55913</v>
      </c>
      <c r="AL440" s="45">
        <v>0</v>
      </c>
      <c r="AM440" s="45">
        <v>0</v>
      </c>
      <c r="AO440" s="45">
        <v>55719.7</v>
      </c>
      <c r="AP440" s="45">
        <v>0</v>
      </c>
      <c r="AQ440" s="45">
        <v>0</v>
      </c>
      <c r="AR440" s="45">
        <v>75570</v>
      </c>
      <c r="AS440" s="45">
        <v>31</v>
      </c>
      <c r="AT440" s="45">
        <v>1</v>
      </c>
      <c r="AU440" s="45">
        <v>56925.9</v>
      </c>
      <c r="AV440" s="45">
        <v>0</v>
      </c>
      <c r="AW440" s="45">
        <v>0</v>
      </c>
      <c r="AX440" s="45">
        <v>60638.9</v>
      </c>
      <c r="AY440" s="45">
        <v>3</v>
      </c>
      <c r="AZ440" s="45">
        <v>1</v>
      </c>
    </row>
    <row r="441" spans="2:52">
      <c r="B441" s="45">
        <v>80693.5</v>
      </c>
      <c r="C441" s="45">
        <v>0</v>
      </c>
      <c r="D441" s="45">
        <v>0</v>
      </c>
      <c r="E441" s="45">
        <v>73035.8</v>
      </c>
      <c r="F441" s="45">
        <v>0</v>
      </c>
      <c r="G441" s="45">
        <v>0</v>
      </c>
      <c r="H441" s="45">
        <v>73978.600000000006</v>
      </c>
      <c r="I441" s="45">
        <v>0</v>
      </c>
      <c r="J441" s="45">
        <v>0</v>
      </c>
      <c r="K441" s="45">
        <v>75590.600000000006</v>
      </c>
      <c r="L441" s="45">
        <v>0</v>
      </c>
      <c r="M441" s="45">
        <v>1</v>
      </c>
      <c r="O441" s="45">
        <v>81616.800000000003</v>
      </c>
      <c r="P441" s="45">
        <v>0</v>
      </c>
      <c r="Q441" s="45">
        <v>0</v>
      </c>
      <c r="R441" s="45">
        <v>73728.3</v>
      </c>
      <c r="S441" s="45">
        <v>0</v>
      </c>
      <c r="T441" s="45">
        <v>1</v>
      </c>
      <c r="U441" s="45">
        <v>75520.100000000006</v>
      </c>
      <c r="V441" s="45">
        <v>0</v>
      </c>
      <c r="W441" s="45">
        <v>0</v>
      </c>
      <c r="X441" s="45">
        <v>81069.8</v>
      </c>
      <c r="Y441" s="45">
        <v>0</v>
      </c>
      <c r="Z441" s="45">
        <v>1</v>
      </c>
      <c r="AB441" s="45">
        <v>80476.2</v>
      </c>
      <c r="AC441" s="45">
        <v>0</v>
      </c>
      <c r="AD441" s="45">
        <v>0</v>
      </c>
      <c r="AE441" s="45">
        <v>75425.5</v>
      </c>
      <c r="AF441" s="45">
        <v>0</v>
      </c>
      <c r="AG441" s="45">
        <v>1</v>
      </c>
      <c r="AH441" s="45">
        <v>75710.899999999994</v>
      </c>
      <c r="AI441" s="45">
        <v>0</v>
      </c>
      <c r="AJ441" s="45">
        <v>0</v>
      </c>
      <c r="AK441" s="45">
        <v>76202.5</v>
      </c>
      <c r="AL441" s="45">
        <v>0</v>
      </c>
      <c r="AM441" s="45">
        <v>0</v>
      </c>
      <c r="AO441" s="45">
        <v>76509.7</v>
      </c>
      <c r="AP441" s="45">
        <v>0</v>
      </c>
      <c r="AQ441" s="45">
        <v>0</v>
      </c>
      <c r="AR441" s="45">
        <v>77681.2</v>
      </c>
      <c r="AS441" s="45">
        <v>0</v>
      </c>
      <c r="AT441" s="45">
        <v>1</v>
      </c>
      <c r="AU441" s="45">
        <v>74495.199999999997</v>
      </c>
      <c r="AV441" s="45">
        <v>0</v>
      </c>
      <c r="AW441" s="45">
        <v>0</v>
      </c>
      <c r="AX441" s="45">
        <v>73725.100000000006</v>
      </c>
      <c r="AY441" s="45">
        <v>0</v>
      </c>
      <c r="AZ441" s="45">
        <v>0</v>
      </c>
    </row>
    <row r="442" spans="2:52">
      <c r="B442" s="45">
        <v>62601.2</v>
      </c>
      <c r="C442" s="45">
        <v>0</v>
      </c>
      <c r="D442" s="45">
        <v>0</v>
      </c>
      <c r="E442" s="45">
        <v>67683.100000000006</v>
      </c>
      <c r="F442" s="45">
        <v>0</v>
      </c>
      <c r="G442" s="45">
        <v>0</v>
      </c>
      <c r="H442" s="45">
        <v>72896.399999999994</v>
      </c>
      <c r="I442" s="45">
        <v>12</v>
      </c>
      <c r="J442" s="45">
        <v>1</v>
      </c>
      <c r="K442" s="45">
        <v>79226.399999999994</v>
      </c>
      <c r="L442" s="45">
        <v>39</v>
      </c>
      <c r="M442" s="45">
        <v>0</v>
      </c>
      <c r="O442" s="45">
        <v>72020.800000000003</v>
      </c>
      <c r="P442" s="45">
        <v>17</v>
      </c>
      <c r="Q442" s="45">
        <v>1</v>
      </c>
      <c r="R442" s="45">
        <v>85033.2</v>
      </c>
      <c r="S442" s="45">
        <v>33</v>
      </c>
      <c r="T442" s="45">
        <v>1</v>
      </c>
      <c r="U442" s="45">
        <v>101085</v>
      </c>
      <c r="V442" s="45">
        <v>72</v>
      </c>
      <c r="W442" s="45">
        <v>1</v>
      </c>
      <c r="X442" s="45">
        <v>65083.6</v>
      </c>
      <c r="Y442" s="45">
        <v>0</v>
      </c>
      <c r="Z442" s="45">
        <v>0</v>
      </c>
      <c r="AB442" s="45">
        <v>92726.9</v>
      </c>
      <c r="AC442" s="45">
        <v>52</v>
      </c>
      <c r="AD442" s="45">
        <v>1</v>
      </c>
      <c r="AE442" s="45">
        <v>75114.399999999994</v>
      </c>
      <c r="AF442" s="45">
        <v>20</v>
      </c>
      <c r="AG442" s="45">
        <v>0</v>
      </c>
      <c r="AH442" s="45">
        <v>81988.600000000006</v>
      </c>
      <c r="AI442" s="45">
        <v>44</v>
      </c>
      <c r="AJ442" s="45">
        <v>1</v>
      </c>
      <c r="AK442" s="45">
        <v>75695.899999999994</v>
      </c>
      <c r="AL442" s="45">
        <v>28</v>
      </c>
      <c r="AM442" s="45">
        <v>0</v>
      </c>
      <c r="AO442" s="45">
        <v>59372.7</v>
      </c>
      <c r="AP442" s="45">
        <v>0</v>
      </c>
      <c r="AQ442" s="45">
        <v>1</v>
      </c>
      <c r="AR442" s="45">
        <v>77207.8</v>
      </c>
      <c r="AS442" s="45">
        <v>29</v>
      </c>
      <c r="AT442" s="45">
        <v>1</v>
      </c>
      <c r="AU442" s="45">
        <v>56917.7</v>
      </c>
      <c r="AV442" s="45">
        <v>0</v>
      </c>
      <c r="AW442" s="45">
        <v>0</v>
      </c>
      <c r="AX442" s="45">
        <v>58846.8</v>
      </c>
      <c r="AY442" s="45">
        <v>0</v>
      </c>
      <c r="AZ442" s="45">
        <v>0</v>
      </c>
    </row>
    <row r="443" spans="2:52">
      <c r="B443" s="45">
        <v>74875.3</v>
      </c>
      <c r="C443" s="45">
        <v>11</v>
      </c>
      <c r="D443" s="45">
        <v>1</v>
      </c>
      <c r="E443" s="45">
        <v>59620.4</v>
      </c>
      <c r="F443" s="45">
        <v>0</v>
      </c>
      <c r="G443" s="45">
        <v>0</v>
      </c>
      <c r="H443" s="45">
        <v>68444</v>
      </c>
      <c r="I443" s="45">
        <v>12</v>
      </c>
      <c r="J443" s="45">
        <v>1</v>
      </c>
      <c r="K443" s="45">
        <v>68357.7</v>
      </c>
      <c r="L443" s="45">
        <v>0</v>
      </c>
      <c r="M443" s="45">
        <v>0</v>
      </c>
      <c r="O443" s="45">
        <v>70155.8</v>
      </c>
      <c r="P443" s="45">
        <v>0</v>
      </c>
      <c r="Q443" s="45">
        <v>1</v>
      </c>
      <c r="R443" s="45">
        <v>65098</v>
      </c>
      <c r="S443" s="45">
        <v>0</v>
      </c>
      <c r="T443" s="45">
        <v>1</v>
      </c>
      <c r="U443" s="45">
        <v>107069</v>
      </c>
      <c r="V443" s="45">
        <v>90</v>
      </c>
      <c r="W443" s="45">
        <v>1</v>
      </c>
      <c r="X443" s="45">
        <v>66098.3</v>
      </c>
      <c r="Y443" s="45">
        <v>0</v>
      </c>
      <c r="Z443" s="45">
        <v>0</v>
      </c>
      <c r="AB443" s="45">
        <v>88590</v>
      </c>
      <c r="AC443" s="45">
        <v>32</v>
      </c>
      <c r="AD443" s="45">
        <v>1</v>
      </c>
      <c r="AE443" s="45">
        <v>71109.2</v>
      </c>
      <c r="AF443" s="45">
        <v>0</v>
      </c>
      <c r="AG443" s="45">
        <v>0</v>
      </c>
      <c r="AH443" s="45">
        <v>70972.600000000006</v>
      </c>
      <c r="AI443" s="45">
        <v>0</v>
      </c>
      <c r="AJ443" s="45">
        <v>0</v>
      </c>
      <c r="AK443" s="45">
        <v>60407.6</v>
      </c>
      <c r="AL443" s="45">
        <v>0</v>
      </c>
      <c r="AM443" s="45">
        <v>1</v>
      </c>
      <c r="AO443" s="45">
        <v>78130.5</v>
      </c>
      <c r="AP443" s="45">
        <v>0</v>
      </c>
      <c r="AQ443" s="45">
        <v>1</v>
      </c>
      <c r="AR443" s="45">
        <v>60197.2</v>
      </c>
      <c r="AS443" s="45">
        <v>0</v>
      </c>
      <c r="AT443" s="45">
        <v>0</v>
      </c>
      <c r="AU443" s="45">
        <v>61405.8</v>
      </c>
      <c r="AV443" s="45">
        <v>0</v>
      </c>
      <c r="AW443" s="45">
        <v>1</v>
      </c>
      <c r="AX443" s="45">
        <v>72118.5</v>
      </c>
      <c r="AY443" s="45">
        <v>21</v>
      </c>
      <c r="AZ443" s="45">
        <v>1</v>
      </c>
    </row>
    <row r="444" spans="2:52">
      <c r="B444" s="45">
        <v>66437.100000000006</v>
      </c>
      <c r="C444" s="45">
        <v>0</v>
      </c>
      <c r="D444" s="45">
        <v>1</v>
      </c>
      <c r="E444" s="45">
        <v>63030.400000000001</v>
      </c>
      <c r="F444" s="45">
        <v>0</v>
      </c>
      <c r="G444" s="45">
        <v>0</v>
      </c>
      <c r="H444" s="45">
        <v>59248.7</v>
      </c>
      <c r="I444" s="45">
        <v>0</v>
      </c>
      <c r="J444" s="45">
        <v>0</v>
      </c>
      <c r="K444" s="45">
        <v>78136</v>
      </c>
      <c r="L444" s="45">
        <v>40</v>
      </c>
      <c r="M444" s="45">
        <v>1</v>
      </c>
      <c r="O444" s="45">
        <v>64992.3</v>
      </c>
      <c r="P444" s="45">
        <v>0</v>
      </c>
      <c r="Q444" s="45">
        <v>1</v>
      </c>
      <c r="R444" s="45">
        <v>58242.9</v>
      </c>
      <c r="S444" s="45">
        <v>10</v>
      </c>
      <c r="T444" s="45">
        <v>1</v>
      </c>
      <c r="U444" s="45">
        <v>58330.8</v>
      </c>
      <c r="V444" s="45">
        <v>0</v>
      </c>
      <c r="W444" s="45">
        <v>1</v>
      </c>
      <c r="X444" s="45">
        <v>118823</v>
      </c>
      <c r="Y444" s="45">
        <v>115</v>
      </c>
      <c r="Z444" s="45">
        <v>0</v>
      </c>
      <c r="AB444" s="45">
        <v>58820</v>
      </c>
      <c r="AC444" s="45">
        <v>0</v>
      </c>
      <c r="AD444" s="45">
        <v>0</v>
      </c>
      <c r="AE444" s="45">
        <v>79226.5</v>
      </c>
      <c r="AF444" s="45">
        <v>37</v>
      </c>
      <c r="AG444" s="45">
        <v>0</v>
      </c>
      <c r="AH444" s="45">
        <v>61026.1</v>
      </c>
      <c r="AI444" s="45">
        <v>0</v>
      </c>
      <c r="AJ444" s="45">
        <v>1</v>
      </c>
      <c r="AK444" s="45">
        <v>77387.3</v>
      </c>
      <c r="AL444" s="45">
        <v>38</v>
      </c>
      <c r="AM444" s="45">
        <v>0</v>
      </c>
      <c r="AO444" s="45">
        <v>63519</v>
      </c>
      <c r="AP444" s="45">
        <v>0</v>
      </c>
      <c r="AQ444" s="45">
        <v>0</v>
      </c>
      <c r="AR444" s="45">
        <v>58904.7</v>
      </c>
      <c r="AS444" s="45">
        <v>0</v>
      </c>
      <c r="AT444" s="45">
        <v>0</v>
      </c>
      <c r="AU444" s="45">
        <v>60750.3</v>
      </c>
      <c r="AV444" s="45">
        <v>0</v>
      </c>
      <c r="AW444" s="45">
        <v>1</v>
      </c>
      <c r="AX444" s="45">
        <v>59535.1</v>
      </c>
      <c r="AY444" s="45">
        <v>0</v>
      </c>
      <c r="AZ444" s="45">
        <v>1</v>
      </c>
    </row>
    <row r="445" spans="2:52">
      <c r="B445" s="45">
        <v>60481</v>
      </c>
      <c r="C445" s="45">
        <v>0</v>
      </c>
      <c r="D445" s="45">
        <v>0</v>
      </c>
      <c r="E445" s="45">
        <v>58356.2</v>
      </c>
      <c r="F445" s="45">
        <v>0</v>
      </c>
      <c r="G445" s="45">
        <v>0</v>
      </c>
      <c r="H445" s="45">
        <v>59547</v>
      </c>
      <c r="I445" s="45">
        <v>0</v>
      </c>
      <c r="J445" s="45">
        <v>1</v>
      </c>
      <c r="K445" s="45">
        <v>61024.9</v>
      </c>
      <c r="L445" s="45">
        <v>0</v>
      </c>
      <c r="M445" s="45">
        <v>0</v>
      </c>
      <c r="O445" s="45">
        <v>63453.2</v>
      </c>
      <c r="P445" s="45">
        <v>0</v>
      </c>
      <c r="Q445" s="45">
        <v>1</v>
      </c>
      <c r="R445" s="45">
        <v>72272.7</v>
      </c>
      <c r="S445" s="45">
        <v>0</v>
      </c>
      <c r="T445" s="45">
        <v>1</v>
      </c>
      <c r="U445" s="45">
        <v>63109.2</v>
      </c>
      <c r="V445" s="45">
        <v>0</v>
      </c>
      <c r="W445" s="45">
        <v>0</v>
      </c>
      <c r="X445" s="45">
        <v>55467</v>
      </c>
      <c r="Y445" s="45">
        <v>0</v>
      </c>
      <c r="Z445" s="45">
        <v>1</v>
      </c>
      <c r="AB445" s="45">
        <v>59357.7</v>
      </c>
      <c r="AC445" s="45">
        <v>0</v>
      </c>
      <c r="AD445" s="45">
        <v>0</v>
      </c>
      <c r="AE445" s="45">
        <v>55968.2</v>
      </c>
      <c r="AF445" s="45">
        <v>0</v>
      </c>
      <c r="AG445" s="45">
        <v>1</v>
      </c>
      <c r="AH445" s="45">
        <v>59457.8</v>
      </c>
      <c r="AI445" s="45">
        <v>0</v>
      </c>
      <c r="AJ445" s="45">
        <v>0</v>
      </c>
      <c r="AK445" s="45">
        <v>58110.1</v>
      </c>
      <c r="AL445" s="45">
        <v>0</v>
      </c>
      <c r="AM445" s="45">
        <v>0</v>
      </c>
      <c r="AO445" s="45">
        <v>64402.6</v>
      </c>
      <c r="AP445" s="45">
        <v>0</v>
      </c>
      <c r="AQ445" s="45">
        <v>0</v>
      </c>
      <c r="AR445" s="45">
        <v>60225.5</v>
      </c>
      <c r="AS445" s="45">
        <v>0</v>
      </c>
      <c r="AT445" s="45">
        <v>1</v>
      </c>
      <c r="AU445" s="45">
        <v>56942.8</v>
      </c>
      <c r="AV445" s="45">
        <v>0</v>
      </c>
      <c r="AW445" s="45">
        <v>0</v>
      </c>
      <c r="AX445" s="45">
        <v>63195</v>
      </c>
      <c r="AY445" s="45">
        <v>0</v>
      </c>
      <c r="AZ445" s="45">
        <v>1</v>
      </c>
    </row>
    <row r="446" spans="2:52">
      <c r="B446" s="45">
        <v>56893.599999999999</v>
      </c>
      <c r="C446" s="45">
        <v>10</v>
      </c>
      <c r="D446" s="45">
        <v>0</v>
      </c>
      <c r="E446" s="45">
        <v>79913.5</v>
      </c>
      <c r="F446" s="45">
        <v>47</v>
      </c>
      <c r="G446" s="45">
        <v>1</v>
      </c>
      <c r="H446" s="45">
        <v>51153.9</v>
      </c>
      <c r="I446" s="45">
        <v>0</v>
      </c>
      <c r="J446" s="45">
        <v>0</v>
      </c>
      <c r="K446" s="45">
        <v>49569.1</v>
      </c>
      <c r="L446" s="45">
        <v>0</v>
      </c>
      <c r="M446" s="45">
        <v>1</v>
      </c>
      <c r="O446" s="45">
        <v>96620.4</v>
      </c>
      <c r="P446" s="45">
        <v>82</v>
      </c>
      <c r="Q446" s="45">
        <v>0</v>
      </c>
      <c r="R446" s="45">
        <v>76939.899999999994</v>
      </c>
      <c r="S446" s="45">
        <v>46</v>
      </c>
      <c r="T446" s="45">
        <v>1</v>
      </c>
      <c r="U446" s="45">
        <v>60281.4</v>
      </c>
      <c r="V446" s="45">
        <v>0</v>
      </c>
      <c r="W446" s="45">
        <v>1</v>
      </c>
      <c r="X446" s="45">
        <v>66885.5</v>
      </c>
      <c r="Y446" s="45">
        <v>28</v>
      </c>
      <c r="Z446" s="45">
        <v>1</v>
      </c>
      <c r="AB446" s="45">
        <v>65750.8</v>
      </c>
      <c r="AC446" s="45">
        <v>15</v>
      </c>
      <c r="AD446" s="45">
        <v>0</v>
      </c>
      <c r="AE446" s="45">
        <v>59355</v>
      </c>
      <c r="AF446" s="45">
        <v>7</v>
      </c>
      <c r="AG446" s="45">
        <v>1</v>
      </c>
      <c r="AH446" s="45">
        <v>67096.899999999994</v>
      </c>
      <c r="AI446" s="45">
        <v>28</v>
      </c>
      <c r="AJ446" s="45">
        <v>0</v>
      </c>
      <c r="AK446" s="45">
        <v>55145.2</v>
      </c>
      <c r="AL446" s="45">
        <v>10</v>
      </c>
      <c r="AM446" s="45">
        <v>1</v>
      </c>
      <c r="AO446" s="45">
        <v>74744.7</v>
      </c>
      <c r="AP446" s="45">
        <v>43</v>
      </c>
      <c r="AQ446" s="45">
        <v>1</v>
      </c>
      <c r="AR446" s="45">
        <v>61627.8</v>
      </c>
      <c r="AS446" s="45">
        <v>13</v>
      </c>
      <c r="AT446" s="45">
        <v>1</v>
      </c>
      <c r="AU446" s="45">
        <v>57503.4</v>
      </c>
      <c r="AV446" s="45">
        <v>4</v>
      </c>
      <c r="AW446" s="45">
        <v>1</v>
      </c>
      <c r="AX446" s="45">
        <v>63653.4</v>
      </c>
      <c r="AY446" s="45">
        <v>32</v>
      </c>
      <c r="AZ446" s="45">
        <v>1</v>
      </c>
    </row>
    <row r="447" spans="2:52">
      <c r="B447" s="45">
        <v>53138.5</v>
      </c>
      <c r="C447" s="45">
        <v>0</v>
      </c>
      <c r="D447" s="45">
        <v>0</v>
      </c>
      <c r="E447" s="45">
        <v>58916.4</v>
      </c>
      <c r="F447" s="45">
        <v>0</v>
      </c>
      <c r="G447" s="45">
        <v>0</v>
      </c>
      <c r="H447" s="45">
        <v>55449</v>
      </c>
      <c r="I447" s="45">
        <v>2</v>
      </c>
      <c r="J447" s="45">
        <v>1</v>
      </c>
      <c r="K447" s="45">
        <v>68758.899999999994</v>
      </c>
      <c r="L447" s="45">
        <v>35</v>
      </c>
      <c r="M447" s="45">
        <v>0</v>
      </c>
      <c r="O447" s="45">
        <v>63262.7</v>
      </c>
      <c r="P447" s="45">
        <v>0</v>
      </c>
      <c r="Q447" s="45">
        <v>0</v>
      </c>
      <c r="R447" s="45">
        <v>51462.7</v>
      </c>
      <c r="S447" s="45">
        <v>0</v>
      </c>
      <c r="T447" s="45">
        <v>1</v>
      </c>
      <c r="U447" s="45">
        <v>51322.6</v>
      </c>
      <c r="V447" s="45">
        <v>0</v>
      </c>
      <c r="W447" s="45">
        <v>0</v>
      </c>
      <c r="X447" s="45">
        <v>51761.3</v>
      </c>
      <c r="Y447" s="45">
        <v>0</v>
      </c>
      <c r="Z447" s="45">
        <v>1</v>
      </c>
      <c r="AB447" s="45">
        <v>60989.7</v>
      </c>
      <c r="AC447" s="45">
        <v>0</v>
      </c>
      <c r="AD447" s="45">
        <v>0</v>
      </c>
      <c r="AE447" s="45">
        <v>59946.1</v>
      </c>
      <c r="AF447" s="45">
        <v>0</v>
      </c>
      <c r="AG447" s="45">
        <v>0</v>
      </c>
      <c r="AH447" s="45">
        <v>56331.9</v>
      </c>
      <c r="AI447" s="45">
        <v>0</v>
      </c>
      <c r="AJ447" s="45">
        <v>1</v>
      </c>
      <c r="AK447" s="45">
        <v>50179</v>
      </c>
      <c r="AL447" s="45">
        <v>0</v>
      </c>
      <c r="AM447" s="45">
        <v>0</v>
      </c>
      <c r="AO447" s="45">
        <v>57976.1</v>
      </c>
      <c r="AP447" s="45">
        <v>0</v>
      </c>
      <c r="AQ447" s="45">
        <v>0</v>
      </c>
      <c r="AR447" s="45">
        <v>60821.5</v>
      </c>
      <c r="AS447" s="45">
        <v>0</v>
      </c>
      <c r="AT447" s="45">
        <v>1</v>
      </c>
      <c r="AU447" s="45">
        <v>68082.8</v>
      </c>
      <c r="AV447" s="45">
        <v>30</v>
      </c>
      <c r="AW447" s="45">
        <v>1</v>
      </c>
      <c r="AX447" s="45">
        <v>54219.8</v>
      </c>
      <c r="AY447" s="45">
        <v>0</v>
      </c>
      <c r="AZ447" s="45">
        <v>0</v>
      </c>
    </row>
    <row r="448" spans="2:52">
      <c r="B448" s="45">
        <v>62810.7</v>
      </c>
      <c r="C448" s="45">
        <v>16</v>
      </c>
      <c r="D448" s="45">
        <v>1</v>
      </c>
      <c r="E448" s="45">
        <v>50890.7</v>
      </c>
      <c r="F448" s="45">
        <v>8</v>
      </c>
      <c r="G448" s="45">
        <v>0</v>
      </c>
      <c r="H448" s="45">
        <v>48956.800000000003</v>
      </c>
      <c r="I448" s="45">
        <v>0</v>
      </c>
      <c r="J448" s="45">
        <v>0</v>
      </c>
      <c r="K448" s="45">
        <v>49940.9</v>
      </c>
      <c r="L448" s="45">
        <v>0</v>
      </c>
      <c r="M448" s="45">
        <v>1</v>
      </c>
      <c r="O448" s="45">
        <v>47167.5</v>
      </c>
      <c r="P448" s="45">
        <v>0</v>
      </c>
      <c r="Q448" s="45">
        <v>1</v>
      </c>
      <c r="R448" s="45">
        <v>53466.6</v>
      </c>
      <c r="S448" s="45">
        <v>0</v>
      </c>
      <c r="T448" s="45">
        <v>0</v>
      </c>
      <c r="U448" s="45">
        <v>50397.9</v>
      </c>
      <c r="V448" s="45">
        <v>0</v>
      </c>
      <c r="W448" s="45">
        <v>1</v>
      </c>
      <c r="X448" s="45">
        <v>52860.2</v>
      </c>
      <c r="Y448" s="45">
        <v>0</v>
      </c>
      <c r="Z448" s="45">
        <v>1</v>
      </c>
      <c r="AB448" s="45">
        <v>46148.4</v>
      </c>
      <c r="AC448" s="45">
        <v>0</v>
      </c>
      <c r="AD448" s="45">
        <v>0</v>
      </c>
      <c r="AE448" s="45">
        <v>50623</v>
      </c>
      <c r="AF448" s="45">
        <v>0</v>
      </c>
      <c r="AG448" s="45">
        <v>1</v>
      </c>
      <c r="AH448" s="45">
        <v>43433.9</v>
      </c>
      <c r="AI448" s="45">
        <v>0</v>
      </c>
      <c r="AJ448" s="45">
        <v>0</v>
      </c>
      <c r="AK448" s="45">
        <v>48250.400000000001</v>
      </c>
      <c r="AL448" s="45">
        <v>0</v>
      </c>
      <c r="AM448" s="45">
        <v>0</v>
      </c>
      <c r="AO448" s="45">
        <v>53736.1</v>
      </c>
      <c r="AP448" s="45">
        <v>0</v>
      </c>
      <c r="AQ448" s="45">
        <v>1</v>
      </c>
      <c r="AR448" s="45">
        <v>52435.4</v>
      </c>
      <c r="AS448" s="45">
        <v>0</v>
      </c>
      <c r="AT448" s="45">
        <v>0</v>
      </c>
      <c r="AU448" s="45">
        <v>50858.400000000001</v>
      </c>
      <c r="AV448" s="45">
        <v>0</v>
      </c>
      <c r="AW448" s="45">
        <v>1</v>
      </c>
      <c r="AX448" s="45">
        <v>52223.8</v>
      </c>
      <c r="AY448" s="45">
        <v>0</v>
      </c>
      <c r="AZ448" s="45">
        <v>0</v>
      </c>
    </row>
    <row r="449" spans="2:52">
      <c r="B449" s="45">
        <v>51266.6</v>
      </c>
      <c r="C449" s="45">
        <v>0</v>
      </c>
      <c r="D449" s="45">
        <v>0</v>
      </c>
      <c r="E449" s="45">
        <v>102587</v>
      </c>
      <c r="F449" s="45">
        <v>97</v>
      </c>
      <c r="G449" s="45">
        <v>1</v>
      </c>
      <c r="H449" s="45">
        <v>52841</v>
      </c>
      <c r="I449" s="45">
        <v>0</v>
      </c>
      <c r="J449" s="45">
        <v>0</v>
      </c>
      <c r="K449" s="45">
        <v>56807.1</v>
      </c>
      <c r="L449" s="45">
        <v>13</v>
      </c>
      <c r="M449" s="45">
        <v>0</v>
      </c>
      <c r="O449" s="45">
        <v>55579.5</v>
      </c>
      <c r="P449" s="45">
        <v>0</v>
      </c>
      <c r="Q449" s="45">
        <v>0</v>
      </c>
      <c r="R449" s="45">
        <v>55103.3</v>
      </c>
      <c r="S449" s="45">
        <v>0</v>
      </c>
      <c r="T449" s="45">
        <v>1</v>
      </c>
      <c r="U449" s="45">
        <v>59797.9</v>
      </c>
      <c r="V449" s="45">
        <v>0</v>
      </c>
      <c r="W449" s="45">
        <v>0</v>
      </c>
      <c r="X449" s="45">
        <v>47425.2</v>
      </c>
      <c r="Y449" s="45">
        <v>0</v>
      </c>
      <c r="Z449" s="45">
        <v>1</v>
      </c>
      <c r="AB449" s="45">
        <v>56537.9</v>
      </c>
      <c r="AC449" s="45">
        <v>0</v>
      </c>
      <c r="AD449" s="45">
        <v>1</v>
      </c>
      <c r="AE449" s="45">
        <v>50788.7</v>
      </c>
      <c r="AF449" s="45">
        <v>0</v>
      </c>
      <c r="AG449" s="45">
        <v>0</v>
      </c>
      <c r="AH449" s="45">
        <v>57212.5</v>
      </c>
      <c r="AI449" s="45">
        <v>0</v>
      </c>
      <c r="AJ449" s="45">
        <v>1</v>
      </c>
      <c r="AK449" s="45">
        <v>47333.599999999999</v>
      </c>
      <c r="AL449" s="45">
        <v>0</v>
      </c>
      <c r="AM449" s="45">
        <v>0</v>
      </c>
      <c r="AO449" s="45">
        <v>52552.4</v>
      </c>
      <c r="AP449" s="45">
        <v>0</v>
      </c>
      <c r="AQ449" s="45">
        <v>1</v>
      </c>
      <c r="AR449" s="45">
        <v>49710.8</v>
      </c>
      <c r="AS449" s="45">
        <v>0</v>
      </c>
      <c r="AT449" s="45">
        <v>1</v>
      </c>
      <c r="AU449" s="45">
        <v>60370.400000000001</v>
      </c>
      <c r="AV449" s="45">
        <v>0</v>
      </c>
      <c r="AW449" s="45">
        <v>1</v>
      </c>
      <c r="AX449" s="45">
        <v>52799.7</v>
      </c>
      <c r="AY449" s="45">
        <v>0</v>
      </c>
      <c r="AZ449" s="45">
        <v>0</v>
      </c>
    </row>
    <row r="450" spans="2:52">
      <c r="B450" s="45">
        <v>48570.1</v>
      </c>
      <c r="C450" s="45">
        <v>0</v>
      </c>
      <c r="D450" s="45">
        <v>1</v>
      </c>
      <c r="E450" s="45">
        <v>42913.3</v>
      </c>
      <c r="F450" s="45">
        <v>0</v>
      </c>
      <c r="G450" s="45">
        <v>0</v>
      </c>
      <c r="H450" s="45">
        <v>50616.9</v>
      </c>
      <c r="I450" s="45">
        <v>0</v>
      </c>
      <c r="J450" s="45">
        <v>0</v>
      </c>
      <c r="K450" s="45">
        <v>44062</v>
      </c>
      <c r="L450" s="45">
        <v>0</v>
      </c>
      <c r="M450" s="45">
        <v>1</v>
      </c>
      <c r="O450" s="45">
        <v>55156.9</v>
      </c>
      <c r="P450" s="45">
        <v>0</v>
      </c>
      <c r="Q450" s="45">
        <v>0</v>
      </c>
      <c r="R450" s="45">
        <v>47242.1</v>
      </c>
      <c r="S450" s="45">
        <v>0</v>
      </c>
      <c r="T450" s="45">
        <v>1</v>
      </c>
      <c r="U450" s="45">
        <v>45360.9</v>
      </c>
      <c r="V450" s="45">
        <v>0</v>
      </c>
      <c r="W450" s="45">
        <v>1</v>
      </c>
      <c r="X450" s="45">
        <v>44656.3</v>
      </c>
      <c r="Y450" s="45">
        <v>0</v>
      </c>
      <c r="Z450" s="45">
        <v>0</v>
      </c>
      <c r="AB450" s="45">
        <v>49819.8</v>
      </c>
      <c r="AC450" s="45">
        <v>0</v>
      </c>
      <c r="AD450" s="45">
        <v>0</v>
      </c>
      <c r="AE450" s="45">
        <v>51704.7</v>
      </c>
      <c r="AF450" s="45">
        <v>0</v>
      </c>
      <c r="AG450" s="45">
        <v>1</v>
      </c>
      <c r="AH450" s="45">
        <v>47389</v>
      </c>
      <c r="AI450" s="45">
        <v>0</v>
      </c>
      <c r="AJ450" s="45">
        <v>0</v>
      </c>
      <c r="AK450" s="45">
        <v>48648.6</v>
      </c>
      <c r="AL450" s="45">
        <v>0</v>
      </c>
      <c r="AM450" s="45">
        <v>0</v>
      </c>
      <c r="AO450" s="45">
        <v>45393.1</v>
      </c>
      <c r="AP450" s="45">
        <v>0</v>
      </c>
      <c r="AQ450" s="45">
        <v>1</v>
      </c>
      <c r="AR450" s="45">
        <v>51170.7</v>
      </c>
      <c r="AS450" s="45">
        <v>0</v>
      </c>
      <c r="AT450" s="45">
        <v>1</v>
      </c>
      <c r="AU450" s="45">
        <v>44129.9</v>
      </c>
      <c r="AV450" s="45">
        <v>0</v>
      </c>
      <c r="AW450" s="45">
        <v>0</v>
      </c>
      <c r="AX450" s="45">
        <v>50463.5</v>
      </c>
      <c r="AY450" s="45">
        <v>0</v>
      </c>
      <c r="AZ450" s="45">
        <v>1</v>
      </c>
    </row>
    <row r="451" spans="2:52">
      <c r="B451" s="45">
        <v>84618.5</v>
      </c>
      <c r="C451" s="45">
        <v>68</v>
      </c>
      <c r="D451" s="45">
        <v>0</v>
      </c>
      <c r="E451" s="45">
        <v>70716.5</v>
      </c>
      <c r="F451" s="45">
        <v>49</v>
      </c>
      <c r="G451" s="45">
        <v>1</v>
      </c>
      <c r="H451" s="45">
        <v>56769.599999999999</v>
      </c>
      <c r="I451" s="45">
        <v>17</v>
      </c>
      <c r="J451" s="45">
        <v>0</v>
      </c>
      <c r="K451" s="45">
        <v>49828.5</v>
      </c>
      <c r="L451" s="45">
        <v>0</v>
      </c>
      <c r="M451" s="45">
        <v>0</v>
      </c>
      <c r="O451" s="45">
        <v>53450.7</v>
      </c>
      <c r="P451" s="45">
        <v>4</v>
      </c>
      <c r="Q451" s="45">
        <v>1</v>
      </c>
      <c r="R451" s="45">
        <v>52687.6</v>
      </c>
      <c r="S451" s="45">
        <v>0</v>
      </c>
      <c r="T451" s="45">
        <v>1</v>
      </c>
      <c r="U451" s="45">
        <v>92790.399999999994</v>
      </c>
      <c r="V451" s="45">
        <v>78</v>
      </c>
      <c r="W451" s="45">
        <v>0</v>
      </c>
      <c r="X451" s="45">
        <v>76298.7</v>
      </c>
      <c r="Y451" s="45">
        <v>53</v>
      </c>
      <c r="Z451" s="45">
        <v>1</v>
      </c>
      <c r="AB451" s="45">
        <v>59544.6</v>
      </c>
      <c r="AC451" s="45">
        <v>23</v>
      </c>
      <c r="AD451" s="45">
        <v>1</v>
      </c>
      <c r="AE451" s="45">
        <v>48595</v>
      </c>
      <c r="AF451" s="45">
        <v>13</v>
      </c>
      <c r="AG451" s="45">
        <v>0</v>
      </c>
      <c r="AH451" s="45">
        <v>57857.8</v>
      </c>
      <c r="AI451" s="45">
        <v>27</v>
      </c>
      <c r="AJ451" s="45">
        <v>1</v>
      </c>
      <c r="AK451" s="45">
        <v>57968.800000000003</v>
      </c>
      <c r="AL451" s="45">
        <v>17</v>
      </c>
      <c r="AM451" s="45">
        <v>0</v>
      </c>
      <c r="AO451" s="45">
        <v>72818.399999999994</v>
      </c>
      <c r="AP451" s="45">
        <v>43</v>
      </c>
      <c r="AQ451" s="45">
        <v>1</v>
      </c>
      <c r="AR451" s="45">
        <v>74641.7</v>
      </c>
      <c r="AS451" s="45">
        <v>55</v>
      </c>
      <c r="AT451" s="45">
        <v>1</v>
      </c>
      <c r="AU451" s="45">
        <v>53791.7</v>
      </c>
      <c r="AV451" s="45">
        <v>16</v>
      </c>
      <c r="AW451" s="45">
        <v>1</v>
      </c>
      <c r="AX451" s="45">
        <v>82718</v>
      </c>
      <c r="AY451" s="45">
        <v>74</v>
      </c>
      <c r="AZ451" s="45">
        <v>1</v>
      </c>
    </row>
    <row r="452" spans="2:52">
      <c r="B452" s="45">
        <v>55933.9</v>
      </c>
      <c r="C452" s="45">
        <v>14</v>
      </c>
      <c r="D452" s="45">
        <v>1</v>
      </c>
      <c r="E452" s="45">
        <v>51280.800000000003</v>
      </c>
      <c r="F452" s="45">
        <v>0</v>
      </c>
      <c r="G452" s="45">
        <v>0</v>
      </c>
      <c r="H452" s="45">
        <v>58147.8</v>
      </c>
      <c r="I452" s="45">
        <v>18</v>
      </c>
      <c r="J452" s="45">
        <v>1</v>
      </c>
      <c r="K452" s="45">
        <v>49804</v>
      </c>
      <c r="L452" s="45">
        <v>0</v>
      </c>
      <c r="M452" s="45">
        <v>0</v>
      </c>
      <c r="O452" s="45">
        <v>60341</v>
      </c>
      <c r="P452" s="45">
        <v>6</v>
      </c>
      <c r="Q452" s="45">
        <v>1</v>
      </c>
      <c r="R452" s="45">
        <v>71415.3</v>
      </c>
      <c r="S452" s="45">
        <v>37</v>
      </c>
      <c r="T452" s="45">
        <v>1</v>
      </c>
      <c r="U452" s="45">
        <v>55032.800000000003</v>
      </c>
      <c r="V452" s="45">
        <v>6</v>
      </c>
      <c r="W452" s="45">
        <v>0</v>
      </c>
      <c r="X452" s="45">
        <v>64111.5</v>
      </c>
      <c r="Y452" s="45">
        <v>24</v>
      </c>
      <c r="Z452" s="45">
        <v>1</v>
      </c>
      <c r="AB452" s="45">
        <v>84209.2</v>
      </c>
      <c r="AC452" s="45">
        <v>49</v>
      </c>
      <c r="AD452" s="45">
        <v>0</v>
      </c>
      <c r="AE452" s="45">
        <v>45301</v>
      </c>
      <c r="AF452" s="45">
        <v>0</v>
      </c>
      <c r="AG452" s="45">
        <v>1</v>
      </c>
      <c r="AH452" s="45">
        <v>73831.100000000006</v>
      </c>
      <c r="AI452" s="45">
        <v>51</v>
      </c>
      <c r="AJ452" s="45">
        <v>0</v>
      </c>
      <c r="AK452" s="45">
        <v>51418.3</v>
      </c>
      <c r="AL452" s="45">
        <v>0</v>
      </c>
      <c r="AM452" s="45">
        <v>0</v>
      </c>
      <c r="AO452" s="45">
        <v>54487.1</v>
      </c>
      <c r="AP452" s="45">
        <v>0</v>
      </c>
      <c r="AQ452" s="45">
        <v>0</v>
      </c>
      <c r="AR452" s="45">
        <v>50360.9</v>
      </c>
      <c r="AS452" s="45">
        <v>0</v>
      </c>
      <c r="AT452" s="45">
        <v>1</v>
      </c>
      <c r="AU452" s="45">
        <v>48614</v>
      </c>
      <c r="AV452" s="45">
        <v>0</v>
      </c>
      <c r="AW452" s="45">
        <v>0</v>
      </c>
      <c r="AX452" s="45">
        <v>62082</v>
      </c>
      <c r="AY452" s="45">
        <v>14</v>
      </c>
      <c r="AZ452" s="45">
        <v>1</v>
      </c>
    </row>
    <row r="453" spans="2:52">
      <c r="B453" s="45">
        <v>61596.2</v>
      </c>
      <c r="C453" s="45">
        <v>0</v>
      </c>
      <c r="D453" s="45">
        <v>0</v>
      </c>
      <c r="E453" s="45">
        <v>65793.100000000006</v>
      </c>
      <c r="F453" s="45">
        <v>29</v>
      </c>
      <c r="G453" s="45">
        <v>1</v>
      </c>
      <c r="H453" s="45">
        <v>91213</v>
      </c>
      <c r="I453" s="45">
        <v>72</v>
      </c>
      <c r="J453" s="45">
        <v>0</v>
      </c>
      <c r="K453" s="45">
        <v>82587.199999999997</v>
      </c>
      <c r="L453" s="45">
        <v>56</v>
      </c>
      <c r="M453" s="45">
        <v>1</v>
      </c>
      <c r="O453" s="45">
        <v>67500.100000000006</v>
      </c>
      <c r="P453" s="45">
        <v>23</v>
      </c>
      <c r="Q453" s="45">
        <v>0</v>
      </c>
      <c r="R453" s="45">
        <v>56883.7</v>
      </c>
      <c r="S453" s="45">
        <v>3</v>
      </c>
      <c r="T453" s="45">
        <v>1</v>
      </c>
      <c r="U453" s="45">
        <v>115220</v>
      </c>
      <c r="V453" s="45">
        <v>118</v>
      </c>
      <c r="W453" s="45">
        <v>0</v>
      </c>
      <c r="X453" s="45">
        <v>73795.3</v>
      </c>
      <c r="Y453" s="45">
        <v>41</v>
      </c>
      <c r="Z453" s="45">
        <v>1</v>
      </c>
      <c r="AB453" s="45">
        <v>67521.7</v>
      </c>
      <c r="AC453" s="45">
        <v>20</v>
      </c>
      <c r="AD453" s="45">
        <v>1</v>
      </c>
      <c r="AE453" s="45">
        <v>72358.5</v>
      </c>
      <c r="AF453" s="45">
        <v>26</v>
      </c>
      <c r="AG453" s="45">
        <v>1</v>
      </c>
      <c r="AH453" s="45">
        <v>53640.9</v>
      </c>
      <c r="AI453" s="45">
        <v>0</v>
      </c>
      <c r="AJ453" s="45">
        <v>0</v>
      </c>
      <c r="AK453" s="45">
        <v>65308.7</v>
      </c>
      <c r="AL453" s="45">
        <v>16</v>
      </c>
      <c r="AM453" s="45">
        <v>0</v>
      </c>
      <c r="AO453" s="45">
        <v>84385.1</v>
      </c>
      <c r="AP453" s="45">
        <v>46</v>
      </c>
      <c r="AQ453" s="45">
        <v>1</v>
      </c>
      <c r="AR453" s="45">
        <v>75060.100000000006</v>
      </c>
      <c r="AS453" s="45">
        <v>45</v>
      </c>
      <c r="AT453" s="45">
        <v>1</v>
      </c>
      <c r="AU453" s="45">
        <v>63470</v>
      </c>
      <c r="AV453" s="45">
        <v>26</v>
      </c>
      <c r="AW453" s="45">
        <v>1</v>
      </c>
      <c r="AX453" s="45">
        <v>68742.899999999994</v>
      </c>
      <c r="AY453" s="45">
        <v>37</v>
      </c>
      <c r="AZ453" s="45">
        <v>0</v>
      </c>
    </row>
    <row r="454" spans="2:52">
      <c r="B454" s="45">
        <v>101033</v>
      </c>
      <c r="C454" s="45">
        <v>103</v>
      </c>
      <c r="D454" s="45">
        <v>0</v>
      </c>
      <c r="E454" s="45">
        <v>56758.3</v>
      </c>
      <c r="F454" s="45">
        <v>11</v>
      </c>
      <c r="G454" s="45">
        <v>1</v>
      </c>
      <c r="H454" s="45">
        <v>54319.5</v>
      </c>
      <c r="I454" s="45">
        <v>0</v>
      </c>
      <c r="J454" s="45">
        <v>0</v>
      </c>
      <c r="K454" s="45">
        <v>53601.9</v>
      </c>
      <c r="L454" s="45">
        <v>0</v>
      </c>
      <c r="M454" s="45">
        <v>0</v>
      </c>
      <c r="O454" s="45">
        <v>66165.7</v>
      </c>
      <c r="P454" s="45">
        <v>24</v>
      </c>
      <c r="Q454" s="45">
        <v>1</v>
      </c>
      <c r="R454" s="45">
        <v>52986.7</v>
      </c>
      <c r="S454" s="45">
        <v>0</v>
      </c>
      <c r="T454" s="45">
        <v>0</v>
      </c>
      <c r="U454" s="45">
        <v>56246.2</v>
      </c>
      <c r="V454" s="45">
        <v>0</v>
      </c>
      <c r="W454" s="45">
        <v>0</v>
      </c>
      <c r="X454" s="45">
        <v>57024</v>
      </c>
      <c r="Y454" s="45">
        <v>13</v>
      </c>
      <c r="Z454" s="45">
        <v>1</v>
      </c>
      <c r="AB454" s="45">
        <v>69438.8</v>
      </c>
      <c r="AC454" s="45">
        <v>27</v>
      </c>
      <c r="AD454" s="45">
        <v>1</v>
      </c>
      <c r="AE454" s="45">
        <v>51822.6</v>
      </c>
      <c r="AF454" s="45">
        <v>0</v>
      </c>
      <c r="AG454" s="45">
        <v>0</v>
      </c>
      <c r="AH454" s="45">
        <v>54705.5</v>
      </c>
      <c r="AI454" s="45">
        <v>0</v>
      </c>
      <c r="AJ454" s="45">
        <v>1</v>
      </c>
      <c r="AK454" s="45">
        <v>55333.8</v>
      </c>
      <c r="AL454" s="45">
        <v>12</v>
      </c>
      <c r="AM454" s="45">
        <v>0</v>
      </c>
      <c r="AO454" s="45">
        <v>62098.6</v>
      </c>
      <c r="AP454" s="45">
        <v>28</v>
      </c>
      <c r="AQ454" s="45">
        <v>3</v>
      </c>
      <c r="AR454" s="45">
        <v>64313.4</v>
      </c>
      <c r="AS454" s="45">
        <v>21</v>
      </c>
      <c r="AT454" s="45">
        <v>0</v>
      </c>
      <c r="AU454" s="45">
        <v>83786.2</v>
      </c>
      <c r="AV454" s="45">
        <v>52</v>
      </c>
      <c r="AW454" s="45">
        <v>1</v>
      </c>
      <c r="AX454" s="45">
        <v>71572.100000000006</v>
      </c>
      <c r="AY454" s="45">
        <v>43</v>
      </c>
      <c r="AZ454" s="45">
        <v>1</v>
      </c>
    </row>
    <row r="455" spans="2:52">
      <c r="B455" s="45">
        <v>57251.1</v>
      </c>
      <c r="C455" s="45">
        <v>0</v>
      </c>
      <c r="D455" s="45">
        <v>1</v>
      </c>
      <c r="E455" s="45">
        <v>65613.3</v>
      </c>
      <c r="F455" s="45">
        <v>25</v>
      </c>
      <c r="G455" s="45">
        <v>0</v>
      </c>
      <c r="H455" s="45">
        <v>56195.6</v>
      </c>
      <c r="I455" s="45">
        <v>0</v>
      </c>
      <c r="J455" s="45">
        <v>0</v>
      </c>
      <c r="K455" s="45">
        <v>70905.2</v>
      </c>
      <c r="L455" s="45">
        <v>26</v>
      </c>
      <c r="M455" s="45">
        <v>1</v>
      </c>
      <c r="O455" s="45">
        <v>59617.8</v>
      </c>
      <c r="P455" s="45">
        <v>0</v>
      </c>
      <c r="Q455" s="45">
        <v>0</v>
      </c>
      <c r="R455" s="45">
        <v>69228</v>
      </c>
      <c r="S455" s="45">
        <v>24</v>
      </c>
      <c r="T455" s="45">
        <v>1</v>
      </c>
      <c r="U455" s="45">
        <v>62534</v>
      </c>
      <c r="V455" s="45">
        <v>15</v>
      </c>
      <c r="W455" s="45">
        <v>0</v>
      </c>
      <c r="X455" s="45">
        <v>54466.1</v>
      </c>
      <c r="Y455" s="45">
        <v>0</v>
      </c>
      <c r="Z455" s="45">
        <v>0</v>
      </c>
      <c r="AB455" s="45">
        <v>59698.3</v>
      </c>
      <c r="AC455" s="45">
        <v>0</v>
      </c>
      <c r="AD455" s="45">
        <v>1</v>
      </c>
      <c r="AE455" s="45">
        <v>96835.8</v>
      </c>
      <c r="AF455" s="45">
        <v>86</v>
      </c>
      <c r="AG455" s="45">
        <v>0</v>
      </c>
      <c r="AH455" s="45">
        <v>53473.9</v>
      </c>
      <c r="AI455" s="45">
        <v>0</v>
      </c>
      <c r="AJ455" s="45">
        <v>0</v>
      </c>
      <c r="AK455" s="45">
        <v>63740.3</v>
      </c>
      <c r="AL455" s="45">
        <v>10</v>
      </c>
      <c r="AM455" s="45">
        <v>1</v>
      </c>
      <c r="AO455" s="45">
        <v>59660.4</v>
      </c>
      <c r="AP455" s="45">
        <v>0</v>
      </c>
      <c r="AQ455" s="45">
        <v>0</v>
      </c>
      <c r="AR455" s="45">
        <v>52227</v>
      </c>
      <c r="AS455" s="45">
        <v>0</v>
      </c>
      <c r="AT455" s="45">
        <v>0</v>
      </c>
      <c r="AU455" s="45">
        <v>54674</v>
      </c>
      <c r="AV455" s="45">
        <v>0</v>
      </c>
      <c r="AW455" s="45">
        <v>1</v>
      </c>
      <c r="AX455" s="45">
        <v>56153</v>
      </c>
      <c r="AY455" s="45">
        <v>11</v>
      </c>
      <c r="AZ455" s="45">
        <v>1</v>
      </c>
    </row>
    <row r="456" spans="2:52">
      <c r="B456" s="45">
        <v>47145.8</v>
      </c>
      <c r="C456" s="45">
        <v>0</v>
      </c>
      <c r="D456" s="45">
        <v>0</v>
      </c>
      <c r="E456" s="45">
        <v>46352</v>
      </c>
      <c r="F456" s="45">
        <v>0</v>
      </c>
      <c r="G456" s="45">
        <v>0</v>
      </c>
      <c r="H456" s="45">
        <v>52351.8</v>
      </c>
      <c r="I456" s="45">
        <v>0</v>
      </c>
      <c r="J456" s="45">
        <v>1</v>
      </c>
      <c r="K456" s="45">
        <v>45980.2</v>
      </c>
      <c r="L456" s="45">
        <v>0</v>
      </c>
      <c r="M456" s="45">
        <v>0</v>
      </c>
      <c r="O456" s="45">
        <v>58676.7</v>
      </c>
      <c r="P456" s="45">
        <v>0</v>
      </c>
      <c r="Q456" s="45">
        <v>1</v>
      </c>
      <c r="R456" s="45">
        <v>82275.100000000006</v>
      </c>
      <c r="S456" s="45">
        <v>72</v>
      </c>
      <c r="T456" s="45">
        <v>0</v>
      </c>
      <c r="U456" s="45">
        <v>45997.8</v>
      </c>
      <c r="V456" s="45">
        <v>0</v>
      </c>
      <c r="W456" s="45">
        <v>0</v>
      </c>
      <c r="X456" s="45">
        <v>59453</v>
      </c>
      <c r="Y456" s="45">
        <v>33</v>
      </c>
      <c r="Z456" s="45">
        <v>1</v>
      </c>
      <c r="AB456" s="45">
        <v>60827.5</v>
      </c>
      <c r="AC456" s="45">
        <v>24</v>
      </c>
      <c r="AD456" s="45">
        <v>0</v>
      </c>
      <c r="AE456" s="45">
        <v>42613.5</v>
      </c>
      <c r="AF456" s="45">
        <v>0</v>
      </c>
      <c r="AG456" s="45">
        <v>1</v>
      </c>
      <c r="AH456" s="45">
        <v>58217.1</v>
      </c>
      <c r="AI456" s="45">
        <v>20</v>
      </c>
      <c r="AJ456" s="45">
        <v>0</v>
      </c>
      <c r="AK456" s="45">
        <v>57349.9</v>
      </c>
      <c r="AL456" s="45">
        <v>22</v>
      </c>
      <c r="AM456" s="45">
        <v>1</v>
      </c>
      <c r="AO456" s="45">
        <v>59310</v>
      </c>
      <c r="AP456" s="45">
        <v>27</v>
      </c>
      <c r="AQ456" s="45">
        <v>1</v>
      </c>
      <c r="AR456" s="45">
        <v>51824.5</v>
      </c>
      <c r="AS456" s="45">
        <v>0</v>
      </c>
      <c r="AT456" s="45">
        <v>1</v>
      </c>
      <c r="AU456" s="45">
        <v>45115.6</v>
      </c>
      <c r="AV456" s="45">
        <v>0</v>
      </c>
      <c r="AW456" s="45">
        <v>1</v>
      </c>
      <c r="AX456" s="45">
        <v>45249.9</v>
      </c>
      <c r="AY456" s="45">
        <v>0</v>
      </c>
      <c r="AZ456" s="45">
        <v>0</v>
      </c>
    </row>
    <row r="457" spans="2:52">
      <c r="B457" s="45">
        <v>57486.2</v>
      </c>
      <c r="C457" s="45">
        <v>0</v>
      </c>
      <c r="D457" s="45">
        <v>1</v>
      </c>
      <c r="E457" s="45">
        <v>63849.8</v>
      </c>
      <c r="F457" s="45">
        <v>0</v>
      </c>
      <c r="G457" s="45">
        <v>0</v>
      </c>
      <c r="H457" s="45">
        <v>57562</v>
      </c>
      <c r="I457" s="45">
        <v>0</v>
      </c>
      <c r="J457" s="45">
        <v>0</v>
      </c>
      <c r="K457" s="45">
        <v>58738.3</v>
      </c>
      <c r="L457" s="45">
        <v>0</v>
      </c>
      <c r="M457" s="45">
        <v>1</v>
      </c>
      <c r="O457" s="45">
        <v>63419.4</v>
      </c>
      <c r="P457" s="45">
        <v>0</v>
      </c>
      <c r="Q457" s="45">
        <v>1</v>
      </c>
      <c r="R457" s="45">
        <v>75523.3</v>
      </c>
      <c r="S457" s="45">
        <v>26</v>
      </c>
      <c r="T457" s="45">
        <v>0</v>
      </c>
      <c r="U457" s="45">
        <v>74964.399999999994</v>
      </c>
      <c r="V457" s="45">
        <v>34</v>
      </c>
      <c r="W457" s="45">
        <v>1</v>
      </c>
      <c r="X457" s="45">
        <v>65159</v>
      </c>
      <c r="Y457" s="45">
        <v>0</v>
      </c>
      <c r="Z457" s="45">
        <v>0</v>
      </c>
      <c r="AB457" s="45">
        <v>61730.3</v>
      </c>
      <c r="AC457" s="45">
        <v>0</v>
      </c>
      <c r="AD457" s="45">
        <v>0</v>
      </c>
      <c r="AE457" s="45">
        <v>63911</v>
      </c>
      <c r="AF457" s="45">
        <v>0</v>
      </c>
      <c r="AG457" s="45">
        <v>0</v>
      </c>
      <c r="AH457" s="45">
        <v>67006.100000000006</v>
      </c>
      <c r="AI457" s="45">
        <v>0</v>
      </c>
      <c r="AJ457" s="45">
        <v>1</v>
      </c>
      <c r="AK457" s="45">
        <v>57489.599999999999</v>
      </c>
      <c r="AL457" s="45">
        <v>0</v>
      </c>
      <c r="AM457" s="45">
        <v>0</v>
      </c>
      <c r="AO457" s="45">
        <v>59041.9</v>
      </c>
      <c r="AP457" s="45">
        <v>0</v>
      </c>
      <c r="AQ457" s="45">
        <v>1</v>
      </c>
      <c r="AR457" s="45">
        <v>61373.599999999999</v>
      </c>
      <c r="AS457" s="45">
        <v>3</v>
      </c>
      <c r="AT457" s="45">
        <v>1</v>
      </c>
      <c r="AU457" s="45">
        <v>58934.3</v>
      </c>
      <c r="AV457" s="45">
        <v>0</v>
      </c>
      <c r="AW457" s="45">
        <v>1</v>
      </c>
      <c r="AX457" s="45">
        <v>59614.9</v>
      </c>
      <c r="AY457" s="45">
        <v>0</v>
      </c>
      <c r="AZ457" s="45">
        <v>1</v>
      </c>
    </row>
    <row r="458" spans="2:52">
      <c r="B458" s="45">
        <v>52510.1</v>
      </c>
      <c r="C458" s="45">
        <v>0</v>
      </c>
      <c r="D458" s="45">
        <v>0</v>
      </c>
      <c r="E458" s="45">
        <v>60129</v>
      </c>
      <c r="F458" s="45">
        <v>7</v>
      </c>
      <c r="G458" s="45">
        <v>0</v>
      </c>
      <c r="H458" s="45">
        <v>53183.6</v>
      </c>
      <c r="I458" s="45">
        <v>0</v>
      </c>
      <c r="J458" s="45">
        <v>1</v>
      </c>
      <c r="K458" s="45">
        <v>57534.1</v>
      </c>
      <c r="L458" s="45">
        <v>5</v>
      </c>
      <c r="M458" s="45">
        <v>0</v>
      </c>
      <c r="O458" s="45">
        <v>58689.2</v>
      </c>
      <c r="P458" s="45">
        <v>0</v>
      </c>
      <c r="Q458" s="45">
        <v>0</v>
      </c>
      <c r="R458" s="45">
        <v>58926.2</v>
      </c>
      <c r="S458" s="45">
        <v>0</v>
      </c>
      <c r="T458" s="45">
        <v>1</v>
      </c>
      <c r="U458" s="45">
        <v>55478.1</v>
      </c>
      <c r="V458" s="45">
        <v>0</v>
      </c>
      <c r="W458" s="45">
        <v>0</v>
      </c>
      <c r="X458" s="45">
        <v>56816.3</v>
      </c>
      <c r="Y458" s="45">
        <v>4</v>
      </c>
      <c r="Z458" s="45">
        <v>0</v>
      </c>
      <c r="AB458" s="45">
        <v>57032.800000000003</v>
      </c>
      <c r="AC458" s="45">
        <v>5</v>
      </c>
      <c r="AD458" s="45">
        <v>1</v>
      </c>
      <c r="AE458" s="45">
        <v>63541.7</v>
      </c>
      <c r="AF458" s="45">
        <v>16</v>
      </c>
      <c r="AG458" s="45">
        <v>0</v>
      </c>
      <c r="AH458" s="45">
        <v>57651</v>
      </c>
      <c r="AI458" s="45">
        <v>0</v>
      </c>
      <c r="AJ458" s="45">
        <v>0</v>
      </c>
      <c r="AK458" s="45">
        <v>51591.7</v>
      </c>
      <c r="AL458" s="45">
        <v>0</v>
      </c>
      <c r="AM458" s="45">
        <v>1</v>
      </c>
      <c r="AO458" s="45">
        <v>62379.9</v>
      </c>
      <c r="AP458" s="45">
        <v>3</v>
      </c>
      <c r="AQ458" s="45">
        <v>1</v>
      </c>
      <c r="AR458" s="45">
        <v>54787.3</v>
      </c>
      <c r="AS458" s="45">
        <v>0</v>
      </c>
      <c r="AT458" s="45">
        <v>0</v>
      </c>
      <c r="AU458" s="45">
        <v>53817.1</v>
      </c>
      <c r="AV458" s="45">
        <v>0</v>
      </c>
      <c r="AW458" s="45">
        <v>1</v>
      </c>
      <c r="AX458" s="45">
        <v>54012.9</v>
      </c>
      <c r="AY458" s="45">
        <v>0</v>
      </c>
      <c r="AZ458" s="45">
        <v>0</v>
      </c>
    </row>
    <row r="459" spans="2:52">
      <c r="B459" s="45">
        <v>54591.6</v>
      </c>
      <c r="C459" s="45">
        <v>0</v>
      </c>
      <c r="D459" s="45">
        <v>0</v>
      </c>
      <c r="E459" s="45">
        <v>67778.600000000006</v>
      </c>
      <c r="F459" s="45">
        <v>34</v>
      </c>
      <c r="G459" s="45">
        <v>1</v>
      </c>
      <c r="H459" s="45">
        <v>56445.4</v>
      </c>
      <c r="I459" s="45">
        <v>0</v>
      </c>
      <c r="J459" s="45">
        <v>0</v>
      </c>
      <c r="K459" s="45">
        <v>51816.6</v>
      </c>
      <c r="L459" s="45">
        <v>0</v>
      </c>
      <c r="M459" s="45">
        <v>1</v>
      </c>
      <c r="O459" s="45">
        <v>53796.1</v>
      </c>
      <c r="P459" s="45">
        <v>0</v>
      </c>
      <c r="Q459" s="45">
        <v>1</v>
      </c>
      <c r="R459" s="45">
        <v>60805.3</v>
      </c>
      <c r="S459" s="45">
        <v>0</v>
      </c>
      <c r="T459" s="45">
        <v>0</v>
      </c>
      <c r="U459" s="45">
        <v>49288.2</v>
      </c>
      <c r="V459" s="45">
        <v>0</v>
      </c>
      <c r="W459" s="45">
        <v>0</v>
      </c>
      <c r="X459" s="45">
        <v>51509.2</v>
      </c>
      <c r="Y459" s="45">
        <v>0</v>
      </c>
      <c r="Z459" s="45">
        <v>1</v>
      </c>
      <c r="AB459" s="45">
        <v>55338.9</v>
      </c>
      <c r="AC459" s="45">
        <v>0</v>
      </c>
      <c r="AD459" s="45">
        <v>0</v>
      </c>
      <c r="AE459" s="45">
        <v>53889.2</v>
      </c>
      <c r="AF459" s="45">
        <v>0</v>
      </c>
      <c r="AG459" s="45">
        <v>0</v>
      </c>
      <c r="AH459" s="45">
        <v>51501.2</v>
      </c>
      <c r="AI459" s="45">
        <v>0</v>
      </c>
      <c r="AJ459" s="45">
        <v>1</v>
      </c>
      <c r="AK459" s="45">
        <v>54236.5</v>
      </c>
      <c r="AL459" s="45">
        <v>7</v>
      </c>
      <c r="AM459" s="45">
        <v>0</v>
      </c>
      <c r="AO459" s="45">
        <v>52205.3</v>
      </c>
      <c r="AP459" s="45">
        <v>0</v>
      </c>
      <c r="AQ459" s="45">
        <v>1</v>
      </c>
      <c r="AR459" s="45">
        <v>57169.3</v>
      </c>
      <c r="AS459" s="45">
        <v>8</v>
      </c>
      <c r="AT459" s="45">
        <v>0</v>
      </c>
      <c r="AU459" s="45">
        <v>51435.5</v>
      </c>
      <c r="AV459" s="45">
        <v>0</v>
      </c>
      <c r="AW459" s="45">
        <v>1</v>
      </c>
      <c r="AX459" s="45">
        <v>59993.599999999999</v>
      </c>
      <c r="AY459" s="45">
        <v>21</v>
      </c>
      <c r="AZ459" s="45">
        <v>0</v>
      </c>
    </row>
    <row r="460" spans="2:52">
      <c r="B460" s="45">
        <v>51346</v>
      </c>
      <c r="C460" s="45">
        <v>0</v>
      </c>
      <c r="D460" s="45">
        <v>0</v>
      </c>
      <c r="E460" s="45">
        <v>55664.4</v>
      </c>
      <c r="F460" s="45">
        <v>0</v>
      </c>
      <c r="G460" s="45">
        <v>0</v>
      </c>
      <c r="H460" s="45">
        <v>70841</v>
      </c>
      <c r="I460" s="45">
        <v>24</v>
      </c>
      <c r="J460" s="45">
        <v>1</v>
      </c>
      <c r="K460" s="45">
        <v>58279.199999999997</v>
      </c>
      <c r="L460" s="45">
        <v>11</v>
      </c>
      <c r="M460" s="45">
        <v>0</v>
      </c>
      <c r="O460" s="45">
        <v>52937.5</v>
      </c>
      <c r="P460" s="45">
        <v>0</v>
      </c>
      <c r="Q460" s="45">
        <v>0</v>
      </c>
      <c r="R460" s="45">
        <v>54983.5</v>
      </c>
      <c r="S460" s="45">
        <v>0</v>
      </c>
      <c r="T460" s="45">
        <v>0</v>
      </c>
      <c r="U460" s="45">
        <v>56882.2</v>
      </c>
      <c r="V460" s="45">
        <v>0</v>
      </c>
      <c r="W460" s="45">
        <v>1</v>
      </c>
      <c r="X460" s="45">
        <v>56834.9</v>
      </c>
      <c r="Y460" s="45">
        <v>0</v>
      </c>
      <c r="Z460" s="45">
        <v>0</v>
      </c>
      <c r="AB460" s="45">
        <v>51040.6</v>
      </c>
      <c r="AC460" s="45">
        <v>0</v>
      </c>
      <c r="AD460" s="45">
        <v>1</v>
      </c>
      <c r="AE460" s="45">
        <v>56225.7</v>
      </c>
      <c r="AF460" s="45">
        <v>0</v>
      </c>
      <c r="AG460" s="45">
        <v>0</v>
      </c>
      <c r="AH460" s="45">
        <v>57500.800000000003</v>
      </c>
      <c r="AI460" s="45">
        <v>0</v>
      </c>
      <c r="AJ460" s="45">
        <v>1</v>
      </c>
      <c r="AK460" s="45">
        <v>61109.9</v>
      </c>
      <c r="AL460" s="45">
        <v>24</v>
      </c>
      <c r="AM460" s="45">
        <v>0</v>
      </c>
      <c r="AO460" s="45">
        <v>80435.399999999994</v>
      </c>
      <c r="AP460" s="45">
        <v>56</v>
      </c>
      <c r="AQ460" s="45">
        <v>1</v>
      </c>
      <c r="AR460" s="45">
        <v>55065</v>
      </c>
      <c r="AS460" s="45">
        <v>0</v>
      </c>
      <c r="AT460" s="45">
        <v>1</v>
      </c>
      <c r="AU460" s="45">
        <v>51157.7</v>
      </c>
      <c r="AV460" s="45">
        <v>0</v>
      </c>
      <c r="AW460" s="45">
        <v>0</v>
      </c>
      <c r="AX460" s="45">
        <v>49249.2</v>
      </c>
      <c r="AY460" s="45">
        <v>0</v>
      </c>
      <c r="AZ460" s="45">
        <v>1</v>
      </c>
    </row>
    <row r="461" spans="2:52">
      <c r="B461" s="45">
        <v>44059</v>
      </c>
      <c r="C461" s="45">
        <v>3</v>
      </c>
      <c r="D461" s="45">
        <v>1</v>
      </c>
      <c r="E461" s="45">
        <v>41267.5</v>
      </c>
      <c r="F461" s="45">
        <v>0</v>
      </c>
      <c r="G461" s="45">
        <v>0</v>
      </c>
      <c r="H461" s="45">
        <v>42525.9</v>
      </c>
      <c r="I461" s="45">
        <v>0</v>
      </c>
      <c r="J461" s="45">
        <v>0</v>
      </c>
      <c r="K461" s="45">
        <v>42281.3</v>
      </c>
      <c r="L461" s="45">
        <v>0</v>
      </c>
      <c r="M461" s="45">
        <v>1</v>
      </c>
      <c r="O461" s="45">
        <v>47515.9</v>
      </c>
      <c r="P461" s="45">
        <v>0</v>
      </c>
      <c r="Q461" s="45">
        <v>1</v>
      </c>
      <c r="R461" s="45">
        <v>49832.6</v>
      </c>
      <c r="S461" s="45">
        <v>0</v>
      </c>
      <c r="T461" s="45">
        <v>0</v>
      </c>
      <c r="U461" s="45">
        <v>42954.2</v>
      </c>
      <c r="V461" s="45">
        <v>0</v>
      </c>
      <c r="W461" s="45">
        <v>0</v>
      </c>
      <c r="X461" s="45">
        <v>50289.7</v>
      </c>
      <c r="Y461" s="45">
        <v>16</v>
      </c>
      <c r="Z461" s="45">
        <v>1</v>
      </c>
      <c r="AB461" s="45">
        <v>42882.8</v>
      </c>
      <c r="AC461" s="45">
        <v>0</v>
      </c>
      <c r="AD461" s="45">
        <v>1</v>
      </c>
      <c r="AE461" s="45">
        <v>40078</v>
      </c>
      <c r="AF461" s="45">
        <v>0</v>
      </c>
      <c r="AG461" s="45">
        <v>0</v>
      </c>
      <c r="AH461" s="45">
        <v>44063.199999999997</v>
      </c>
      <c r="AI461" s="45">
        <v>1</v>
      </c>
      <c r="AJ461" s="45">
        <v>1</v>
      </c>
      <c r="AK461" s="45">
        <v>42305.2</v>
      </c>
      <c r="AL461" s="45">
        <v>0</v>
      </c>
      <c r="AM461" s="45">
        <v>0</v>
      </c>
      <c r="AO461" s="45">
        <v>38644.9</v>
      </c>
      <c r="AP461" s="45">
        <v>0</v>
      </c>
      <c r="AQ461" s="45">
        <v>0</v>
      </c>
      <c r="AR461" s="45">
        <v>57000.4</v>
      </c>
      <c r="AS461" s="45">
        <v>34</v>
      </c>
      <c r="AT461" s="45">
        <v>1</v>
      </c>
      <c r="AU461" s="45">
        <v>43875.7</v>
      </c>
      <c r="AV461" s="45">
        <v>0</v>
      </c>
      <c r="AW461" s="45">
        <v>0</v>
      </c>
      <c r="AX461" s="45">
        <v>39970.800000000003</v>
      </c>
      <c r="AY461" s="45">
        <v>0</v>
      </c>
      <c r="AZ461" s="45">
        <v>1</v>
      </c>
    </row>
    <row r="462" spans="2:52">
      <c r="B462" s="45">
        <v>77536.5</v>
      </c>
      <c r="C462" s="45">
        <v>43</v>
      </c>
      <c r="D462" s="45">
        <v>0</v>
      </c>
      <c r="E462" s="45">
        <v>56102.7</v>
      </c>
      <c r="F462" s="45">
        <v>0</v>
      </c>
      <c r="G462" s="45">
        <v>1</v>
      </c>
      <c r="H462" s="45">
        <v>57598.5</v>
      </c>
      <c r="I462" s="45">
        <v>0</v>
      </c>
      <c r="J462" s="45">
        <v>0</v>
      </c>
      <c r="K462" s="45">
        <v>71100.3</v>
      </c>
      <c r="L462" s="45">
        <v>27</v>
      </c>
      <c r="M462" s="45">
        <v>0</v>
      </c>
      <c r="O462" s="45">
        <v>61159.7</v>
      </c>
      <c r="P462" s="45">
        <v>0</v>
      </c>
      <c r="Q462" s="45">
        <v>0</v>
      </c>
      <c r="R462" s="45">
        <v>56111.199999999997</v>
      </c>
      <c r="S462" s="45">
        <v>0</v>
      </c>
      <c r="T462" s="45">
        <v>0</v>
      </c>
      <c r="U462" s="45">
        <v>60434</v>
      </c>
      <c r="V462" s="45">
        <v>0</v>
      </c>
      <c r="W462" s="45">
        <v>1</v>
      </c>
      <c r="X462" s="45">
        <v>56113</v>
      </c>
      <c r="Y462" s="45">
        <v>0</v>
      </c>
      <c r="Z462" s="45">
        <v>0</v>
      </c>
      <c r="AB462" s="45">
        <v>64084.800000000003</v>
      </c>
      <c r="AC462" s="45">
        <v>0</v>
      </c>
      <c r="AD462" s="45">
        <v>0</v>
      </c>
      <c r="AE462" s="45">
        <v>57818.400000000001</v>
      </c>
      <c r="AF462" s="45">
        <v>0</v>
      </c>
      <c r="AG462" s="45">
        <v>1</v>
      </c>
      <c r="AH462" s="45">
        <v>55191.3</v>
      </c>
      <c r="AI462" s="45">
        <v>0</v>
      </c>
      <c r="AJ462" s="45">
        <v>0</v>
      </c>
      <c r="AK462" s="45">
        <v>83498.5</v>
      </c>
      <c r="AL462" s="45">
        <v>56</v>
      </c>
      <c r="AM462" s="45">
        <v>1</v>
      </c>
      <c r="AO462" s="45">
        <v>78531</v>
      </c>
      <c r="AP462" s="45">
        <v>35</v>
      </c>
      <c r="AQ462" s="45">
        <v>0</v>
      </c>
      <c r="AR462" s="45">
        <v>63246.9</v>
      </c>
      <c r="AS462" s="45">
        <v>14</v>
      </c>
      <c r="AT462" s="45">
        <v>1</v>
      </c>
      <c r="AU462" s="45">
        <v>74368.600000000006</v>
      </c>
      <c r="AV462" s="45">
        <v>36</v>
      </c>
      <c r="AW462" s="45">
        <v>0</v>
      </c>
      <c r="AX462" s="45">
        <v>58352.3</v>
      </c>
      <c r="AY462" s="45">
        <v>0</v>
      </c>
      <c r="AZ462" s="45">
        <v>1</v>
      </c>
    </row>
    <row r="463" spans="2:52">
      <c r="B463" s="45">
        <v>59347.6</v>
      </c>
      <c r="C463" s="45">
        <v>24</v>
      </c>
      <c r="D463" s="45">
        <v>1</v>
      </c>
      <c r="E463" s="45">
        <v>75225.899999999994</v>
      </c>
      <c r="F463" s="45">
        <v>59</v>
      </c>
      <c r="G463" s="45">
        <v>0</v>
      </c>
      <c r="H463" s="45">
        <v>46526.1</v>
      </c>
      <c r="I463" s="45">
        <v>0</v>
      </c>
      <c r="J463" s="45">
        <v>1</v>
      </c>
      <c r="K463" s="45">
        <v>78097</v>
      </c>
      <c r="L463" s="45">
        <v>61</v>
      </c>
      <c r="M463" s="45">
        <v>0</v>
      </c>
      <c r="O463" s="45">
        <v>90067.199999999997</v>
      </c>
      <c r="P463" s="45">
        <v>81</v>
      </c>
      <c r="Q463" s="45">
        <v>1</v>
      </c>
      <c r="R463" s="45">
        <v>49651.9</v>
      </c>
      <c r="S463" s="45">
        <v>0</v>
      </c>
      <c r="T463" s="45">
        <v>0</v>
      </c>
      <c r="U463" s="45">
        <v>47312.6</v>
      </c>
      <c r="V463" s="45">
        <v>0</v>
      </c>
      <c r="W463" s="45">
        <v>0</v>
      </c>
      <c r="X463" s="45">
        <v>76215.199999999997</v>
      </c>
      <c r="Y463" s="45">
        <v>64</v>
      </c>
      <c r="Z463" s="45">
        <v>1</v>
      </c>
      <c r="AB463" s="45">
        <v>73434.899999999994</v>
      </c>
      <c r="AC463" s="45">
        <v>54</v>
      </c>
      <c r="AD463" s="45">
        <v>0</v>
      </c>
      <c r="AE463" s="45">
        <v>57402.8</v>
      </c>
      <c r="AF463" s="45">
        <v>17</v>
      </c>
      <c r="AG463" s="45">
        <v>0</v>
      </c>
      <c r="AH463" s="45">
        <v>67184</v>
      </c>
      <c r="AI463" s="45">
        <v>34</v>
      </c>
      <c r="AJ463" s="45">
        <v>1</v>
      </c>
      <c r="AK463" s="45">
        <v>62908.1</v>
      </c>
      <c r="AL463" s="45">
        <v>34</v>
      </c>
      <c r="AM463" s="45">
        <v>0</v>
      </c>
      <c r="AO463" s="45">
        <v>69187.199999999997</v>
      </c>
      <c r="AP463" s="45">
        <v>41</v>
      </c>
      <c r="AQ463" s="45">
        <v>0</v>
      </c>
      <c r="AR463" s="45">
        <v>65626.2</v>
      </c>
      <c r="AS463" s="45">
        <v>38</v>
      </c>
      <c r="AT463" s="45">
        <v>1</v>
      </c>
      <c r="AU463" s="45">
        <v>75798.399999999994</v>
      </c>
      <c r="AV463" s="45">
        <v>58</v>
      </c>
      <c r="AW463" s="45">
        <v>1</v>
      </c>
      <c r="AX463" s="45">
        <v>79608</v>
      </c>
      <c r="AY463" s="45">
        <v>70</v>
      </c>
      <c r="AZ463" s="45">
        <v>0</v>
      </c>
    </row>
    <row r="464" spans="2:52">
      <c r="B464" s="45">
        <v>50222.3</v>
      </c>
      <c r="C464" s="45">
        <v>0</v>
      </c>
      <c r="D464" s="45">
        <v>0</v>
      </c>
      <c r="E464" s="45">
        <v>55893.5</v>
      </c>
      <c r="F464" s="45">
        <v>19</v>
      </c>
      <c r="G464" s="45">
        <v>1</v>
      </c>
      <c r="H464" s="45">
        <v>52732.7</v>
      </c>
      <c r="I464" s="45">
        <v>0</v>
      </c>
      <c r="J464" s="45">
        <v>0</v>
      </c>
      <c r="K464" s="45">
        <v>63945.3</v>
      </c>
      <c r="L464" s="45">
        <v>28</v>
      </c>
      <c r="M464" s="45">
        <v>1</v>
      </c>
      <c r="O464" s="45">
        <v>54732.5</v>
      </c>
      <c r="P464" s="45">
        <v>9</v>
      </c>
      <c r="Q464" s="45">
        <v>0</v>
      </c>
      <c r="R464" s="45">
        <v>60327.9</v>
      </c>
      <c r="S464" s="45">
        <v>20</v>
      </c>
      <c r="T464" s="45">
        <v>1</v>
      </c>
      <c r="U464" s="45">
        <v>72091.399999999994</v>
      </c>
      <c r="V464" s="45">
        <v>44</v>
      </c>
      <c r="W464" s="45">
        <v>0</v>
      </c>
      <c r="X464" s="45">
        <v>62531.7</v>
      </c>
      <c r="Y464" s="45">
        <v>13</v>
      </c>
      <c r="Z464" s="45">
        <v>1</v>
      </c>
      <c r="AB464" s="45">
        <v>49329.7</v>
      </c>
      <c r="AC464" s="45">
        <v>0</v>
      </c>
      <c r="AD464" s="45">
        <v>1</v>
      </c>
      <c r="AE464" s="45">
        <v>47164.5</v>
      </c>
      <c r="AF464" s="45">
        <v>0</v>
      </c>
      <c r="AG464" s="45">
        <v>0</v>
      </c>
      <c r="AH464" s="45">
        <v>51322.400000000001</v>
      </c>
      <c r="AI464" s="45">
        <v>0</v>
      </c>
      <c r="AJ464" s="45">
        <v>0</v>
      </c>
      <c r="AK464" s="45">
        <v>49563</v>
      </c>
      <c r="AL464" s="45">
        <v>0</v>
      </c>
      <c r="AM464" s="45">
        <v>1</v>
      </c>
      <c r="AO464" s="45">
        <v>56923.199999999997</v>
      </c>
      <c r="AP464" s="45">
        <v>0</v>
      </c>
      <c r="AQ464" s="45">
        <v>1</v>
      </c>
      <c r="AR464" s="45">
        <v>73259.899999999994</v>
      </c>
      <c r="AS464" s="45">
        <v>55</v>
      </c>
      <c r="AT464" s="45">
        <v>0</v>
      </c>
      <c r="AU464" s="45">
        <v>49483.7</v>
      </c>
      <c r="AV464" s="45">
        <v>0</v>
      </c>
      <c r="AW464" s="45">
        <v>1</v>
      </c>
      <c r="AX464" s="45">
        <v>49037.5</v>
      </c>
      <c r="AY464" s="45">
        <v>0</v>
      </c>
      <c r="AZ464" s="45">
        <v>0</v>
      </c>
    </row>
    <row r="465" spans="2:52">
      <c r="B465" s="45">
        <v>83176.3</v>
      </c>
      <c r="C465" s="45">
        <v>75</v>
      </c>
      <c r="D465" s="45">
        <v>0</v>
      </c>
      <c r="E465" s="45">
        <v>61671.5</v>
      </c>
      <c r="F465" s="45">
        <v>33</v>
      </c>
      <c r="G465" s="45">
        <v>1</v>
      </c>
      <c r="H465" s="45">
        <v>46080.2</v>
      </c>
      <c r="I465" s="45">
        <v>0</v>
      </c>
      <c r="J465" s="45">
        <v>0</v>
      </c>
      <c r="K465" s="45">
        <v>46504.2</v>
      </c>
      <c r="L465" s="45">
        <v>0</v>
      </c>
      <c r="M465" s="45">
        <v>0</v>
      </c>
      <c r="O465" s="45">
        <v>48358.7</v>
      </c>
      <c r="P465" s="45">
        <v>0</v>
      </c>
      <c r="Q465" s="45">
        <v>0</v>
      </c>
      <c r="R465" s="45">
        <v>48860.3</v>
      </c>
      <c r="S465" s="45">
        <v>0</v>
      </c>
      <c r="T465" s="45">
        <v>1</v>
      </c>
      <c r="U465" s="45">
        <v>68411.5</v>
      </c>
      <c r="V465" s="45">
        <v>42</v>
      </c>
      <c r="W465" s="45">
        <v>0</v>
      </c>
      <c r="X465" s="45">
        <v>69013.5</v>
      </c>
      <c r="Y465" s="45">
        <v>50</v>
      </c>
      <c r="Z465" s="45">
        <v>1</v>
      </c>
      <c r="AB465" s="45">
        <v>51265.7</v>
      </c>
      <c r="AC465" s="45">
        <v>16</v>
      </c>
      <c r="AD465" s="45">
        <v>0</v>
      </c>
      <c r="AE465" s="45">
        <v>42455</v>
      </c>
      <c r="AF465" s="45">
        <v>0</v>
      </c>
      <c r="AG465" s="45">
        <v>1</v>
      </c>
      <c r="AH465" s="45">
        <v>49898.5</v>
      </c>
      <c r="AI465" s="45">
        <v>8</v>
      </c>
      <c r="AJ465" s="45">
        <v>0</v>
      </c>
      <c r="AK465" s="45">
        <v>43268.4</v>
      </c>
      <c r="AL465" s="45">
        <v>0</v>
      </c>
      <c r="AM465" s="45">
        <v>1</v>
      </c>
      <c r="AO465" s="45">
        <v>48766</v>
      </c>
      <c r="AP465" s="45">
        <v>5</v>
      </c>
      <c r="AQ465" s="45">
        <v>1</v>
      </c>
      <c r="AR465" s="45">
        <v>60783.4</v>
      </c>
      <c r="AS465" s="45">
        <v>26</v>
      </c>
      <c r="AT465" s="45">
        <v>0</v>
      </c>
      <c r="AU465" s="45">
        <v>44821.7</v>
      </c>
      <c r="AV465" s="45">
        <v>0</v>
      </c>
      <c r="AW465" s="45">
        <v>1</v>
      </c>
      <c r="AX465" s="45">
        <v>60535.199999999997</v>
      </c>
      <c r="AY465" s="45">
        <v>32</v>
      </c>
      <c r="AZ465" s="45">
        <v>0</v>
      </c>
    </row>
    <row r="466" spans="2:52">
      <c r="B466" s="45">
        <v>59839.199999999997</v>
      </c>
      <c r="C466" s="45">
        <v>0</v>
      </c>
      <c r="D466" s="45">
        <v>1</v>
      </c>
      <c r="E466" s="45">
        <v>62425.5</v>
      </c>
      <c r="F466" s="45">
        <v>0</v>
      </c>
      <c r="G466" s="45">
        <v>0</v>
      </c>
      <c r="H466" s="45">
        <v>57475.6</v>
      </c>
      <c r="I466" s="45">
        <v>0</v>
      </c>
      <c r="J466" s="45">
        <v>0</v>
      </c>
      <c r="K466" s="45">
        <v>59688.1</v>
      </c>
      <c r="L466" s="45">
        <v>0</v>
      </c>
      <c r="M466" s="45">
        <v>1</v>
      </c>
      <c r="O466" s="45">
        <v>62459</v>
      </c>
      <c r="P466" s="45">
        <v>0</v>
      </c>
      <c r="Q466" s="45">
        <v>1</v>
      </c>
      <c r="R466" s="45">
        <v>61200.800000000003</v>
      </c>
      <c r="S466" s="45">
        <v>0</v>
      </c>
      <c r="T466" s="45">
        <v>0</v>
      </c>
      <c r="U466" s="45">
        <v>57491.3</v>
      </c>
      <c r="V466" s="45">
        <v>0</v>
      </c>
      <c r="W466" s="45">
        <v>0</v>
      </c>
      <c r="X466" s="45">
        <v>59116.1</v>
      </c>
      <c r="Y466" s="45">
        <v>0</v>
      </c>
      <c r="Z466" s="45">
        <v>1</v>
      </c>
      <c r="AB466" s="45">
        <v>81023.399999999994</v>
      </c>
      <c r="AC466" s="45">
        <v>47</v>
      </c>
      <c r="AD466" s="45">
        <v>0</v>
      </c>
      <c r="AE466" s="45">
        <v>55855.5</v>
      </c>
      <c r="AF466" s="45">
        <v>0</v>
      </c>
      <c r="AG466" s="45">
        <v>1</v>
      </c>
      <c r="AH466" s="45">
        <v>56344</v>
      </c>
      <c r="AI466" s="45">
        <v>0</v>
      </c>
      <c r="AJ466" s="45">
        <v>0</v>
      </c>
      <c r="AK466" s="45">
        <v>58807.3</v>
      </c>
      <c r="AL466" s="45">
        <v>0</v>
      </c>
      <c r="AM466" s="45">
        <v>0</v>
      </c>
      <c r="AO466" s="45">
        <v>55381.4</v>
      </c>
      <c r="AP466" s="45">
        <v>0</v>
      </c>
      <c r="AQ466" s="45">
        <v>1</v>
      </c>
      <c r="AR466" s="45">
        <v>64404.3</v>
      </c>
      <c r="AS466" s="45">
        <v>0</v>
      </c>
      <c r="AT466" s="45">
        <v>0</v>
      </c>
      <c r="AU466" s="45">
        <v>58429.3</v>
      </c>
      <c r="AV466" s="45">
        <v>0</v>
      </c>
      <c r="AW466" s="45">
        <v>0</v>
      </c>
      <c r="AX466" s="45">
        <v>53628.800000000003</v>
      </c>
      <c r="AY466" s="45">
        <v>0</v>
      </c>
      <c r="AZ466" s="45">
        <v>1</v>
      </c>
    </row>
    <row r="467" spans="2:52">
      <c r="B467" s="45">
        <v>52828.2</v>
      </c>
      <c r="C467" s="45">
        <v>8</v>
      </c>
      <c r="D467" s="45">
        <v>0</v>
      </c>
      <c r="E467" s="45">
        <v>46786.7</v>
      </c>
      <c r="F467" s="45">
        <v>0</v>
      </c>
      <c r="G467" s="45">
        <v>0</v>
      </c>
      <c r="H467" s="45">
        <v>51408.7</v>
      </c>
      <c r="I467" s="45">
        <v>0</v>
      </c>
      <c r="J467" s="45">
        <v>1</v>
      </c>
      <c r="K467" s="45">
        <v>89233.3</v>
      </c>
      <c r="L467" s="45">
        <v>88</v>
      </c>
      <c r="M467" s="45">
        <v>0</v>
      </c>
      <c r="O467" s="45">
        <v>75249.7</v>
      </c>
      <c r="P467" s="45">
        <v>58</v>
      </c>
      <c r="Q467" s="45">
        <v>1</v>
      </c>
      <c r="R467" s="45">
        <v>75639.199999999997</v>
      </c>
      <c r="S467" s="45">
        <v>51</v>
      </c>
      <c r="T467" s="45">
        <v>0</v>
      </c>
      <c r="U467" s="45">
        <v>50416.2</v>
      </c>
      <c r="V467" s="45">
        <v>0</v>
      </c>
      <c r="W467" s="45">
        <v>0</v>
      </c>
      <c r="X467" s="45">
        <v>47401.9</v>
      </c>
      <c r="Y467" s="45">
        <v>0</v>
      </c>
      <c r="Z467" s="45">
        <v>1</v>
      </c>
      <c r="AB467" s="45">
        <v>69279.3</v>
      </c>
      <c r="AC467" s="45">
        <v>33</v>
      </c>
      <c r="AD467" s="45">
        <v>1</v>
      </c>
      <c r="AE467" s="45">
        <v>84049.8</v>
      </c>
      <c r="AF467" s="45">
        <v>58</v>
      </c>
      <c r="AG467" s="45">
        <v>0</v>
      </c>
      <c r="AH467" s="45">
        <v>43288.9</v>
      </c>
      <c r="AI467" s="45">
        <v>0</v>
      </c>
      <c r="AJ467" s="45">
        <v>1</v>
      </c>
      <c r="AK467" s="45">
        <v>103734</v>
      </c>
      <c r="AL467" s="45">
        <v>119</v>
      </c>
      <c r="AM467" s="45">
        <v>0</v>
      </c>
      <c r="AO467" s="45">
        <v>85144.3</v>
      </c>
      <c r="AP467" s="45">
        <v>76</v>
      </c>
      <c r="AQ467" s="45">
        <v>1</v>
      </c>
      <c r="AR467" s="45">
        <v>103287</v>
      </c>
      <c r="AS467" s="45">
        <v>110</v>
      </c>
      <c r="AT467" s="45">
        <v>0</v>
      </c>
      <c r="AU467" s="45">
        <v>69792.600000000006</v>
      </c>
      <c r="AV467" s="45">
        <v>42</v>
      </c>
      <c r="AW467" s="45">
        <v>1</v>
      </c>
      <c r="AX467" s="45">
        <v>58756.800000000003</v>
      </c>
      <c r="AY467" s="45">
        <v>30</v>
      </c>
      <c r="AZ467" s="45">
        <v>1</v>
      </c>
    </row>
    <row r="468" spans="2:52">
      <c r="B468" s="45">
        <v>51316.5</v>
      </c>
      <c r="C468" s="45">
        <v>3</v>
      </c>
      <c r="D468" s="45">
        <v>1</v>
      </c>
      <c r="E468" s="45">
        <v>57396.3</v>
      </c>
      <c r="F468" s="45">
        <v>20</v>
      </c>
      <c r="G468" s="45">
        <v>0</v>
      </c>
      <c r="H468" s="45">
        <v>62910.7</v>
      </c>
      <c r="I468" s="45">
        <v>26</v>
      </c>
      <c r="J468" s="45">
        <v>0</v>
      </c>
      <c r="K468" s="45">
        <v>51257.9</v>
      </c>
      <c r="L468" s="45">
        <v>5</v>
      </c>
      <c r="M468" s="45">
        <v>1</v>
      </c>
      <c r="O468" s="45">
        <v>51580.7</v>
      </c>
      <c r="P468" s="45">
        <v>0</v>
      </c>
      <c r="Q468" s="45">
        <v>0</v>
      </c>
      <c r="R468" s="45">
        <v>48664.800000000003</v>
      </c>
      <c r="S468" s="45">
        <v>0</v>
      </c>
      <c r="T468" s="45">
        <v>1</v>
      </c>
      <c r="U468" s="45">
        <v>59467.8</v>
      </c>
      <c r="V468" s="45">
        <v>18</v>
      </c>
      <c r="W468" s="45">
        <v>0</v>
      </c>
      <c r="X468" s="45">
        <v>94770.6</v>
      </c>
      <c r="Y468" s="45">
        <v>92</v>
      </c>
      <c r="Z468" s="45">
        <v>1</v>
      </c>
      <c r="AB468" s="45">
        <v>80354.5</v>
      </c>
      <c r="AC468" s="45">
        <v>64</v>
      </c>
      <c r="AD468" s="45">
        <v>1</v>
      </c>
      <c r="AE468" s="45">
        <v>48999.6</v>
      </c>
      <c r="AF468" s="45">
        <v>0</v>
      </c>
      <c r="AG468" s="45">
        <v>0</v>
      </c>
      <c r="AH468" s="45">
        <v>49402.8</v>
      </c>
      <c r="AI468" s="45">
        <v>0</v>
      </c>
      <c r="AJ468" s="45">
        <v>0</v>
      </c>
      <c r="AK468" s="45">
        <v>63345.8</v>
      </c>
      <c r="AL468" s="45">
        <v>27</v>
      </c>
      <c r="AM468" s="45">
        <v>1</v>
      </c>
      <c r="AO468" s="45">
        <v>48272.9</v>
      </c>
      <c r="AP468" s="45">
        <v>0</v>
      </c>
      <c r="AQ468" s="45">
        <v>0</v>
      </c>
      <c r="AR468" s="45">
        <v>52428.800000000003</v>
      </c>
      <c r="AS468" s="45">
        <v>0</v>
      </c>
      <c r="AT468" s="45">
        <v>1</v>
      </c>
      <c r="AU468" s="45">
        <v>50852.1</v>
      </c>
      <c r="AV468" s="45">
        <v>0</v>
      </c>
      <c r="AW468" s="45">
        <v>0</v>
      </c>
      <c r="AX468" s="45">
        <v>47958.8</v>
      </c>
      <c r="AY468" s="45">
        <v>0</v>
      </c>
      <c r="AZ468" s="45">
        <v>1</v>
      </c>
    </row>
    <row r="469" spans="2:52">
      <c r="B469" s="45">
        <v>59558.3</v>
      </c>
      <c r="C469" s="45">
        <v>31</v>
      </c>
      <c r="D469" s="45">
        <v>0</v>
      </c>
      <c r="E469" s="45">
        <v>50673.5</v>
      </c>
      <c r="F469" s="45">
        <v>19</v>
      </c>
      <c r="G469" s="45">
        <v>1</v>
      </c>
      <c r="H469" s="45">
        <v>36184.6</v>
      </c>
      <c r="I469" s="45">
        <v>0</v>
      </c>
      <c r="J469" s="45">
        <v>0</v>
      </c>
      <c r="K469" s="45">
        <v>42400.2</v>
      </c>
      <c r="L469" s="45">
        <v>0</v>
      </c>
      <c r="M469" s="45">
        <v>0</v>
      </c>
      <c r="O469" s="45">
        <v>51009.1</v>
      </c>
      <c r="P469" s="45">
        <v>17</v>
      </c>
      <c r="Q469" s="45">
        <v>0</v>
      </c>
      <c r="R469" s="45">
        <v>61536.800000000003</v>
      </c>
      <c r="S469" s="45">
        <v>36</v>
      </c>
      <c r="T469" s="45">
        <v>1</v>
      </c>
      <c r="U469" s="45">
        <v>44503.199999999997</v>
      </c>
      <c r="V469" s="45">
        <v>4</v>
      </c>
      <c r="W469" s="45">
        <v>0</v>
      </c>
      <c r="X469" s="45">
        <v>48973.1</v>
      </c>
      <c r="Y469" s="45">
        <v>12</v>
      </c>
      <c r="Z469" s="45">
        <v>1</v>
      </c>
      <c r="AB469" s="45">
        <v>51140.5</v>
      </c>
      <c r="AC469" s="45">
        <v>26</v>
      </c>
      <c r="AD469" s="45">
        <v>1</v>
      </c>
      <c r="AE469" s="45">
        <v>42479.3</v>
      </c>
      <c r="AF469" s="45">
        <v>1</v>
      </c>
      <c r="AG469" s="45">
        <v>0</v>
      </c>
      <c r="AH469" s="45">
        <v>40208.199999999997</v>
      </c>
      <c r="AI469" s="45">
        <v>1</v>
      </c>
      <c r="AJ469" s="45">
        <v>0</v>
      </c>
      <c r="AK469" s="45">
        <v>47818.1</v>
      </c>
      <c r="AL469" s="45">
        <v>25</v>
      </c>
      <c r="AM469" s="45">
        <v>1</v>
      </c>
      <c r="AO469" s="45">
        <v>37620.6</v>
      </c>
      <c r="AP469" s="45">
        <v>0</v>
      </c>
      <c r="AQ469" s="45">
        <v>0</v>
      </c>
      <c r="AR469" s="45">
        <v>38622.1</v>
      </c>
      <c r="AS469" s="45">
        <v>0</v>
      </c>
      <c r="AT469" s="45">
        <v>1</v>
      </c>
      <c r="AU469" s="45">
        <v>56368.4</v>
      </c>
      <c r="AV469" s="45">
        <v>34</v>
      </c>
      <c r="AW469" s="45">
        <v>0</v>
      </c>
      <c r="AX469" s="45">
        <v>39077.699999999997</v>
      </c>
      <c r="AY469" s="45">
        <v>0</v>
      </c>
      <c r="AZ469" s="45">
        <v>1</v>
      </c>
    </row>
    <row r="470" spans="2:52">
      <c r="B470" s="45">
        <v>64181.7</v>
      </c>
      <c r="C470" s="45">
        <v>31</v>
      </c>
      <c r="D470" s="45">
        <v>1</v>
      </c>
      <c r="E470" s="45">
        <v>63335.6</v>
      </c>
      <c r="F470" s="45">
        <v>34</v>
      </c>
      <c r="G470" s="45">
        <v>0</v>
      </c>
      <c r="H470" s="45">
        <v>47675.6</v>
      </c>
      <c r="I470" s="45">
        <v>0</v>
      </c>
      <c r="J470" s="45">
        <v>1</v>
      </c>
      <c r="K470" s="45">
        <v>50050.3</v>
      </c>
      <c r="L470" s="45">
        <v>0</v>
      </c>
      <c r="M470" s="45">
        <v>0</v>
      </c>
      <c r="O470" s="45">
        <v>53558.3</v>
      </c>
      <c r="P470" s="45">
        <v>0</v>
      </c>
      <c r="Q470" s="45">
        <v>0</v>
      </c>
      <c r="R470" s="45">
        <v>63617.1</v>
      </c>
      <c r="S470" s="45">
        <v>32</v>
      </c>
      <c r="T470" s="45">
        <v>1</v>
      </c>
      <c r="U470" s="45">
        <v>51055.199999999997</v>
      </c>
      <c r="V470" s="45">
        <v>0</v>
      </c>
      <c r="W470" s="45">
        <v>0</v>
      </c>
      <c r="X470" s="45">
        <v>43603.6</v>
      </c>
      <c r="Y470" s="45">
        <v>0</v>
      </c>
      <c r="Z470" s="45">
        <v>1</v>
      </c>
      <c r="AB470" s="45">
        <v>51958.8</v>
      </c>
      <c r="AC470" s="45">
        <v>7</v>
      </c>
      <c r="AD470" s="45">
        <v>1</v>
      </c>
      <c r="AE470" s="45">
        <v>50760.9</v>
      </c>
      <c r="AF470" s="45">
        <v>12</v>
      </c>
      <c r="AG470" s="45">
        <v>0</v>
      </c>
      <c r="AH470" s="45">
        <v>45724.3</v>
      </c>
      <c r="AI470" s="45">
        <v>0</v>
      </c>
      <c r="AJ470" s="45">
        <v>1</v>
      </c>
      <c r="AK470" s="45">
        <v>43039.6</v>
      </c>
      <c r="AL470" s="45">
        <v>0</v>
      </c>
      <c r="AM470" s="45">
        <v>0</v>
      </c>
      <c r="AO470" s="45">
        <v>66354.2</v>
      </c>
      <c r="AP470" s="45">
        <v>35</v>
      </c>
      <c r="AQ470" s="45">
        <v>0</v>
      </c>
      <c r="AR470" s="45">
        <v>45530.6</v>
      </c>
      <c r="AS470" s="45">
        <v>0</v>
      </c>
      <c r="AT470" s="45">
        <v>1</v>
      </c>
      <c r="AU470" s="45">
        <v>45897.599999999999</v>
      </c>
      <c r="AV470" s="45">
        <v>2</v>
      </c>
      <c r="AW470" s="45">
        <v>0</v>
      </c>
      <c r="AX470" s="45">
        <v>47324.9</v>
      </c>
      <c r="AY470" s="45">
        <v>4</v>
      </c>
      <c r="AZ470" s="45">
        <v>1</v>
      </c>
    </row>
    <row r="471" spans="2:52">
      <c r="B471" s="45">
        <v>62442.7</v>
      </c>
      <c r="C471" s="45">
        <v>17</v>
      </c>
      <c r="D471" s="45">
        <v>1</v>
      </c>
      <c r="E471" s="45">
        <v>63804.9</v>
      </c>
      <c r="F471" s="45">
        <v>19</v>
      </c>
      <c r="G471" s="45">
        <v>0</v>
      </c>
      <c r="H471" s="45">
        <v>75275.100000000006</v>
      </c>
      <c r="I471" s="45">
        <v>42</v>
      </c>
      <c r="J471" s="45">
        <v>0</v>
      </c>
      <c r="K471" s="45">
        <v>56184.9</v>
      </c>
      <c r="L471" s="45">
        <v>0</v>
      </c>
      <c r="M471" s="45">
        <v>1</v>
      </c>
      <c r="O471" s="45">
        <v>50570.5</v>
      </c>
      <c r="P471" s="45">
        <v>0</v>
      </c>
      <c r="Q471" s="45">
        <v>0</v>
      </c>
      <c r="R471" s="45">
        <v>49664.3</v>
      </c>
      <c r="S471" s="45">
        <v>0</v>
      </c>
      <c r="T471" s="45">
        <v>1</v>
      </c>
      <c r="U471" s="45">
        <v>52243.7</v>
      </c>
      <c r="V471" s="45">
        <v>0</v>
      </c>
      <c r="W471" s="45">
        <v>0</v>
      </c>
      <c r="X471" s="45">
        <v>53505.9</v>
      </c>
      <c r="Y471" s="45">
        <v>8</v>
      </c>
      <c r="Z471" s="45">
        <v>1</v>
      </c>
      <c r="AB471" s="45">
        <v>48932.800000000003</v>
      </c>
      <c r="AC471" s="45">
        <v>0</v>
      </c>
      <c r="AD471" s="45">
        <v>0</v>
      </c>
      <c r="AE471" s="45">
        <v>48253.8</v>
      </c>
      <c r="AF471" s="45">
        <v>0</v>
      </c>
      <c r="AG471" s="45">
        <v>1</v>
      </c>
      <c r="AH471" s="45">
        <v>74372.600000000006</v>
      </c>
      <c r="AI471" s="45">
        <v>48</v>
      </c>
      <c r="AJ471" s="45">
        <v>1</v>
      </c>
      <c r="AK471" s="45">
        <v>50732.7</v>
      </c>
      <c r="AL471" s="45">
        <v>0</v>
      </c>
      <c r="AM471" s="45">
        <v>0</v>
      </c>
      <c r="AO471" s="45">
        <v>50848.2</v>
      </c>
      <c r="AP471" s="45">
        <v>0</v>
      </c>
      <c r="AQ471" s="45">
        <v>0</v>
      </c>
      <c r="AR471" s="45">
        <v>46441.9</v>
      </c>
      <c r="AS471" s="45">
        <v>0</v>
      </c>
      <c r="AT471" s="45">
        <v>1</v>
      </c>
      <c r="AU471" s="45">
        <v>48518.8</v>
      </c>
      <c r="AV471" s="45">
        <v>0</v>
      </c>
      <c r="AW471" s="45">
        <v>0</v>
      </c>
      <c r="AX471" s="45">
        <v>49145</v>
      </c>
      <c r="AY471" s="45">
        <v>0</v>
      </c>
      <c r="AZ471" s="45">
        <v>1</v>
      </c>
    </row>
    <row r="472" spans="2:52">
      <c r="B472" s="45">
        <v>47386.7</v>
      </c>
      <c r="C472" s="45">
        <v>0</v>
      </c>
      <c r="D472" s="45">
        <v>0</v>
      </c>
      <c r="E472" s="45">
        <v>58960.9</v>
      </c>
      <c r="F472" s="45">
        <v>28</v>
      </c>
      <c r="G472" s="45">
        <v>0</v>
      </c>
      <c r="H472" s="45">
        <v>49864.6</v>
      </c>
      <c r="I472" s="45">
        <v>7</v>
      </c>
      <c r="J472" s="45">
        <v>1</v>
      </c>
      <c r="K472" s="45">
        <v>46209.8</v>
      </c>
      <c r="L472" s="45">
        <v>0</v>
      </c>
      <c r="M472" s="45">
        <v>0</v>
      </c>
      <c r="O472" s="45">
        <v>73358.5</v>
      </c>
      <c r="P472" s="45">
        <v>32</v>
      </c>
      <c r="Q472" s="45">
        <v>0</v>
      </c>
      <c r="R472" s="45">
        <v>70793.3</v>
      </c>
      <c r="S472" s="45">
        <v>38</v>
      </c>
      <c r="T472" s="45">
        <v>0</v>
      </c>
      <c r="U472" s="45">
        <v>61978.8</v>
      </c>
      <c r="V472" s="45">
        <v>40</v>
      </c>
      <c r="W472" s="45">
        <v>1</v>
      </c>
      <c r="X472" s="45">
        <v>77075.199999999997</v>
      </c>
      <c r="Y472" s="45">
        <v>54</v>
      </c>
      <c r="Z472" s="45">
        <v>1</v>
      </c>
      <c r="AB472" s="45">
        <v>45136.2</v>
      </c>
      <c r="AC472" s="45">
        <v>1</v>
      </c>
      <c r="AD472" s="45">
        <v>0</v>
      </c>
      <c r="AE472" s="45">
        <v>46072.2</v>
      </c>
      <c r="AF472" s="45">
        <v>0</v>
      </c>
      <c r="AG472" s="45">
        <v>1</v>
      </c>
      <c r="AH472" s="45">
        <v>44382.3</v>
      </c>
      <c r="AI472" s="45">
        <v>0</v>
      </c>
      <c r="AJ472" s="45">
        <v>1</v>
      </c>
      <c r="AK472" s="45">
        <v>46248.4</v>
      </c>
      <c r="AL472" s="45">
        <v>0</v>
      </c>
      <c r="AM472" s="45">
        <v>0</v>
      </c>
      <c r="AO472" s="45">
        <v>49433</v>
      </c>
      <c r="AP472" s="45">
        <v>7</v>
      </c>
      <c r="AQ472" s="45">
        <v>0</v>
      </c>
      <c r="AR472" s="45">
        <v>45506.5</v>
      </c>
      <c r="AS472" s="45">
        <v>5</v>
      </c>
      <c r="AT472" s="45">
        <v>1</v>
      </c>
      <c r="AU472" s="45">
        <v>47465.2</v>
      </c>
      <c r="AV472" s="45">
        <v>0</v>
      </c>
      <c r="AW472" s="45">
        <v>0</v>
      </c>
      <c r="AX472" s="45">
        <v>56749.4</v>
      </c>
      <c r="AY472" s="45">
        <v>9</v>
      </c>
      <c r="AZ472" s="45">
        <v>1</v>
      </c>
    </row>
    <row r="473" spans="2:52">
      <c r="B473" s="45">
        <v>82948.5</v>
      </c>
      <c r="C473" s="45">
        <v>65</v>
      </c>
      <c r="D473" s="45">
        <v>1</v>
      </c>
      <c r="E473" s="45">
        <v>65569.8</v>
      </c>
      <c r="F473" s="45">
        <v>24</v>
      </c>
      <c r="G473" s="45">
        <v>0</v>
      </c>
      <c r="H473" s="45">
        <v>66921.600000000006</v>
      </c>
      <c r="I473" s="45">
        <v>27</v>
      </c>
      <c r="J473" s="45">
        <v>0</v>
      </c>
      <c r="K473" s="45">
        <v>85657.5</v>
      </c>
      <c r="L473" s="45">
        <v>73</v>
      </c>
      <c r="M473" s="45">
        <v>1</v>
      </c>
      <c r="O473" s="45">
        <v>56860.7</v>
      </c>
      <c r="P473" s="45">
        <v>8</v>
      </c>
      <c r="Q473" s="45">
        <v>0</v>
      </c>
      <c r="R473" s="45">
        <v>57420.9</v>
      </c>
      <c r="S473" s="45">
        <v>0</v>
      </c>
      <c r="T473" s="45">
        <v>0</v>
      </c>
      <c r="U473" s="45">
        <v>51458.3</v>
      </c>
      <c r="V473" s="45">
        <v>0</v>
      </c>
      <c r="W473" s="45">
        <v>1</v>
      </c>
      <c r="X473" s="45">
        <v>80433.2</v>
      </c>
      <c r="Y473" s="45">
        <v>58</v>
      </c>
      <c r="Z473" s="45">
        <v>0</v>
      </c>
      <c r="AB473" s="45">
        <v>70629.7</v>
      </c>
      <c r="AC473" s="45">
        <v>35</v>
      </c>
      <c r="AD473" s="45">
        <v>0</v>
      </c>
      <c r="AE473" s="45">
        <v>66914.5</v>
      </c>
      <c r="AF473" s="45">
        <v>23</v>
      </c>
      <c r="AG473" s="45">
        <v>1</v>
      </c>
      <c r="AH473" s="45">
        <v>78348.3</v>
      </c>
      <c r="AI473" s="45">
        <v>54</v>
      </c>
      <c r="AJ473" s="45">
        <v>1</v>
      </c>
      <c r="AK473" s="45">
        <v>84344.3</v>
      </c>
      <c r="AL473" s="45">
        <v>69</v>
      </c>
      <c r="AM473" s="45">
        <v>0</v>
      </c>
      <c r="AO473" s="45">
        <v>82804.7</v>
      </c>
      <c r="AP473" s="45">
        <v>59</v>
      </c>
      <c r="AQ473" s="45">
        <v>0</v>
      </c>
      <c r="AR473" s="45">
        <v>69484.800000000003</v>
      </c>
      <c r="AS473" s="45">
        <v>30</v>
      </c>
      <c r="AT473" s="45">
        <v>1</v>
      </c>
      <c r="AU473" s="45">
        <v>70143.399999999994</v>
      </c>
      <c r="AV473" s="45">
        <v>39</v>
      </c>
      <c r="AW473" s="45">
        <v>1</v>
      </c>
      <c r="AX473" s="45">
        <v>57416.2</v>
      </c>
      <c r="AY473" s="45">
        <v>12</v>
      </c>
      <c r="AZ473" s="45">
        <v>0</v>
      </c>
    </row>
    <row r="474" spans="2:52">
      <c r="B474" s="45">
        <v>34752.300000000003</v>
      </c>
      <c r="C474" s="45">
        <v>0</v>
      </c>
      <c r="D474" s="45">
        <v>0</v>
      </c>
      <c r="E474" s="45">
        <v>32590.2</v>
      </c>
      <c r="F474" s="45">
        <v>0</v>
      </c>
      <c r="G474" s="45">
        <v>1</v>
      </c>
      <c r="H474" s="45">
        <v>37806.300000000003</v>
      </c>
      <c r="I474" s="45">
        <v>0</v>
      </c>
      <c r="J474" s="45">
        <v>0</v>
      </c>
      <c r="K474" s="45">
        <v>33028.300000000003</v>
      </c>
      <c r="L474" s="45">
        <v>0</v>
      </c>
      <c r="M474" s="45">
        <v>0</v>
      </c>
      <c r="O474" s="45">
        <v>39850</v>
      </c>
      <c r="P474" s="45">
        <v>0</v>
      </c>
      <c r="Q474" s="45">
        <v>1</v>
      </c>
      <c r="R474" s="45">
        <v>37811.800000000003</v>
      </c>
      <c r="S474" s="45">
        <v>0</v>
      </c>
      <c r="T474" s="45">
        <v>0</v>
      </c>
      <c r="U474" s="45">
        <v>35397.800000000003</v>
      </c>
      <c r="V474" s="45">
        <v>0</v>
      </c>
      <c r="W474" s="45">
        <v>0</v>
      </c>
      <c r="X474" s="45">
        <v>35562.199999999997</v>
      </c>
      <c r="Y474" s="45">
        <v>1</v>
      </c>
      <c r="Z474" s="45">
        <v>1</v>
      </c>
      <c r="AB474" s="45">
        <v>37218.9</v>
      </c>
      <c r="AC474" s="45">
        <v>0</v>
      </c>
      <c r="AD474" s="45">
        <v>1</v>
      </c>
      <c r="AE474" s="45">
        <v>32486.9</v>
      </c>
      <c r="AF474" s="45">
        <v>0</v>
      </c>
      <c r="AG474" s="45">
        <v>0</v>
      </c>
      <c r="AH474" s="45">
        <v>29984</v>
      </c>
      <c r="AI474" s="45">
        <v>0</v>
      </c>
      <c r="AJ474" s="45">
        <v>0</v>
      </c>
      <c r="AK474" s="45">
        <v>43072.4</v>
      </c>
      <c r="AL474" s="45">
        <v>6</v>
      </c>
      <c r="AM474" s="45">
        <v>1</v>
      </c>
      <c r="AO474" s="45">
        <v>41023.300000000003</v>
      </c>
      <c r="AP474" s="45">
        <v>16</v>
      </c>
      <c r="AQ474" s="45">
        <v>1</v>
      </c>
      <c r="AR474" s="45">
        <v>34324.5</v>
      </c>
      <c r="AS474" s="45">
        <v>0</v>
      </c>
      <c r="AT474" s="45">
        <v>0</v>
      </c>
      <c r="AU474" s="45">
        <v>37334.300000000003</v>
      </c>
      <c r="AV474" s="45">
        <v>0</v>
      </c>
      <c r="AW474" s="45">
        <v>0</v>
      </c>
      <c r="AX474" s="45">
        <v>32421.599999999999</v>
      </c>
      <c r="AY474" s="45">
        <v>0</v>
      </c>
      <c r="AZ474" s="45">
        <v>1</v>
      </c>
    </row>
    <row r="475" spans="2:52">
      <c r="B475" s="45">
        <v>54979.5</v>
      </c>
      <c r="C475" s="45">
        <v>0</v>
      </c>
      <c r="D475" s="45">
        <v>1</v>
      </c>
      <c r="E475" s="45">
        <v>55369.7</v>
      </c>
      <c r="F475" s="45">
        <v>4</v>
      </c>
      <c r="G475" s="45">
        <v>0</v>
      </c>
      <c r="H475" s="45">
        <v>62745.5</v>
      </c>
      <c r="I475" s="45">
        <v>20</v>
      </c>
      <c r="J475" s="45">
        <v>0</v>
      </c>
      <c r="K475" s="45">
        <v>89589.7</v>
      </c>
      <c r="L475" s="45">
        <v>75</v>
      </c>
      <c r="M475" s="45">
        <v>1</v>
      </c>
      <c r="O475" s="45">
        <v>60147.199999999997</v>
      </c>
      <c r="P475" s="45">
        <v>0</v>
      </c>
      <c r="Q475" s="45">
        <v>0</v>
      </c>
      <c r="R475" s="45">
        <v>74837.899999999994</v>
      </c>
      <c r="S475" s="45">
        <v>36</v>
      </c>
      <c r="T475" s="45">
        <v>1</v>
      </c>
      <c r="U475" s="45">
        <v>55491.6</v>
      </c>
      <c r="V475" s="45">
        <v>0</v>
      </c>
      <c r="W475" s="45">
        <v>0</v>
      </c>
      <c r="X475" s="45">
        <v>51524.1</v>
      </c>
      <c r="Y475" s="45">
        <v>0</v>
      </c>
      <c r="Z475" s="45">
        <v>1</v>
      </c>
      <c r="AB475" s="45">
        <v>69555.399999999994</v>
      </c>
      <c r="AC475" s="45">
        <v>33</v>
      </c>
      <c r="AD475" s="45">
        <v>1</v>
      </c>
      <c r="AE475" s="45">
        <v>59882.9</v>
      </c>
      <c r="AF475" s="45">
        <v>14</v>
      </c>
      <c r="AG475" s="45">
        <v>0</v>
      </c>
      <c r="AH475" s="45">
        <v>68079</v>
      </c>
      <c r="AI475" s="45">
        <v>36</v>
      </c>
      <c r="AJ475" s="45">
        <v>1</v>
      </c>
      <c r="AK475" s="45">
        <v>79363.100000000006</v>
      </c>
      <c r="AL475" s="45">
        <v>56</v>
      </c>
      <c r="AM475" s="45">
        <v>0</v>
      </c>
      <c r="AO475" s="45">
        <v>81832.3</v>
      </c>
      <c r="AP475" s="45">
        <v>60</v>
      </c>
      <c r="AQ475" s="45">
        <v>1</v>
      </c>
      <c r="AR475" s="45">
        <v>52033.599999999999</v>
      </c>
      <c r="AS475" s="45">
        <v>1</v>
      </c>
      <c r="AT475" s="45">
        <v>1</v>
      </c>
      <c r="AU475" s="45">
        <v>55098.7</v>
      </c>
      <c r="AV475" s="45">
        <v>0</v>
      </c>
      <c r="AW475" s="45">
        <v>0</v>
      </c>
      <c r="AX475" s="45">
        <v>68318.899999999994</v>
      </c>
      <c r="AY475" s="45">
        <v>30</v>
      </c>
      <c r="AZ475" s="45">
        <v>1</v>
      </c>
    </row>
    <row r="476" spans="2:52">
      <c r="B476" s="45">
        <v>70859.100000000006</v>
      </c>
      <c r="C476" s="45">
        <v>52</v>
      </c>
      <c r="D476" s="45">
        <v>0</v>
      </c>
      <c r="E476" s="45">
        <v>52212</v>
      </c>
      <c r="F476" s="45">
        <v>0</v>
      </c>
      <c r="G476" s="45">
        <v>1</v>
      </c>
      <c r="H476" s="45">
        <v>65557.5</v>
      </c>
      <c r="I476" s="45">
        <v>27</v>
      </c>
      <c r="J476" s="45">
        <v>0</v>
      </c>
      <c r="K476" s="45">
        <v>63243</v>
      </c>
      <c r="L476" s="45">
        <v>30</v>
      </c>
      <c r="M476" s="45">
        <v>1</v>
      </c>
      <c r="O476" s="45">
        <v>51607.9</v>
      </c>
      <c r="P476" s="45">
        <v>0</v>
      </c>
      <c r="Q476" s="45">
        <v>0</v>
      </c>
      <c r="R476" s="45">
        <v>51893.2</v>
      </c>
      <c r="S476" s="45">
        <v>0</v>
      </c>
      <c r="T476" s="45">
        <v>0</v>
      </c>
      <c r="U476" s="45">
        <v>51915.199999999997</v>
      </c>
      <c r="V476" s="45">
        <v>0</v>
      </c>
      <c r="W476" s="45">
        <v>1</v>
      </c>
      <c r="X476" s="45">
        <v>58591.6</v>
      </c>
      <c r="Y476" s="45">
        <v>14</v>
      </c>
      <c r="Z476" s="45">
        <v>0</v>
      </c>
      <c r="AB476" s="45">
        <v>53454.9</v>
      </c>
      <c r="AC476" s="45">
        <v>0</v>
      </c>
      <c r="AD476" s="45">
        <v>0</v>
      </c>
      <c r="AE476" s="45">
        <v>64196.7</v>
      </c>
      <c r="AF476" s="45">
        <v>37</v>
      </c>
      <c r="AG476" s="45">
        <v>1</v>
      </c>
      <c r="AH476" s="45">
        <v>52052.6</v>
      </c>
      <c r="AI476" s="45">
        <v>6</v>
      </c>
      <c r="AJ476" s="45">
        <v>0</v>
      </c>
      <c r="AK476" s="45">
        <v>65174.8</v>
      </c>
      <c r="AL476" s="45">
        <v>33</v>
      </c>
      <c r="AM476" s="45">
        <v>1</v>
      </c>
      <c r="AO476" s="45">
        <v>64752.6</v>
      </c>
      <c r="AP476" s="45">
        <v>28</v>
      </c>
      <c r="AQ476" s="45">
        <v>1</v>
      </c>
      <c r="AR476" s="45">
        <v>51480.1</v>
      </c>
      <c r="AS476" s="45">
        <v>0</v>
      </c>
      <c r="AT476" s="45">
        <v>0</v>
      </c>
      <c r="AU476" s="45">
        <v>65587.199999999997</v>
      </c>
      <c r="AV476" s="45">
        <v>32</v>
      </c>
      <c r="AW476" s="45">
        <v>1</v>
      </c>
      <c r="AX476" s="45">
        <v>49590.9</v>
      </c>
      <c r="AY476" s="45">
        <v>0</v>
      </c>
      <c r="AZ476" s="45">
        <v>0</v>
      </c>
    </row>
    <row r="477" spans="2:52">
      <c r="B477" s="45">
        <v>52575.3</v>
      </c>
      <c r="C477" s="45">
        <v>20</v>
      </c>
      <c r="D477" s="45">
        <v>0</v>
      </c>
      <c r="E477" s="45">
        <v>44867.7</v>
      </c>
      <c r="F477" s="45">
        <v>0</v>
      </c>
      <c r="G477" s="45">
        <v>1</v>
      </c>
      <c r="H477" s="45">
        <v>48317.1</v>
      </c>
      <c r="I477" s="45">
        <v>0</v>
      </c>
      <c r="J477" s="45">
        <v>0</v>
      </c>
      <c r="K477" s="45">
        <v>58822</v>
      </c>
      <c r="L477" s="45">
        <v>28</v>
      </c>
      <c r="M477" s="45">
        <v>0</v>
      </c>
      <c r="O477" s="45">
        <v>49774.6</v>
      </c>
      <c r="P477" s="45">
        <v>0</v>
      </c>
      <c r="Q477" s="45">
        <v>1</v>
      </c>
      <c r="R477" s="45">
        <v>43079.3</v>
      </c>
      <c r="S477" s="45">
        <v>0</v>
      </c>
      <c r="T477" s="45">
        <v>0</v>
      </c>
      <c r="U477" s="45">
        <v>46247.3</v>
      </c>
      <c r="V477" s="45">
        <v>2</v>
      </c>
      <c r="W477" s="45">
        <v>0</v>
      </c>
      <c r="X477" s="45">
        <v>43363.7</v>
      </c>
      <c r="Y477" s="45">
        <v>0</v>
      </c>
      <c r="Z477" s="45">
        <v>1</v>
      </c>
      <c r="AB477" s="45">
        <v>47321.5</v>
      </c>
      <c r="AC477" s="45">
        <v>0</v>
      </c>
      <c r="AD477" s="45">
        <v>0</v>
      </c>
      <c r="AE477" s="45">
        <v>48160.6</v>
      </c>
      <c r="AF477" s="45">
        <v>14</v>
      </c>
      <c r="AG477" s="45">
        <v>1</v>
      </c>
      <c r="AH477" s="45">
        <v>58328.5</v>
      </c>
      <c r="AI477" s="45">
        <v>28</v>
      </c>
      <c r="AJ477" s="45">
        <v>0</v>
      </c>
      <c r="AK477" s="45">
        <v>50279.9</v>
      </c>
      <c r="AL477" s="45">
        <v>13</v>
      </c>
      <c r="AM477" s="45">
        <v>1</v>
      </c>
      <c r="AO477" s="45">
        <v>49299.8</v>
      </c>
      <c r="AP477" s="45">
        <v>0</v>
      </c>
      <c r="AQ477" s="45">
        <v>0</v>
      </c>
      <c r="AR477" s="45">
        <v>53220</v>
      </c>
      <c r="AS477" s="45">
        <v>9</v>
      </c>
      <c r="AT477" s="45">
        <v>1</v>
      </c>
      <c r="AU477" s="45">
        <v>49000.4</v>
      </c>
      <c r="AV477" s="45">
        <v>0</v>
      </c>
      <c r="AW477" s="45">
        <v>0</v>
      </c>
      <c r="AX477" s="45">
        <v>41321.9</v>
      </c>
      <c r="AY477" s="45">
        <v>0</v>
      </c>
      <c r="AZ477" s="45">
        <v>1</v>
      </c>
    </row>
    <row r="478" spans="2:52">
      <c r="B478" s="45">
        <v>58154.400000000001</v>
      </c>
      <c r="C478" s="45">
        <v>0</v>
      </c>
      <c r="D478" s="45">
        <v>1</v>
      </c>
      <c r="E478" s="45">
        <v>61326.2</v>
      </c>
      <c r="F478" s="45">
        <v>0</v>
      </c>
      <c r="G478" s="45">
        <v>0</v>
      </c>
      <c r="H478" s="45">
        <v>61901.4</v>
      </c>
      <c r="I478" s="45">
        <v>0</v>
      </c>
      <c r="J478" s="45">
        <v>0</v>
      </c>
      <c r="K478" s="45">
        <v>75789.100000000006</v>
      </c>
      <c r="L478" s="45">
        <v>29</v>
      </c>
      <c r="M478" s="45">
        <v>1</v>
      </c>
      <c r="O478" s="45">
        <v>65609.3</v>
      </c>
      <c r="P478" s="45">
        <v>0</v>
      </c>
      <c r="Q478" s="45">
        <v>0</v>
      </c>
      <c r="R478" s="45">
        <v>63180.4</v>
      </c>
      <c r="S478" s="45">
        <v>0</v>
      </c>
      <c r="T478" s="45">
        <v>1</v>
      </c>
      <c r="U478" s="45">
        <v>60493.3</v>
      </c>
      <c r="V478" s="45">
        <v>0</v>
      </c>
      <c r="W478" s="45">
        <v>0</v>
      </c>
      <c r="X478" s="45">
        <v>70066.600000000006</v>
      </c>
      <c r="Y478" s="45">
        <v>0</v>
      </c>
      <c r="Z478" s="45">
        <v>1</v>
      </c>
      <c r="AB478" s="45">
        <v>60995.9</v>
      </c>
      <c r="AC478" s="45">
        <v>0</v>
      </c>
      <c r="AD478" s="45">
        <v>0</v>
      </c>
      <c r="AE478" s="45">
        <v>112728</v>
      </c>
      <c r="AF478" s="45">
        <v>89</v>
      </c>
      <c r="AG478" s="45">
        <v>1</v>
      </c>
      <c r="AH478" s="45">
        <v>77946.100000000006</v>
      </c>
      <c r="AI478" s="45">
        <v>32</v>
      </c>
      <c r="AJ478" s="45">
        <v>0</v>
      </c>
      <c r="AK478" s="45">
        <v>76613.7</v>
      </c>
      <c r="AL478" s="45">
        <v>35</v>
      </c>
      <c r="AM478" s="45">
        <v>1</v>
      </c>
      <c r="AO478" s="45">
        <v>63645.2</v>
      </c>
      <c r="AP478" s="45">
        <v>0</v>
      </c>
      <c r="AQ478" s="45">
        <v>0</v>
      </c>
      <c r="AR478" s="45">
        <v>68607.7</v>
      </c>
      <c r="AS478" s="45">
        <v>0</v>
      </c>
      <c r="AT478" s="45">
        <v>1</v>
      </c>
      <c r="AU478" s="45">
        <v>95474.2</v>
      </c>
      <c r="AV478" s="45">
        <v>62</v>
      </c>
      <c r="AW478" s="45">
        <v>0</v>
      </c>
      <c r="AX478" s="45">
        <v>58998.9</v>
      </c>
      <c r="AY478" s="45">
        <v>0</v>
      </c>
      <c r="AZ478" s="45">
        <v>1</v>
      </c>
    </row>
    <row r="479" spans="2:52">
      <c r="B479" s="45">
        <v>75810.100000000006</v>
      </c>
      <c r="C479" s="45">
        <v>0</v>
      </c>
      <c r="D479" s="45">
        <v>0</v>
      </c>
      <c r="E479" s="45">
        <v>76556.100000000006</v>
      </c>
      <c r="F479" s="45">
        <v>0</v>
      </c>
      <c r="G479" s="45">
        <v>0</v>
      </c>
      <c r="H479" s="45">
        <v>68521.2</v>
      </c>
      <c r="I479" s="45">
        <v>4</v>
      </c>
      <c r="J479" s="45">
        <v>1</v>
      </c>
      <c r="K479" s="45">
        <v>72553.5</v>
      </c>
      <c r="L479" s="45">
        <v>3</v>
      </c>
      <c r="M479" s="45">
        <v>0</v>
      </c>
      <c r="O479" s="45">
        <v>77732.100000000006</v>
      </c>
      <c r="P479" s="45">
        <v>0</v>
      </c>
      <c r="Q479" s="45">
        <v>0</v>
      </c>
      <c r="R479" s="45">
        <v>75056.3</v>
      </c>
      <c r="S479" s="45">
        <v>0</v>
      </c>
      <c r="T479" s="45">
        <v>0</v>
      </c>
      <c r="U479" s="45">
        <v>75567.3</v>
      </c>
      <c r="V479" s="45">
        <v>0</v>
      </c>
      <c r="W479" s="45">
        <v>1</v>
      </c>
      <c r="X479" s="45">
        <v>75698.600000000006</v>
      </c>
      <c r="Y479" s="45">
        <v>0</v>
      </c>
      <c r="Z479" s="45">
        <v>0</v>
      </c>
      <c r="AB479" s="45">
        <v>77556.7</v>
      </c>
      <c r="AC479" s="45">
        <v>0</v>
      </c>
      <c r="AD479" s="45">
        <v>0</v>
      </c>
      <c r="AE479" s="45">
        <v>67737.899999999994</v>
      </c>
      <c r="AF479" s="45">
        <v>0</v>
      </c>
      <c r="AG479" s="45">
        <v>1</v>
      </c>
      <c r="AH479" s="45">
        <v>70459.399999999994</v>
      </c>
      <c r="AI479" s="45">
        <v>0</v>
      </c>
      <c r="AJ479" s="45">
        <v>0</v>
      </c>
      <c r="AK479" s="45">
        <v>71094.399999999994</v>
      </c>
      <c r="AL479" s="45">
        <v>0</v>
      </c>
      <c r="AM479" s="45">
        <v>1</v>
      </c>
      <c r="AO479" s="45">
        <v>95421.7</v>
      </c>
      <c r="AP479" s="45">
        <v>52</v>
      </c>
      <c r="AQ479" s="45">
        <v>0</v>
      </c>
      <c r="AR479" s="45">
        <v>70689.3</v>
      </c>
      <c r="AS479" s="45">
        <v>3</v>
      </c>
      <c r="AT479" s="45">
        <v>1</v>
      </c>
      <c r="AU479" s="45">
        <v>73748.100000000006</v>
      </c>
      <c r="AV479" s="45">
        <v>0</v>
      </c>
      <c r="AW479" s="45">
        <v>0</v>
      </c>
      <c r="AX479" s="45">
        <v>93269.3</v>
      </c>
      <c r="AY479" s="45">
        <v>45</v>
      </c>
      <c r="AZ479" s="45">
        <v>1</v>
      </c>
    </row>
    <row r="480" spans="2:52">
      <c r="B480" s="45">
        <v>47489.3</v>
      </c>
      <c r="C480" s="45">
        <v>0</v>
      </c>
      <c r="D480" s="45">
        <v>1</v>
      </c>
      <c r="E480" s="45">
        <v>49001.599999999999</v>
      </c>
      <c r="F480" s="45">
        <v>0</v>
      </c>
      <c r="G480" s="45">
        <v>0</v>
      </c>
      <c r="H480" s="45">
        <v>48845.1</v>
      </c>
      <c r="I480" s="45">
        <v>0</v>
      </c>
      <c r="J480" s="45">
        <v>0</v>
      </c>
      <c r="K480" s="45">
        <v>46417</v>
      </c>
      <c r="L480" s="45">
        <v>0</v>
      </c>
      <c r="M480" s="45">
        <v>1</v>
      </c>
      <c r="O480" s="45">
        <v>51008</v>
      </c>
      <c r="P480" s="45">
        <v>0</v>
      </c>
      <c r="Q480" s="45">
        <v>1</v>
      </c>
      <c r="R480" s="45">
        <v>52090.1</v>
      </c>
      <c r="S480" s="45">
        <v>0</v>
      </c>
      <c r="T480" s="45">
        <v>0</v>
      </c>
      <c r="U480" s="45">
        <v>44981.9</v>
      </c>
      <c r="V480" s="45">
        <v>0</v>
      </c>
      <c r="W480" s="45">
        <v>0</v>
      </c>
      <c r="X480" s="45">
        <v>45820.800000000003</v>
      </c>
      <c r="Y480" s="45">
        <v>0</v>
      </c>
      <c r="Z480" s="45">
        <v>1</v>
      </c>
      <c r="AB480" s="45">
        <v>49566.400000000001</v>
      </c>
      <c r="AC480" s="45">
        <v>0</v>
      </c>
      <c r="AD480" s="45">
        <v>0</v>
      </c>
      <c r="AE480" s="45">
        <v>49417.5</v>
      </c>
      <c r="AF480" s="45">
        <v>0</v>
      </c>
      <c r="AG480" s="45">
        <v>0</v>
      </c>
      <c r="AH480" s="45">
        <v>49288</v>
      </c>
      <c r="AI480" s="45">
        <v>0</v>
      </c>
      <c r="AJ480" s="45">
        <v>1</v>
      </c>
      <c r="AK480" s="45">
        <v>49608.1</v>
      </c>
      <c r="AL480" s="45">
        <v>0</v>
      </c>
      <c r="AM480" s="45">
        <v>0</v>
      </c>
      <c r="AO480" s="45">
        <v>51436</v>
      </c>
      <c r="AP480" s="45">
        <v>0</v>
      </c>
      <c r="AQ480" s="45">
        <v>1</v>
      </c>
      <c r="AR480" s="45">
        <v>47633.8</v>
      </c>
      <c r="AS480" s="45">
        <v>0</v>
      </c>
      <c r="AT480" s="45">
        <v>0</v>
      </c>
      <c r="AU480" s="45">
        <v>50973</v>
      </c>
      <c r="AV480" s="45">
        <v>0</v>
      </c>
      <c r="AW480" s="45">
        <v>1</v>
      </c>
      <c r="AX480" s="45">
        <v>47105.2</v>
      </c>
      <c r="AY480" s="45">
        <v>0</v>
      </c>
      <c r="AZ480" s="45">
        <v>1</v>
      </c>
    </row>
    <row r="481" spans="2:52">
      <c r="B481" s="45">
        <v>64814</v>
      </c>
      <c r="C481" s="45">
        <v>0</v>
      </c>
      <c r="D481" s="45">
        <v>0</v>
      </c>
      <c r="E481" s="45">
        <v>68833.3</v>
      </c>
      <c r="F481" s="45">
        <v>0</v>
      </c>
      <c r="G481" s="45">
        <v>0</v>
      </c>
      <c r="H481" s="45">
        <v>69159.399999999994</v>
      </c>
      <c r="I481" s="45">
        <v>7</v>
      </c>
      <c r="J481" s="45">
        <v>1</v>
      </c>
      <c r="K481" s="45">
        <v>63993.8</v>
      </c>
      <c r="L481" s="45">
        <v>1</v>
      </c>
      <c r="M481" s="45">
        <v>0</v>
      </c>
      <c r="O481" s="45">
        <v>68942.3</v>
      </c>
      <c r="P481" s="45">
        <v>0</v>
      </c>
      <c r="Q481" s="45">
        <v>1</v>
      </c>
      <c r="R481" s="45">
        <v>70190.8</v>
      </c>
      <c r="S481" s="45">
        <v>12</v>
      </c>
      <c r="T481" s="45">
        <v>0</v>
      </c>
      <c r="U481" s="45">
        <v>68565</v>
      </c>
      <c r="V481" s="45">
        <v>0</v>
      </c>
      <c r="W481" s="45">
        <v>1</v>
      </c>
      <c r="X481" s="45">
        <v>65145.3</v>
      </c>
      <c r="Y481" s="45">
        <v>0</v>
      </c>
      <c r="Z481" s="45">
        <v>1</v>
      </c>
      <c r="AB481" s="45">
        <v>67531</v>
      </c>
      <c r="AC481" s="45">
        <v>0</v>
      </c>
      <c r="AD481" s="45">
        <v>1</v>
      </c>
      <c r="AE481" s="45">
        <v>63907</v>
      </c>
      <c r="AF481" s="45">
        <v>0</v>
      </c>
      <c r="AG481" s="45">
        <v>0</v>
      </c>
      <c r="AH481" s="45">
        <v>64618.3</v>
      </c>
      <c r="AI481" s="45">
        <v>0</v>
      </c>
      <c r="AJ481" s="45">
        <v>1</v>
      </c>
      <c r="AK481" s="45">
        <v>64974.8</v>
      </c>
      <c r="AL481" s="45">
        <v>0</v>
      </c>
      <c r="AM481" s="45">
        <v>0</v>
      </c>
      <c r="AO481" s="45">
        <v>66643</v>
      </c>
      <c r="AP481" s="45">
        <v>0</v>
      </c>
      <c r="AQ481" s="45">
        <v>0</v>
      </c>
      <c r="AR481" s="45">
        <v>70275.399999999994</v>
      </c>
      <c r="AS481" s="45">
        <v>0</v>
      </c>
      <c r="AT481" s="45">
        <v>1</v>
      </c>
      <c r="AU481" s="45">
        <v>63317.5</v>
      </c>
      <c r="AV481" s="45">
        <v>0</v>
      </c>
      <c r="AW481" s="45">
        <v>0</v>
      </c>
      <c r="AX481" s="45">
        <v>66573.5</v>
      </c>
      <c r="AY481" s="45">
        <v>0</v>
      </c>
      <c r="AZ481" s="45">
        <v>1</v>
      </c>
    </row>
    <row r="482" spans="2:52">
      <c r="B482" s="45">
        <v>57396</v>
      </c>
      <c r="C482" s="45">
        <v>0</v>
      </c>
      <c r="D482" s="45">
        <v>0</v>
      </c>
      <c r="E482" s="45">
        <v>51946.7</v>
      </c>
      <c r="F482" s="45">
        <v>2</v>
      </c>
      <c r="G482" s="45">
        <v>1</v>
      </c>
      <c r="H482" s="45">
        <v>56413.5</v>
      </c>
      <c r="I482" s="45">
        <v>0</v>
      </c>
      <c r="J482" s="45">
        <v>0</v>
      </c>
      <c r="K482" s="45">
        <v>49228.2</v>
      </c>
      <c r="L482" s="45">
        <v>0</v>
      </c>
      <c r="M482" s="45">
        <v>1</v>
      </c>
      <c r="O482" s="45">
        <v>61242</v>
      </c>
      <c r="P482" s="45">
        <v>0</v>
      </c>
      <c r="Q482" s="45">
        <v>0</v>
      </c>
      <c r="R482" s="45">
        <v>55846.2</v>
      </c>
      <c r="S482" s="45">
        <v>0</v>
      </c>
      <c r="T482" s="45">
        <v>1</v>
      </c>
      <c r="U482" s="45">
        <v>54540.4</v>
      </c>
      <c r="V482" s="45">
        <v>0</v>
      </c>
      <c r="W482" s="45">
        <v>1</v>
      </c>
      <c r="X482" s="45">
        <v>52325.1</v>
      </c>
      <c r="Y482" s="45">
        <v>0</v>
      </c>
      <c r="Z482" s="45">
        <v>0</v>
      </c>
      <c r="AB482" s="45">
        <v>48674.1</v>
      </c>
      <c r="AC482" s="45">
        <v>0</v>
      </c>
      <c r="AD482" s="45">
        <v>1</v>
      </c>
      <c r="AE482" s="45">
        <v>54343.1</v>
      </c>
      <c r="AF482" s="45">
        <v>0</v>
      </c>
      <c r="AG482" s="45">
        <v>0</v>
      </c>
      <c r="AH482" s="45">
        <v>58106.3</v>
      </c>
      <c r="AI482" s="45">
        <v>0</v>
      </c>
      <c r="AJ482" s="45">
        <v>0</v>
      </c>
      <c r="AK482" s="45">
        <v>51940.7</v>
      </c>
      <c r="AL482" s="45">
        <v>0</v>
      </c>
      <c r="AM482" s="45">
        <v>1</v>
      </c>
      <c r="AO482" s="45">
        <v>65068</v>
      </c>
      <c r="AP482" s="45">
        <v>0</v>
      </c>
      <c r="AQ482" s="45">
        <v>1</v>
      </c>
      <c r="AR482" s="45">
        <v>54633.5</v>
      </c>
      <c r="AS482" s="45">
        <v>0</v>
      </c>
      <c r="AT482" s="45">
        <v>0</v>
      </c>
      <c r="AU482" s="45">
        <v>62450.400000000001</v>
      </c>
      <c r="AV482" s="45">
        <v>18</v>
      </c>
      <c r="AW482" s="45">
        <v>2</v>
      </c>
      <c r="AX482" s="45">
        <v>53934.6</v>
      </c>
      <c r="AY482" s="45">
        <v>0</v>
      </c>
      <c r="AZ482" s="45">
        <v>1</v>
      </c>
    </row>
    <row r="483" spans="2:52">
      <c r="B483" s="45">
        <v>56332.5</v>
      </c>
      <c r="C483" s="45">
        <v>0</v>
      </c>
      <c r="D483" s="45">
        <v>0</v>
      </c>
      <c r="E483" s="45">
        <v>82296.100000000006</v>
      </c>
      <c r="F483" s="45">
        <v>61</v>
      </c>
      <c r="G483" s="45">
        <v>0</v>
      </c>
      <c r="H483" s="45">
        <v>46857.9</v>
      </c>
      <c r="I483" s="45">
        <v>0</v>
      </c>
      <c r="J483" s="45">
        <v>1</v>
      </c>
      <c r="K483" s="45">
        <v>51617.599999999999</v>
      </c>
      <c r="L483" s="45">
        <v>0</v>
      </c>
      <c r="M483" s="45">
        <v>0</v>
      </c>
      <c r="O483" s="45">
        <v>54860.9</v>
      </c>
      <c r="P483" s="45">
        <v>0</v>
      </c>
      <c r="Q483" s="45">
        <v>1</v>
      </c>
      <c r="R483" s="45">
        <v>53117.5</v>
      </c>
      <c r="S483" s="45">
        <v>0</v>
      </c>
      <c r="T483" s="45">
        <v>0</v>
      </c>
      <c r="U483" s="45">
        <v>54592</v>
      </c>
      <c r="V483" s="45">
        <v>0</v>
      </c>
      <c r="W483" s="45">
        <v>0</v>
      </c>
      <c r="X483" s="45">
        <v>68444.800000000003</v>
      </c>
      <c r="Y483" s="45">
        <v>37</v>
      </c>
      <c r="Z483" s="45">
        <v>1</v>
      </c>
      <c r="AB483" s="45">
        <v>50006.2</v>
      </c>
      <c r="AC483" s="45">
        <v>0</v>
      </c>
      <c r="AD483" s="45">
        <v>0</v>
      </c>
      <c r="AE483" s="45">
        <v>50119.3</v>
      </c>
      <c r="AF483" s="45">
        <v>7</v>
      </c>
      <c r="AG483" s="45">
        <v>1</v>
      </c>
      <c r="AH483" s="45">
        <v>49354.1</v>
      </c>
      <c r="AI483" s="45">
        <v>0</v>
      </c>
      <c r="AJ483" s="45">
        <v>0</v>
      </c>
      <c r="AK483" s="45">
        <v>50463.3</v>
      </c>
      <c r="AL483" s="45">
        <v>0</v>
      </c>
      <c r="AM483" s="45">
        <v>1</v>
      </c>
      <c r="AO483" s="45">
        <v>48210.9</v>
      </c>
      <c r="AP483" s="45">
        <v>0</v>
      </c>
      <c r="AQ483" s="45">
        <v>1</v>
      </c>
      <c r="AR483" s="45">
        <v>55975.5</v>
      </c>
      <c r="AS483" s="45">
        <v>0</v>
      </c>
      <c r="AT483" s="45">
        <v>0</v>
      </c>
      <c r="AU483" s="45">
        <v>53670.8</v>
      </c>
      <c r="AV483" s="45">
        <v>0</v>
      </c>
      <c r="AW483" s="45">
        <v>0</v>
      </c>
      <c r="AX483" s="45">
        <v>53027.7</v>
      </c>
      <c r="AY483" s="45">
        <v>0</v>
      </c>
      <c r="AZ483" s="45">
        <v>1</v>
      </c>
    </row>
    <row r="484" spans="2:52">
      <c r="B484" s="45">
        <v>53074</v>
      </c>
      <c r="C484" s="45">
        <v>7</v>
      </c>
      <c r="D484" s="45">
        <v>0</v>
      </c>
      <c r="E484" s="45">
        <v>55173</v>
      </c>
      <c r="F484" s="45">
        <v>0</v>
      </c>
      <c r="G484" s="45">
        <v>1</v>
      </c>
      <c r="H484" s="45">
        <v>56333.9</v>
      </c>
      <c r="I484" s="45">
        <v>0</v>
      </c>
      <c r="J484" s="45">
        <v>0</v>
      </c>
      <c r="K484" s="45">
        <v>51562.400000000001</v>
      </c>
      <c r="L484" s="45">
        <v>0</v>
      </c>
      <c r="M484" s="45">
        <v>0</v>
      </c>
      <c r="O484" s="45">
        <v>52422.9</v>
      </c>
      <c r="P484" s="45">
        <v>3</v>
      </c>
      <c r="Q484" s="45">
        <v>0</v>
      </c>
      <c r="R484" s="45">
        <v>58221.3</v>
      </c>
      <c r="S484" s="45">
        <v>0</v>
      </c>
      <c r="T484" s="45">
        <v>1</v>
      </c>
      <c r="U484" s="45">
        <v>51560</v>
      </c>
      <c r="V484" s="45">
        <v>0</v>
      </c>
      <c r="W484" s="45">
        <v>0</v>
      </c>
      <c r="X484" s="45">
        <v>58332.5</v>
      </c>
      <c r="Y484" s="45">
        <v>0</v>
      </c>
      <c r="Z484" s="45">
        <v>1</v>
      </c>
      <c r="AB484" s="45">
        <v>52523.6</v>
      </c>
      <c r="AC484" s="45">
        <v>0</v>
      </c>
      <c r="AD484" s="45">
        <v>0</v>
      </c>
      <c r="AE484" s="45">
        <v>50230.3</v>
      </c>
      <c r="AF484" s="45">
        <v>0</v>
      </c>
      <c r="AG484" s="45">
        <v>0</v>
      </c>
      <c r="AH484" s="45">
        <v>51147.6</v>
      </c>
      <c r="AI484" s="45">
        <v>0</v>
      </c>
      <c r="AJ484" s="45">
        <v>1</v>
      </c>
      <c r="AK484" s="45">
        <v>50309.8</v>
      </c>
      <c r="AL484" s="45">
        <v>0</v>
      </c>
      <c r="AM484" s="45">
        <v>0</v>
      </c>
      <c r="AO484" s="45">
        <v>52048.4</v>
      </c>
      <c r="AP484" s="45">
        <v>0</v>
      </c>
      <c r="AQ484" s="45">
        <v>0</v>
      </c>
      <c r="AR484" s="45">
        <v>51834.400000000001</v>
      </c>
      <c r="AS484" s="45">
        <v>0</v>
      </c>
      <c r="AT484" s="45">
        <v>1</v>
      </c>
      <c r="AU484" s="45">
        <v>53027.1</v>
      </c>
      <c r="AV484" s="45">
        <v>0</v>
      </c>
      <c r="AW484" s="45">
        <v>0</v>
      </c>
      <c r="AX484" s="45">
        <v>54463.3</v>
      </c>
      <c r="AY484" s="45">
        <v>0</v>
      </c>
      <c r="AZ484" s="45">
        <v>1</v>
      </c>
    </row>
    <row r="485" spans="2:52">
      <c r="B485" s="45">
        <v>42379.6</v>
      </c>
      <c r="C485" s="45">
        <v>0</v>
      </c>
      <c r="D485" s="45">
        <v>1</v>
      </c>
      <c r="E485" s="45">
        <v>57014</v>
      </c>
      <c r="F485" s="45">
        <v>25</v>
      </c>
      <c r="G485" s="45">
        <v>0</v>
      </c>
      <c r="H485" s="45">
        <v>44516.800000000003</v>
      </c>
      <c r="I485" s="45">
        <v>0</v>
      </c>
      <c r="J485" s="45">
        <v>0</v>
      </c>
      <c r="K485" s="45">
        <v>42346.2</v>
      </c>
      <c r="L485" s="45">
        <v>0</v>
      </c>
      <c r="M485" s="45">
        <v>1</v>
      </c>
      <c r="O485" s="45">
        <v>44354.2</v>
      </c>
      <c r="P485" s="45">
        <v>2</v>
      </c>
      <c r="Q485" s="45">
        <v>1</v>
      </c>
      <c r="R485" s="45">
        <v>78622.5</v>
      </c>
      <c r="S485" s="45">
        <v>69</v>
      </c>
      <c r="T485" s="45">
        <v>0</v>
      </c>
      <c r="U485" s="45">
        <v>69415.3</v>
      </c>
      <c r="V485" s="45">
        <v>43</v>
      </c>
      <c r="W485" s="45">
        <v>1</v>
      </c>
      <c r="X485" s="45">
        <v>68168.600000000006</v>
      </c>
      <c r="Y485" s="45">
        <v>49</v>
      </c>
      <c r="Z485" s="45">
        <v>0</v>
      </c>
      <c r="AB485" s="45">
        <v>50269.599999999999</v>
      </c>
      <c r="AC485" s="45">
        <v>12</v>
      </c>
      <c r="AD485" s="45">
        <v>1</v>
      </c>
      <c r="AE485" s="45">
        <v>44754.2</v>
      </c>
      <c r="AF485" s="45">
        <v>0</v>
      </c>
      <c r="AG485" s="45">
        <v>0</v>
      </c>
      <c r="AH485" s="45">
        <v>43292.3</v>
      </c>
      <c r="AI485" s="45">
        <v>0</v>
      </c>
      <c r="AJ485" s="45">
        <v>0</v>
      </c>
      <c r="AK485" s="45">
        <v>43341.8</v>
      </c>
      <c r="AL485" s="45">
        <v>0</v>
      </c>
      <c r="AM485" s="45">
        <v>1</v>
      </c>
      <c r="AO485" s="45">
        <v>49731.7</v>
      </c>
      <c r="AP485" s="45">
        <v>0</v>
      </c>
      <c r="AQ485" s="45">
        <v>0</v>
      </c>
      <c r="AR485" s="45">
        <v>45197.8</v>
      </c>
      <c r="AS485" s="45">
        <v>0</v>
      </c>
      <c r="AT485" s="45">
        <v>1</v>
      </c>
      <c r="AU485" s="45">
        <v>67125.600000000006</v>
      </c>
      <c r="AV485" s="45">
        <v>46</v>
      </c>
      <c r="AW485" s="45">
        <v>1</v>
      </c>
      <c r="AX485" s="45">
        <v>58611.8</v>
      </c>
      <c r="AY485" s="45">
        <v>32</v>
      </c>
      <c r="AZ485" s="45">
        <v>0</v>
      </c>
    </row>
    <row r="486" spans="2:52">
      <c r="B486" s="45">
        <v>57880.9</v>
      </c>
      <c r="C486" s="45">
        <v>13</v>
      </c>
      <c r="D486" s="45">
        <v>0</v>
      </c>
      <c r="E486" s="45">
        <v>50075.199999999997</v>
      </c>
      <c r="F486" s="45">
        <v>0</v>
      </c>
      <c r="G486" s="45">
        <v>1</v>
      </c>
      <c r="H486" s="45">
        <v>51505.9</v>
      </c>
      <c r="I486" s="45">
        <v>0</v>
      </c>
      <c r="J486" s="45">
        <v>0</v>
      </c>
      <c r="K486" s="45">
        <v>55588.2</v>
      </c>
      <c r="L486" s="45">
        <v>8</v>
      </c>
      <c r="M486" s="45">
        <v>1</v>
      </c>
      <c r="O486" s="45">
        <v>53784.7</v>
      </c>
      <c r="P486" s="45">
        <v>0</v>
      </c>
      <c r="Q486" s="45">
        <v>0</v>
      </c>
      <c r="R486" s="45">
        <v>53412.800000000003</v>
      </c>
      <c r="S486" s="45">
        <v>0</v>
      </c>
      <c r="T486" s="45">
        <v>1</v>
      </c>
      <c r="U486" s="45">
        <v>53992.5</v>
      </c>
      <c r="V486" s="45">
        <v>0</v>
      </c>
      <c r="W486" s="45">
        <v>0</v>
      </c>
      <c r="X486" s="45">
        <v>54926.8</v>
      </c>
      <c r="Y486" s="45">
        <v>0</v>
      </c>
      <c r="Z486" s="45">
        <v>1</v>
      </c>
      <c r="AB486" s="45">
        <v>61846.5</v>
      </c>
      <c r="AC486" s="45">
        <v>9</v>
      </c>
      <c r="AD486" s="45">
        <v>0</v>
      </c>
      <c r="AE486" s="45">
        <v>53904.800000000003</v>
      </c>
      <c r="AF486" s="45">
        <v>0</v>
      </c>
      <c r="AG486" s="45">
        <v>0</v>
      </c>
      <c r="AH486" s="45">
        <v>52145.1</v>
      </c>
      <c r="AI486" s="45">
        <v>0</v>
      </c>
      <c r="AJ486" s="45">
        <v>1</v>
      </c>
      <c r="AK486" s="45">
        <v>50603.6</v>
      </c>
      <c r="AL486" s="45">
        <v>0</v>
      </c>
      <c r="AM486" s="45">
        <v>0</v>
      </c>
      <c r="AO486" s="45">
        <v>62156.3</v>
      </c>
      <c r="AP486" s="45">
        <v>9</v>
      </c>
      <c r="AQ486" s="45">
        <v>1</v>
      </c>
      <c r="AR486" s="45">
        <v>48997.1</v>
      </c>
      <c r="AS486" s="45">
        <v>0</v>
      </c>
      <c r="AT486" s="45">
        <v>1</v>
      </c>
      <c r="AU486" s="45">
        <v>51579.3</v>
      </c>
      <c r="AV486" s="45">
        <v>0</v>
      </c>
      <c r="AW486" s="45">
        <v>0</v>
      </c>
      <c r="AX486" s="45">
        <v>51408.6</v>
      </c>
      <c r="AY486" s="45">
        <v>0</v>
      </c>
      <c r="AZ486" s="45">
        <v>1</v>
      </c>
    </row>
    <row r="487" spans="2:52">
      <c r="B487" s="45">
        <v>50181.5</v>
      </c>
      <c r="C487" s="45">
        <v>0</v>
      </c>
      <c r="D487" s="45">
        <v>0</v>
      </c>
      <c r="E487" s="45">
        <v>48018.7</v>
      </c>
      <c r="F487" s="45">
        <v>4</v>
      </c>
      <c r="G487" s="45">
        <v>0</v>
      </c>
      <c r="H487" s="45">
        <v>52493.8</v>
      </c>
      <c r="I487" s="45">
        <v>8</v>
      </c>
      <c r="J487" s="45">
        <v>1</v>
      </c>
      <c r="K487" s="45">
        <v>48042.2</v>
      </c>
      <c r="L487" s="45">
        <v>0</v>
      </c>
      <c r="M487" s="45">
        <v>0</v>
      </c>
      <c r="O487" s="45">
        <v>56214</v>
      </c>
      <c r="P487" s="45">
        <v>12</v>
      </c>
      <c r="Q487" s="45">
        <v>0</v>
      </c>
      <c r="R487" s="45">
        <v>51807.6</v>
      </c>
      <c r="S487" s="45">
        <v>0</v>
      </c>
      <c r="T487" s="45">
        <v>0</v>
      </c>
      <c r="U487" s="45">
        <v>50555.199999999997</v>
      </c>
      <c r="V487" s="45">
        <v>0</v>
      </c>
      <c r="W487" s="45">
        <v>1</v>
      </c>
      <c r="X487" s="45">
        <v>44400</v>
      </c>
      <c r="Y487" s="45">
        <v>0</v>
      </c>
      <c r="Z487" s="45">
        <v>1</v>
      </c>
      <c r="AB487" s="45">
        <v>47111.8</v>
      </c>
      <c r="AC487" s="45">
        <v>0</v>
      </c>
      <c r="AD487" s="45">
        <v>0</v>
      </c>
      <c r="AE487" s="45">
        <v>49557.4</v>
      </c>
      <c r="AF487" s="45">
        <v>0</v>
      </c>
      <c r="AG487" s="45">
        <v>1</v>
      </c>
      <c r="AH487" s="45">
        <v>48502.6</v>
      </c>
      <c r="AI487" s="45">
        <v>0</v>
      </c>
      <c r="AJ487" s="45">
        <v>0</v>
      </c>
      <c r="AK487" s="45">
        <v>45089.7</v>
      </c>
      <c r="AL487" s="45">
        <v>0</v>
      </c>
      <c r="AM487" s="45">
        <v>0</v>
      </c>
      <c r="AO487" s="45">
        <v>46456.7</v>
      </c>
      <c r="AP487" s="45">
        <v>0</v>
      </c>
      <c r="AQ487" s="45">
        <v>0</v>
      </c>
      <c r="AR487" s="45">
        <v>44051.3</v>
      </c>
      <c r="AS487" s="45">
        <v>0</v>
      </c>
      <c r="AT487" s="45">
        <v>1</v>
      </c>
      <c r="AU487" s="45">
        <v>44686.6</v>
      </c>
      <c r="AV487" s="45">
        <v>0</v>
      </c>
      <c r="AW487" s="45">
        <v>0</v>
      </c>
      <c r="AX487" s="45">
        <v>44330.1</v>
      </c>
      <c r="AY487" s="45">
        <v>0</v>
      </c>
      <c r="AZ487" s="45">
        <v>1</v>
      </c>
    </row>
    <row r="488" spans="2:52">
      <c r="B488" s="45">
        <v>62115</v>
      </c>
      <c r="C488" s="45">
        <v>8</v>
      </c>
      <c r="D488" s="45">
        <v>0</v>
      </c>
      <c r="E488" s="45">
        <v>55798.1</v>
      </c>
      <c r="F488" s="45">
        <v>0</v>
      </c>
      <c r="G488" s="45">
        <v>1</v>
      </c>
      <c r="H488" s="45">
        <v>57479.1</v>
      </c>
      <c r="I488" s="45">
        <v>0</v>
      </c>
      <c r="J488" s="45">
        <v>0</v>
      </c>
      <c r="K488" s="45">
        <v>63138.2</v>
      </c>
      <c r="L488" s="45">
        <v>0</v>
      </c>
      <c r="M488" s="45">
        <v>0</v>
      </c>
      <c r="O488" s="45">
        <v>64411.4</v>
      </c>
      <c r="P488" s="45">
        <v>0</v>
      </c>
      <c r="Q488" s="45">
        <v>0</v>
      </c>
      <c r="R488" s="45">
        <v>64692.1</v>
      </c>
      <c r="S488" s="45">
        <v>13</v>
      </c>
      <c r="T488" s="45">
        <v>0</v>
      </c>
      <c r="U488" s="45">
        <v>60769.2</v>
      </c>
      <c r="V488" s="45">
        <v>0</v>
      </c>
      <c r="W488" s="45">
        <v>1</v>
      </c>
      <c r="X488" s="45">
        <v>58679.6</v>
      </c>
      <c r="Y488" s="45">
        <v>0</v>
      </c>
      <c r="Z488" s="45">
        <v>0</v>
      </c>
      <c r="AB488" s="45">
        <v>59170.8</v>
      </c>
      <c r="AC488" s="45">
        <v>0</v>
      </c>
      <c r="AD488" s="45">
        <v>1</v>
      </c>
      <c r="AE488" s="45">
        <v>63402.1</v>
      </c>
      <c r="AF488" s="45">
        <v>0</v>
      </c>
      <c r="AG488" s="45">
        <v>0</v>
      </c>
      <c r="AH488" s="45">
        <v>52242</v>
      </c>
      <c r="AI488" s="45">
        <v>0</v>
      </c>
      <c r="AJ488" s="45">
        <v>0</v>
      </c>
      <c r="AK488" s="45">
        <v>55225</v>
      </c>
      <c r="AL488" s="45">
        <v>0</v>
      </c>
      <c r="AM488" s="45">
        <v>1</v>
      </c>
      <c r="AO488" s="45">
        <v>54493.5</v>
      </c>
      <c r="AP488" s="45">
        <v>0</v>
      </c>
      <c r="AQ488" s="45">
        <v>0</v>
      </c>
      <c r="AR488" s="45">
        <v>53383.5</v>
      </c>
      <c r="AS488" s="45">
        <v>0</v>
      </c>
      <c r="AT488" s="45">
        <v>0</v>
      </c>
      <c r="AU488" s="45">
        <v>61032.800000000003</v>
      </c>
      <c r="AV488" s="45">
        <v>0</v>
      </c>
      <c r="AW488" s="45">
        <v>1</v>
      </c>
      <c r="AX488" s="45">
        <v>54351.6</v>
      </c>
      <c r="AY488" s="45">
        <v>0</v>
      </c>
      <c r="AZ488" s="45">
        <v>0</v>
      </c>
    </row>
    <row r="489" spans="2:52">
      <c r="B489" s="45">
        <v>47762.8</v>
      </c>
      <c r="C489" s="45">
        <v>0</v>
      </c>
      <c r="D489" s="45">
        <v>1</v>
      </c>
      <c r="E489" s="45">
        <v>51129</v>
      </c>
      <c r="F489" s="45">
        <v>0</v>
      </c>
      <c r="G489" s="45">
        <v>0</v>
      </c>
      <c r="H489" s="45">
        <v>44202.2</v>
      </c>
      <c r="I489" s="45">
        <v>0</v>
      </c>
      <c r="J489" s="45">
        <v>0</v>
      </c>
      <c r="K489" s="45">
        <v>43708.1</v>
      </c>
      <c r="L489" s="45">
        <v>0</v>
      </c>
      <c r="M489" s="45">
        <v>1</v>
      </c>
      <c r="O489" s="45">
        <v>49028.3</v>
      </c>
      <c r="P489" s="45">
        <v>0</v>
      </c>
      <c r="Q489" s="45">
        <v>1</v>
      </c>
      <c r="R489" s="45">
        <v>48115.3</v>
      </c>
      <c r="S489" s="45">
        <v>0</v>
      </c>
      <c r="T489" s="45">
        <v>0</v>
      </c>
      <c r="U489" s="45">
        <v>45725.2</v>
      </c>
      <c r="V489" s="45">
        <v>0</v>
      </c>
      <c r="W489" s="45">
        <v>1</v>
      </c>
      <c r="X489" s="45">
        <v>66443.5</v>
      </c>
      <c r="Y489" s="45">
        <v>44</v>
      </c>
      <c r="Z489" s="45">
        <v>0</v>
      </c>
      <c r="AB489" s="45">
        <v>50041</v>
      </c>
      <c r="AC489" s="45">
        <v>14</v>
      </c>
      <c r="AD489" s="45">
        <v>0</v>
      </c>
      <c r="AE489" s="45">
        <v>59701.2</v>
      </c>
      <c r="AF489" s="45">
        <v>22</v>
      </c>
      <c r="AG489" s="45">
        <v>1</v>
      </c>
      <c r="AH489" s="45">
        <v>48798.8</v>
      </c>
      <c r="AI489" s="45">
        <v>14</v>
      </c>
      <c r="AJ489" s="45">
        <v>1</v>
      </c>
      <c r="AK489" s="45">
        <v>41943.3</v>
      </c>
      <c r="AL489" s="45">
        <v>0</v>
      </c>
      <c r="AM489" s="45">
        <v>0</v>
      </c>
      <c r="AO489" s="45">
        <v>46677.9</v>
      </c>
      <c r="AP489" s="45">
        <v>0</v>
      </c>
      <c r="AQ489" s="45">
        <v>1</v>
      </c>
      <c r="AR489" s="45">
        <v>46303.1</v>
      </c>
      <c r="AS489" s="45">
        <v>0</v>
      </c>
      <c r="AT489" s="45">
        <v>0</v>
      </c>
      <c r="AU489" s="45">
        <v>44681.7</v>
      </c>
      <c r="AV489" s="45">
        <v>0</v>
      </c>
      <c r="AW489" s="45">
        <v>1</v>
      </c>
      <c r="AX489" s="45">
        <v>40079.1</v>
      </c>
      <c r="AY489" s="45">
        <v>0</v>
      </c>
      <c r="AZ489" s="45">
        <v>1</v>
      </c>
    </row>
    <row r="490" spans="2:52">
      <c r="B490" s="45">
        <v>52085.3</v>
      </c>
      <c r="C490" s="45">
        <v>0</v>
      </c>
      <c r="D490" s="45">
        <v>0</v>
      </c>
      <c r="E490" s="45">
        <v>82307.399999999994</v>
      </c>
      <c r="F490" s="45">
        <v>53</v>
      </c>
      <c r="G490" s="45">
        <v>0</v>
      </c>
      <c r="H490" s="45">
        <v>56506.9</v>
      </c>
      <c r="I490" s="45">
        <v>2</v>
      </c>
      <c r="J490" s="45">
        <v>1</v>
      </c>
      <c r="K490" s="45">
        <v>50876.800000000003</v>
      </c>
      <c r="L490" s="45">
        <v>0</v>
      </c>
      <c r="M490" s="45">
        <v>0</v>
      </c>
      <c r="O490" s="45">
        <v>59566.2</v>
      </c>
      <c r="P490" s="45">
        <v>0</v>
      </c>
      <c r="Q490" s="45">
        <v>1</v>
      </c>
      <c r="R490" s="45">
        <v>59126.6</v>
      </c>
      <c r="S490" s="45">
        <v>0</v>
      </c>
      <c r="T490" s="45">
        <v>0</v>
      </c>
      <c r="U490" s="45">
        <v>57410.9</v>
      </c>
      <c r="V490" s="45">
        <v>0</v>
      </c>
      <c r="W490" s="45">
        <v>0</v>
      </c>
      <c r="X490" s="45">
        <v>56661.5</v>
      </c>
      <c r="Y490" s="45">
        <v>0</v>
      </c>
      <c r="Z490" s="45">
        <v>1</v>
      </c>
      <c r="AB490" s="45">
        <v>55080.7</v>
      </c>
      <c r="AC490" s="45">
        <v>0</v>
      </c>
      <c r="AD490" s="45">
        <v>1</v>
      </c>
      <c r="AE490" s="45">
        <v>53390.2</v>
      </c>
      <c r="AF490" s="45">
        <v>0</v>
      </c>
      <c r="AG490" s="45">
        <v>0</v>
      </c>
      <c r="AH490" s="45">
        <v>50800.3</v>
      </c>
      <c r="AI490" s="45">
        <v>0</v>
      </c>
      <c r="AJ490" s="45">
        <v>1</v>
      </c>
      <c r="AK490" s="45">
        <v>55102.5</v>
      </c>
      <c r="AL490" s="45">
        <v>0</v>
      </c>
      <c r="AM490" s="45">
        <v>0</v>
      </c>
      <c r="AO490" s="45">
        <v>56453.2</v>
      </c>
      <c r="AP490" s="45">
        <v>0</v>
      </c>
      <c r="AQ490" s="45">
        <v>0</v>
      </c>
      <c r="AR490" s="45">
        <v>57409.599999999999</v>
      </c>
      <c r="AS490" s="45">
        <v>0</v>
      </c>
      <c r="AT490" s="45">
        <v>0</v>
      </c>
      <c r="AU490" s="45">
        <v>53532.4</v>
      </c>
      <c r="AV490" s="45">
        <v>0</v>
      </c>
      <c r="AW490" s="45">
        <v>1</v>
      </c>
      <c r="AX490" s="45">
        <v>55811.3</v>
      </c>
      <c r="AY490" s="45">
        <v>0</v>
      </c>
      <c r="AZ490" s="45">
        <v>0</v>
      </c>
    </row>
    <row r="491" spans="2:52">
      <c r="B491" s="45">
        <v>50626.1</v>
      </c>
      <c r="C491" s="45">
        <v>13</v>
      </c>
      <c r="D491" s="45">
        <v>1</v>
      </c>
      <c r="E491" s="45">
        <v>69089.5</v>
      </c>
      <c r="F491" s="45">
        <v>62</v>
      </c>
      <c r="G491" s="45">
        <v>0</v>
      </c>
      <c r="H491" s="45">
        <v>38857.800000000003</v>
      </c>
      <c r="I491" s="45">
        <v>0</v>
      </c>
      <c r="J491" s="45">
        <v>1</v>
      </c>
      <c r="K491" s="45">
        <v>37620.800000000003</v>
      </c>
      <c r="L491" s="45">
        <v>0</v>
      </c>
      <c r="M491" s="45">
        <v>0</v>
      </c>
      <c r="O491" s="45">
        <v>43726.8</v>
      </c>
      <c r="P491" s="45">
        <v>11</v>
      </c>
      <c r="Q491" s="45">
        <v>0</v>
      </c>
      <c r="R491" s="45">
        <v>40305.800000000003</v>
      </c>
      <c r="S491" s="45">
        <v>0</v>
      </c>
      <c r="T491" s="45">
        <v>1</v>
      </c>
      <c r="U491" s="45">
        <v>47803.6</v>
      </c>
      <c r="V491" s="45">
        <v>0</v>
      </c>
      <c r="W491" s="45">
        <v>0</v>
      </c>
      <c r="X491" s="45">
        <v>46295.9</v>
      </c>
      <c r="Y491" s="45">
        <v>10</v>
      </c>
      <c r="Z491" s="45">
        <v>0</v>
      </c>
      <c r="AB491" s="45">
        <v>44282.2</v>
      </c>
      <c r="AC491" s="45">
        <v>0</v>
      </c>
      <c r="AD491" s="45">
        <v>0</v>
      </c>
      <c r="AE491" s="45">
        <v>43792.2</v>
      </c>
      <c r="AF491" s="45">
        <v>0</v>
      </c>
      <c r="AG491" s="45">
        <v>1</v>
      </c>
      <c r="AH491" s="45">
        <v>52665.8</v>
      </c>
      <c r="AI491" s="45">
        <v>34</v>
      </c>
      <c r="AJ491" s="45">
        <v>0</v>
      </c>
      <c r="AK491" s="45">
        <v>62353.1</v>
      </c>
      <c r="AL491" s="45">
        <v>54</v>
      </c>
      <c r="AM491" s="45">
        <v>1</v>
      </c>
      <c r="AO491" s="45">
        <v>57320.2</v>
      </c>
      <c r="AP491" s="45">
        <v>30</v>
      </c>
      <c r="AQ491" s="45">
        <v>1</v>
      </c>
      <c r="AR491" s="45">
        <v>46002.9</v>
      </c>
      <c r="AS491" s="45">
        <v>8</v>
      </c>
      <c r="AT491" s="45">
        <v>1</v>
      </c>
      <c r="AU491" s="45">
        <v>52464.4</v>
      </c>
      <c r="AV491" s="45">
        <v>23</v>
      </c>
      <c r="AW491" s="45">
        <v>0</v>
      </c>
      <c r="AX491" s="45">
        <v>42024.6</v>
      </c>
      <c r="AY491" s="45">
        <v>12</v>
      </c>
      <c r="AZ491" s="45">
        <v>1</v>
      </c>
    </row>
    <row r="492" spans="2:52">
      <c r="B492" s="45">
        <v>53438</v>
      </c>
      <c r="C492" s="45">
        <v>0</v>
      </c>
      <c r="D492" s="45">
        <v>1</v>
      </c>
      <c r="E492" s="45">
        <v>59686.1</v>
      </c>
      <c r="F492" s="45">
        <v>0</v>
      </c>
      <c r="G492" s="45">
        <v>0</v>
      </c>
      <c r="H492" s="45">
        <v>59223.1</v>
      </c>
      <c r="I492" s="45">
        <v>0</v>
      </c>
      <c r="J492" s="45">
        <v>0</v>
      </c>
      <c r="K492" s="45">
        <v>58787.3</v>
      </c>
      <c r="L492" s="45">
        <v>0</v>
      </c>
      <c r="M492" s="45">
        <v>1</v>
      </c>
      <c r="O492" s="45">
        <v>61353.3</v>
      </c>
      <c r="P492" s="45">
        <v>0</v>
      </c>
      <c r="Q492" s="45">
        <v>1</v>
      </c>
      <c r="R492" s="45">
        <v>55654.1</v>
      </c>
      <c r="S492" s="45">
        <v>0</v>
      </c>
      <c r="T492" s="45">
        <v>0</v>
      </c>
      <c r="U492" s="45">
        <v>57973.4</v>
      </c>
      <c r="V492" s="45">
        <v>0</v>
      </c>
      <c r="W492" s="45">
        <v>1</v>
      </c>
      <c r="X492" s="45">
        <v>62745.7</v>
      </c>
      <c r="Y492" s="45">
        <v>20</v>
      </c>
      <c r="Z492" s="45">
        <v>1</v>
      </c>
      <c r="AB492" s="45">
        <v>58455.1</v>
      </c>
      <c r="AC492" s="45">
        <v>0</v>
      </c>
      <c r="AD492" s="45">
        <v>0</v>
      </c>
      <c r="AE492" s="45">
        <v>68320</v>
      </c>
      <c r="AF492" s="45">
        <v>31</v>
      </c>
      <c r="AG492" s="45">
        <v>1</v>
      </c>
      <c r="AH492" s="45">
        <v>54255.4</v>
      </c>
      <c r="AI492" s="45">
        <v>0</v>
      </c>
      <c r="AJ492" s="45">
        <v>0</v>
      </c>
      <c r="AK492" s="45">
        <v>51338</v>
      </c>
      <c r="AL492" s="45">
        <v>0</v>
      </c>
      <c r="AM492" s="45">
        <v>1</v>
      </c>
      <c r="AO492" s="45">
        <v>52064.1</v>
      </c>
      <c r="AP492" s="45">
        <v>0</v>
      </c>
      <c r="AQ492" s="45">
        <v>1</v>
      </c>
      <c r="AR492" s="45">
        <v>62181</v>
      </c>
      <c r="AS492" s="45">
        <v>19</v>
      </c>
      <c r="AT492" s="45">
        <v>1</v>
      </c>
      <c r="AU492" s="45">
        <v>88826.8</v>
      </c>
      <c r="AV492" s="45">
        <v>60</v>
      </c>
      <c r="AW492" s="45">
        <v>0</v>
      </c>
      <c r="AX492" s="45">
        <v>53665</v>
      </c>
      <c r="AY492" s="45">
        <v>0</v>
      </c>
      <c r="AZ492" s="45">
        <v>1</v>
      </c>
    </row>
    <row r="493" spans="2:52">
      <c r="B493" s="45">
        <v>49384.800000000003</v>
      </c>
      <c r="C493" s="45">
        <v>0</v>
      </c>
      <c r="D493" s="45">
        <v>0</v>
      </c>
      <c r="E493" s="45">
        <v>52671.7</v>
      </c>
      <c r="F493" s="45">
        <v>0</v>
      </c>
      <c r="G493" s="45">
        <v>0</v>
      </c>
      <c r="H493" s="45">
        <v>51542.7</v>
      </c>
      <c r="I493" s="45">
        <v>0</v>
      </c>
      <c r="J493" s="45">
        <v>1</v>
      </c>
      <c r="K493" s="45">
        <v>52353.7</v>
      </c>
      <c r="L493" s="45">
        <v>0</v>
      </c>
      <c r="M493" s="45">
        <v>0</v>
      </c>
      <c r="O493" s="45">
        <v>57900</v>
      </c>
      <c r="P493" s="45">
        <v>0</v>
      </c>
      <c r="Q493" s="45">
        <v>0</v>
      </c>
      <c r="R493" s="45">
        <v>60829.7</v>
      </c>
      <c r="S493" s="45">
        <v>18</v>
      </c>
      <c r="T493" s="45">
        <v>1</v>
      </c>
      <c r="U493" s="45">
        <v>54552.4</v>
      </c>
      <c r="V493" s="45">
        <v>0</v>
      </c>
      <c r="W493" s="45">
        <v>0</v>
      </c>
      <c r="X493" s="45">
        <v>50232.7</v>
      </c>
      <c r="Y493" s="45">
        <v>0</v>
      </c>
      <c r="Z493" s="45">
        <v>1</v>
      </c>
      <c r="AB493" s="45">
        <v>58389.1</v>
      </c>
      <c r="AC493" s="45">
        <v>0</v>
      </c>
      <c r="AD493" s="45">
        <v>0</v>
      </c>
      <c r="AE493" s="45">
        <v>54741.1</v>
      </c>
      <c r="AF493" s="45">
        <v>0</v>
      </c>
      <c r="AG493" s="45">
        <v>0</v>
      </c>
      <c r="AH493" s="45">
        <v>50409.9</v>
      </c>
      <c r="AI493" s="45">
        <v>0</v>
      </c>
      <c r="AJ493" s="45">
        <v>1</v>
      </c>
      <c r="AK493" s="45">
        <v>51937.3</v>
      </c>
      <c r="AL493" s="45">
        <v>0</v>
      </c>
      <c r="AM493" s="45">
        <v>0</v>
      </c>
      <c r="AO493" s="45">
        <v>50103</v>
      </c>
      <c r="AP493" s="45">
        <v>0</v>
      </c>
      <c r="AQ493" s="45">
        <v>0</v>
      </c>
      <c r="AR493" s="45">
        <v>73744.7</v>
      </c>
      <c r="AS493" s="45">
        <v>52</v>
      </c>
      <c r="AT493" s="45">
        <v>2</v>
      </c>
      <c r="AU493" s="45">
        <v>81136.7</v>
      </c>
      <c r="AV493" s="45">
        <v>44</v>
      </c>
      <c r="AW493" s="45">
        <v>0</v>
      </c>
      <c r="AX493" s="45">
        <v>53693.1</v>
      </c>
      <c r="AY493" s="45">
        <v>0</v>
      </c>
      <c r="AZ493" s="45">
        <v>1</v>
      </c>
    </row>
    <row r="494" spans="2:52">
      <c r="B494" s="45">
        <v>51961.1</v>
      </c>
      <c r="C494" s="45">
        <v>0</v>
      </c>
      <c r="D494" s="45">
        <v>0</v>
      </c>
      <c r="E494" s="45">
        <v>50170.9</v>
      </c>
      <c r="F494" s="45">
        <v>0</v>
      </c>
      <c r="G494" s="45">
        <v>1</v>
      </c>
      <c r="H494" s="45">
        <v>52426.1</v>
      </c>
      <c r="I494" s="45">
        <v>0</v>
      </c>
      <c r="J494" s="45">
        <v>0</v>
      </c>
      <c r="K494" s="45">
        <v>52435.1</v>
      </c>
      <c r="L494" s="45">
        <v>0</v>
      </c>
      <c r="M494" s="45">
        <v>1</v>
      </c>
      <c r="O494" s="45">
        <v>55470.5</v>
      </c>
      <c r="P494" s="45">
        <v>0</v>
      </c>
      <c r="Q494" s="45">
        <v>0</v>
      </c>
      <c r="R494" s="45">
        <v>55861.1</v>
      </c>
      <c r="S494" s="45">
        <v>0</v>
      </c>
      <c r="T494" s="45">
        <v>0</v>
      </c>
      <c r="U494" s="45">
        <v>49877.4</v>
      </c>
      <c r="V494" s="45">
        <v>0</v>
      </c>
      <c r="W494" s="45">
        <v>1</v>
      </c>
      <c r="X494" s="45">
        <v>52699.3</v>
      </c>
      <c r="Y494" s="45">
        <v>0</v>
      </c>
      <c r="Z494" s="45">
        <v>0</v>
      </c>
      <c r="AB494" s="45">
        <v>52154.6</v>
      </c>
      <c r="AC494" s="45">
        <v>0</v>
      </c>
      <c r="AD494" s="45">
        <v>0</v>
      </c>
      <c r="AE494" s="45">
        <v>51160.9</v>
      </c>
      <c r="AF494" s="45">
        <v>0</v>
      </c>
      <c r="AG494" s="45">
        <v>1</v>
      </c>
      <c r="AH494" s="45">
        <v>48545</v>
      </c>
      <c r="AI494" s="45">
        <v>0</v>
      </c>
      <c r="AJ494" s="45">
        <v>0</v>
      </c>
      <c r="AK494" s="45">
        <v>52255.5</v>
      </c>
      <c r="AL494" s="45">
        <v>0</v>
      </c>
      <c r="AM494" s="45">
        <v>0</v>
      </c>
      <c r="AO494" s="45">
        <v>73036</v>
      </c>
      <c r="AP494" s="45">
        <v>38</v>
      </c>
      <c r="AQ494" s="45">
        <v>1</v>
      </c>
      <c r="AR494" s="45">
        <v>55916.2</v>
      </c>
      <c r="AS494" s="45">
        <v>0</v>
      </c>
      <c r="AT494" s="45">
        <v>0</v>
      </c>
      <c r="AU494" s="45">
        <v>56071.6</v>
      </c>
      <c r="AV494" s="45">
        <v>0</v>
      </c>
      <c r="AW494" s="45">
        <v>1</v>
      </c>
      <c r="AX494" s="45">
        <v>58449.3</v>
      </c>
      <c r="AY494" s="45">
        <v>18</v>
      </c>
      <c r="AZ494" s="45">
        <v>0</v>
      </c>
    </row>
    <row r="495" spans="2:52">
      <c r="B495" s="45">
        <v>57540.7</v>
      </c>
      <c r="C495" s="45">
        <v>0</v>
      </c>
      <c r="D495" s="45">
        <v>0</v>
      </c>
      <c r="E495" s="45">
        <v>51328.800000000003</v>
      </c>
      <c r="F495" s="45">
        <v>0</v>
      </c>
      <c r="G495" s="45">
        <v>0</v>
      </c>
      <c r="H495" s="45">
        <v>60474</v>
      </c>
      <c r="I495" s="45">
        <v>23</v>
      </c>
      <c r="J495" s="45">
        <v>1</v>
      </c>
      <c r="K495" s="45">
        <v>58985.2</v>
      </c>
      <c r="L495" s="45">
        <v>20</v>
      </c>
      <c r="M495" s="45">
        <v>0</v>
      </c>
      <c r="O495" s="45">
        <v>51769.7</v>
      </c>
      <c r="P495" s="45">
        <v>0</v>
      </c>
      <c r="Q495" s="45">
        <v>0</v>
      </c>
      <c r="R495" s="45">
        <v>60572.7</v>
      </c>
      <c r="S495" s="45">
        <v>19</v>
      </c>
      <c r="T495" s="45">
        <v>1</v>
      </c>
      <c r="U495" s="45">
        <v>87248.3</v>
      </c>
      <c r="V495" s="45">
        <v>69</v>
      </c>
      <c r="W495" s="45">
        <v>0</v>
      </c>
      <c r="X495" s="45">
        <v>94499.1</v>
      </c>
      <c r="Y495" s="45">
        <v>78</v>
      </c>
      <c r="Z495" s="45">
        <v>1</v>
      </c>
      <c r="AB495" s="45">
        <v>67789</v>
      </c>
      <c r="AC495" s="45">
        <v>30</v>
      </c>
      <c r="AD495" s="45">
        <v>1</v>
      </c>
      <c r="AE495" s="45">
        <v>69027.3</v>
      </c>
      <c r="AF495" s="45">
        <v>31</v>
      </c>
      <c r="AG495" s="45">
        <v>1</v>
      </c>
      <c r="AH495" s="45">
        <v>73134.3</v>
      </c>
      <c r="AI495" s="45">
        <v>39</v>
      </c>
      <c r="AJ495" s="45">
        <v>0</v>
      </c>
      <c r="AK495" s="45">
        <v>50887.5</v>
      </c>
      <c r="AL495" s="45">
        <v>0</v>
      </c>
      <c r="AM495" s="45">
        <v>0</v>
      </c>
      <c r="AO495" s="45">
        <v>52562.5</v>
      </c>
      <c r="AP495" s="45">
        <v>0</v>
      </c>
      <c r="AQ495" s="45">
        <v>1</v>
      </c>
      <c r="AR495" s="45">
        <v>87786</v>
      </c>
      <c r="AS495" s="45">
        <v>72</v>
      </c>
      <c r="AT495" s="45">
        <v>1</v>
      </c>
      <c r="AU495" s="45">
        <v>53267.3</v>
      </c>
      <c r="AV495" s="45">
        <v>0</v>
      </c>
      <c r="AW495" s="45">
        <v>0</v>
      </c>
      <c r="AX495" s="45">
        <v>52350.5</v>
      </c>
      <c r="AY495" s="45">
        <v>0</v>
      </c>
      <c r="AZ495" s="45">
        <v>1</v>
      </c>
    </row>
    <row r="496" spans="2:52">
      <c r="B496" s="45">
        <v>50292.1</v>
      </c>
      <c r="C496" s="45">
        <v>0</v>
      </c>
      <c r="D496" s="45">
        <v>0</v>
      </c>
      <c r="E496" s="45">
        <v>44856.3</v>
      </c>
      <c r="F496" s="45">
        <v>0</v>
      </c>
      <c r="G496" s="45">
        <v>1</v>
      </c>
      <c r="H496" s="45">
        <v>44479.3</v>
      </c>
      <c r="I496" s="45">
        <v>0</v>
      </c>
      <c r="J496" s="45">
        <v>0</v>
      </c>
      <c r="K496" s="45">
        <v>50522.400000000001</v>
      </c>
      <c r="L496" s="45">
        <v>8</v>
      </c>
      <c r="M496" s="45">
        <v>1</v>
      </c>
      <c r="O496" s="45">
        <v>46896.6</v>
      </c>
      <c r="P496" s="45">
        <v>0</v>
      </c>
      <c r="Q496" s="45">
        <v>0</v>
      </c>
      <c r="R496" s="45">
        <v>45867.6</v>
      </c>
      <c r="S496" s="45">
        <v>0</v>
      </c>
      <c r="T496" s="45">
        <v>1</v>
      </c>
      <c r="U496" s="45">
        <v>45002.5</v>
      </c>
      <c r="V496" s="45">
        <v>0</v>
      </c>
      <c r="W496" s="45">
        <v>0</v>
      </c>
      <c r="X496" s="45">
        <v>49163.7</v>
      </c>
      <c r="Y496" s="45">
        <v>0</v>
      </c>
      <c r="Z496" s="45">
        <v>0</v>
      </c>
      <c r="AB496" s="45">
        <v>69551.3</v>
      </c>
      <c r="AC496" s="45">
        <v>34</v>
      </c>
      <c r="AD496" s="45">
        <v>1</v>
      </c>
      <c r="AE496" s="45">
        <v>59525.7</v>
      </c>
      <c r="AF496" s="45">
        <v>20</v>
      </c>
      <c r="AG496" s="45">
        <v>0</v>
      </c>
      <c r="AH496" s="45">
        <v>54700</v>
      </c>
      <c r="AI496" s="45">
        <v>20</v>
      </c>
      <c r="AJ496" s="45">
        <v>1</v>
      </c>
      <c r="AK496" s="45">
        <v>44135.1</v>
      </c>
      <c r="AL496" s="45">
        <v>0</v>
      </c>
      <c r="AM496" s="45">
        <v>0</v>
      </c>
      <c r="AO496" s="45">
        <v>48882.8</v>
      </c>
      <c r="AP496" s="45">
        <v>0</v>
      </c>
      <c r="AQ496" s="45">
        <v>0</v>
      </c>
      <c r="AR496" s="45">
        <v>45830.9</v>
      </c>
      <c r="AS496" s="45">
        <v>0</v>
      </c>
      <c r="AT496" s="45">
        <v>1</v>
      </c>
      <c r="AU496" s="45">
        <v>60950</v>
      </c>
      <c r="AV496" s="45">
        <v>25</v>
      </c>
      <c r="AW496" s="45">
        <v>0</v>
      </c>
      <c r="AX496" s="45">
        <v>49318.400000000001</v>
      </c>
      <c r="AY496" s="45">
        <v>0</v>
      </c>
      <c r="AZ496" s="45">
        <v>1</v>
      </c>
    </row>
    <row r="497" spans="2:52">
      <c r="B497" s="45">
        <v>51888</v>
      </c>
      <c r="C497" s="45">
        <v>0</v>
      </c>
      <c r="D497" s="45">
        <v>0</v>
      </c>
      <c r="E497" s="45">
        <v>50857.1</v>
      </c>
      <c r="F497" s="45">
        <v>0</v>
      </c>
      <c r="G497" s="45">
        <v>0</v>
      </c>
      <c r="H497" s="45">
        <v>54198</v>
      </c>
      <c r="I497" s="45">
        <v>0</v>
      </c>
      <c r="J497" s="45">
        <v>1</v>
      </c>
      <c r="K497" s="45">
        <v>66041.3</v>
      </c>
      <c r="L497" s="45">
        <v>30</v>
      </c>
      <c r="M497" s="45">
        <v>0</v>
      </c>
      <c r="O497" s="45">
        <v>55428</v>
      </c>
      <c r="P497" s="45">
        <v>0</v>
      </c>
      <c r="Q497" s="45">
        <v>1</v>
      </c>
      <c r="R497" s="45">
        <v>50277.5</v>
      </c>
      <c r="S497" s="45">
        <v>0</v>
      </c>
      <c r="T497" s="45">
        <v>0</v>
      </c>
      <c r="U497" s="45">
        <v>50060.3</v>
      </c>
      <c r="V497" s="45">
        <v>0</v>
      </c>
      <c r="W497" s="45">
        <v>0</v>
      </c>
      <c r="X497" s="45">
        <v>50162.5</v>
      </c>
      <c r="Y497" s="45">
        <v>0</v>
      </c>
      <c r="Z497" s="45">
        <v>1</v>
      </c>
      <c r="AB497" s="45">
        <v>62300.5</v>
      </c>
      <c r="AC497" s="45">
        <v>25</v>
      </c>
      <c r="AD497" s="45">
        <v>1</v>
      </c>
      <c r="AE497" s="45">
        <v>66112.399999999994</v>
      </c>
      <c r="AF497" s="45">
        <v>27</v>
      </c>
      <c r="AG497" s="45">
        <v>0</v>
      </c>
      <c r="AH497" s="45">
        <v>70307.7</v>
      </c>
      <c r="AI497" s="45">
        <v>40</v>
      </c>
      <c r="AJ497" s="45">
        <v>2</v>
      </c>
      <c r="AK497" s="45">
        <v>64682.9</v>
      </c>
      <c r="AL497" s="45">
        <v>30</v>
      </c>
      <c r="AM497" s="45">
        <v>0</v>
      </c>
      <c r="AO497" s="45">
        <v>59460.9</v>
      </c>
      <c r="AP497" s="45">
        <v>25</v>
      </c>
      <c r="AQ497" s="45">
        <v>1</v>
      </c>
      <c r="AR497" s="45">
        <v>75918.8</v>
      </c>
      <c r="AS497" s="45">
        <v>48</v>
      </c>
      <c r="AT497" s="45">
        <v>0</v>
      </c>
      <c r="AU497" s="45">
        <v>51874.6</v>
      </c>
      <c r="AV497" s="45">
        <v>0</v>
      </c>
      <c r="AW497" s="45">
        <v>1</v>
      </c>
      <c r="AX497" s="45">
        <v>62201.2</v>
      </c>
      <c r="AY497" s="45">
        <v>23</v>
      </c>
      <c r="AZ497" s="45">
        <v>1</v>
      </c>
    </row>
    <row r="498" spans="2:52">
      <c r="B498" s="45">
        <v>47207.1</v>
      </c>
      <c r="C498" s="45">
        <v>0</v>
      </c>
      <c r="D498" s="45">
        <v>0</v>
      </c>
      <c r="E498" s="45">
        <v>46792.4</v>
      </c>
      <c r="F498" s="45">
        <v>0</v>
      </c>
      <c r="G498" s="45">
        <v>1</v>
      </c>
      <c r="H498" s="45">
        <v>48554.400000000001</v>
      </c>
      <c r="I498" s="45">
        <v>0</v>
      </c>
      <c r="J498" s="45">
        <v>0</v>
      </c>
      <c r="K498" s="45">
        <v>57049.8</v>
      </c>
      <c r="L498" s="45">
        <v>20</v>
      </c>
      <c r="M498" s="45">
        <v>0</v>
      </c>
      <c r="O498" s="45">
        <v>53883.6</v>
      </c>
      <c r="P498" s="45">
        <v>3</v>
      </c>
      <c r="Q498" s="45">
        <v>0</v>
      </c>
      <c r="R498" s="45">
        <v>47262.9</v>
      </c>
      <c r="S498" s="45">
        <v>0</v>
      </c>
      <c r="T498" s="45">
        <v>1</v>
      </c>
      <c r="U498" s="45">
        <v>49194.400000000001</v>
      </c>
      <c r="V498" s="45">
        <v>0</v>
      </c>
      <c r="W498" s="45">
        <v>0</v>
      </c>
      <c r="X498" s="45">
        <v>57245.2</v>
      </c>
      <c r="Y498" s="45">
        <v>28</v>
      </c>
      <c r="Z498" s="45">
        <v>2</v>
      </c>
      <c r="AB498" s="45">
        <v>46590.1</v>
      </c>
      <c r="AC498" s="45">
        <v>0</v>
      </c>
      <c r="AD498" s="45">
        <v>1</v>
      </c>
      <c r="AE498" s="45">
        <v>48004.3</v>
      </c>
      <c r="AF498" s="45">
        <v>0</v>
      </c>
      <c r="AG498" s="45">
        <v>0</v>
      </c>
      <c r="AH498" s="45">
        <v>45759.9</v>
      </c>
      <c r="AI498" s="45">
        <v>0</v>
      </c>
      <c r="AJ498" s="45">
        <v>1</v>
      </c>
      <c r="AK498" s="45">
        <v>44022.1</v>
      </c>
      <c r="AL498" s="45">
        <v>0</v>
      </c>
      <c r="AM498" s="45">
        <v>1</v>
      </c>
      <c r="AO498" s="45">
        <v>48020.800000000003</v>
      </c>
      <c r="AP498" s="45">
        <v>0</v>
      </c>
      <c r="AQ498" s="45">
        <v>0</v>
      </c>
      <c r="AR498" s="45">
        <v>46546.3</v>
      </c>
      <c r="AS498" s="45">
        <v>0</v>
      </c>
      <c r="AT498" s="45">
        <v>0</v>
      </c>
      <c r="AU498" s="45">
        <v>43460.3</v>
      </c>
      <c r="AV498" s="45">
        <v>0</v>
      </c>
      <c r="AW498" s="45">
        <v>1</v>
      </c>
      <c r="AX498" s="45">
        <v>44489.2</v>
      </c>
      <c r="AY498" s="45">
        <v>0</v>
      </c>
      <c r="AZ498" s="45">
        <v>1</v>
      </c>
    </row>
    <row r="499" spans="2:52">
      <c r="B499" s="45">
        <v>80675.7</v>
      </c>
      <c r="C499" s="45">
        <v>53</v>
      </c>
      <c r="D499" s="45">
        <v>1</v>
      </c>
      <c r="E499" s="45">
        <v>59326.5</v>
      </c>
      <c r="F499" s="45">
        <v>16</v>
      </c>
      <c r="G499" s="45">
        <v>0</v>
      </c>
      <c r="H499" s="45">
        <v>54708.800000000003</v>
      </c>
      <c r="I499" s="45">
        <v>0</v>
      </c>
      <c r="J499" s="45">
        <v>1</v>
      </c>
      <c r="K499" s="45">
        <v>52864.9</v>
      </c>
      <c r="L499" s="45">
        <v>0</v>
      </c>
      <c r="M499" s="45">
        <v>0</v>
      </c>
      <c r="O499" s="45">
        <v>54148.9</v>
      </c>
      <c r="P499" s="45">
        <v>0</v>
      </c>
      <c r="Q499" s="45">
        <v>1</v>
      </c>
      <c r="R499" s="45">
        <v>58080.800000000003</v>
      </c>
      <c r="S499" s="45">
        <v>0</v>
      </c>
      <c r="T499" s="45">
        <v>0</v>
      </c>
      <c r="U499" s="45">
        <v>67171.600000000006</v>
      </c>
      <c r="V499" s="45">
        <v>29</v>
      </c>
      <c r="W499" s="45">
        <v>1</v>
      </c>
      <c r="X499" s="45">
        <v>48308</v>
      </c>
      <c r="Y499" s="45">
        <v>0</v>
      </c>
      <c r="Z499" s="45">
        <v>0</v>
      </c>
      <c r="AB499" s="45">
        <v>51816.7</v>
      </c>
      <c r="AC499" s="45">
        <v>0</v>
      </c>
      <c r="AD499" s="45">
        <v>0</v>
      </c>
      <c r="AE499" s="45">
        <v>50314.8</v>
      </c>
      <c r="AF499" s="45">
        <v>0</v>
      </c>
      <c r="AG499" s="45">
        <v>1</v>
      </c>
      <c r="AH499" s="45">
        <v>56602.2</v>
      </c>
      <c r="AI499" s="45">
        <v>16</v>
      </c>
      <c r="AJ499" s="45">
        <v>0</v>
      </c>
      <c r="AK499" s="45">
        <v>50685</v>
      </c>
      <c r="AL499" s="45">
        <v>0</v>
      </c>
      <c r="AM499" s="45">
        <v>1</v>
      </c>
      <c r="AO499" s="45">
        <v>90515.6</v>
      </c>
      <c r="AP499" s="45">
        <v>70</v>
      </c>
      <c r="AQ499" s="45">
        <v>0</v>
      </c>
      <c r="AR499" s="45">
        <v>52548.3</v>
      </c>
      <c r="AS499" s="45">
        <v>0</v>
      </c>
      <c r="AT499" s="45">
        <v>0</v>
      </c>
      <c r="AU499" s="45">
        <v>49758.7</v>
      </c>
      <c r="AV499" s="45">
        <v>0</v>
      </c>
      <c r="AW499" s="45">
        <v>1</v>
      </c>
      <c r="AX499" s="45">
        <v>54002.7</v>
      </c>
      <c r="AY499" s="45">
        <v>0</v>
      </c>
      <c r="AZ499" s="45">
        <v>0</v>
      </c>
    </row>
    <row r="500" spans="2:52">
      <c r="B500" s="45">
        <v>56477.2</v>
      </c>
      <c r="C500" s="45">
        <v>13</v>
      </c>
      <c r="D500" s="45">
        <v>1</v>
      </c>
      <c r="E500" s="45">
        <v>48133.8</v>
      </c>
      <c r="F500" s="45">
        <v>0</v>
      </c>
      <c r="G500" s="45">
        <v>0</v>
      </c>
      <c r="H500" s="45">
        <v>45992.2</v>
      </c>
      <c r="I500" s="45">
        <v>0</v>
      </c>
      <c r="J500" s="45">
        <v>0</v>
      </c>
      <c r="K500" s="45">
        <v>47451.1</v>
      </c>
      <c r="L500" s="45">
        <v>0</v>
      </c>
      <c r="M500" s="45">
        <v>1</v>
      </c>
      <c r="O500" s="45">
        <v>50733.5</v>
      </c>
      <c r="P500" s="45">
        <v>0</v>
      </c>
      <c r="Q500" s="45">
        <v>0</v>
      </c>
      <c r="R500" s="45">
        <v>51085</v>
      </c>
      <c r="S500" s="45">
        <v>0</v>
      </c>
      <c r="T500" s="45">
        <v>1</v>
      </c>
      <c r="U500" s="45">
        <v>49238.2</v>
      </c>
      <c r="V500" s="45">
        <v>0</v>
      </c>
      <c r="W500" s="45">
        <v>0</v>
      </c>
      <c r="X500" s="45">
        <v>46266.2</v>
      </c>
      <c r="Y500" s="45">
        <v>0</v>
      </c>
      <c r="Z500" s="45">
        <v>1</v>
      </c>
      <c r="AB500" s="45">
        <v>46264.800000000003</v>
      </c>
      <c r="AC500" s="45">
        <v>0</v>
      </c>
      <c r="AD500" s="45">
        <v>0</v>
      </c>
      <c r="AE500" s="45">
        <v>52285.9</v>
      </c>
      <c r="AF500" s="45">
        <v>0</v>
      </c>
      <c r="AG500" s="45">
        <v>1</v>
      </c>
      <c r="AH500" s="45">
        <v>44030.5</v>
      </c>
      <c r="AI500" s="45">
        <v>0</v>
      </c>
      <c r="AJ500" s="45">
        <v>0</v>
      </c>
      <c r="AK500" s="45">
        <v>45968.800000000003</v>
      </c>
      <c r="AL500" s="45">
        <v>0</v>
      </c>
      <c r="AM500" s="45">
        <v>0</v>
      </c>
      <c r="AO500" s="45">
        <v>59171.5</v>
      </c>
      <c r="AP500" s="45">
        <v>27</v>
      </c>
      <c r="AQ500" s="45">
        <v>1</v>
      </c>
      <c r="AR500" s="45">
        <v>82711.199999999997</v>
      </c>
      <c r="AS500" s="45">
        <v>60</v>
      </c>
      <c r="AT500" s="45">
        <v>1</v>
      </c>
      <c r="AU500" s="45">
        <v>54283</v>
      </c>
      <c r="AV500" s="45">
        <v>16</v>
      </c>
      <c r="AW500" s="45">
        <v>0</v>
      </c>
      <c r="AX500" s="45">
        <v>63011.199999999997</v>
      </c>
      <c r="AY500" s="45">
        <v>30</v>
      </c>
      <c r="AZ500" s="45">
        <v>1</v>
      </c>
    </row>
    <row r="501" spans="2:52">
      <c r="B501" s="45">
        <v>64974</v>
      </c>
      <c r="C501" s="45">
        <v>0</v>
      </c>
      <c r="D501" s="45">
        <v>0</v>
      </c>
      <c r="E501" s="45">
        <v>66680.2</v>
      </c>
      <c r="F501" s="45">
        <v>0</v>
      </c>
      <c r="G501" s="45">
        <v>0</v>
      </c>
      <c r="H501" s="45">
        <v>59186.1</v>
      </c>
      <c r="I501" s="45">
        <v>0</v>
      </c>
      <c r="J501" s="45">
        <v>0</v>
      </c>
      <c r="K501" s="45">
        <v>67007.5</v>
      </c>
      <c r="L501" s="45">
        <v>0</v>
      </c>
      <c r="M501" s="45">
        <v>1</v>
      </c>
      <c r="O501" s="45">
        <v>69138.100000000006</v>
      </c>
      <c r="P501" s="45">
        <v>0</v>
      </c>
      <c r="Q501" s="45">
        <v>0</v>
      </c>
      <c r="R501" s="45">
        <v>81727.600000000006</v>
      </c>
      <c r="S501" s="45">
        <v>26</v>
      </c>
      <c r="T501" s="45">
        <v>1</v>
      </c>
      <c r="U501" s="45">
        <v>87503.8</v>
      </c>
      <c r="V501" s="45">
        <v>28</v>
      </c>
      <c r="W501" s="45">
        <v>1</v>
      </c>
      <c r="X501" s="45">
        <v>63071</v>
      </c>
      <c r="Y501" s="45">
        <v>10</v>
      </c>
      <c r="Z501" s="45">
        <v>0</v>
      </c>
      <c r="AB501" s="45">
        <v>67395.7</v>
      </c>
      <c r="AC501" s="45">
        <v>0</v>
      </c>
      <c r="AD501" s="45">
        <v>1</v>
      </c>
      <c r="AE501" s="45">
        <v>62052.9</v>
      </c>
      <c r="AF501" s="45">
        <v>0</v>
      </c>
      <c r="AG501" s="45">
        <v>0</v>
      </c>
      <c r="AH501" s="45">
        <v>63700.800000000003</v>
      </c>
      <c r="AI501" s="45">
        <v>0</v>
      </c>
      <c r="AJ501" s="45">
        <v>1</v>
      </c>
      <c r="AK501" s="45">
        <v>59314.3</v>
      </c>
      <c r="AL501" s="45">
        <v>0</v>
      </c>
      <c r="AM501" s="45">
        <v>0</v>
      </c>
      <c r="AO501" s="45">
        <v>70025.5</v>
      </c>
      <c r="AP501" s="45">
        <v>0</v>
      </c>
      <c r="AQ501" s="45">
        <v>0</v>
      </c>
      <c r="AR501" s="45">
        <v>71687.899999999994</v>
      </c>
      <c r="AS501" s="45">
        <v>21</v>
      </c>
      <c r="AT501" s="45">
        <v>1</v>
      </c>
      <c r="AU501" s="45">
        <v>61236.9</v>
      </c>
      <c r="AV501" s="45">
        <v>0</v>
      </c>
      <c r="AW501" s="45">
        <v>0</v>
      </c>
      <c r="AX501" s="45">
        <v>61097.9</v>
      </c>
      <c r="AY501" s="45">
        <v>0</v>
      </c>
      <c r="AZ501" s="45">
        <v>1</v>
      </c>
    </row>
    <row r="502" spans="2:52">
      <c r="B502" s="45">
        <v>51335.4</v>
      </c>
      <c r="C502" s="45">
        <v>0</v>
      </c>
      <c r="D502" s="45">
        <v>0</v>
      </c>
      <c r="E502" s="45">
        <v>49371.8</v>
      </c>
      <c r="F502" s="45">
        <v>0</v>
      </c>
      <c r="G502" s="45">
        <v>1</v>
      </c>
      <c r="H502" s="45">
        <v>54260.9</v>
      </c>
      <c r="I502" s="45">
        <v>0</v>
      </c>
      <c r="J502" s="45">
        <v>0</v>
      </c>
      <c r="K502" s="45">
        <v>51563.5</v>
      </c>
      <c r="L502" s="45">
        <v>0</v>
      </c>
      <c r="M502" s="45">
        <v>0</v>
      </c>
      <c r="O502" s="45">
        <v>54099.199999999997</v>
      </c>
      <c r="P502" s="45">
        <v>0</v>
      </c>
      <c r="Q502" s="45">
        <v>1</v>
      </c>
      <c r="R502" s="45">
        <v>52109.5</v>
      </c>
      <c r="S502" s="45">
        <v>0</v>
      </c>
      <c r="T502" s="45">
        <v>0</v>
      </c>
      <c r="U502" s="45">
        <v>57093.1</v>
      </c>
      <c r="V502" s="45">
        <v>9</v>
      </c>
      <c r="W502" s="45">
        <v>1</v>
      </c>
      <c r="X502" s="45">
        <v>50791.3</v>
      </c>
      <c r="Y502" s="45">
        <v>0</v>
      </c>
      <c r="Z502" s="45">
        <v>0</v>
      </c>
      <c r="AB502" s="45">
        <v>49214.400000000001</v>
      </c>
      <c r="AC502" s="45">
        <v>0</v>
      </c>
      <c r="AD502" s="45">
        <v>0</v>
      </c>
      <c r="AE502" s="45">
        <v>58125.9</v>
      </c>
      <c r="AF502" s="45">
        <v>16</v>
      </c>
      <c r="AG502" s="45">
        <v>1</v>
      </c>
      <c r="AH502" s="45">
        <v>59053.599999999999</v>
      </c>
      <c r="AI502" s="45">
        <v>24</v>
      </c>
      <c r="AJ502" s="45">
        <v>1</v>
      </c>
      <c r="AK502" s="45">
        <v>49498.9</v>
      </c>
      <c r="AL502" s="45">
        <v>0</v>
      </c>
      <c r="AM502" s="45">
        <v>0</v>
      </c>
      <c r="AO502" s="45">
        <v>47152.4</v>
      </c>
      <c r="AP502" s="45">
        <v>0</v>
      </c>
      <c r="AQ502" s="45">
        <v>0</v>
      </c>
      <c r="AR502" s="45">
        <v>65570.399999999994</v>
      </c>
      <c r="AS502" s="45">
        <v>26</v>
      </c>
      <c r="AT502" s="45">
        <v>1</v>
      </c>
      <c r="AU502" s="45">
        <v>49362.8</v>
      </c>
      <c r="AV502" s="45">
        <v>0</v>
      </c>
      <c r="AW502" s="45">
        <v>0</v>
      </c>
      <c r="AX502" s="45">
        <v>56467.1</v>
      </c>
      <c r="AY502" s="45">
        <v>0</v>
      </c>
      <c r="AZ502" s="45">
        <v>1</v>
      </c>
    </row>
    <row r="503" spans="2:52">
      <c r="B503" s="45">
        <v>50232.1</v>
      </c>
      <c r="C503" s="45">
        <v>0</v>
      </c>
      <c r="D503" s="45">
        <v>1</v>
      </c>
      <c r="E503" s="45">
        <v>52105.2</v>
      </c>
      <c r="F503" s="45">
        <v>0</v>
      </c>
      <c r="G503" s="45">
        <v>0</v>
      </c>
      <c r="H503" s="45">
        <v>49402.8</v>
      </c>
      <c r="I503" s="45">
        <v>0</v>
      </c>
      <c r="J503" s="45">
        <v>0</v>
      </c>
      <c r="K503" s="45">
        <v>49060.4</v>
      </c>
      <c r="L503" s="45">
        <v>0</v>
      </c>
      <c r="M503" s="45">
        <v>1</v>
      </c>
      <c r="O503" s="45">
        <v>54113.8</v>
      </c>
      <c r="P503" s="45">
        <v>0</v>
      </c>
      <c r="Q503" s="45">
        <v>1</v>
      </c>
      <c r="R503" s="45">
        <v>58700.2</v>
      </c>
      <c r="S503" s="45">
        <v>0</v>
      </c>
      <c r="T503" s="45">
        <v>0</v>
      </c>
      <c r="U503" s="45">
        <v>56119.199999999997</v>
      </c>
      <c r="V503" s="45">
        <v>5</v>
      </c>
      <c r="W503" s="45">
        <v>0</v>
      </c>
      <c r="X503" s="45">
        <v>49877.5</v>
      </c>
      <c r="Y503" s="45">
        <v>0</v>
      </c>
      <c r="Z503" s="45">
        <v>1</v>
      </c>
      <c r="AB503" s="45">
        <v>59395.4</v>
      </c>
      <c r="AC503" s="45">
        <v>0</v>
      </c>
      <c r="AD503" s="45">
        <v>0</v>
      </c>
      <c r="AE503" s="45">
        <v>51516.7</v>
      </c>
      <c r="AF503" s="45">
        <v>0</v>
      </c>
      <c r="AG503" s="45">
        <v>1</v>
      </c>
      <c r="AH503" s="45">
        <v>48349</v>
      </c>
      <c r="AI503" s="45">
        <v>0</v>
      </c>
      <c r="AJ503" s="45">
        <v>0</v>
      </c>
      <c r="AK503" s="45">
        <v>49593.2</v>
      </c>
      <c r="AL503" s="45">
        <v>0</v>
      </c>
      <c r="AM503" s="45">
        <v>1</v>
      </c>
      <c r="AO503" s="45">
        <v>53758.7</v>
      </c>
      <c r="AP503" s="45">
        <v>0</v>
      </c>
      <c r="AQ503" s="45">
        <v>0</v>
      </c>
      <c r="AR503" s="45">
        <v>52813.4</v>
      </c>
      <c r="AS503" s="45">
        <v>5</v>
      </c>
      <c r="AT503" s="45">
        <v>1</v>
      </c>
      <c r="AU503" s="45">
        <v>50929.599999999999</v>
      </c>
      <c r="AV503" s="45">
        <v>0</v>
      </c>
      <c r="AW503" s="45">
        <v>0</v>
      </c>
      <c r="AX503" s="45">
        <v>46835.8</v>
      </c>
      <c r="AY503" s="45">
        <v>0</v>
      </c>
      <c r="AZ503" s="45">
        <v>1</v>
      </c>
    </row>
    <row r="504" spans="2:52">
      <c r="B504" s="45">
        <v>70057.600000000006</v>
      </c>
      <c r="C504" s="45">
        <v>12</v>
      </c>
      <c r="D504" s="45">
        <v>0</v>
      </c>
      <c r="E504" s="45">
        <v>60943.9</v>
      </c>
      <c r="F504" s="45">
        <v>0</v>
      </c>
      <c r="G504" s="45">
        <v>0</v>
      </c>
      <c r="H504" s="45">
        <v>63414</v>
      </c>
      <c r="I504" s="45">
        <v>0</v>
      </c>
      <c r="J504" s="45">
        <v>0</v>
      </c>
      <c r="K504" s="45">
        <v>65146.2</v>
      </c>
      <c r="L504" s="45">
        <v>0</v>
      </c>
      <c r="M504" s="45">
        <v>1</v>
      </c>
      <c r="O504" s="45">
        <v>74517.3</v>
      </c>
      <c r="P504" s="45">
        <v>14</v>
      </c>
      <c r="Q504" s="45">
        <v>0</v>
      </c>
      <c r="R504" s="45">
        <v>64389.4</v>
      </c>
      <c r="S504" s="45">
        <v>0</v>
      </c>
      <c r="T504" s="45">
        <v>1</v>
      </c>
      <c r="U504" s="45">
        <v>59610.8</v>
      </c>
      <c r="V504" s="45">
        <v>0</v>
      </c>
      <c r="W504" s="45">
        <v>0</v>
      </c>
      <c r="X504" s="45">
        <v>61191.8</v>
      </c>
      <c r="Y504" s="45">
        <v>0</v>
      </c>
      <c r="Z504" s="45">
        <v>1</v>
      </c>
      <c r="AB504" s="45">
        <v>62287.5</v>
      </c>
      <c r="AC504" s="45">
        <v>0</v>
      </c>
      <c r="AD504" s="45">
        <v>0</v>
      </c>
      <c r="AE504" s="45">
        <v>64137.5</v>
      </c>
      <c r="AF504" s="45">
        <v>0</v>
      </c>
      <c r="AG504" s="45">
        <v>1</v>
      </c>
      <c r="AH504" s="45">
        <v>77982.7</v>
      </c>
      <c r="AI504" s="45">
        <v>36</v>
      </c>
      <c r="AJ504" s="45">
        <v>1</v>
      </c>
      <c r="AK504" s="45">
        <v>60750</v>
      </c>
      <c r="AL504" s="45">
        <v>0</v>
      </c>
      <c r="AM504" s="45">
        <v>1</v>
      </c>
      <c r="AO504" s="45">
        <v>65567.3</v>
      </c>
      <c r="AP504" s="45">
        <v>3</v>
      </c>
      <c r="AQ504" s="45">
        <v>0</v>
      </c>
      <c r="AR504" s="45">
        <v>64550.9</v>
      </c>
      <c r="AS504" s="45">
        <v>0</v>
      </c>
      <c r="AT504" s="45">
        <v>1</v>
      </c>
      <c r="AU504" s="45">
        <v>61191.7</v>
      </c>
      <c r="AV504" s="45">
        <v>0</v>
      </c>
      <c r="AW504" s="45">
        <v>0</v>
      </c>
      <c r="AX504" s="45">
        <v>59820.5</v>
      </c>
      <c r="AY504" s="45">
        <v>0</v>
      </c>
      <c r="AZ504" s="45">
        <v>1</v>
      </c>
    </row>
    <row r="505" spans="2:52">
      <c r="B505" s="45">
        <v>63282.400000000001</v>
      </c>
      <c r="C505" s="45">
        <v>0</v>
      </c>
      <c r="D505" s="45">
        <v>0</v>
      </c>
      <c r="E505" s="45">
        <v>64666.400000000001</v>
      </c>
      <c r="F505" s="45">
        <v>0</v>
      </c>
      <c r="G505" s="45">
        <v>0</v>
      </c>
      <c r="H505" s="45">
        <v>60489</v>
      </c>
      <c r="I505" s="45">
        <v>0</v>
      </c>
      <c r="J505" s="45">
        <v>1</v>
      </c>
      <c r="K505" s="45">
        <v>68091.899999999994</v>
      </c>
      <c r="L505" s="45">
        <v>0</v>
      </c>
      <c r="M505" s="45">
        <v>0</v>
      </c>
      <c r="O505" s="45">
        <v>64126</v>
      </c>
      <c r="P505" s="45">
        <v>0</v>
      </c>
      <c r="Q505" s="45">
        <v>0</v>
      </c>
      <c r="R505" s="45">
        <v>63361.599999999999</v>
      </c>
      <c r="S505" s="45">
        <v>0</v>
      </c>
      <c r="T505" s="45">
        <v>0</v>
      </c>
      <c r="U505" s="45">
        <v>69239.7</v>
      </c>
      <c r="V505" s="45">
        <v>0</v>
      </c>
      <c r="W505" s="45">
        <v>1</v>
      </c>
      <c r="X505" s="45">
        <v>78753.5</v>
      </c>
      <c r="Y505" s="45">
        <v>37</v>
      </c>
      <c r="Z505" s="45">
        <v>0</v>
      </c>
      <c r="AB505" s="45">
        <v>68131.100000000006</v>
      </c>
      <c r="AC505" s="45">
        <v>0</v>
      </c>
      <c r="AD505" s="45">
        <v>0</v>
      </c>
      <c r="AE505" s="45">
        <v>63404.5</v>
      </c>
      <c r="AF505" s="45">
        <v>0</v>
      </c>
      <c r="AG505" s="45">
        <v>1</v>
      </c>
      <c r="AH505" s="45">
        <v>68641.100000000006</v>
      </c>
      <c r="AI505" s="45">
        <v>0</v>
      </c>
      <c r="AJ505" s="45">
        <v>0</v>
      </c>
      <c r="AK505" s="45">
        <v>59402</v>
      </c>
      <c r="AL505" s="45">
        <v>0</v>
      </c>
      <c r="AM505" s="45">
        <v>0</v>
      </c>
      <c r="AO505" s="45">
        <v>58010.2</v>
      </c>
      <c r="AP505" s="45">
        <v>0</v>
      </c>
      <c r="AQ505" s="45">
        <v>0</v>
      </c>
      <c r="AR505" s="45">
        <v>71729.2</v>
      </c>
      <c r="AS505" s="45">
        <v>0</v>
      </c>
      <c r="AT505" s="45">
        <v>1</v>
      </c>
      <c r="AU505" s="45">
        <v>62394.6</v>
      </c>
      <c r="AV505" s="45">
        <v>0</v>
      </c>
      <c r="AW505" s="45">
        <v>0</v>
      </c>
      <c r="AX505" s="45">
        <v>60665.9</v>
      </c>
      <c r="AY505" s="45">
        <v>0</v>
      </c>
      <c r="AZ505" s="45">
        <v>1</v>
      </c>
    </row>
    <row r="506" spans="2:52">
      <c r="B506" s="45">
        <v>76246.600000000006</v>
      </c>
      <c r="C506" s="45">
        <v>29</v>
      </c>
      <c r="D506" s="45">
        <v>0</v>
      </c>
      <c r="E506" s="45">
        <v>59781.7</v>
      </c>
      <c r="F506" s="45">
        <v>0</v>
      </c>
      <c r="G506" s="45">
        <v>1</v>
      </c>
      <c r="H506" s="45">
        <v>63522.1</v>
      </c>
      <c r="I506" s="45">
        <v>0</v>
      </c>
      <c r="J506" s="45">
        <v>0</v>
      </c>
      <c r="K506" s="45">
        <v>58914.5</v>
      </c>
      <c r="L506" s="45">
        <v>0</v>
      </c>
      <c r="M506" s="45">
        <v>0</v>
      </c>
      <c r="O506" s="45">
        <v>69307.199999999997</v>
      </c>
      <c r="P506" s="45">
        <v>14</v>
      </c>
      <c r="Q506" s="45">
        <v>1</v>
      </c>
      <c r="R506" s="45">
        <v>59613.7</v>
      </c>
      <c r="S506" s="45">
        <v>0</v>
      </c>
      <c r="T506" s="45">
        <v>0</v>
      </c>
      <c r="U506" s="45">
        <v>63082.2</v>
      </c>
      <c r="V506" s="45">
        <v>0</v>
      </c>
      <c r="W506" s="45">
        <v>1</v>
      </c>
      <c r="X506" s="45">
        <v>64673.2</v>
      </c>
      <c r="Y506" s="45">
        <v>6</v>
      </c>
      <c r="Z506" s="45">
        <v>0</v>
      </c>
      <c r="AB506" s="45">
        <v>58465.599999999999</v>
      </c>
      <c r="AC506" s="45">
        <v>0</v>
      </c>
      <c r="AD506" s="45">
        <v>1</v>
      </c>
      <c r="AE506" s="45">
        <v>66010.899999999994</v>
      </c>
      <c r="AF506" s="45">
        <v>0</v>
      </c>
      <c r="AG506" s="45">
        <v>0</v>
      </c>
      <c r="AH506" s="45">
        <v>57219.3</v>
      </c>
      <c r="AI506" s="45">
        <v>0</v>
      </c>
      <c r="AJ506" s="45">
        <v>0</v>
      </c>
      <c r="AK506" s="45">
        <v>59437.7</v>
      </c>
      <c r="AL506" s="45">
        <v>0</v>
      </c>
      <c r="AM506" s="45">
        <v>1</v>
      </c>
      <c r="AO506" s="45">
        <v>63117.9</v>
      </c>
      <c r="AP506" s="45">
        <v>0</v>
      </c>
      <c r="AQ506" s="45">
        <v>0</v>
      </c>
      <c r="AR506" s="45">
        <v>61516.6</v>
      </c>
      <c r="AS506" s="45">
        <v>0</v>
      </c>
      <c r="AT506" s="45">
        <v>1</v>
      </c>
      <c r="AU506" s="45">
        <v>65227.9</v>
      </c>
      <c r="AV506" s="45">
        <v>0</v>
      </c>
      <c r="AW506" s="45">
        <v>0</v>
      </c>
      <c r="AX506" s="45">
        <v>55663</v>
      </c>
      <c r="AY506" s="45">
        <v>0</v>
      </c>
      <c r="AZ506" s="45">
        <v>1</v>
      </c>
    </row>
    <row r="507" spans="2:52">
      <c r="B507" s="45">
        <v>65332.2</v>
      </c>
      <c r="C507" s="45">
        <v>0</v>
      </c>
      <c r="D507" s="45">
        <v>1</v>
      </c>
      <c r="E507" s="45">
        <v>73876.600000000006</v>
      </c>
      <c r="F507" s="45">
        <v>0</v>
      </c>
      <c r="G507" s="45">
        <v>0</v>
      </c>
      <c r="H507" s="45">
        <v>69925.7</v>
      </c>
      <c r="I507" s="45">
        <v>0</v>
      </c>
      <c r="J507" s="45">
        <v>0</v>
      </c>
      <c r="K507" s="45">
        <v>67109.899999999994</v>
      </c>
      <c r="L507" s="45">
        <v>0</v>
      </c>
      <c r="M507" s="45">
        <v>1</v>
      </c>
      <c r="O507" s="45">
        <v>70933.8</v>
      </c>
      <c r="P507" s="45">
        <v>0</v>
      </c>
      <c r="Q507" s="45">
        <v>1</v>
      </c>
      <c r="R507" s="45">
        <v>69696.600000000006</v>
      </c>
      <c r="S507" s="45">
        <v>0</v>
      </c>
      <c r="T507" s="45">
        <v>0</v>
      </c>
      <c r="U507" s="45">
        <v>68948.399999999994</v>
      </c>
      <c r="V507" s="45">
        <v>0</v>
      </c>
      <c r="W507" s="45">
        <v>1</v>
      </c>
      <c r="X507" s="45">
        <v>67305.5</v>
      </c>
      <c r="Y507" s="45">
        <v>0</v>
      </c>
      <c r="Z507" s="45">
        <v>0</v>
      </c>
      <c r="AB507" s="45">
        <v>74461.8</v>
      </c>
      <c r="AC507" s="45">
        <v>0</v>
      </c>
      <c r="AD507" s="45">
        <v>0</v>
      </c>
      <c r="AE507" s="45">
        <v>69240.600000000006</v>
      </c>
      <c r="AF507" s="45">
        <v>0</v>
      </c>
      <c r="AG507" s="45">
        <v>0</v>
      </c>
      <c r="AH507" s="45">
        <v>70209.600000000006</v>
      </c>
      <c r="AI507" s="45">
        <v>0</v>
      </c>
      <c r="AJ507" s="45">
        <v>1</v>
      </c>
      <c r="AK507" s="45">
        <v>64991.1</v>
      </c>
      <c r="AL507" s="45">
        <v>0</v>
      </c>
      <c r="AM507" s="45">
        <v>0</v>
      </c>
      <c r="AO507" s="45">
        <v>67165</v>
      </c>
      <c r="AP507" s="45">
        <v>0</v>
      </c>
      <c r="AQ507" s="45">
        <v>0</v>
      </c>
      <c r="AR507" s="45">
        <v>78633.2</v>
      </c>
      <c r="AS507" s="45">
        <v>0</v>
      </c>
      <c r="AT507" s="45">
        <v>1</v>
      </c>
      <c r="AU507" s="45">
        <v>71167.5</v>
      </c>
      <c r="AV507" s="45">
        <v>0</v>
      </c>
      <c r="AW507" s="45">
        <v>0</v>
      </c>
      <c r="AX507" s="45">
        <v>63566.400000000001</v>
      </c>
      <c r="AY507" s="45">
        <v>0</v>
      </c>
      <c r="AZ507" s="45">
        <v>1</v>
      </c>
    </row>
    <row r="508" spans="2:52">
      <c r="B508" s="45">
        <v>60593.4</v>
      </c>
      <c r="C508" s="45">
        <v>0</v>
      </c>
      <c r="D508" s="45">
        <v>0</v>
      </c>
      <c r="E508" s="45">
        <v>82610.7</v>
      </c>
      <c r="F508" s="45">
        <v>48</v>
      </c>
      <c r="G508" s="45">
        <v>0</v>
      </c>
      <c r="H508" s="45">
        <v>64228.9</v>
      </c>
      <c r="I508" s="45">
        <v>0</v>
      </c>
      <c r="J508" s="45">
        <v>1</v>
      </c>
      <c r="K508" s="45">
        <v>54857.2</v>
      </c>
      <c r="L508" s="45">
        <v>0</v>
      </c>
      <c r="M508" s="45">
        <v>0</v>
      </c>
      <c r="O508" s="45">
        <v>64140</v>
      </c>
      <c r="P508" s="45">
        <v>0</v>
      </c>
      <c r="Q508" s="45">
        <v>0</v>
      </c>
      <c r="R508" s="45">
        <v>63470.5</v>
      </c>
      <c r="S508" s="45">
        <v>0</v>
      </c>
      <c r="T508" s="45">
        <v>1</v>
      </c>
      <c r="U508" s="45">
        <v>60823.9</v>
      </c>
      <c r="V508" s="45">
        <v>0</v>
      </c>
      <c r="W508" s="45">
        <v>0</v>
      </c>
      <c r="X508" s="45">
        <v>55868.6</v>
      </c>
      <c r="Y508" s="45">
        <v>0</v>
      </c>
      <c r="Z508" s="45">
        <v>0</v>
      </c>
      <c r="AB508" s="45">
        <v>58462.9</v>
      </c>
      <c r="AC508" s="45">
        <v>0</v>
      </c>
      <c r="AD508" s="45">
        <v>0</v>
      </c>
      <c r="AE508" s="45">
        <v>60470.7</v>
      </c>
      <c r="AF508" s="45">
        <v>0</v>
      </c>
      <c r="AG508" s="45">
        <v>1</v>
      </c>
      <c r="AH508" s="45">
        <v>60025.599999999999</v>
      </c>
      <c r="AI508" s="45">
        <v>8</v>
      </c>
      <c r="AJ508" s="45">
        <v>0</v>
      </c>
      <c r="AK508" s="45">
        <v>59978.7</v>
      </c>
      <c r="AL508" s="45">
        <v>0</v>
      </c>
      <c r="AM508" s="45">
        <v>0</v>
      </c>
      <c r="AO508" s="45">
        <v>72657.5</v>
      </c>
      <c r="AP508" s="45">
        <v>26</v>
      </c>
      <c r="AQ508" s="45">
        <v>0</v>
      </c>
      <c r="AR508" s="45">
        <v>60938</v>
      </c>
      <c r="AS508" s="45">
        <v>0</v>
      </c>
      <c r="AT508" s="45">
        <v>0</v>
      </c>
      <c r="AU508" s="45">
        <v>68485.600000000006</v>
      </c>
      <c r="AV508" s="45">
        <v>17</v>
      </c>
      <c r="AW508" s="45">
        <v>1</v>
      </c>
      <c r="AX508" s="45">
        <v>63212</v>
      </c>
      <c r="AY508" s="45">
        <v>0</v>
      </c>
      <c r="AZ508" s="45">
        <v>0</v>
      </c>
    </row>
    <row r="509" spans="2:52">
      <c r="B509" s="45">
        <v>47982.1</v>
      </c>
      <c r="C509" s="45">
        <v>0</v>
      </c>
      <c r="D509" s="45">
        <v>0</v>
      </c>
      <c r="E509" s="45">
        <v>44212.1</v>
      </c>
      <c r="F509" s="45">
        <v>0</v>
      </c>
      <c r="G509" s="45">
        <v>1</v>
      </c>
      <c r="H509" s="45">
        <v>48554.6</v>
      </c>
      <c r="I509" s="45">
        <v>0</v>
      </c>
      <c r="J509" s="45">
        <v>0</v>
      </c>
      <c r="K509" s="45">
        <v>54856.800000000003</v>
      </c>
      <c r="L509" s="45">
        <v>0</v>
      </c>
      <c r="M509" s="45">
        <v>0</v>
      </c>
      <c r="O509" s="45">
        <v>56968.9</v>
      </c>
      <c r="P509" s="45">
        <v>0</v>
      </c>
      <c r="Q509" s="45">
        <v>1</v>
      </c>
      <c r="R509" s="45">
        <v>52636.5</v>
      </c>
      <c r="S509" s="45">
        <v>0</v>
      </c>
      <c r="T509" s="45">
        <v>0</v>
      </c>
      <c r="U509" s="45">
        <v>49162.6</v>
      </c>
      <c r="V509" s="45">
        <v>0</v>
      </c>
      <c r="W509" s="45">
        <v>0</v>
      </c>
      <c r="X509" s="45">
        <v>83556.399999999994</v>
      </c>
      <c r="Y509" s="45">
        <v>74</v>
      </c>
      <c r="Z509" s="45">
        <v>1</v>
      </c>
      <c r="AB509" s="45">
        <v>65023.1</v>
      </c>
      <c r="AC509" s="45">
        <v>34</v>
      </c>
      <c r="AD509" s="45">
        <v>1</v>
      </c>
      <c r="AE509" s="45">
        <v>55717.1</v>
      </c>
      <c r="AF509" s="45">
        <v>12</v>
      </c>
      <c r="AG509" s="45">
        <v>0</v>
      </c>
      <c r="AH509" s="45">
        <v>46979.1</v>
      </c>
      <c r="AI509" s="45">
        <v>0</v>
      </c>
      <c r="AJ509" s="45">
        <v>1</v>
      </c>
      <c r="AK509" s="45">
        <v>46925.3</v>
      </c>
      <c r="AL509" s="45">
        <v>0</v>
      </c>
      <c r="AM509" s="45">
        <v>0</v>
      </c>
      <c r="AO509" s="45">
        <v>57212.1</v>
      </c>
      <c r="AP509" s="45">
        <v>20</v>
      </c>
      <c r="AQ509" s="45">
        <v>1</v>
      </c>
      <c r="AR509" s="45">
        <v>66500.2</v>
      </c>
      <c r="AS509" s="45">
        <v>42</v>
      </c>
      <c r="AT509" s="45">
        <v>1</v>
      </c>
      <c r="AU509" s="45">
        <v>50421.9</v>
      </c>
      <c r="AV509" s="45">
        <v>0</v>
      </c>
      <c r="AW509" s="45">
        <v>0</v>
      </c>
      <c r="AX509" s="45">
        <v>49441.1</v>
      </c>
      <c r="AY509" s="45">
        <v>0</v>
      </c>
      <c r="AZ509" s="45">
        <v>0</v>
      </c>
    </row>
    <row r="510" spans="2:52">
      <c r="B510" s="45">
        <v>48825.3</v>
      </c>
      <c r="C510" s="45">
        <v>0</v>
      </c>
      <c r="D510" s="45">
        <v>1</v>
      </c>
      <c r="E510" s="45">
        <v>47314.6</v>
      </c>
      <c r="F510" s="45">
        <v>0</v>
      </c>
      <c r="G510" s="45">
        <v>0</v>
      </c>
      <c r="H510" s="45">
        <v>59619.7</v>
      </c>
      <c r="I510" s="45">
        <v>25</v>
      </c>
      <c r="J510" s="45">
        <v>1</v>
      </c>
      <c r="K510" s="45">
        <v>49907.5</v>
      </c>
      <c r="L510" s="45">
        <v>0</v>
      </c>
      <c r="M510" s="45">
        <v>0</v>
      </c>
      <c r="O510" s="45">
        <v>51142.9</v>
      </c>
      <c r="P510" s="45">
        <v>0</v>
      </c>
      <c r="Q510" s="45">
        <v>0</v>
      </c>
      <c r="R510" s="45">
        <v>50675.1</v>
      </c>
      <c r="S510" s="45">
        <v>0</v>
      </c>
      <c r="T510" s="45">
        <v>1</v>
      </c>
      <c r="U510" s="45">
        <v>83312.100000000006</v>
      </c>
      <c r="V510" s="45">
        <v>62</v>
      </c>
      <c r="W510" s="45">
        <v>0</v>
      </c>
      <c r="X510" s="45">
        <v>67725</v>
      </c>
      <c r="Y510" s="45">
        <v>40</v>
      </c>
      <c r="Z510" s="45">
        <v>1</v>
      </c>
      <c r="AB510" s="45">
        <v>46273.1</v>
      </c>
      <c r="AC510" s="45">
        <v>0</v>
      </c>
      <c r="AD510" s="45">
        <v>1</v>
      </c>
      <c r="AE510" s="45">
        <v>56547.5</v>
      </c>
      <c r="AF510" s="45">
        <v>16</v>
      </c>
      <c r="AG510" s="45">
        <v>0</v>
      </c>
      <c r="AH510" s="45">
        <v>63827.5</v>
      </c>
      <c r="AI510" s="45">
        <v>28</v>
      </c>
      <c r="AJ510" s="45">
        <v>0</v>
      </c>
      <c r="AK510" s="45">
        <v>48434.8</v>
      </c>
      <c r="AL510" s="45">
        <v>0</v>
      </c>
      <c r="AM510" s="45">
        <v>1</v>
      </c>
      <c r="AO510" s="45">
        <v>47510.2</v>
      </c>
      <c r="AP510" s="45">
        <v>0</v>
      </c>
      <c r="AQ510" s="45">
        <v>1</v>
      </c>
      <c r="AR510" s="45">
        <v>52401</v>
      </c>
      <c r="AS510" s="45">
        <v>2</v>
      </c>
      <c r="AT510" s="45">
        <v>0</v>
      </c>
      <c r="AU510" s="45">
        <v>47439.4</v>
      </c>
      <c r="AV510" s="45">
        <v>0</v>
      </c>
      <c r="AW510" s="45">
        <v>1</v>
      </c>
      <c r="AX510" s="45">
        <v>44173.9</v>
      </c>
      <c r="AY510" s="45">
        <v>0</v>
      </c>
      <c r="AZ510" s="45">
        <v>1</v>
      </c>
    </row>
    <row r="511" spans="2:52">
      <c r="B511" s="45">
        <v>53965.4</v>
      </c>
      <c r="C511" s="45">
        <v>0</v>
      </c>
      <c r="D511" s="45">
        <v>0</v>
      </c>
      <c r="E511" s="45">
        <v>49953.5</v>
      </c>
      <c r="F511" s="45">
        <v>1</v>
      </c>
      <c r="G511" s="45">
        <v>1</v>
      </c>
      <c r="H511" s="45">
        <v>61718.8</v>
      </c>
      <c r="I511" s="45">
        <v>25</v>
      </c>
      <c r="J511" s="45">
        <v>0</v>
      </c>
      <c r="K511" s="45">
        <v>48737.9</v>
      </c>
      <c r="L511" s="45">
        <v>0</v>
      </c>
      <c r="M511" s="45">
        <v>0</v>
      </c>
      <c r="O511" s="45">
        <v>43778.2</v>
      </c>
      <c r="P511" s="45">
        <v>0</v>
      </c>
      <c r="Q511" s="45">
        <v>1</v>
      </c>
      <c r="R511" s="45">
        <v>48770.3</v>
      </c>
      <c r="S511" s="45">
        <v>0</v>
      </c>
      <c r="T511" s="45">
        <v>0</v>
      </c>
      <c r="U511" s="45">
        <v>46214.7</v>
      </c>
      <c r="V511" s="45">
        <v>0</v>
      </c>
      <c r="W511" s="45">
        <v>0</v>
      </c>
      <c r="X511" s="45">
        <v>44585.8</v>
      </c>
      <c r="Y511" s="45">
        <v>0</v>
      </c>
      <c r="Z511" s="45">
        <v>1</v>
      </c>
      <c r="AB511" s="45">
        <v>46634.9</v>
      </c>
      <c r="AC511" s="45">
        <v>0</v>
      </c>
      <c r="AD511" s="45">
        <v>0</v>
      </c>
      <c r="AE511" s="45">
        <v>44243.6</v>
      </c>
      <c r="AF511" s="45">
        <v>0</v>
      </c>
      <c r="AG511" s="45">
        <v>1</v>
      </c>
      <c r="AH511" s="45">
        <v>49648</v>
      </c>
      <c r="AI511" s="45">
        <v>0</v>
      </c>
      <c r="AJ511" s="45">
        <v>0</v>
      </c>
      <c r="AK511" s="45">
        <v>45317.599999999999</v>
      </c>
      <c r="AL511" s="45">
        <v>0</v>
      </c>
      <c r="AM511" s="45">
        <v>1</v>
      </c>
      <c r="AO511" s="45">
        <v>45932.1</v>
      </c>
      <c r="AP511" s="45">
        <v>0</v>
      </c>
      <c r="AQ511" s="45">
        <v>0</v>
      </c>
      <c r="AR511" s="45">
        <v>50501.4</v>
      </c>
      <c r="AS511" s="45">
        <v>5</v>
      </c>
      <c r="AT511" s="45">
        <v>1</v>
      </c>
      <c r="AU511" s="45">
        <v>44079.3</v>
      </c>
      <c r="AV511" s="45">
        <v>0</v>
      </c>
      <c r="AW511" s="45">
        <v>0</v>
      </c>
      <c r="AX511" s="45">
        <v>52654.8</v>
      </c>
      <c r="AY511" s="45">
        <v>0</v>
      </c>
      <c r="AZ511" s="45">
        <v>0</v>
      </c>
    </row>
    <row r="512" spans="2:52">
      <c r="B512" s="45">
        <v>54799.199999999997</v>
      </c>
      <c r="C512" s="45">
        <v>0</v>
      </c>
      <c r="D512" s="45">
        <v>1</v>
      </c>
      <c r="E512" s="45">
        <v>57987.6</v>
      </c>
      <c r="F512" s="45">
        <v>0</v>
      </c>
      <c r="G512" s="45">
        <v>0</v>
      </c>
      <c r="H512" s="45">
        <v>60838.8</v>
      </c>
      <c r="I512" s="45">
        <v>8</v>
      </c>
      <c r="J512" s="45">
        <v>1</v>
      </c>
      <c r="K512" s="45">
        <v>57274.2</v>
      </c>
      <c r="L512" s="45">
        <v>0</v>
      </c>
      <c r="M512" s="45">
        <v>0</v>
      </c>
      <c r="O512" s="45">
        <v>78983.100000000006</v>
      </c>
      <c r="P512" s="45">
        <v>32</v>
      </c>
      <c r="Q512" s="45">
        <v>0</v>
      </c>
      <c r="R512" s="45">
        <v>90183</v>
      </c>
      <c r="S512" s="45">
        <v>60</v>
      </c>
      <c r="T512" s="45">
        <v>0</v>
      </c>
      <c r="U512" s="45">
        <v>68404.100000000006</v>
      </c>
      <c r="V512" s="45">
        <v>16</v>
      </c>
      <c r="W512" s="45">
        <v>1</v>
      </c>
      <c r="X512" s="45">
        <v>58424.800000000003</v>
      </c>
      <c r="Y512" s="45">
        <v>0</v>
      </c>
      <c r="Z512" s="45">
        <v>0</v>
      </c>
      <c r="AB512" s="45">
        <v>61098.8</v>
      </c>
      <c r="AC512" s="45">
        <v>0</v>
      </c>
      <c r="AD512" s="45">
        <v>0</v>
      </c>
      <c r="AE512" s="45">
        <v>73861.8</v>
      </c>
      <c r="AF512" s="45">
        <v>36</v>
      </c>
      <c r="AG512" s="45">
        <v>1</v>
      </c>
      <c r="AH512" s="45">
        <v>59504.2</v>
      </c>
      <c r="AI512" s="45">
        <v>0</v>
      </c>
      <c r="AJ512" s="45">
        <v>0</v>
      </c>
      <c r="AK512" s="45">
        <v>55433.7</v>
      </c>
      <c r="AL512" s="45">
        <v>0</v>
      </c>
      <c r="AM512" s="45">
        <v>1</v>
      </c>
      <c r="AO512" s="45">
        <v>58779.7</v>
      </c>
      <c r="AP512" s="45">
        <v>0</v>
      </c>
      <c r="AQ512" s="45">
        <v>1</v>
      </c>
      <c r="AR512" s="45">
        <v>74774.8</v>
      </c>
      <c r="AS512" s="45">
        <v>28</v>
      </c>
      <c r="AT512" s="45">
        <v>1</v>
      </c>
      <c r="AU512" s="45">
        <v>52684.1</v>
      </c>
      <c r="AV512" s="45">
        <v>0</v>
      </c>
      <c r="AW512" s="45">
        <v>0</v>
      </c>
      <c r="AX512" s="45">
        <v>68760.7</v>
      </c>
      <c r="AY512" s="45">
        <v>29</v>
      </c>
      <c r="AZ512" s="45">
        <v>1</v>
      </c>
    </row>
    <row r="513" spans="2:52">
      <c r="B513" s="45">
        <v>70138.7</v>
      </c>
      <c r="C513" s="45">
        <v>0</v>
      </c>
      <c r="D513" s="45">
        <v>1</v>
      </c>
      <c r="E513" s="45">
        <v>69635</v>
      </c>
      <c r="F513" s="45">
        <v>0</v>
      </c>
      <c r="G513" s="45">
        <v>0</v>
      </c>
      <c r="H513" s="45">
        <v>76966.8</v>
      </c>
      <c r="I513" s="45">
        <v>0</v>
      </c>
      <c r="J513" s="45">
        <v>0</v>
      </c>
      <c r="K513" s="45">
        <v>73750.399999999994</v>
      </c>
      <c r="L513" s="45">
        <v>0</v>
      </c>
      <c r="M513" s="45">
        <v>0</v>
      </c>
      <c r="O513" s="45">
        <v>74609.8</v>
      </c>
      <c r="P513" s="45">
        <v>0</v>
      </c>
      <c r="Q513" s="45">
        <v>1</v>
      </c>
      <c r="R513" s="45">
        <v>73806.600000000006</v>
      </c>
      <c r="S513" s="45">
        <v>0</v>
      </c>
      <c r="T513" s="45">
        <v>0</v>
      </c>
      <c r="U513" s="45">
        <v>76653.8</v>
      </c>
      <c r="V513" s="45">
        <v>0</v>
      </c>
      <c r="W513" s="45">
        <v>0</v>
      </c>
      <c r="X513" s="45">
        <v>74104.5</v>
      </c>
      <c r="Y513" s="45">
        <v>0</v>
      </c>
      <c r="Z513" s="45">
        <v>1</v>
      </c>
      <c r="AB513" s="45">
        <v>70904.7</v>
      </c>
      <c r="AC513" s="45">
        <v>0</v>
      </c>
      <c r="AD513" s="45">
        <v>0</v>
      </c>
      <c r="AE513" s="45">
        <v>79315.199999999997</v>
      </c>
      <c r="AF513" s="45">
        <v>0</v>
      </c>
      <c r="AG513" s="45">
        <v>0</v>
      </c>
      <c r="AH513" s="45">
        <v>68139.600000000006</v>
      </c>
      <c r="AI513" s="45">
        <v>0</v>
      </c>
      <c r="AJ513" s="45">
        <v>1</v>
      </c>
      <c r="AK513" s="45">
        <v>72486.399999999994</v>
      </c>
      <c r="AL513" s="45">
        <v>0</v>
      </c>
      <c r="AM513" s="45">
        <v>0</v>
      </c>
      <c r="AO513" s="45">
        <v>77142.600000000006</v>
      </c>
      <c r="AP513" s="45">
        <v>0</v>
      </c>
      <c r="AQ513" s="45">
        <v>1</v>
      </c>
      <c r="AR513" s="45">
        <v>74607.100000000006</v>
      </c>
      <c r="AS513" s="45">
        <v>0</v>
      </c>
      <c r="AT513" s="45">
        <v>0</v>
      </c>
      <c r="AU513" s="45">
        <v>67715.899999999994</v>
      </c>
      <c r="AV513" s="45">
        <v>0</v>
      </c>
      <c r="AW513" s="45">
        <v>1</v>
      </c>
      <c r="AX513" s="45">
        <v>72028.7</v>
      </c>
      <c r="AY513" s="45">
        <v>0</v>
      </c>
      <c r="AZ513" s="45">
        <v>0</v>
      </c>
    </row>
    <row r="514" spans="2:52">
      <c r="B514" s="45">
        <v>57417.8</v>
      </c>
      <c r="C514" s="45">
        <v>0</v>
      </c>
      <c r="D514" s="45">
        <v>1</v>
      </c>
      <c r="E514" s="45">
        <v>66139.5</v>
      </c>
      <c r="F514" s="45">
        <v>27</v>
      </c>
      <c r="G514" s="45">
        <v>0</v>
      </c>
      <c r="H514" s="45">
        <v>59326.3</v>
      </c>
      <c r="I514" s="45">
        <v>0</v>
      </c>
      <c r="J514" s="45">
        <v>1</v>
      </c>
      <c r="K514" s="45">
        <v>50255.8</v>
      </c>
      <c r="L514" s="45">
        <v>0</v>
      </c>
      <c r="M514" s="45">
        <v>0</v>
      </c>
      <c r="O514" s="45">
        <v>54262.5</v>
      </c>
      <c r="P514" s="45">
        <v>0</v>
      </c>
      <c r="Q514" s="45">
        <v>0</v>
      </c>
      <c r="R514" s="45">
        <v>60343.9</v>
      </c>
      <c r="S514" s="45">
        <v>0</v>
      </c>
      <c r="T514" s="45">
        <v>0</v>
      </c>
      <c r="U514" s="45">
        <v>65323.8</v>
      </c>
      <c r="V514" s="45">
        <v>32</v>
      </c>
      <c r="W514" s="45">
        <v>1</v>
      </c>
      <c r="X514" s="45">
        <v>53085</v>
      </c>
      <c r="Y514" s="45">
        <v>0</v>
      </c>
      <c r="Z514" s="45">
        <v>0</v>
      </c>
      <c r="AB514" s="45">
        <v>60372.7</v>
      </c>
      <c r="AC514" s="45">
        <v>11</v>
      </c>
      <c r="AD514" s="45">
        <v>0</v>
      </c>
      <c r="AE514" s="45">
        <v>56731</v>
      </c>
      <c r="AF514" s="45">
        <v>6</v>
      </c>
      <c r="AG514" s="45">
        <v>1</v>
      </c>
      <c r="AH514" s="45">
        <v>55174.9</v>
      </c>
      <c r="AI514" s="45">
        <v>0</v>
      </c>
      <c r="AJ514" s="45">
        <v>0</v>
      </c>
      <c r="AK514" s="45">
        <v>53765.3</v>
      </c>
      <c r="AL514" s="45">
        <v>0</v>
      </c>
      <c r="AM514" s="45">
        <v>0</v>
      </c>
      <c r="AO514" s="45">
        <v>50603.3</v>
      </c>
      <c r="AP514" s="45">
        <v>0</v>
      </c>
      <c r="AQ514" s="45">
        <v>1</v>
      </c>
      <c r="AR514" s="45">
        <v>53794.9</v>
      </c>
      <c r="AS514" s="45">
        <v>0</v>
      </c>
      <c r="AT514" s="45">
        <v>1</v>
      </c>
      <c r="AU514" s="45">
        <v>52487.199999999997</v>
      </c>
      <c r="AV514" s="45">
        <v>0</v>
      </c>
      <c r="AW514" s="45">
        <v>1</v>
      </c>
      <c r="AX514" s="45">
        <v>54331.1</v>
      </c>
      <c r="AY514" s="45">
        <v>0</v>
      </c>
      <c r="AZ514" s="45">
        <v>0</v>
      </c>
    </row>
    <row r="515" spans="2:52">
      <c r="B515" s="45">
        <v>72784.899999999994</v>
      </c>
      <c r="C515" s="45">
        <v>0</v>
      </c>
      <c r="D515" s="45">
        <v>0</v>
      </c>
      <c r="E515" s="45">
        <v>73608.899999999994</v>
      </c>
      <c r="F515" s="45">
        <v>0</v>
      </c>
      <c r="G515" s="45">
        <v>1</v>
      </c>
      <c r="H515" s="45">
        <v>73964</v>
      </c>
      <c r="I515" s="45">
        <v>0</v>
      </c>
      <c r="J515" s="45">
        <v>0</v>
      </c>
      <c r="K515" s="45">
        <v>68673</v>
      </c>
      <c r="L515" s="45">
        <v>0</v>
      </c>
      <c r="M515" s="45">
        <v>0</v>
      </c>
      <c r="O515" s="45">
        <v>71867.399999999994</v>
      </c>
      <c r="P515" s="45">
        <v>0</v>
      </c>
      <c r="Q515" s="45">
        <v>1</v>
      </c>
      <c r="R515" s="45">
        <v>73205.100000000006</v>
      </c>
      <c r="S515" s="45">
        <v>0</v>
      </c>
      <c r="T515" s="45">
        <v>0</v>
      </c>
      <c r="U515" s="45">
        <v>75376.7</v>
      </c>
      <c r="V515" s="45">
        <v>0</v>
      </c>
      <c r="W515" s="45">
        <v>0</v>
      </c>
      <c r="X515" s="45">
        <v>69913.100000000006</v>
      </c>
      <c r="Y515" s="45">
        <v>0</v>
      </c>
      <c r="Z515" s="45">
        <v>1</v>
      </c>
      <c r="AB515" s="45">
        <v>70068.100000000006</v>
      </c>
      <c r="AC515" s="45">
        <v>0</v>
      </c>
      <c r="AD515" s="45">
        <v>1</v>
      </c>
      <c r="AE515" s="45">
        <v>72773.7</v>
      </c>
      <c r="AF515" s="45">
        <v>0</v>
      </c>
      <c r="AG515" s="45">
        <v>0</v>
      </c>
      <c r="AH515" s="45">
        <v>70430.8</v>
      </c>
      <c r="AI515" s="45">
        <v>0</v>
      </c>
      <c r="AJ515" s="45">
        <v>0</v>
      </c>
      <c r="AK515" s="45">
        <v>69875.8</v>
      </c>
      <c r="AL515" s="45">
        <v>0</v>
      </c>
      <c r="AM515" s="45">
        <v>1</v>
      </c>
      <c r="AO515" s="45">
        <v>73864.399999999994</v>
      </c>
      <c r="AP515" s="45">
        <v>0</v>
      </c>
      <c r="AQ515" s="45">
        <v>1</v>
      </c>
      <c r="AR515" s="45">
        <v>72315.5</v>
      </c>
      <c r="AS515" s="45">
        <v>0</v>
      </c>
      <c r="AT515" s="45">
        <v>0</v>
      </c>
      <c r="AU515" s="45">
        <v>70794.5</v>
      </c>
      <c r="AV515" s="45">
        <v>0</v>
      </c>
      <c r="AW515" s="45">
        <v>1</v>
      </c>
      <c r="AX515" s="45">
        <v>65281.4</v>
      </c>
      <c r="AY515" s="45">
        <v>0</v>
      </c>
      <c r="AZ515" s="45">
        <v>1</v>
      </c>
    </row>
    <row r="516" spans="2:52">
      <c r="B516" s="45">
        <v>63287.8</v>
      </c>
      <c r="C516" s="45">
        <v>0</v>
      </c>
      <c r="D516" s="45">
        <v>1</v>
      </c>
      <c r="E516" s="45">
        <v>61293.5</v>
      </c>
      <c r="F516" s="45">
        <v>0</v>
      </c>
      <c r="G516" s="45">
        <v>0</v>
      </c>
      <c r="H516" s="45">
        <v>65397.1</v>
      </c>
      <c r="I516" s="45">
        <v>0</v>
      </c>
      <c r="J516" s="45">
        <v>0</v>
      </c>
      <c r="K516" s="45">
        <v>64631</v>
      </c>
      <c r="L516" s="45">
        <v>0</v>
      </c>
      <c r="M516" s="45">
        <v>0</v>
      </c>
      <c r="O516" s="45">
        <v>68025.3</v>
      </c>
      <c r="P516" s="45">
        <v>0</v>
      </c>
      <c r="Q516" s="45">
        <v>0</v>
      </c>
      <c r="R516" s="45">
        <v>70144.2</v>
      </c>
      <c r="S516" s="45">
        <v>0</v>
      </c>
      <c r="T516" s="45">
        <v>0</v>
      </c>
      <c r="U516" s="45">
        <v>65075.9</v>
      </c>
      <c r="V516" s="45">
        <v>0</v>
      </c>
      <c r="W516" s="45">
        <v>1</v>
      </c>
      <c r="X516" s="45">
        <v>62966.5</v>
      </c>
      <c r="Y516" s="45">
        <v>0</v>
      </c>
      <c r="Z516" s="45">
        <v>0</v>
      </c>
      <c r="AB516" s="45">
        <v>61856.2</v>
      </c>
      <c r="AC516" s="45">
        <v>0</v>
      </c>
      <c r="AD516" s="45">
        <v>0</v>
      </c>
      <c r="AE516" s="45">
        <v>69293.399999999994</v>
      </c>
      <c r="AF516" s="45">
        <v>18</v>
      </c>
      <c r="AG516" s="45">
        <v>0</v>
      </c>
      <c r="AH516" s="45">
        <v>76380.5</v>
      </c>
      <c r="AI516" s="45">
        <v>39</v>
      </c>
      <c r="AJ516" s="45">
        <v>1</v>
      </c>
      <c r="AK516" s="45">
        <v>56868.7</v>
      </c>
      <c r="AL516" s="45">
        <v>0</v>
      </c>
      <c r="AM516" s="45">
        <v>0</v>
      </c>
      <c r="AO516" s="45">
        <v>64884.800000000003</v>
      </c>
      <c r="AP516" s="45">
        <v>8</v>
      </c>
      <c r="AQ516" s="45">
        <v>1</v>
      </c>
      <c r="AR516" s="45">
        <v>62268.2</v>
      </c>
      <c r="AS516" s="45">
        <v>0</v>
      </c>
      <c r="AT516" s="45">
        <v>0</v>
      </c>
      <c r="AU516" s="45">
        <v>63999.5</v>
      </c>
      <c r="AV516" s="45">
        <v>0</v>
      </c>
      <c r="AW516" s="45">
        <v>1</v>
      </c>
      <c r="AX516" s="45">
        <v>59362.7</v>
      </c>
      <c r="AY516" s="45">
        <v>0</v>
      </c>
      <c r="AZ516" s="45">
        <v>1</v>
      </c>
    </row>
    <row r="517" spans="2:52">
      <c r="B517" s="45">
        <v>59917.599999999999</v>
      </c>
      <c r="C517" s="45">
        <v>0</v>
      </c>
      <c r="D517" s="45">
        <v>1</v>
      </c>
      <c r="E517" s="45">
        <v>53834.5</v>
      </c>
      <c r="F517" s="45">
        <v>0</v>
      </c>
      <c r="G517" s="45">
        <v>0</v>
      </c>
      <c r="H517" s="45">
        <v>51756.6</v>
      </c>
      <c r="I517" s="45">
        <v>0</v>
      </c>
      <c r="J517" s="45">
        <v>0</v>
      </c>
      <c r="K517" s="45">
        <v>52947.1</v>
      </c>
      <c r="L517" s="45">
        <v>0</v>
      </c>
      <c r="M517" s="45">
        <v>1</v>
      </c>
      <c r="O517" s="45">
        <v>54697.5</v>
      </c>
      <c r="P517" s="45">
        <v>0</v>
      </c>
      <c r="Q517" s="45">
        <v>1</v>
      </c>
      <c r="R517" s="45">
        <v>58053.599999999999</v>
      </c>
      <c r="S517" s="45">
        <v>0</v>
      </c>
      <c r="T517" s="45">
        <v>0</v>
      </c>
      <c r="U517" s="45">
        <v>53426.5</v>
      </c>
      <c r="V517" s="45">
        <v>0</v>
      </c>
      <c r="W517" s="45">
        <v>0</v>
      </c>
      <c r="X517" s="45">
        <v>60095.199999999997</v>
      </c>
      <c r="Y517" s="45">
        <v>0</v>
      </c>
      <c r="Z517" s="45">
        <v>1</v>
      </c>
      <c r="AB517" s="45">
        <v>59012.5</v>
      </c>
      <c r="AC517" s="45">
        <v>0</v>
      </c>
      <c r="AD517" s="45">
        <v>1</v>
      </c>
      <c r="AE517" s="45">
        <v>51393.4</v>
      </c>
      <c r="AF517" s="45">
        <v>0</v>
      </c>
      <c r="AG517" s="45">
        <v>0</v>
      </c>
      <c r="AH517" s="45">
        <v>56466.7</v>
      </c>
      <c r="AI517" s="45">
        <v>0</v>
      </c>
      <c r="AJ517" s="45">
        <v>1</v>
      </c>
      <c r="AK517" s="45">
        <v>52766.1</v>
      </c>
      <c r="AL517" s="45">
        <v>0</v>
      </c>
      <c r="AM517" s="45">
        <v>0</v>
      </c>
      <c r="AO517" s="45">
        <v>55888.1</v>
      </c>
      <c r="AP517" s="45">
        <v>0</v>
      </c>
      <c r="AQ517" s="45">
        <v>0</v>
      </c>
      <c r="AR517" s="45">
        <v>52914.400000000001</v>
      </c>
      <c r="AS517" s="45">
        <v>0</v>
      </c>
      <c r="AT517" s="45">
        <v>1</v>
      </c>
      <c r="AU517" s="45">
        <v>51789.3</v>
      </c>
      <c r="AV517" s="45">
        <v>0</v>
      </c>
      <c r="AW517" s="45">
        <v>1</v>
      </c>
      <c r="AX517" s="45">
        <v>50570.1</v>
      </c>
      <c r="AY517" s="45">
        <v>0</v>
      </c>
      <c r="AZ517" s="45">
        <v>1</v>
      </c>
    </row>
    <row r="518" spans="2:52">
      <c r="B518" s="45">
        <v>62164.5</v>
      </c>
      <c r="C518" s="45">
        <v>0</v>
      </c>
      <c r="D518" s="45">
        <v>0</v>
      </c>
      <c r="E518" s="45">
        <v>76875.899999999994</v>
      </c>
      <c r="F518" s="45">
        <v>27</v>
      </c>
      <c r="G518" s="45">
        <v>0</v>
      </c>
      <c r="H518" s="45">
        <v>64182.7</v>
      </c>
      <c r="I518" s="45">
        <v>0</v>
      </c>
      <c r="J518" s="45">
        <v>1</v>
      </c>
      <c r="K518" s="45">
        <v>63320.6</v>
      </c>
      <c r="L518" s="45">
        <v>0</v>
      </c>
      <c r="M518" s="45">
        <v>0</v>
      </c>
      <c r="O518" s="45">
        <v>63604.9</v>
      </c>
      <c r="P518" s="45">
        <v>0</v>
      </c>
      <c r="Q518" s="45">
        <v>0</v>
      </c>
      <c r="R518" s="45">
        <v>122698</v>
      </c>
      <c r="S518" s="45">
        <v>114</v>
      </c>
      <c r="T518" s="45">
        <v>1</v>
      </c>
      <c r="U518" s="45">
        <v>87365.2</v>
      </c>
      <c r="V518" s="45">
        <v>47</v>
      </c>
      <c r="W518" s="45">
        <v>0</v>
      </c>
      <c r="X518" s="45">
        <v>68397.7</v>
      </c>
      <c r="Y518" s="45">
        <v>5</v>
      </c>
      <c r="Z518" s="45">
        <v>1</v>
      </c>
      <c r="AB518" s="45">
        <v>78022.7</v>
      </c>
      <c r="AC518" s="45">
        <v>36</v>
      </c>
      <c r="AD518" s="45">
        <v>1</v>
      </c>
      <c r="AE518" s="45">
        <v>62222.1</v>
      </c>
      <c r="AF518" s="45">
        <v>0</v>
      </c>
      <c r="AG518" s="45">
        <v>0</v>
      </c>
      <c r="AH518" s="45">
        <v>64133.599999999999</v>
      </c>
      <c r="AI518" s="45">
        <v>0</v>
      </c>
      <c r="AJ518" s="45">
        <v>1</v>
      </c>
      <c r="AK518" s="45">
        <v>55754.6</v>
      </c>
      <c r="AL518" s="45">
        <v>0</v>
      </c>
      <c r="AM518" s="45">
        <v>0</v>
      </c>
      <c r="AO518" s="45">
        <v>61374.8</v>
      </c>
      <c r="AP518" s="45">
        <v>0</v>
      </c>
      <c r="AQ518" s="45">
        <v>0</v>
      </c>
      <c r="AR518" s="45">
        <v>60726.2</v>
      </c>
      <c r="AS518" s="45">
        <v>0</v>
      </c>
      <c r="AT518" s="45">
        <v>1</v>
      </c>
      <c r="AU518" s="45">
        <v>65238</v>
      </c>
      <c r="AV518" s="45">
        <v>0</v>
      </c>
      <c r="AW518" s="45">
        <v>1</v>
      </c>
      <c r="AX518" s="45">
        <v>56142.7</v>
      </c>
      <c r="AY518" s="45">
        <v>0</v>
      </c>
      <c r="AZ518" s="45">
        <v>0</v>
      </c>
    </row>
    <row r="519" spans="2:52">
      <c r="B519" s="45">
        <v>56209.2</v>
      </c>
      <c r="C519" s="45">
        <v>0</v>
      </c>
      <c r="D519" s="45">
        <v>0</v>
      </c>
      <c r="E519" s="45">
        <v>48543.199999999997</v>
      </c>
      <c r="F519" s="45">
        <v>0</v>
      </c>
      <c r="G519" s="45">
        <v>1</v>
      </c>
      <c r="H519" s="45">
        <v>51369.599999999999</v>
      </c>
      <c r="I519" s="45">
        <v>0</v>
      </c>
      <c r="J519" s="45">
        <v>0</v>
      </c>
      <c r="K519" s="45">
        <v>50333.3</v>
      </c>
      <c r="L519" s="45">
        <v>0</v>
      </c>
      <c r="M519" s="45">
        <v>0</v>
      </c>
      <c r="O519" s="45">
        <v>55014.400000000001</v>
      </c>
      <c r="P519" s="45">
        <v>0</v>
      </c>
      <c r="Q519" s="45">
        <v>0</v>
      </c>
      <c r="R519" s="45">
        <v>53771.7</v>
      </c>
      <c r="S519" s="45">
        <v>0</v>
      </c>
      <c r="T519" s="45">
        <v>1</v>
      </c>
      <c r="U519" s="45">
        <v>56166.400000000001</v>
      </c>
      <c r="V519" s="45">
        <v>0</v>
      </c>
      <c r="W519" s="45">
        <v>0</v>
      </c>
      <c r="X519" s="45">
        <v>55069.1</v>
      </c>
      <c r="Y519" s="45">
        <v>0</v>
      </c>
      <c r="Z519" s="45">
        <v>0</v>
      </c>
      <c r="AB519" s="45">
        <v>52010.9</v>
      </c>
      <c r="AC519" s="45">
        <v>0</v>
      </c>
      <c r="AD519" s="45">
        <v>1</v>
      </c>
      <c r="AE519" s="45">
        <v>48313.5</v>
      </c>
      <c r="AF519" s="45">
        <v>0</v>
      </c>
      <c r="AG519" s="45">
        <v>0</v>
      </c>
      <c r="AH519" s="45">
        <v>50473.1</v>
      </c>
      <c r="AI519" s="45">
        <v>0</v>
      </c>
      <c r="AJ519" s="45">
        <v>0</v>
      </c>
      <c r="AK519" s="45">
        <v>52973</v>
      </c>
      <c r="AL519" s="45">
        <v>0</v>
      </c>
      <c r="AM519" s="45">
        <v>1</v>
      </c>
      <c r="AO519" s="45">
        <v>48787.6</v>
      </c>
      <c r="AP519" s="45">
        <v>3</v>
      </c>
      <c r="AQ519" s="45">
        <v>2</v>
      </c>
      <c r="AR519" s="45">
        <v>48103.5</v>
      </c>
      <c r="AS519" s="45">
        <v>0</v>
      </c>
      <c r="AT519" s="45">
        <v>0</v>
      </c>
      <c r="AU519" s="45">
        <v>51328.2</v>
      </c>
      <c r="AV519" s="45">
        <v>0</v>
      </c>
      <c r="AW519" s="45">
        <v>1</v>
      </c>
      <c r="AX519" s="45">
        <v>49860</v>
      </c>
      <c r="AY519" s="45">
        <v>2</v>
      </c>
      <c r="AZ519" s="45">
        <v>1</v>
      </c>
    </row>
    <row r="520" spans="2:52">
      <c r="B520" s="45">
        <v>55644.6</v>
      </c>
      <c r="C520" s="45">
        <v>0</v>
      </c>
      <c r="D520" s="45">
        <v>1</v>
      </c>
      <c r="E520" s="45">
        <v>51892.6</v>
      </c>
      <c r="F520" s="45">
        <v>0</v>
      </c>
      <c r="G520" s="45">
        <v>0</v>
      </c>
      <c r="H520" s="45">
        <v>55349.599999999999</v>
      </c>
      <c r="I520" s="45">
        <v>0</v>
      </c>
      <c r="J520" s="45">
        <v>0</v>
      </c>
      <c r="K520" s="45">
        <v>56172.1</v>
      </c>
      <c r="L520" s="45">
        <v>0</v>
      </c>
      <c r="M520" s="45">
        <v>1</v>
      </c>
      <c r="O520" s="45">
        <v>53908.4</v>
      </c>
      <c r="P520" s="45">
        <v>0</v>
      </c>
      <c r="Q520" s="45">
        <v>1</v>
      </c>
      <c r="R520" s="45">
        <v>55655.9</v>
      </c>
      <c r="S520" s="45">
        <v>0</v>
      </c>
      <c r="T520" s="45">
        <v>0</v>
      </c>
      <c r="U520" s="45">
        <v>50614.3</v>
      </c>
      <c r="V520" s="45">
        <v>0</v>
      </c>
      <c r="W520" s="45">
        <v>1</v>
      </c>
      <c r="X520" s="45">
        <v>49797.5</v>
      </c>
      <c r="Y520" s="45">
        <v>0</v>
      </c>
      <c r="Z520" s="45">
        <v>0</v>
      </c>
      <c r="AB520" s="45">
        <v>49471.9</v>
      </c>
      <c r="AC520" s="45">
        <v>0</v>
      </c>
      <c r="AD520" s="45">
        <v>0</v>
      </c>
      <c r="AE520" s="45">
        <v>49678.3</v>
      </c>
      <c r="AF520" s="45">
        <v>0</v>
      </c>
      <c r="AG520" s="45">
        <v>1</v>
      </c>
      <c r="AH520" s="45">
        <v>51011.6</v>
      </c>
      <c r="AI520" s="45">
        <v>0</v>
      </c>
      <c r="AJ520" s="45">
        <v>0</v>
      </c>
      <c r="AK520" s="45">
        <v>49425.1</v>
      </c>
      <c r="AL520" s="45">
        <v>0</v>
      </c>
      <c r="AM520" s="45">
        <v>1</v>
      </c>
      <c r="AO520" s="45">
        <v>55038.5</v>
      </c>
      <c r="AP520" s="45">
        <v>0</v>
      </c>
      <c r="AQ520" s="45">
        <v>0</v>
      </c>
      <c r="AR520" s="45">
        <v>54136.7</v>
      </c>
      <c r="AS520" s="45">
        <v>0</v>
      </c>
      <c r="AT520" s="45">
        <v>1</v>
      </c>
      <c r="AU520" s="45">
        <v>54434.9</v>
      </c>
      <c r="AV520" s="45">
        <v>0</v>
      </c>
      <c r="AW520" s="45">
        <v>1</v>
      </c>
      <c r="AX520" s="45">
        <v>55276.2</v>
      </c>
      <c r="AY520" s="45">
        <v>0</v>
      </c>
      <c r="AZ520" s="45">
        <v>0</v>
      </c>
    </row>
    <row r="521" spans="2:52">
      <c r="B521" s="45">
        <v>61890.1</v>
      </c>
      <c r="C521" s="45">
        <v>0</v>
      </c>
      <c r="D521" s="45">
        <v>0</v>
      </c>
      <c r="E521" s="45">
        <v>62368.4</v>
      </c>
      <c r="F521" s="45">
        <v>0</v>
      </c>
      <c r="G521" s="45">
        <v>0</v>
      </c>
      <c r="H521" s="45">
        <v>63394.5</v>
      </c>
      <c r="I521" s="45">
        <v>0</v>
      </c>
      <c r="J521" s="45">
        <v>1</v>
      </c>
      <c r="K521" s="45">
        <v>60306.5</v>
      </c>
      <c r="L521" s="45">
        <v>0</v>
      </c>
      <c r="M521" s="45">
        <v>0</v>
      </c>
      <c r="O521" s="45">
        <v>67711.7</v>
      </c>
      <c r="P521" s="45">
        <v>0</v>
      </c>
      <c r="Q521" s="45">
        <v>0</v>
      </c>
      <c r="R521" s="45">
        <v>64089</v>
      </c>
      <c r="S521" s="45">
        <v>0</v>
      </c>
      <c r="T521" s="45">
        <v>1</v>
      </c>
      <c r="U521" s="45">
        <v>60204.5</v>
      </c>
      <c r="V521" s="45">
        <v>0</v>
      </c>
      <c r="W521" s="45">
        <v>0</v>
      </c>
      <c r="X521" s="45">
        <v>65912.100000000006</v>
      </c>
      <c r="Y521" s="45">
        <v>3</v>
      </c>
      <c r="Z521" s="45">
        <v>1</v>
      </c>
      <c r="AB521" s="45">
        <v>64264.800000000003</v>
      </c>
      <c r="AC521" s="45">
        <v>0</v>
      </c>
      <c r="AD521" s="45">
        <v>0</v>
      </c>
      <c r="AE521" s="45">
        <v>59903.199999999997</v>
      </c>
      <c r="AF521" s="45">
        <v>0</v>
      </c>
      <c r="AG521" s="45">
        <v>1</v>
      </c>
      <c r="AH521" s="45">
        <v>60080.5</v>
      </c>
      <c r="AI521" s="45">
        <v>0</v>
      </c>
      <c r="AJ521" s="45">
        <v>0</v>
      </c>
      <c r="AK521" s="45">
        <v>60211.8</v>
      </c>
      <c r="AL521" s="45">
        <v>0</v>
      </c>
      <c r="AM521" s="45">
        <v>0</v>
      </c>
      <c r="AO521" s="45">
        <v>63034.7</v>
      </c>
      <c r="AP521" s="45">
        <v>0</v>
      </c>
      <c r="AQ521" s="45">
        <v>1</v>
      </c>
      <c r="AR521" s="45">
        <v>60793.4</v>
      </c>
      <c r="AS521" s="45">
        <v>0</v>
      </c>
      <c r="AT521" s="45">
        <v>1</v>
      </c>
      <c r="AU521" s="45">
        <v>59637.8</v>
      </c>
      <c r="AV521" s="45">
        <v>0</v>
      </c>
      <c r="AW521" s="45">
        <v>0</v>
      </c>
      <c r="AX521" s="45">
        <v>61943.8</v>
      </c>
      <c r="AY521" s="45">
        <v>11</v>
      </c>
      <c r="AZ521" s="45">
        <v>1</v>
      </c>
    </row>
    <row r="522" spans="2:52">
      <c r="B522" s="45">
        <v>52371.199999999997</v>
      </c>
      <c r="C522" s="45">
        <v>10</v>
      </c>
      <c r="D522" s="45">
        <v>0</v>
      </c>
      <c r="E522" s="45">
        <v>49783.4</v>
      </c>
      <c r="F522" s="45">
        <v>13</v>
      </c>
      <c r="G522" s="45">
        <v>1</v>
      </c>
      <c r="H522" s="45">
        <v>95990.9</v>
      </c>
      <c r="I522" s="45">
        <v>97</v>
      </c>
      <c r="J522" s="45">
        <v>0</v>
      </c>
      <c r="K522" s="45">
        <v>63949.3</v>
      </c>
      <c r="L522" s="45">
        <v>30</v>
      </c>
      <c r="M522" s="45">
        <v>1</v>
      </c>
      <c r="O522" s="45">
        <v>52671.4</v>
      </c>
      <c r="P522" s="45">
        <v>0</v>
      </c>
      <c r="Q522" s="45">
        <v>0</v>
      </c>
      <c r="R522" s="45">
        <v>47056.5</v>
      </c>
      <c r="S522" s="45">
        <v>0</v>
      </c>
      <c r="T522" s="45">
        <v>1</v>
      </c>
      <c r="U522" s="45">
        <v>77787.600000000006</v>
      </c>
      <c r="V522" s="45">
        <v>61</v>
      </c>
      <c r="W522" s="45">
        <v>0</v>
      </c>
      <c r="X522" s="45">
        <v>48411.8</v>
      </c>
      <c r="Y522" s="45">
        <v>0</v>
      </c>
      <c r="Z522" s="45">
        <v>1</v>
      </c>
      <c r="AB522" s="45">
        <v>44888</v>
      </c>
      <c r="AC522" s="45">
        <v>0</v>
      </c>
      <c r="AD522" s="45">
        <v>1</v>
      </c>
      <c r="AE522" s="45">
        <v>53936.9</v>
      </c>
      <c r="AF522" s="45">
        <v>15</v>
      </c>
      <c r="AG522" s="45">
        <v>0</v>
      </c>
      <c r="AH522" s="45">
        <v>46212.3</v>
      </c>
      <c r="AI522" s="45">
        <v>6</v>
      </c>
      <c r="AJ522" s="45">
        <v>1</v>
      </c>
      <c r="AK522" s="45">
        <v>46936.2</v>
      </c>
      <c r="AL522" s="45">
        <v>0</v>
      </c>
      <c r="AM522" s="45">
        <v>0</v>
      </c>
      <c r="AO522" s="45">
        <v>61875.8</v>
      </c>
      <c r="AP522" s="45">
        <v>31</v>
      </c>
      <c r="AQ522" s="45">
        <v>1</v>
      </c>
      <c r="AR522" s="45">
        <v>87873.3</v>
      </c>
      <c r="AS522" s="45">
        <v>82</v>
      </c>
      <c r="AT522" s="45">
        <v>1</v>
      </c>
      <c r="AU522" s="45">
        <v>77296.7</v>
      </c>
      <c r="AV522" s="45">
        <v>52</v>
      </c>
      <c r="AW522" s="45">
        <v>1</v>
      </c>
      <c r="AX522" s="45">
        <v>67112.3</v>
      </c>
      <c r="AY522" s="45">
        <v>43</v>
      </c>
      <c r="AZ522" s="45">
        <v>1</v>
      </c>
    </row>
    <row r="523" spans="2:52">
      <c r="B523" s="45">
        <v>64636.9</v>
      </c>
      <c r="C523" s="45">
        <v>35</v>
      </c>
      <c r="D523" s="45">
        <v>0</v>
      </c>
      <c r="E523" s="45">
        <v>55756.9</v>
      </c>
      <c r="F523" s="45">
        <v>8</v>
      </c>
      <c r="G523" s="45">
        <v>1</v>
      </c>
      <c r="H523" s="45">
        <v>47201.7</v>
      </c>
      <c r="I523" s="45">
        <v>0</v>
      </c>
      <c r="J523" s="45">
        <v>0</v>
      </c>
      <c r="K523" s="45">
        <v>46779.9</v>
      </c>
      <c r="L523" s="45">
        <v>0</v>
      </c>
      <c r="M523" s="45">
        <v>0</v>
      </c>
      <c r="O523" s="45">
        <v>75410</v>
      </c>
      <c r="P523" s="45">
        <v>49</v>
      </c>
      <c r="Q523" s="45">
        <v>0</v>
      </c>
      <c r="R523" s="45">
        <v>70189.399999999994</v>
      </c>
      <c r="S523" s="45">
        <v>35</v>
      </c>
      <c r="T523" s="45">
        <v>1</v>
      </c>
      <c r="U523" s="45">
        <v>47880.800000000003</v>
      </c>
      <c r="V523" s="45">
        <v>0</v>
      </c>
      <c r="W523" s="45">
        <v>0</v>
      </c>
      <c r="X523" s="45">
        <v>53133.1</v>
      </c>
      <c r="Y523" s="45">
        <v>0</v>
      </c>
      <c r="Z523" s="45">
        <v>0</v>
      </c>
      <c r="AB523" s="45">
        <v>45122.8</v>
      </c>
      <c r="AC523" s="45">
        <v>0</v>
      </c>
      <c r="AD523" s="45">
        <v>1</v>
      </c>
      <c r="AE523" s="45">
        <v>48209.3</v>
      </c>
      <c r="AF523" s="45">
        <v>0</v>
      </c>
      <c r="AG523" s="45">
        <v>0</v>
      </c>
      <c r="AH523" s="45">
        <v>49603.1</v>
      </c>
      <c r="AI523" s="45">
        <v>0</v>
      </c>
      <c r="AJ523" s="45">
        <v>1</v>
      </c>
      <c r="AK523" s="45">
        <v>68176.2</v>
      </c>
      <c r="AL523" s="45">
        <v>45</v>
      </c>
      <c r="AM523" s="45">
        <v>0</v>
      </c>
      <c r="AO523" s="45">
        <v>51363.199999999997</v>
      </c>
      <c r="AP523" s="45">
        <v>0</v>
      </c>
      <c r="AQ523" s="45">
        <v>0</v>
      </c>
      <c r="AR523" s="45">
        <v>54905.4</v>
      </c>
      <c r="AS523" s="45">
        <v>0</v>
      </c>
      <c r="AT523" s="45">
        <v>1</v>
      </c>
      <c r="AU523" s="45">
        <v>51658</v>
      </c>
      <c r="AV523" s="45">
        <v>0</v>
      </c>
      <c r="AW523" s="45">
        <v>1</v>
      </c>
      <c r="AX523" s="45">
        <v>45974.3</v>
      </c>
      <c r="AY523" s="45">
        <v>0</v>
      </c>
      <c r="AZ523" s="45">
        <v>0</v>
      </c>
    </row>
    <row r="524" spans="2:52">
      <c r="B524" s="45">
        <v>57656</v>
      </c>
      <c r="C524" s="45">
        <v>0</v>
      </c>
      <c r="D524" s="45">
        <v>1</v>
      </c>
      <c r="E524" s="45">
        <v>55675</v>
      </c>
      <c r="F524" s="45">
        <v>0</v>
      </c>
      <c r="G524" s="45">
        <v>0</v>
      </c>
      <c r="H524" s="45">
        <v>55414.3</v>
      </c>
      <c r="I524" s="45">
        <v>0</v>
      </c>
      <c r="J524" s="45">
        <v>0</v>
      </c>
      <c r="K524" s="45">
        <v>55347.5</v>
      </c>
      <c r="L524" s="45">
        <v>0</v>
      </c>
      <c r="M524" s="45">
        <v>1</v>
      </c>
      <c r="O524" s="45">
        <v>55209.4</v>
      </c>
      <c r="P524" s="45">
        <v>0</v>
      </c>
      <c r="Q524" s="45">
        <v>1</v>
      </c>
      <c r="R524" s="45">
        <v>58059.8</v>
      </c>
      <c r="S524" s="45">
        <v>0</v>
      </c>
      <c r="T524" s="45">
        <v>0</v>
      </c>
      <c r="U524" s="45">
        <v>51662.3</v>
      </c>
      <c r="V524" s="45">
        <v>0</v>
      </c>
      <c r="W524" s="45">
        <v>0</v>
      </c>
      <c r="X524" s="45">
        <v>50396</v>
      </c>
      <c r="Y524" s="45">
        <v>0</v>
      </c>
      <c r="Z524" s="45">
        <v>1</v>
      </c>
      <c r="AB524" s="45">
        <v>57664.6</v>
      </c>
      <c r="AC524" s="45">
        <v>0</v>
      </c>
      <c r="AD524" s="45">
        <v>0</v>
      </c>
      <c r="AE524" s="45">
        <v>53878</v>
      </c>
      <c r="AF524" s="45">
        <v>0</v>
      </c>
      <c r="AG524" s="45">
        <v>1</v>
      </c>
      <c r="AH524" s="45">
        <v>53525.4</v>
      </c>
      <c r="AI524" s="45">
        <v>0</v>
      </c>
      <c r="AJ524" s="45">
        <v>0</v>
      </c>
      <c r="AK524" s="45">
        <v>52676.7</v>
      </c>
      <c r="AL524" s="45">
        <v>0</v>
      </c>
      <c r="AM524" s="45">
        <v>1</v>
      </c>
      <c r="AO524" s="45">
        <v>56484.4</v>
      </c>
      <c r="AP524" s="45">
        <v>0</v>
      </c>
      <c r="AQ524" s="45">
        <v>1</v>
      </c>
      <c r="AR524" s="45">
        <v>59843.7</v>
      </c>
      <c r="AS524" s="45">
        <v>15</v>
      </c>
      <c r="AT524" s="45">
        <v>1</v>
      </c>
      <c r="AU524" s="45">
        <v>52546.2</v>
      </c>
      <c r="AV524" s="45">
        <v>0</v>
      </c>
      <c r="AW524" s="45">
        <v>1</v>
      </c>
      <c r="AX524" s="45">
        <v>59310.1</v>
      </c>
      <c r="AY524" s="45">
        <v>15</v>
      </c>
      <c r="AZ524" s="45">
        <v>1</v>
      </c>
    </row>
    <row r="525" spans="2:52">
      <c r="B525" s="45">
        <v>46411.1</v>
      </c>
      <c r="C525" s="45">
        <v>0</v>
      </c>
      <c r="D525" s="45">
        <v>0</v>
      </c>
      <c r="E525" s="45">
        <v>45512.5</v>
      </c>
      <c r="F525" s="45">
        <v>0</v>
      </c>
      <c r="G525" s="45">
        <v>0</v>
      </c>
      <c r="H525" s="45">
        <v>60566.400000000001</v>
      </c>
      <c r="I525" s="45">
        <v>34</v>
      </c>
      <c r="J525" s="45">
        <v>1</v>
      </c>
      <c r="K525" s="45">
        <v>48458</v>
      </c>
      <c r="L525" s="45">
        <v>0</v>
      </c>
      <c r="M525" s="45">
        <v>0</v>
      </c>
      <c r="O525" s="45">
        <v>51305.7</v>
      </c>
      <c r="P525" s="45">
        <v>0</v>
      </c>
      <c r="Q525" s="45">
        <v>0</v>
      </c>
      <c r="R525" s="45">
        <v>47086.400000000001</v>
      </c>
      <c r="S525" s="45">
        <v>0</v>
      </c>
      <c r="T525" s="45">
        <v>1</v>
      </c>
      <c r="U525" s="45">
        <v>46353.1</v>
      </c>
      <c r="V525" s="45">
        <v>7</v>
      </c>
      <c r="W525" s="45">
        <v>0</v>
      </c>
      <c r="X525" s="45">
        <v>45994.5</v>
      </c>
      <c r="Y525" s="45">
        <v>0</v>
      </c>
      <c r="Z525" s="45">
        <v>0</v>
      </c>
      <c r="AB525" s="45">
        <v>43141.4</v>
      </c>
      <c r="AC525" s="45">
        <v>0</v>
      </c>
      <c r="AD525" s="45">
        <v>0</v>
      </c>
      <c r="AE525" s="45">
        <v>47293.1</v>
      </c>
      <c r="AF525" s="45">
        <v>0</v>
      </c>
      <c r="AG525" s="45">
        <v>1</v>
      </c>
      <c r="AH525" s="45">
        <v>50586.1</v>
      </c>
      <c r="AI525" s="45">
        <v>0</v>
      </c>
      <c r="AJ525" s="45">
        <v>0</v>
      </c>
      <c r="AK525" s="45">
        <v>43795.5</v>
      </c>
      <c r="AL525" s="45">
        <v>0</v>
      </c>
      <c r="AM525" s="45">
        <v>0</v>
      </c>
      <c r="AO525" s="45">
        <v>42206.6</v>
      </c>
      <c r="AP525" s="45">
        <v>1</v>
      </c>
      <c r="AQ525" s="45">
        <v>1</v>
      </c>
      <c r="AR525" s="45">
        <v>49207</v>
      </c>
      <c r="AS525" s="45">
        <v>5</v>
      </c>
      <c r="AT525" s="45">
        <v>0</v>
      </c>
      <c r="AU525" s="45">
        <v>47466.400000000001</v>
      </c>
      <c r="AV525" s="45">
        <v>0</v>
      </c>
      <c r="AW525" s="45">
        <v>1</v>
      </c>
      <c r="AX525" s="45">
        <v>47814.6</v>
      </c>
      <c r="AY525" s="45">
        <v>0</v>
      </c>
      <c r="AZ525" s="45">
        <v>1</v>
      </c>
    </row>
    <row r="526" spans="2:52">
      <c r="B526" s="45">
        <v>64026.8</v>
      </c>
      <c r="C526" s="45">
        <v>0</v>
      </c>
      <c r="D526" s="45">
        <v>0</v>
      </c>
      <c r="E526" s="45">
        <v>63104.5</v>
      </c>
      <c r="F526" s="45">
        <v>0</v>
      </c>
      <c r="G526" s="45">
        <v>1</v>
      </c>
      <c r="H526" s="45">
        <v>61176.5</v>
      </c>
      <c r="I526" s="45">
        <v>0</v>
      </c>
      <c r="J526" s="45">
        <v>0</v>
      </c>
      <c r="K526" s="45">
        <v>62136.7</v>
      </c>
      <c r="L526" s="45">
        <v>0</v>
      </c>
      <c r="M526" s="45">
        <v>0</v>
      </c>
      <c r="O526" s="45">
        <v>60461.5</v>
      </c>
      <c r="P526" s="45">
        <v>0</v>
      </c>
      <c r="Q526" s="45">
        <v>1</v>
      </c>
      <c r="R526" s="45">
        <v>68855.5</v>
      </c>
      <c r="S526" s="45">
        <v>0</v>
      </c>
      <c r="T526" s="45">
        <v>0</v>
      </c>
      <c r="U526" s="45">
        <v>62386.8</v>
      </c>
      <c r="V526" s="45">
        <v>0</v>
      </c>
      <c r="W526" s="45">
        <v>0</v>
      </c>
      <c r="X526" s="45">
        <v>58588.800000000003</v>
      </c>
      <c r="Y526" s="45">
        <v>0</v>
      </c>
      <c r="Z526" s="45">
        <v>1</v>
      </c>
      <c r="AB526" s="45">
        <v>60895.3</v>
      </c>
      <c r="AC526" s="45">
        <v>0</v>
      </c>
      <c r="AD526" s="45">
        <v>1</v>
      </c>
      <c r="AE526" s="45">
        <v>65784.7</v>
      </c>
      <c r="AF526" s="45">
        <v>0</v>
      </c>
      <c r="AG526" s="45">
        <v>0</v>
      </c>
      <c r="AH526" s="45">
        <v>59492.1</v>
      </c>
      <c r="AI526" s="45">
        <v>0</v>
      </c>
      <c r="AJ526" s="45">
        <v>1</v>
      </c>
      <c r="AK526" s="45">
        <v>69538.100000000006</v>
      </c>
      <c r="AL526" s="45">
        <v>28</v>
      </c>
      <c r="AM526" s="45">
        <v>0</v>
      </c>
      <c r="AO526" s="45">
        <v>84306.9</v>
      </c>
      <c r="AP526" s="45">
        <v>49</v>
      </c>
      <c r="AQ526" s="45">
        <v>1</v>
      </c>
      <c r="AR526" s="45">
        <v>59799</v>
      </c>
      <c r="AS526" s="45">
        <v>0</v>
      </c>
      <c r="AT526" s="45">
        <v>1</v>
      </c>
      <c r="AU526" s="45">
        <v>58990.7</v>
      </c>
      <c r="AV526" s="45">
        <v>0</v>
      </c>
      <c r="AW526" s="45">
        <v>1</v>
      </c>
      <c r="AX526" s="45">
        <v>53623.199999999997</v>
      </c>
      <c r="AY526" s="45">
        <v>0</v>
      </c>
      <c r="AZ526" s="45">
        <v>1</v>
      </c>
    </row>
    <row r="527" spans="2:52">
      <c r="B527" s="45">
        <v>48654.8</v>
      </c>
      <c r="C527" s="45">
        <v>0</v>
      </c>
      <c r="D527" s="45">
        <v>1</v>
      </c>
      <c r="E527" s="45">
        <v>50888.2</v>
      </c>
      <c r="F527" s="45">
        <v>0</v>
      </c>
      <c r="G527" s="45">
        <v>0</v>
      </c>
      <c r="H527" s="45">
        <v>53281.1</v>
      </c>
      <c r="I527" s="45">
        <v>0</v>
      </c>
      <c r="J527" s="45">
        <v>0</v>
      </c>
      <c r="K527" s="45">
        <v>49807</v>
      </c>
      <c r="L527" s="45">
        <v>3</v>
      </c>
      <c r="M527" s="45">
        <v>1</v>
      </c>
      <c r="O527" s="45">
        <v>49952.3</v>
      </c>
      <c r="P527" s="45">
        <v>0</v>
      </c>
      <c r="Q527" s="45">
        <v>0</v>
      </c>
      <c r="R527" s="45">
        <v>57237.4</v>
      </c>
      <c r="S527" s="45">
        <v>0</v>
      </c>
      <c r="T527" s="45">
        <v>1</v>
      </c>
      <c r="U527" s="45">
        <v>53035.1</v>
      </c>
      <c r="V527" s="45">
        <v>0</v>
      </c>
      <c r="W527" s="45">
        <v>0</v>
      </c>
      <c r="X527" s="45">
        <v>50303.3</v>
      </c>
      <c r="Y527" s="45">
        <v>3</v>
      </c>
      <c r="Z527" s="45">
        <v>1</v>
      </c>
      <c r="AB527" s="45">
        <v>57248.2</v>
      </c>
      <c r="AC527" s="45">
        <v>17</v>
      </c>
      <c r="AD527" s="45">
        <v>0</v>
      </c>
      <c r="AE527" s="45">
        <v>51517</v>
      </c>
      <c r="AF527" s="45">
        <v>0</v>
      </c>
      <c r="AG527" s="45">
        <v>1</v>
      </c>
      <c r="AH527" s="45">
        <v>49815.8</v>
      </c>
      <c r="AI527" s="45">
        <v>0</v>
      </c>
      <c r="AJ527" s="45">
        <v>0</v>
      </c>
      <c r="AK527" s="45">
        <v>44138.1</v>
      </c>
      <c r="AL527" s="45">
        <v>0</v>
      </c>
      <c r="AM527" s="45">
        <v>1</v>
      </c>
      <c r="AO527" s="45">
        <v>48454.3</v>
      </c>
      <c r="AP527" s="45">
        <v>0</v>
      </c>
      <c r="AQ527" s="45">
        <v>0</v>
      </c>
      <c r="AR527" s="45">
        <v>51676.5</v>
      </c>
      <c r="AS527" s="45">
        <v>0</v>
      </c>
      <c r="AT527" s="45">
        <v>1</v>
      </c>
      <c r="AU527" s="45">
        <v>43697.1</v>
      </c>
      <c r="AV527" s="45">
        <v>0</v>
      </c>
      <c r="AW527" s="45">
        <v>1</v>
      </c>
      <c r="AX527" s="45">
        <v>43598.6</v>
      </c>
      <c r="AY527" s="45">
        <v>0</v>
      </c>
      <c r="AZ527" s="45">
        <v>0</v>
      </c>
    </row>
    <row r="528" spans="2:52">
      <c r="B528" s="45">
        <v>67107.100000000006</v>
      </c>
      <c r="C528" s="45">
        <v>18</v>
      </c>
      <c r="D528" s="45">
        <v>0</v>
      </c>
      <c r="E528" s="45">
        <v>63619.6</v>
      </c>
      <c r="F528" s="45">
        <v>11</v>
      </c>
      <c r="G528" s="45">
        <v>0</v>
      </c>
      <c r="H528" s="45">
        <v>61345.9</v>
      </c>
      <c r="I528" s="45">
        <v>8</v>
      </c>
      <c r="J528" s="45">
        <v>1</v>
      </c>
      <c r="K528" s="45">
        <v>54885.5</v>
      </c>
      <c r="L528" s="45">
        <v>0</v>
      </c>
      <c r="M528" s="45">
        <v>0</v>
      </c>
      <c r="O528" s="45">
        <v>60149</v>
      </c>
      <c r="P528" s="45">
        <v>0</v>
      </c>
      <c r="Q528" s="45">
        <v>0</v>
      </c>
      <c r="R528" s="45">
        <v>60655.6</v>
      </c>
      <c r="S528" s="45">
        <v>0</v>
      </c>
      <c r="T528" s="45">
        <v>1</v>
      </c>
      <c r="U528" s="45">
        <v>63667</v>
      </c>
      <c r="V528" s="45">
        <v>0</v>
      </c>
      <c r="W528" s="45">
        <v>0</v>
      </c>
      <c r="X528" s="45">
        <v>58871.9</v>
      </c>
      <c r="Y528" s="45">
        <v>0</v>
      </c>
      <c r="Z528" s="45">
        <v>1</v>
      </c>
      <c r="AB528" s="45">
        <v>61464.800000000003</v>
      </c>
      <c r="AC528" s="45">
        <v>0</v>
      </c>
      <c r="AD528" s="45">
        <v>0</v>
      </c>
      <c r="AE528" s="45">
        <v>78512.2</v>
      </c>
      <c r="AF528" s="45">
        <v>36</v>
      </c>
      <c r="AG528" s="45">
        <v>1</v>
      </c>
      <c r="AH528" s="45">
        <v>54966.400000000001</v>
      </c>
      <c r="AI528" s="45">
        <v>0</v>
      </c>
      <c r="AJ528" s="45">
        <v>0</v>
      </c>
      <c r="AK528" s="45">
        <v>57521.4</v>
      </c>
      <c r="AL528" s="45">
        <v>0</v>
      </c>
      <c r="AM528" s="45">
        <v>0</v>
      </c>
      <c r="AO528" s="45">
        <v>54923.3</v>
      </c>
      <c r="AP528" s="45">
        <v>0</v>
      </c>
      <c r="AQ528" s="45">
        <v>2</v>
      </c>
      <c r="AR528" s="45">
        <v>57890.9</v>
      </c>
      <c r="AS528" s="45">
        <v>0</v>
      </c>
      <c r="AT528" s="45">
        <v>0</v>
      </c>
      <c r="AU528" s="45">
        <v>55046.2</v>
      </c>
      <c r="AV528" s="45">
        <v>0</v>
      </c>
      <c r="AW528" s="45">
        <v>1</v>
      </c>
      <c r="AX528" s="45">
        <v>52915.8</v>
      </c>
      <c r="AY528" s="45">
        <v>0</v>
      </c>
      <c r="AZ528" s="45">
        <v>0</v>
      </c>
    </row>
    <row r="529" spans="2:52">
      <c r="B529" s="45">
        <v>48390.7</v>
      </c>
      <c r="C529" s="45">
        <v>0</v>
      </c>
      <c r="D529" s="45">
        <v>1</v>
      </c>
      <c r="E529" s="45">
        <v>73396.5</v>
      </c>
      <c r="F529" s="45">
        <v>52</v>
      </c>
      <c r="G529" s="45">
        <v>0</v>
      </c>
      <c r="H529" s="45">
        <v>55593.4</v>
      </c>
      <c r="I529" s="45">
        <v>9</v>
      </c>
      <c r="J529" s="45">
        <v>0</v>
      </c>
      <c r="K529" s="45">
        <v>54649.4</v>
      </c>
      <c r="L529" s="45">
        <v>14</v>
      </c>
      <c r="M529" s="45">
        <v>1</v>
      </c>
      <c r="O529" s="45">
        <v>59074.3</v>
      </c>
      <c r="P529" s="45">
        <v>19</v>
      </c>
      <c r="Q529" s="45">
        <v>0</v>
      </c>
      <c r="R529" s="45">
        <v>63669.9</v>
      </c>
      <c r="S529" s="45">
        <v>30</v>
      </c>
      <c r="T529" s="45">
        <v>1</v>
      </c>
      <c r="U529" s="45">
        <v>54486.5</v>
      </c>
      <c r="V529" s="45">
        <v>12</v>
      </c>
      <c r="W529" s="45">
        <v>0</v>
      </c>
      <c r="X529" s="45">
        <v>58786.6</v>
      </c>
      <c r="Y529" s="45">
        <v>22</v>
      </c>
      <c r="Z529" s="45">
        <v>1</v>
      </c>
      <c r="AB529" s="45">
        <v>67149.2</v>
      </c>
      <c r="AC529" s="45">
        <v>34</v>
      </c>
      <c r="AD529" s="45">
        <v>1</v>
      </c>
      <c r="AE529" s="45">
        <v>49795.8</v>
      </c>
      <c r="AF529" s="45">
        <v>0</v>
      </c>
      <c r="AG529" s="45">
        <v>0</v>
      </c>
      <c r="AH529" s="45">
        <v>45538.7</v>
      </c>
      <c r="AI529" s="45">
        <v>0</v>
      </c>
      <c r="AJ529" s="45">
        <v>1</v>
      </c>
      <c r="AK529" s="45">
        <v>63964.2</v>
      </c>
      <c r="AL529" s="45">
        <v>38</v>
      </c>
      <c r="AM529" s="45">
        <v>0</v>
      </c>
      <c r="AO529" s="45">
        <v>64746.400000000001</v>
      </c>
      <c r="AP529" s="45">
        <v>33</v>
      </c>
      <c r="AQ529" s="45">
        <v>1</v>
      </c>
      <c r="AR529" s="45">
        <v>45374.7</v>
      </c>
      <c r="AS529" s="45">
        <v>0</v>
      </c>
      <c r="AT529" s="45">
        <v>1</v>
      </c>
      <c r="AU529" s="45">
        <v>46145.3</v>
      </c>
      <c r="AV529" s="45">
        <v>4</v>
      </c>
      <c r="AW529" s="45">
        <v>1</v>
      </c>
      <c r="AX529" s="45">
        <v>57214.8</v>
      </c>
      <c r="AY529" s="45">
        <v>22</v>
      </c>
      <c r="AZ529" s="45">
        <v>1</v>
      </c>
    </row>
    <row r="530" spans="2:52">
      <c r="B530" s="45">
        <v>57644.9</v>
      </c>
      <c r="C530" s="45">
        <v>0</v>
      </c>
      <c r="D530" s="45">
        <v>0</v>
      </c>
      <c r="E530" s="45">
        <v>72833.5</v>
      </c>
      <c r="F530" s="45">
        <v>32</v>
      </c>
      <c r="G530" s="45">
        <v>1</v>
      </c>
      <c r="H530" s="45">
        <v>55758.9</v>
      </c>
      <c r="I530" s="45">
        <v>0</v>
      </c>
      <c r="J530" s="45">
        <v>0</v>
      </c>
      <c r="K530" s="45">
        <v>56574.2</v>
      </c>
      <c r="L530" s="45">
        <v>6</v>
      </c>
      <c r="M530" s="45">
        <v>0</v>
      </c>
      <c r="O530" s="45">
        <v>59629.4</v>
      </c>
      <c r="P530" s="45">
        <v>0</v>
      </c>
      <c r="Q530" s="45">
        <v>1</v>
      </c>
      <c r="R530" s="45">
        <v>74050.5</v>
      </c>
      <c r="S530" s="45">
        <v>30</v>
      </c>
      <c r="T530" s="45">
        <v>0</v>
      </c>
      <c r="U530" s="45">
        <v>72340.399999999994</v>
      </c>
      <c r="V530" s="45">
        <v>31</v>
      </c>
      <c r="W530" s="45">
        <v>1</v>
      </c>
      <c r="X530" s="45">
        <v>59478.7</v>
      </c>
      <c r="Y530" s="45">
        <v>0</v>
      </c>
      <c r="Z530" s="45">
        <v>0</v>
      </c>
      <c r="AB530" s="45">
        <v>65186.2</v>
      </c>
      <c r="AC530" s="45">
        <v>17</v>
      </c>
      <c r="AD530" s="45">
        <v>1</v>
      </c>
      <c r="AE530" s="45">
        <v>54593.3</v>
      </c>
      <c r="AF530" s="45">
        <v>0</v>
      </c>
      <c r="AG530" s="45">
        <v>1</v>
      </c>
      <c r="AH530" s="45">
        <v>54683</v>
      </c>
      <c r="AI530" s="45">
        <v>0</v>
      </c>
      <c r="AJ530" s="45">
        <v>0</v>
      </c>
      <c r="AK530" s="45">
        <v>52902.5</v>
      </c>
      <c r="AL530" s="45">
        <v>0</v>
      </c>
      <c r="AM530" s="45">
        <v>1</v>
      </c>
      <c r="AO530" s="45">
        <v>55937.9</v>
      </c>
      <c r="AP530" s="45">
        <v>0</v>
      </c>
      <c r="AQ530" s="45">
        <v>1</v>
      </c>
      <c r="AR530" s="45">
        <v>54128.2</v>
      </c>
      <c r="AS530" s="45">
        <v>0</v>
      </c>
      <c r="AT530" s="45">
        <v>0</v>
      </c>
      <c r="AU530" s="45">
        <v>74157.399999999994</v>
      </c>
      <c r="AV530" s="45">
        <v>31</v>
      </c>
      <c r="AW530" s="45">
        <v>1</v>
      </c>
      <c r="AX530" s="45">
        <v>54191.3</v>
      </c>
      <c r="AY530" s="45">
        <v>0</v>
      </c>
      <c r="AZ530" s="45">
        <v>1</v>
      </c>
    </row>
    <row r="531" spans="2:52">
      <c r="B531" s="45">
        <v>50427.9</v>
      </c>
      <c r="C531" s="45">
        <v>8</v>
      </c>
      <c r="D531" s="45">
        <v>1</v>
      </c>
      <c r="E531" s="45">
        <v>52814.3</v>
      </c>
      <c r="F531" s="45">
        <v>10</v>
      </c>
      <c r="G531" s="45">
        <v>0</v>
      </c>
      <c r="H531" s="45">
        <v>50130.7</v>
      </c>
      <c r="I531" s="45">
        <v>0</v>
      </c>
      <c r="J531" s="45">
        <v>1</v>
      </c>
      <c r="K531" s="45">
        <v>80050.7</v>
      </c>
      <c r="L531" s="45">
        <v>63</v>
      </c>
      <c r="M531" s="45">
        <v>0</v>
      </c>
      <c r="O531" s="45">
        <v>49769.3</v>
      </c>
      <c r="P531" s="45">
        <v>0</v>
      </c>
      <c r="Q531" s="45">
        <v>0</v>
      </c>
      <c r="R531" s="45">
        <v>47383.199999999997</v>
      </c>
      <c r="S531" s="45">
        <v>0</v>
      </c>
      <c r="T531" s="45">
        <v>1</v>
      </c>
      <c r="U531" s="45">
        <v>49963.9</v>
      </c>
      <c r="V531" s="45">
        <v>6</v>
      </c>
      <c r="W531" s="45">
        <v>0</v>
      </c>
      <c r="X531" s="45">
        <v>61214.400000000001</v>
      </c>
      <c r="Y531" s="45">
        <v>25</v>
      </c>
      <c r="Z531" s="45">
        <v>1</v>
      </c>
      <c r="AB531" s="45">
        <v>50955.6</v>
      </c>
      <c r="AC531" s="45">
        <v>1</v>
      </c>
      <c r="AD531" s="45">
        <v>0</v>
      </c>
      <c r="AE531" s="45">
        <v>55737.9</v>
      </c>
      <c r="AF531" s="45">
        <v>13</v>
      </c>
      <c r="AG531" s="45">
        <v>1</v>
      </c>
      <c r="AH531" s="45">
        <v>53425</v>
      </c>
      <c r="AI531" s="45">
        <v>4</v>
      </c>
      <c r="AJ531" s="45">
        <v>0</v>
      </c>
      <c r="AK531" s="45">
        <v>55826.7</v>
      </c>
      <c r="AL531" s="45">
        <v>23</v>
      </c>
      <c r="AM531" s="45">
        <v>1</v>
      </c>
      <c r="AO531" s="45">
        <v>48754.6</v>
      </c>
      <c r="AP531" s="45">
        <v>0</v>
      </c>
      <c r="AQ531" s="45">
        <v>1</v>
      </c>
      <c r="AR531" s="45">
        <v>59018.400000000001</v>
      </c>
      <c r="AS531" s="45">
        <v>20</v>
      </c>
      <c r="AT531" s="45">
        <v>2</v>
      </c>
      <c r="AU531" s="45">
        <v>50342.9</v>
      </c>
      <c r="AV531" s="45">
        <v>11</v>
      </c>
      <c r="AW531" s="45">
        <v>0</v>
      </c>
      <c r="AX531" s="45">
        <v>47993.4</v>
      </c>
      <c r="AY531" s="45">
        <v>0</v>
      </c>
      <c r="AZ531" s="45">
        <v>1</v>
      </c>
    </row>
    <row r="532" spans="2:52">
      <c r="B532" s="45">
        <v>49117.8</v>
      </c>
      <c r="C532" s="45">
        <v>0</v>
      </c>
      <c r="D532" s="45">
        <v>0</v>
      </c>
      <c r="E532" s="45">
        <v>80875.199999999997</v>
      </c>
      <c r="F532" s="45">
        <v>58</v>
      </c>
      <c r="G532" s="45">
        <v>1</v>
      </c>
      <c r="H532" s="45">
        <v>51563.9</v>
      </c>
      <c r="I532" s="45">
        <v>0</v>
      </c>
      <c r="J532" s="45">
        <v>0</v>
      </c>
      <c r="K532" s="45">
        <v>48997.5</v>
      </c>
      <c r="L532" s="45">
        <v>0</v>
      </c>
      <c r="M532" s="45">
        <v>1</v>
      </c>
      <c r="O532" s="45">
        <v>53156.3</v>
      </c>
      <c r="P532" s="45">
        <v>0</v>
      </c>
      <c r="Q532" s="45">
        <v>0</v>
      </c>
      <c r="R532" s="45">
        <v>52516.7</v>
      </c>
      <c r="S532" s="45">
        <v>0</v>
      </c>
      <c r="T532" s="45">
        <v>1</v>
      </c>
      <c r="U532" s="45">
        <v>45790</v>
      </c>
      <c r="V532" s="45">
        <v>0</v>
      </c>
      <c r="W532" s="45">
        <v>0</v>
      </c>
      <c r="X532" s="45">
        <v>47983.5</v>
      </c>
      <c r="Y532" s="45">
        <v>0</v>
      </c>
      <c r="Z532" s="45">
        <v>1</v>
      </c>
      <c r="AB532" s="45">
        <v>68389.100000000006</v>
      </c>
      <c r="AC532" s="45">
        <v>34</v>
      </c>
      <c r="AD532" s="45">
        <v>0</v>
      </c>
      <c r="AE532" s="45">
        <v>47674.400000000001</v>
      </c>
      <c r="AF532" s="45">
        <v>0</v>
      </c>
      <c r="AG532" s="45">
        <v>1</v>
      </c>
      <c r="AH532" s="45">
        <v>45654.3</v>
      </c>
      <c r="AI532" s="45">
        <v>0</v>
      </c>
      <c r="AJ532" s="45">
        <v>0</v>
      </c>
      <c r="AK532" s="45">
        <v>47530.9</v>
      </c>
      <c r="AL532" s="45">
        <v>0</v>
      </c>
      <c r="AM532" s="45">
        <v>0</v>
      </c>
      <c r="AO532" s="45">
        <v>70273.8</v>
      </c>
      <c r="AP532" s="45">
        <v>44</v>
      </c>
      <c r="AQ532" s="45">
        <v>1</v>
      </c>
      <c r="AR532" s="45">
        <v>51446.9</v>
      </c>
      <c r="AS532" s="45">
        <v>0</v>
      </c>
      <c r="AT532" s="45">
        <v>1</v>
      </c>
      <c r="AU532" s="45">
        <v>46409.599999999999</v>
      </c>
      <c r="AV532" s="45">
        <v>0</v>
      </c>
      <c r="AW532" s="45">
        <v>0</v>
      </c>
      <c r="AX532" s="45">
        <v>50818.2</v>
      </c>
      <c r="AY532" s="45">
        <v>0</v>
      </c>
      <c r="AZ532" s="45">
        <v>1</v>
      </c>
    </row>
    <row r="533" spans="2:52">
      <c r="B533" s="45">
        <v>53918.8</v>
      </c>
      <c r="C533" s="45">
        <v>0</v>
      </c>
      <c r="D533" s="45">
        <v>0</v>
      </c>
      <c r="E533" s="45">
        <v>51187.6</v>
      </c>
      <c r="F533" s="45">
        <v>0</v>
      </c>
      <c r="G533" s="45">
        <v>0</v>
      </c>
      <c r="H533" s="45">
        <v>51506.3</v>
      </c>
      <c r="I533" s="45">
        <v>0</v>
      </c>
      <c r="J533" s="45">
        <v>1</v>
      </c>
      <c r="K533" s="45">
        <v>56440.6</v>
      </c>
      <c r="L533" s="45">
        <v>0</v>
      </c>
      <c r="M533" s="45">
        <v>0</v>
      </c>
      <c r="O533" s="45">
        <v>56543.5</v>
      </c>
      <c r="P533" s="45">
        <v>0</v>
      </c>
      <c r="Q533" s="45">
        <v>0</v>
      </c>
      <c r="R533" s="45">
        <v>53585.5</v>
      </c>
      <c r="S533" s="45">
        <v>0</v>
      </c>
      <c r="T533" s="45">
        <v>1</v>
      </c>
      <c r="U533" s="45">
        <v>54325.3</v>
      </c>
      <c r="V533" s="45">
        <v>0</v>
      </c>
      <c r="W533" s="45">
        <v>0</v>
      </c>
      <c r="X533" s="45">
        <v>49247.9</v>
      </c>
      <c r="Y533" s="45">
        <v>0</v>
      </c>
      <c r="Z533" s="45">
        <v>0</v>
      </c>
      <c r="AB533" s="45">
        <v>49165.3</v>
      </c>
      <c r="AC533" s="45">
        <v>0</v>
      </c>
      <c r="AD533" s="45">
        <v>1</v>
      </c>
      <c r="AE533" s="45">
        <v>54439.3</v>
      </c>
      <c r="AF533" s="45">
        <v>8</v>
      </c>
      <c r="AG533" s="45">
        <v>0</v>
      </c>
      <c r="AH533" s="45">
        <v>54511.7</v>
      </c>
      <c r="AI533" s="45">
        <v>0</v>
      </c>
      <c r="AJ533" s="45">
        <v>1</v>
      </c>
      <c r="AK533" s="45">
        <v>51344.6</v>
      </c>
      <c r="AL533" s="45">
        <v>0</v>
      </c>
      <c r="AM533" s="45">
        <v>0</v>
      </c>
      <c r="AO533" s="45">
        <v>50510</v>
      </c>
      <c r="AP533" s="45">
        <v>0</v>
      </c>
      <c r="AQ533" s="45">
        <v>1</v>
      </c>
      <c r="AR533" s="45">
        <v>50753.8</v>
      </c>
      <c r="AS533" s="45">
        <v>0</v>
      </c>
      <c r="AT533" s="45">
        <v>0</v>
      </c>
      <c r="AU533" s="45">
        <v>51405.5</v>
      </c>
      <c r="AV533" s="45">
        <v>1</v>
      </c>
      <c r="AW533" s="45">
        <v>1</v>
      </c>
      <c r="AX533" s="45">
        <v>49803.5</v>
      </c>
      <c r="AY533" s="45">
        <v>0</v>
      </c>
      <c r="AZ533" s="45">
        <v>1</v>
      </c>
    </row>
    <row r="534" spans="2:52">
      <c r="B534" s="45">
        <v>51487.199999999997</v>
      </c>
      <c r="C534" s="45">
        <v>0</v>
      </c>
      <c r="D534" s="45">
        <v>0</v>
      </c>
      <c r="E534" s="45">
        <v>51087.9</v>
      </c>
      <c r="F534" s="45">
        <v>0</v>
      </c>
      <c r="G534" s="45">
        <v>1</v>
      </c>
      <c r="H534" s="45">
        <v>51839.3</v>
      </c>
      <c r="I534" s="45">
        <v>0</v>
      </c>
      <c r="J534" s="45">
        <v>0</v>
      </c>
      <c r="K534" s="45">
        <v>49527.7</v>
      </c>
      <c r="L534" s="45">
        <v>0</v>
      </c>
      <c r="M534" s="45">
        <v>1</v>
      </c>
      <c r="O534" s="45">
        <v>54438.8</v>
      </c>
      <c r="P534" s="45">
        <v>0</v>
      </c>
      <c r="Q534" s="45">
        <v>1</v>
      </c>
      <c r="R534" s="45">
        <v>53103.4</v>
      </c>
      <c r="S534" s="45">
        <v>0</v>
      </c>
      <c r="T534" s="45">
        <v>0</v>
      </c>
      <c r="U534" s="45">
        <v>50661.9</v>
      </c>
      <c r="V534" s="45">
        <v>0</v>
      </c>
      <c r="W534" s="45">
        <v>1</v>
      </c>
      <c r="X534" s="45">
        <v>48777.599999999999</v>
      </c>
      <c r="Y534" s="45">
        <v>0</v>
      </c>
      <c r="Z534" s="45">
        <v>0</v>
      </c>
      <c r="AB534" s="45">
        <v>53966.5</v>
      </c>
      <c r="AC534" s="45">
        <v>0</v>
      </c>
      <c r="AD534" s="45">
        <v>0</v>
      </c>
      <c r="AE534" s="45">
        <v>50701.599999999999</v>
      </c>
      <c r="AF534" s="45">
        <v>0</v>
      </c>
      <c r="AG534" s="45">
        <v>1</v>
      </c>
      <c r="AH534" s="45">
        <v>50937.599999999999</v>
      </c>
      <c r="AI534" s="45">
        <v>0</v>
      </c>
      <c r="AJ534" s="45">
        <v>0</v>
      </c>
      <c r="AK534" s="45">
        <v>48091.9</v>
      </c>
      <c r="AL534" s="45">
        <v>0</v>
      </c>
      <c r="AM534" s="45">
        <v>0</v>
      </c>
      <c r="AO534" s="45">
        <v>65785.100000000006</v>
      </c>
      <c r="AP534" s="45">
        <v>26</v>
      </c>
      <c r="AQ534" s="45">
        <v>1</v>
      </c>
      <c r="AR534" s="45">
        <v>51826.7</v>
      </c>
      <c r="AS534" s="45">
        <v>0</v>
      </c>
      <c r="AT534" s="45">
        <v>1</v>
      </c>
      <c r="AU534" s="45">
        <v>49326</v>
      </c>
      <c r="AV534" s="45">
        <v>0</v>
      </c>
      <c r="AW534" s="45">
        <v>1</v>
      </c>
      <c r="AX534" s="45">
        <v>65389.2</v>
      </c>
      <c r="AY534" s="45">
        <v>34</v>
      </c>
      <c r="AZ534" s="45">
        <v>1</v>
      </c>
    </row>
    <row r="535" spans="2:52">
      <c r="B535" s="45">
        <v>61318</v>
      </c>
      <c r="C535" s="45">
        <v>0</v>
      </c>
      <c r="D535" s="45">
        <v>0</v>
      </c>
      <c r="E535" s="45">
        <v>93950</v>
      </c>
      <c r="F535" s="45">
        <v>70</v>
      </c>
      <c r="G535" s="45">
        <v>0</v>
      </c>
      <c r="H535" s="45">
        <v>57502.5</v>
      </c>
      <c r="I535" s="45">
        <v>0</v>
      </c>
      <c r="J535" s="45">
        <v>1</v>
      </c>
      <c r="K535" s="45">
        <v>53363.9</v>
      </c>
      <c r="L535" s="45">
        <v>0</v>
      </c>
      <c r="M535" s="45">
        <v>0</v>
      </c>
      <c r="O535" s="45">
        <v>66673.600000000006</v>
      </c>
      <c r="P535" s="45">
        <v>0</v>
      </c>
      <c r="Q535" s="45">
        <v>1</v>
      </c>
      <c r="R535" s="45">
        <v>63176.5</v>
      </c>
      <c r="S535" s="45">
        <v>0</v>
      </c>
      <c r="T535" s="45">
        <v>0</v>
      </c>
      <c r="U535" s="45">
        <v>72165.7</v>
      </c>
      <c r="V535" s="45">
        <v>26</v>
      </c>
      <c r="W535" s="45">
        <v>1</v>
      </c>
      <c r="X535" s="45">
        <v>57853.2</v>
      </c>
      <c r="Y535" s="45">
        <v>0</v>
      </c>
      <c r="Z535" s="45">
        <v>0</v>
      </c>
      <c r="AB535" s="45">
        <v>60565.599999999999</v>
      </c>
      <c r="AC535" s="45">
        <v>0</v>
      </c>
      <c r="AD535" s="45">
        <v>1</v>
      </c>
      <c r="AE535" s="45">
        <v>60131</v>
      </c>
      <c r="AF535" s="45">
        <v>0</v>
      </c>
      <c r="AG535" s="45">
        <v>0</v>
      </c>
      <c r="AH535" s="45">
        <v>55914.8</v>
      </c>
      <c r="AI535" s="45">
        <v>0</v>
      </c>
      <c r="AJ535" s="45">
        <v>0</v>
      </c>
      <c r="AK535" s="45">
        <v>59996.4</v>
      </c>
      <c r="AL535" s="45">
        <v>0</v>
      </c>
      <c r="AM535" s="45">
        <v>1</v>
      </c>
      <c r="AO535" s="45">
        <v>60689.2</v>
      </c>
      <c r="AP535" s="45">
        <v>0</v>
      </c>
      <c r="AQ535" s="45">
        <v>1</v>
      </c>
      <c r="AR535" s="45">
        <v>57369.7</v>
      </c>
      <c r="AS535" s="45">
        <v>0</v>
      </c>
      <c r="AT535" s="45">
        <v>0</v>
      </c>
      <c r="AU535" s="45">
        <v>63945.7</v>
      </c>
      <c r="AV535" s="45">
        <v>13</v>
      </c>
      <c r="AW535" s="45">
        <v>1</v>
      </c>
      <c r="AX535" s="45">
        <v>58201</v>
      </c>
      <c r="AY535" s="45">
        <v>0</v>
      </c>
      <c r="AZ535" s="45">
        <v>1</v>
      </c>
    </row>
    <row r="536" spans="2:52">
      <c r="B536" s="45">
        <v>67467</v>
      </c>
      <c r="C536" s="45">
        <v>36</v>
      </c>
      <c r="D536" s="45">
        <v>1</v>
      </c>
      <c r="E536" s="45">
        <v>67321.2</v>
      </c>
      <c r="F536" s="45">
        <v>29</v>
      </c>
      <c r="G536" s="45">
        <v>0</v>
      </c>
      <c r="H536" s="45">
        <v>54331</v>
      </c>
      <c r="I536" s="45">
        <v>5</v>
      </c>
      <c r="J536" s="45">
        <v>1</v>
      </c>
      <c r="K536" s="45">
        <v>50867.9</v>
      </c>
      <c r="L536" s="45">
        <v>0</v>
      </c>
      <c r="M536" s="45">
        <v>0</v>
      </c>
      <c r="O536" s="45">
        <v>55569.7</v>
      </c>
      <c r="P536" s="45">
        <v>0</v>
      </c>
      <c r="Q536" s="45">
        <v>1</v>
      </c>
      <c r="R536" s="45">
        <v>59798.7</v>
      </c>
      <c r="S536" s="45">
        <v>3</v>
      </c>
      <c r="T536" s="45">
        <v>0</v>
      </c>
      <c r="U536" s="45">
        <v>56876.800000000003</v>
      </c>
      <c r="V536" s="45">
        <v>0</v>
      </c>
      <c r="W536" s="45">
        <v>1</v>
      </c>
      <c r="X536" s="45">
        <v>54700.6</v>
      </c>
      <c r="Y536" s="45">
        <v>0</v>
      </c>
      <c r="Z536" s="45">
        <v>0</v>
      </c>
      <c r="AB536" s="45">
        <v>56577.1</v>
      </c>
      <c r="AC536" s="45">
        <v>0</v>
      </c>
      <c r="AD536" s="45">
        <v>0</v>
      </c>
      <c r="AE536" s="45">
        <v>56702.6</v>
      </c>
      <c r="AF536" s="45">
        <v>0</v>
      </c>
      <c r="AG536" s="45">
        <v>0</v>
      </c>
      <c r="AH536" s="45">
        <v>49497.599999999999</v>
      </c>
      <c r="AI536" s="45">
        <v>0</v>
      </c>
      <c r="AJ536" s="45">
        <v>1</v>
      </c>
      <c r="AK536" s="45">
        <v>53857</v>
      </c>
      <c r="AL536" s="45">
        <v>0</v>
      </c>
      <c r="AM536" s="45">
        <v>0</v>
      </c>
      <c r="AO536" s="45">
        <v>49432.1</v>
      </c>
      <c r="AP536" s="45">
        <v>0</v>
      </c>
      <c r="AQ536" s="45">
        <v>1</v>
      </c>
      <c r="AR536" s="45">
        <v>54912.9</v>
      </c>
      <c r="AS536" s="45">
        <v>0</v>
      </c>
      <c r="AT536" s="45">
        <v>1</v>
      </c>
      <c r="AU536" s="45">
        <v>50561.7</v>
      </c>
      <c r="AV536" s="45">
        <v>0</v>
      </c>
      <c r="AW536" s="45">
        <v>1</v>
      </c>
      <c r="AX536" s="45">
        <v>48077.4</v>
      </c>
      <c r="AY536" s="45">
        <v>0</v>
      </c>
      <c r="AZ536" s="45">
        <v>0</v>
      </c>
    </row>
    <row r="537" spans="2:52">
      <c r="B537" s="45">
        <v>51555.7</v>
      </c>
      <c r="C537" s="45">
        <v>1</v>
      </c>
      <c r="D537" s="45">
        <v>1</v>
      </c>
      <c r="E537" s="45">
        <v>53584.2</v>
      </c>
      <c r="F537" s="45">
        <v>0</v>
      </c>
      <c r="G537" s="45">
        <v>0</v>
      </c>
      <c r="H537" s="45">
        <v>62260.2</v>
      </c>
      <c r="I537" s="45">
        <v>24</v>
      </c>
      <c r="J537" s="45">
        <v>0</v>
      </c>
      <c r="K537" s="45">
        <v>65092.3</v>
      </c>
      <c r="L537" s="45">
        <v>27</v>
      </c>
      <c r="M537" s="45">
        <v>1</v>
      </c>
      <c r="O537" s="45">
        <v>59057.7</v>
      </c>
      <c r="P537" s="45">
        <v>0</v>
      </c>
      <c r="Q537" s="45">
        <v>0</v>
      </c>
      <c r="R537" s="45">
        <v>56079.199999999997</v>
      </c>
      <c r="S537" s="45">
        <v>0</v>
      </c>
      <c r="T537" s="45">
        <v>1</v>
      </c>
      <c r="U537" s="45">
        <v>55166.9</v>
      </c>
      <c r="V537" s="45">
        <v>0</v>
      </c>
      <c r="W537" s="45">
        <v>0</v>
      </c>
      <c r="X537" s="45">
        <v>54165.9</v>
      </c>
      <c r="Y537" s="45">
        <v>0</v>
      </c>
      <c r="Z537" s="45">
        <v>1</v>
      </c>
      <c r="AB537" s="45">
        <v>67703.8</v>
      </c>
      <c r="AC537" s="45">
        <v>27</v>
      </c>
      <c r="AD537" s="45">
        <v>1</v>
      </c>
      <c r="AE537" s="45">
        <v>55317.3</v>
      </c>
      <c r="AF537" s="45">
        <v>0</v>
      </c>
      <c r="AG537" s="45">
        <v>0</v>
      </c>
      <c r="AH537" s="45">
        <v>55824</v>
      </c>
      <c r="AI537" s="45">
        <v>10</v>
      </c>
      <c r="AJ537" s="45">
        <v>1</v>
      </c>
      <c r="AK537" s="45">
        <v>70578.899999999994</v>
      </c>
      <c r="AL537" s="45">
        <v>42</v>
      </c>
      <c r="AM537" s="45">
        <v>0</v>
      </c>
      <c r="AO537" s="45">
        <v>59871.199999999997</v>
      </c>
      <c r="AP537" s="45">
        <v>0</v>
      </c>
      <c r="AQ537" s="45">
        <v>1</v>
      </c>
      <c r="AR537" s="45">
        <v>55768.2</v>
      </c>
      <c r="AS537" s="45">
        <v>0</v>
      </c>
      <c r="AT537" s="45">
        <v>0</v>
      </c>
      <c r="AU537" s="45">
        <v>53918.3</v>
      </c>
      <c r="AV537" s="45">
        <v>3</v>
      </c>
      <c r="AW537" s="45">
        <v>1</v>
      </c>
      <c r="AX537" s="45">
        <v>54200.3</v>
      </c>
      <c r="AY537" s="45">
        <v>0</v>
      </c>
      <c r="AZ537" s="45">
        <v>1</v>
      </c>
    </row>
    <row r="538" spans="2:52">
      <c r="B538" s="45">
        <v>53058.5</v>
      </c>
      <c r="C538" s="45">
        <v>0</v>
      </c>
      <c r="D538" s="45">
        <v>0</v>
      </c>
      <c r="E538" s="45">
        <v>57521.1</v>
      </c>
      <c r="F538" s="45">
        <v>7</v>
      </c>
      <c r="G538" s="45">
        <v>1</v>
      </c>
      <c r="H538" s="45">
        <v>56203.9</v>
      </c>
      <c r="I538" s="45">
        <v>0</v>
      </c>
      <c r="J538" s="45">
        <v>0</v>
      </c>
      <c r="K538" s="45">
        <v>58364.5</v>
      </c>
      <c r="L538" s="45">
        <v>12</v>
      </c>
      <c r="M538" s="45">
        <v>1</v>
      </c>
      <c r="O538" s="45">
        <v>56076</v>
      </c>
      <c r="P538" s="45">
        <v>0</v>
      </c>
      <c r="Q538" s="45">
        <v>0</v>
      </c>
      <c r="R538" s="45">
        <v>59711</v>
      </c>
      <c r="S538" s="45">
        <v>0</v>
      </c>
      <c r="T538" s="45">
        <v>0</v>
      </c>
      <c r="U538" s="45">
        <v>59725.4</v>
      </c>
      <c r="V538" s="45">
        <v>0</v>
      </c>
      <c r="W538" s="45">
        <v>1</v>
      </c>
      <c r="X538" s="45">
        <v>55174.5</v>
      </c>
      <c r="Y538" s="45">
        <v>0</v>
      </c>
      <c r="Z538" s="45">
        <v>1</v>
      </c>
      <c r="AB538" s="45">
        <v>59078.5</v>
      </c>
      <c r="AC538" s="45">
        <v>0</v>
      </c>
      <c r="AD538" s="45">
        <v>0</v>
      </c>
      <c r="AE538" s="45">
        <v>58635.9</v>
      </c>
      <c r="AF538" s="45">
        <v>0</v>
      </c>
      <c r="AG538" s="45">
        <v>1</v>
      </c>
      <c r="AH538" s="45">
        <v>50460.9</v>
      </c>
      <c r="AI538" s="45">
        <v>0</v>
      </c>
      <c r="AJ538" s="45">
        <v>0</v>
      </c>
      <c r="AK538" s="45">
        <v>54079.6</v>
      </c>
      <c r="AL538" s="45">
        <v>0</v>
      </c>
      <c r="AM538" s="45">
        <v>0</v>
      </c>
      <c r="AO538" s="45">
        <v>56566.9</v>
      </c>
      <c r="AP538" s="45">
        <v>0</v>
      </c>
      <c r="AQ538" s="45">
        <v>0</v>
      </c>
      <c r="AR538" s="45">
        <v>75763.600000000006</v>
      </c>
      <c r="AS538" s="45">
        <v>49</v>
      </c>
      <c r="AT538" s="45">
        <v>1</v>
      </c>
      <c r="AU538" s="45">
        <v>52011.9</v>
      </c>
      <c r="AV538" s="45">
        <v>0</v>
      </c>
      <c r="AW538" s="45">
        <v>1</v>
      </c>
      <c r="AX538" s="45">
        <v>53195.1</v>
      </c>
      <c r="AY538" s="45">
        <v>0</v>
      </c>
      <c r="AZ538" s="45">
        <v>1</v>
      </c>
    </row>
    <row r="539" spans="2:52">
      <c r="B539" s="45">
        <v>92728.7</v>
      </c>
      <c r="C539" s="45">
        <v>66</v>
      </c>
      <c r="D539" s="45">
        <v>0</v>
      </c>
      <c r="E539" s="45">
        <v>69685</v>
      </c>
      <c r="F539" s="45">
        <v>25</v>
      </c>
      <c r="G539" s="45">
        <v>0</v>
      </c>
      <c r="H539" s="45">
        <v>70255.8</v>
      </c>
      <c r="I539" s="45">
        <v>23</v>
      </c>
      <c r="J539" s="45">
        <v>1</v>
      </c>
      <c r="K539" s="45">
        <v>94014.8</v>
      </c>
      <c r="L539" s="45">
        <v>78</v>
      </c>
      <c r="M539" s="45">
        <v>0</v>
      </c>
      <c r="O539" s="45">
        <v>66325.100000000006</v>
      </c>
      <c r="P539" s="45">
        <v>17</v>
      </c>
      <c r="Q539" s="45">
        <v>0</v>
      </c>
      <c r="R539" s="45">
        <v>114154</v>
      </c>
      <c r="S539" s="45">
        <v>116</v>
      </c>
      <c r="T539" s="45">
        <v>0</v>
      </c>
      <c r="U539" s="45">
        <v>73297.600000000006</v>
      </c>
      <c r="V539" s="45">
        <v>21</v>
      </c>
      <c r="W539" s="45">
        <v>1</v>
      </c>
      <c r="X539" s="45">
        <v>85064.8</v>
      </c>
      <c r="Y539" s="45">
        <v>59</v>
      </c>
      <c r="Z539" s="45">
        <v>1</v>
      </c>
      <c r="AB539" s="45">
        <v>78937.7</v>
      </c>
      <c r="AC539" s="45">
        <v>44</v>
      </c>
      <c r="AD539" s="45">
        <v>1</v>
      </c>
      <c r="AE539" s="45">
        <v>56667.3</v>
      </c>
      <c r="AF539" s="45">
        <v>5</v>
      </c>
      <c r="AG539" s="45">
        <v>0</v>
      </c>
      <c r="AH539" s="45">
        <v>71637.7</v>
      </c>
      <c r="AI539" s="45">
        <v>40</v>
      </c>
      <c r="AJ539" s="45">
        <v>1</v>
      </c>
      <c r="AK539" s="45">
        <v>77621.899999999994</v>
      </c>
      <c r="AL539" s="45">
        <v>53</v>
      </c>
      <c r="AM539" s="45">
        <v>0</v>
      </c>
      <c r="AO539" s="45">
        <v>79373.399999999994</v>
      </c>
      <c r="AP539" s="45">
        <v>36</v>
      </c>
      <c r="AQ539" s="45">
        <v>0</v>
      </c>
      <c r="AR539" s="45">
        <v>94982.8</v>
      </c>
      <c r="AS539" s="45">
        <v>79</v>
      </c>
      <c r="AT539" s="45">
        <v>2</v>
      </c>
      <c r="AU539" s="45">
        <v>66079.5</v>
      </c>
      <c r="AV539" s="45">
        <v>28</v>
      </c>
      <c r="AW539" s="45">
        <v>1</v>
      </c>
      <c r="AX539" s="45">
        <v>55499.8</v>
      </c>
      <c r="AY539" s="45">
        <v>0</v>
      </c>
      <c r="AZ539" s="45">
        <v>0</v>
      </c>
    </row>
    <row r="540" spans="2:52">
      <c r="B540" s="45">
        <v>64762.6</v>
      </c>
      <c r="C540" s="45">
        <v>14</v>
      </c>
      <c r="D540" s="45">
        <v>1</v>
      </c>
      <c r="E540" s="45">
        <v>62525.599999999999</v>
      </c>
      <c r="F540" s="45">
        <v>22</v>
      </c>
      <c r="G540" s="45">
        <v>0</v>
      </c>
      <c r="H540" s="45">
        <v>55562.8</v>
      </c>
      <c r="I540" s="45">
        <v>0</v>
      </c>
      <c r="J540" s="45">
        <v>0</v>
      </c>
      <c r="K540" s="45">
        <v>78562.8</v>
      </c>
      <c r="L540" s="45">
        <v>47</v>
      </c>
      <c r="M540" s="45">
        <v>1</v>
      </c>
      <c r="O540" s="45">
        <v>64473.3</v>
      </c>
      <c r="P540" s="45">
        <v>7</v>
      </c>
      <c r="Q540" s="45">
        <v>0</v>
      </c>
      <c r="R540" s="45">
        <v>62940.3</v>
      </c>
      <c r="S540" s="45">
        <v>0</v>
      </c>
      <c r="T540" s="45">
        <v>0</v>
      </c>
      <c r="U540" s="45">
        <v>56953.4</v>
      </c>
      <c r="V540" s="45">
        <v>0</v>
      </c>
      <c r="W540" s="45">
        <v>1</v>
      </c>
      <c r="X540" s="45">
        <v>67598.600000000006</v>
      </c>
      <c r="Y540" s="45">
        <v>37</v>
      </c>
      <c r="Z540" s="45">
        <v>1</v>
      </c>
      <c r="AB540" s="45">
        <v>52947.8</v>
      </c>
      <c r="AC540" s="45">
        <v>0</v>
      </c>
      <c r="AD540" s="45">
        <v>1</v>
      </c>
      <c r="AE540" s="45">
        <v>57422</v>
      </c>
      <c r="AF540" s="45">
        <v>0</v>
      </c>
      <c r="AG540" s="45">
        <v>0</v>
      </c>
      <c r="AH540" s="45">
        <v>65233.5</v>
      </c>
      <c r="AI540" s="45">
        <v>22</v>
      </c>
      <c r="AJ540" s="45">
        <v>1</v>
      </c>
      <c r="AK540" s="45">
        <v>51179.3</v>
      </c>
      <c r="AL540" s="45">
        <v>0</v>
      </c>
      <c r="AM540" s="45">
        <v>0</v>
      </c>
      <c r="AO540" s="45">
        <v>59315</v>
      </c>
      <c r="AP540" s="45">
        <v>0</v>
      </c>
      <c r="AQ540" s="45">
        <v>1</v>
      </c>
      <c r="AR540" s="45">
        <v>55851.9</v>
      </c>
      <c r="AS540" s="45">
        <v>11</v>
      </c>
      <c r="AT540" s="45">
        <v>1</v>
      </c>
      <c r="AU540" s="45">
        <v>54810.1</v>
      </c>
      <c r="AV540" s="45">
        <v>0</v>
      </c>
      <c r="AW540" s="45">
        <v>1</v>
      </c>
      <c r="AX540" s="45">
        <v>75999.100000000006</v>
      </c>
      <c r="AY540" s="45">
        <v>45</v>
      </c>
      <c r="AZ540" s="45">
        <v>1</v>
      </c>
    </row>
    <row r="541" spans="2:52">
      <c r="B541" s="45">
        <v>57991.1</v>
      </c>
      <c r="C541" s="45">
        <v>0</v>
      </c>
      <c r="D541" s="45">
        <v>0</v>
      </c>
      <c r="E541" s="45">
        <v>73825.100000000006</v>
      </c>
      <c r="F541" s="45">
        <v>35</v>
      </c>
      <c r="G541" s="45">
        <v>0</v>
      </c>
      <c r="H541" s="45">
        <v>69237.399999999994</v>
      </c>
      <c r="I541" s="45">
        <v>36</v>
      </c>
      <c r="J541" s="45">
        <v>1</v>
      </c>
      <c r="K541" s="45">
        <v>55476.6</v>
      </c>
      <c r="L541" s="45">
        <v>7</v>
      </c>
      <c r="M541" s="45">
        <v>0</v>
      </c>
      <c r="O541" s="45">
        <v>54557.7</v>
      </c>
      <c r="P541" s="45">
        <v>0</v>
      </c>
      <c r="Q541" s="45">
        <v>0</v>
      </c>
      <c r="R541" s="45">
        <v>58178.400000000001</v>
      </c>
      <c r="S541" s="45">
        <v>0</v>
      </c>
      <c r="T541" s="45">
        <v>1</v>
      </c>
      <c r="U541" s="45">
        <v>52437.9</v>
      </c>
      <c r="V541" s="45">
        <v>0</v>
      </c>
      <c r="W541" s="45">
        <v>0</v>
      </c>
      <c r="X541" s="45">
        <v>50356.2</v>
      </c>
      <c r="Y541" s="45">
        <v>0</v>
      </c>
      <c r="Z541" s="45">
        <v>0</v>
      </c>
      <c r="AB541" s="45">
        <v>52943.8</v>
      </c>
      <c r="AC541" s="45">
        <v>6</v>
      </c>
      <c r="AD541" s="45">
        <v>1</v>
      </c>
      <c r="AE541" s="45">
        <v>56699.7</v>
      </c>
      <c r="AF541" s="45">
        <v>0</v>
      </c>
      <c r="AG541" s="45">
        <v>0</v>
      </c>
      <c r="AH541" s="45">
        <v>51115.5</v>
      </c>
      <c r="AI541" s="45">
        <v>0</v>
      </c>
      <c r="AJ541" s="45">
        <v>1</v>
      </c>
      <c r="AK541" s="45">
        <v>48596.800000000003</v>
      </c>
      <c r="AL541" s="45">
        <v>0</v>
      </c>
      <c r="AM541" s="45">
        <v>0</v>
      </c>
      <c r="AO541" s="45">
        <v>71182.2</v>
      </c>
      <c r="AP541" s="45">
        <v>36</v>
      </c>
      <c r="AQ541" s="45">
        <v>0</v>
      </c>
      <c r="AR541" s="45">
        <v>55351.199999999997</v>
      </c>
      <c r="AS541" s="45">
        <v>0</v>
      </c>
      <c r="AT541" s="45">
        <v>1</v>
      </c>
      <c r="AU541" s="45">
        <v>48333.9</v>
      </c>
      <c r="AV541" s="45">
        <v>0</v>
      </c>
      <c r="AW541" s="45">
        <v>1</v>
      </c>
      <c r="AX541" s="45">
        <v>48665.8</v>
      </c>
      <c r="AY541" s="45">
        <v>0</v>
      </c>
      <c r="AZ541" s="45">
        <v>0</v>
      </c>
    </row>
    <row r="542" spans="2:52">
      <c r="B542" s="45">
        <v>75346</v>
      </c>
      <c r="C542" s="45">
        <v>35</v>
      </c>
      <c r="D542" s="45">
        <v>1</v>
      </c>
      <c r="E542" s="45">
        <v>56939.7</v>
      </c>
      <c r="F542" s="45">
        <v>0</v>
      </c>
      <c r="G542" s="45">
        <v>0</v>
      </c>
      <c r="H542" s="45">
        <v>56352.7</v>
      </c>
      <c r="I542" s="45">
        <v>0</v>
      </c>
      <c r="J542" s="45">
        <v>0</v>
      </c>
      <c r="K542" s="45">
        <v>58091.8</v>
      </c>
      <c r="L542" s="45">
        <v>0</v>
      </c>
      <c r="M542" s="45">
        <v>1</v>
      </c>
      <c r="O542" s="45">
        <v>64139.1</v>
      </c>
      <c r="P542" s="45">
        <v>0</v>
      </c>
      <c r="Q542" s="45">
        <v>1</v>
      </c>
      <c r="R542" s="45">
        <v>59937.5</v>
      </c>
      <c r="S542" s="45">
        <v>0</v>
      </c>
      <c r="T542" s="45">
        <v>0</v>
      </c>
      <c r="U542" s="45">
        <v>65168.800000000003</v>
      </c>
      <c r="V542" s="45">
        <v>0</v>
      </c>
      <c r="W542" s="45">
        <v>1</v>
      </c>
      <c r="X542" s="45">
        <v>60655.5</v>
      </c>
      <c r="Y542" s="45">
        <v>0</v>
      </c>
      <c r="Z542" s="45">
        <v>0</v>
      </c>
      <c r="AB542" s="45">
        <v>57825.8</v>
      </c>
      <c r="AC542" s="45">
        <v>0</v>
      </c>
      <c r="AD542" s="45">
        <v>0</v>
      </c>
      <c r="AE542" s="45">
        <v>54793.5</v>
      </c>
      <c r="AF542" s="45">
        <v>0</v>
      </c>
      <c r="AG542" s="45">
        <v>1</v>
      </c>
      <c r="AH542" s="45">
        <v>55690.8</v>
      </c>
      <c r="AI542" s="45">
        <v>0</v>
      </c>
      <c r="AJ542" s="45">
        <v>0</v>
      </c>
      <c r="AK542" s="45">
        <v>53796.6</v>
      </c>
      <c r="AL542" s="45">
        <v>0</v>
      </c>
      <c r="AM542" s="45">
        <v>1</v>
      </c>
      <c r="AO542" s="45">
        <v>54790.8</v>
      </c>
      <c r="AP542" s="45">
        <v>0</v>
      </c>
      <c r="AQ542" s="45">
        <v>1</v>
      </c>
      <c r="AR542" s="45">
        <v>56375.9</v>
      </c>
      <c r="AS542" s="45">
        <v>0</v>
      </c>
      <c r="AT542" s="45">
        <v>1</v>
      </c>
      <c r="AU542" s="45">
        <v>58102.1</v>
      </c>
      <c r="AV542" s="45">
        <v>0</v>
      </c>
      <c r="AW542" s="45">
        <v>1</v>
      </c>
      <c r="AX542" s="45">
        <v>54160.800000000003</v>
      </c>
      <c r="AY542" s="45">
        <v>0</v>
      </c>
      <c r="AZ542" s="45">
        <v>1</v>
      </c>
    </row>
    <row r="543" spans="2:52">
      <c r="B543" s="45">
        <v>53273.1</v>
      </c>
      <c r="C543" s="45">
        <v>0</v>
      </c>
      <c r="D543" s="45">
        <v>0</v>
      </c>
      <c r="E543" s="45">
        <v>53182.8</v>
      </c>
      <c r="F543" s="45">
        <v>0</v>
      </c>
      <c r="G543" s="45">
        <v>0</v>
      </c>
      <c r="H543" s="45">
        <v>67760.600000000006</v>
      </c>
      <c r="I543" s="45">
        <v>28</v>
      </c>
      <c r="J543" s="45">
        <v>1</v>
      </c>
      <c r="K543" s="45">
        <v>52965.8</v>
      </c>
      <c r="L543" s="45">
        <v>0</v>
      </c>
      <c r="M543" s="45">
        <v>0</v>
      </c>
      <c r="O543" s="45">
        <v>54191.199999999997</v>
      </c>
      <c r="P543" s="45">
        <v>0</v>
      </c>
      <c r="Q543" s="45">
        <v>1</v>
      </c>
      <c r="R543" s="45">
        <v>53946.2</v>
      </c>
      <c r="S543" s="45">
        <v>0</v>
      </c>
      <c r="T543" s="45">
        <v>0</v>
      </c>
      <c r="U543" s="45">
        <v>73462.100000000006</v>
      </c>
      <c r="V543" s="45">
        <v>29</v>
      </c>
      <c r="W543" s="45">
        <v>1</v>
      </c>
      <c r="X543" s="45">
        <v>51371.5</v>
      </c>
      <c r="Y543" s="45">
        <v>0</v>
      </c>
      <c r="Z543" s="45">
        <v>0</v>
      </c>
      <c r="AB543" s="45">
        <v>61721.8</v>
      </c>
      <c r="AC543" s="45">
        <v>21</v>
      </c>
      <c r="AD543" s="45">
        <v>0</v>
      </c>
      <c r="AE543" s="45">
        <v>52765.4</v>
      </c>
      <c r="AF543" s="45">
        <v>0</v>
      </c>
      <c r="AG543" s="45">
        <v>0</v>
      </c>
      <c r="AH543" s="45">
        <v>52217.3</v>
      </c>
      <c r="AI543" s="45">
        <v>0</v>
      </c>
      <c r="AJ543" s="45">
        <v>1</v>
      </c>
      <c r="AK543" s="45">
        <v>52718.5</v>
      </c>
      <c r="AL543" s="45">
        <v>0</v>
      </c>
      <c r="AM543" s="45">
        <v>0</v>
      </c>
      <c r="AO543" s="45">
        <v>66085.100000000006</v>
      </c>
      <c r="AP543" s="45">
        <v>20</v>
      </c>
      <c r="AQ543" s="45">
        <v>1</v>
      </c>
      <c r="AR543" s="45">
        <v>55897.9</v>
      </c>
      <c r="AS543" s="45">
        <v>0</v>
      </c>
      <c r="AT543" s="45">
        <v>0</v>
      </c>
      <c r="AU543" s="45">
        <v>56540.5</v>
      </c>
      <c r="AV543" s="45">
        <v>8</v>
      </c>
      <c r="AW543" s="45">
        <v>1</v>
      </c>
      <c r="AX543" s="45">
        <v>52627.7</v>
      </c>
      <c r="AY543" s="45">
        <v>0</v>
      </c>
      <c r="AZ543" s="45">
        <v>1</v>
      </c>
    </row>
    <row r="544" spans="2:52">
      <c r="B544" s="45">
        <v>53761.8</v>
      </c>
      <c r="C544" s="45">
        <v>0</v>
      </c>
      <c r="D544" s="45">
        <v>1</v>
      </c>
      <c r="E544" s="45">
        <v>53539.5</v>
      </c>
      <c r="F544" s="45">
        <v>0</v>
      </c>
      <c r="G544" s="45">
        <v>0</v>
      </c>
      <c r="H544" s="45">
        <v>71701.3</v>
      </c>
      <c r="I544" s="45">
        <v>33</v>
      </c>
      <c r="J544" s="45">
        <v>1</v>
      </c>
      <c r="K544" s="45">
        <v>51210.3</v>
      </c>
      <c r="L544" s="45">
        <v>0</v>
      </c>
      <c r="M544" s="45">
        <v>0</v>
      </c>
      <c r="O544" s="45">
        <v>58485.3</v>
      </c>
      <c r="P544" s="45">
        <v>0</v>
      </c>
      <c r="Q544" s="45">
        <v>1</v>
      </c>
      <c r="R544" s="45">
        <v>57366.1</v>
      </c>
      <c r="S544" s="45">
        <v>0</v>
      </c>
      <c r="T544" s="45">
        <v>0</v>
      </c>
      <c r="U544" s="45">
        <v>56233.9</v>
      </c>
      <c r="V544" s="45">
        <v>0</v>
      </c>
      <c r="W544" s="45">
        <v>0</v>
      </c>
      <c r="X544" s="45">
        <v>60611</v>
      </c>
      <c r="Y544" s="45">
        <v>20</v>
      </c>
      <c r="Z544" s="45">
        <v>1</v>
      </c>
      <c r="AB544" s="45">
        <v>57720.800000000003</v>
      </c>
      <c r="AC544" s="45">
        <v>0</v>
      </c>
      <c r="AD544" s="45">
        <v>0</v>
      </c>
      <c r="AE544" s="45">
        <v>50709.9</v>
      </c>
      <c r="AF544" s="45">
        <v>0</v>
      </c>
      <c r="AG544" s="45">
        <v>1</v>
      </c>
      <c r="AH544" s="45">
        <v>56787.199999999997</v>
      </c>
      <c r="AI544" s="45">
        <v>0</v>
      </c>
      <c r="AJ544" s="45">
        <v>0</v>
      </c>
      <c r="AK544" s="45">
        <v>50889</v>
      </c>
      <c r="AL544" s="45">
        <v>0</v>
      </c>
      <c r="AM544" s="45">
        <v>1</v>
      </c>
      <c r="AO544" s="45">
        <v>51279.199999999997</v>
      </c>
      <c r="AP544" s="45">
        <v>0</v>
      </c>
      <c r="AQ544" s="45">
        <v>1</v>
      </c>
      <c r="AR544" s="45">
        <v>49438.9</v>
      </c>
      <c r="AS544" s="45">
        <v>0</v>
      </c>
      <c r="AT544" s="45">
        <v>0</v>
      </c>
      <c r="AU544" s="45">
        <v>47171</v>
      </c>
      <c r="AV544" s="45">
        <v>0</v>
      </c>
      <c r="AW544" s="45">
        <v>1</v>
      </c>
      <c r="AX544" s="45">
        <v>49286.5</v>
      </c>
      <c r="AY544" s="45">
        <v>0</v>
      </c>
      <c r="AZ544" s="45">
        <v>1</v>
      </c>
    </row>
    <row r="545" spans="2:52">
      <c r="B545" s="45">
        <v>44180.6</v>
      </c>
      <c r="C545" s="45">
        <v>0</v>
      </c>
      <c r="D545" s="45">
        <v>0</v>
      </c>
      <c r="E545" s="45">
        <v>47772.800000000003</v>
      </c>
      <c r="F545" s="45">
        <v>0</v>
      </c>
      <c r="G545" s="45">
        <v>1</v>
      </c>
      <c r="H545" s="45">
        <v>40204.1</v>
      </c>
      <c r="I545" s="45">
        <v>0</v>
      </c>
      <c r="J545" s="45">
        <v>0</v>
      </c>
      <c r="K545" s="45">
        <v>44067.4</v>
      </c>
      <c r="L545" s="45">
        <v>9</v>
      </c>
      <c r="M545" s="45">
        <v>0</v>
      </c>
      <c r="O545" s="45">
        <v>52347.4</v>
      </c>
      <c r="P545" s="45">
        <v>12</v>
      </c>
      <c r="Q545" s="45">
        <v>1</v>
      </c>
      <c r="R545" s="45">
        <v>72540.399999999994</v>
      </c>
      <c r="S545" s="45">
        <v>62</v>
      </c>
      <c r="T545" s="45">
        <v>0</v>
      </c>
      <c r="U545" s="45">
        <v>47878.8</v>
      </c>
      <c r="V545" s="45">
        <v>11</v>
      </c>
      <c r="W545" s="45">
        <v>1</v>
      </c>
      <c r="X545" s="45">
        <v>52608</v>
      </c>
      <c r="Y545" s="45">
        <v>24</v>
      </c>
      <c r="Z545" s="45">
        <v>1</v>
      </c>
      <c r="AB545" s="45">
        <v>52059.4</v>
      </c>
      <c r="AC545" s="45">
        <v>21</v>
      </c>
      <c r="AD545" s="45">
        <v>0</v>
      </c>
      <c r="AE545" s="45">
        <v>48191.8</v>
      </c>
      <c r="AF545" s="45">
        <v>14</v>
      </c>
      <c r="AG545" s="45">
        <v>0</v>
      </c>
      <c r="AH545" s="45">
        <v>52262.3</v>
      </c>
      <c r="AI545" s="45">
        <v>26</v>
      </c>
      <c r="AJ545" s="45">
        <v>1</v>
      </c>
      <c r="AK545" s="45">
        <v>45246.1</v>
      </c>
      <c r="AL545" s="45">
        <v>11</v>
      </c>
      <c r="AM545" s="45">
        <v>1</v>
      </c>
      <c r="AO545" s="45">
        <v>43047.4</v>
      </c>
      <c r="AP545" s="45">
        <v>0</v>
      </c>
      <c r="AQ545" s="45">
        <v>0</v>
      </c>
      <c r="AR545" s="45">
        <v>40278.699999999997</v>
      </c>
      <c r="AS545" s="45">
        <v>0</v>
      </c>
      <c r="AT545" s="45">
        <v>1</v>
      </c>
      <c r="AU545" s="45">
        <v>42856.1</v>
      </c>
      <c r="AV545" s="45">
        <v>0</v>
      </c>
      <c r="AW545" s="45">
        <v>1</v>
      </c>
      <c r="AX545" s="45">
        <v>39326.9</v>
      </c>
      <c r="AY545" s="45">
        <v>0</v>
      </c>
      <c r="AZ545" s="45">
        <v>0</v>
      </c>
    </row>
    <row r="546" spans="2:52">
      <c r="B546" s="45">
        <v>54739.5</v>
      </c>
      <c r="C546" s="45">
        <v>0</v>
      </c>
      <c r="D546" s="45">
        <v>1</v>
      </c>
      <c r="E546" s="45">
        <v>52212.2</v>
      </c>
      <c r="F546" s="45">
        <v>0</v>
      </c>
      <c r="G546" s="45">
        <v>0</v>
      </c>
      <c r="H546" s="45">
        <v>53104.800000000003</v>
      </c>
      <c r="I546" s="45">
        <v>0</v>
      </c>
      <c r="J546" s="45">
        <v>0</v>
      </c>
      <c r="K546" s="45">
        <v>49489.5</v>
      </c>
      <c r="L546" s="45">
        <v>0</v>
      </c>
      <c r="M546" s="45">
        <v>1</v>
      </c>
      <c r="O546" s="45">
        <v>55358.5</v>
      </c>
      <c r="P546" s="45">
        <v>0</v>
      </c>
      <c r="Q546" s="45">
        <v>1</v>
      </c>
      <c r="R546" s="45">
        <v>58941.9</v>
      </c>
      <c r="S546" s="45">
        <v>0</v>
      </c>
      <c r="T546" s="45">
        <v>0</v>
      </c>
      <c r="U546" s="45">
        <v>51572.3</v>
      </c>
      <c r="V546" s="45">
        <v>0</v>
      </c>
      <c r="W546" s="45">
        <v>0</v>
      </c>
      <c r="X546" s="45">
        <v>53361.1</v>
      </c>
      <c r="Y546" s="45">
        <v>0</v>
      </c>
      <c r="Z546" s="45">
        <v>1</v>
      </c>
      <c r="AB546" s="45">
        <v>47951.3</v>
      </c>
      <c r="AC546" s="45">
        <v>0</v>
      </c>
      <c r="AD546" s="45">
        <v>0</v>
      </c>
      <c r="AE546" s="45">
        <v>52154.3</v>
      </c>
      <c r="AF546" s="45">
        <v>0</v>
      </c>
      <c r="AG546" s="45">
        <v>0</v>
      </c>
      <c r="AH546" s="45">
        <v>54560.9</v>
      </c>
      <c r="AI546" s="45">
        <v>0</v>
      </c>
      <c r="AJ546" s="45">
        <v>1</v>
      </c>
      <c r="AK546" s="45">
        <v>54842.8</v>
      </c>
      <c r="AL546" s="45">
        <v>0</v>
      </c>
      <c r="AM546" s="45">
        <v>0</v>
      </c>
      <c r="AO546" s="45">
        <v>48794.400000000001</v>
      </c>
      <c r="AP546" s="45">
        <v>0</v>
      </c>
      <c r="AQ546" s="45">
        <v>1</v>
      </c>
      <c r="AR546" s="45">
        <v>52046.9</v>
      </c>
      <c r="AS546" s="45">
        <v>0</v>
      </c>
      <c r="AT546" s="45">
        <v>1</v>
      </c>
      <c r="AU546" s="45">
        <v>70921.600000000006</v>
      </c>
      <c r="AV546" s="45">
        <v>36</v>
      </c>
      <c r="AW546" s="45">
        <v>0</v>
      </c>
      <c r="AX546" s="45">
        <v>51697</v>
      </c>
      <c r="AY546" s="45">
        <v>0</v>
      </c>
      <c r="AZ546" s="45">
        <v>1</v>
      </c>
    </row>
    <row r="547" spans="2:52">
      <c r="B547" s="45">
        <v>59762.7</v>
      </c>
      <c r="C547" s="45">
        <v>5</v>
      </c>
      <c r="D547" s="45">
        <v>0</v>
      </c>
      <c r="E547" s="45">
        <v>60538.2</v>
      </c>
      <c r="F547" s="45">
        <v>0</v>
      </c>
      <c r="G547" s="45">
        <v>0</v>
      </c>
      <c r="H547" s="45">
        <v>64614.5</v>
      </c>
      <c r="I547" s="45">
        <v>0</v>
      </c>
      <c r="J547" s="45">
        <v>1</v>
      </c>
      <c r="K547" s="45">
        <v>54742.5</v>
      </c>
      <c r="L547" s="45">
        <v>0</v>
      </c>
      <c r="M547" s="45">
        <v>0</v>
      </c>
      <c r="O547" s="45">
        <v>65531</v>
      </c>
      <c r="P547" s="45">
        <v>0</v>
      </c>
      <c r="Q547" s="45">
        <v>0</v>
      </c>
      <c r="R547" s="45">
        <v>57085.3</v>
      </c>
      <c r="S547" s="45">
        <v>0</v>
      </c>
      <c r="T547" s="45">
        <v>1</v>
      </c>
      <c r="U547" s="45">
        <v>61029.5</v>
      </c>
      <c r="V547" s="45">
        <v>0</v>
      </c>
      <c r="W547" s="45">
        <v>0</v>
      </c>
      <c r="X547" s="45">
        <v>84222.5</v>
      </c>
      <c r="Y547" s="45">
        <v>55</v>
      </c>
      <c r="Z547" s="45">
        <v>1</v>
      </c>
      <c r="AB547" s="45">
        <v>81437.5</v>
      </c>
      <c r="AC547" s="45">
        <v>45</v>
      </c>
      <c r="AD547" s="45">
        <v>1</v>
      </c>
      <c r="AE547" s="45">
        <v>57898.1</v>
      </c>
      <c r="AF547" s="45">
        <v>0</v>
      </c>
      <c r="AG547" s="45">
        <v>0</v>
      </c>
      <c r="AH547" s="45">
        <v>57095.7</v>
      </c>
      <c r="AI547" s="45">
        <v>0</v>
      </c>
      <c r="AJ547" s="45">
        <v>0</v>
      </c>
      <c r="AK547" s="45">
        <v>56387.6</v>
      </c>
      <c r="AL547" s="45">
        <v>0</v>
      </c>
      <c r="AM547" s="45">
        <v>1</v>
      </c>
      <c r="AO547" s="45">
        <v>64320</v>
      </c>
      <c r="AP547" s="45">
        <v>3</v>
      </c>
      <c r="AQ547" s="45">
        <v>1</v>
      </c>
      <c r="AR547" s="45">
        <v>58978.8</v>
      </c>
      <c r="AS547" s="45">
        <v>0</v>
      </c>
      <c r="AT547" s="45">
        <v>1</v>
      </c>
      <c r="AU547" s="45">
        <v>54485</v>
      </c>
      <c r="AV547" s="45">
        <v>0</v>
      </c>
      <c r="AW547" s="45">
        <v>0</v>
      </c>
      <c r="AX547" s="45">
        <v>56467.1</v>
      </c>
      <c r="AY547" s="45">
        <v>0</v>
      </c>
      <c r="AZ547" s="45">
        <v>1</v>
      </c>
    </row>
    <row r="548" spans="2:52">
      <c r="B548" s="45">
        <v>59017.7</v>
      </c>
      <c r="C548" s="45">
        <v>5</v>
      </c>
      <c r="D548" s="45">
        <v>1</v>
      </c>
      <c r="E548" s="45">
        <v>54124.3</v>
      </c>
      <c r="F548" s="45">
        <v>0</v>
      </c>
      <c r="G548" s="45">
        <v>0</v>
      </c>
      <c r="H548" s="45">
        <v>51451.7</v>
      </c>
      <c r="I548" s="45">
        <v>0</v>
      </c>
      <c r="J548" s="45">
        <v>0</v>
      </c>
      <c r="K548" s="45">
        <v>63283.199999999997</v>
      </c>
      <c r="L548" s="45">
        <v>16</v>
      </c>
      <c r="M548" s="45">
        <v>1</v>
      </c>
      <c r="O548" s="45">
        <v>60677.7</v>
      </c>
      <c r="P548" s="45">
        <v>0</v>
      </c>
      <c r="Q548" s="45">
        <v>1</v>
      </c>
      <c r="R548" s="45">
        <v>56134.6</v>
      </c>
      <c r="S548" s="45">
        <v>0</v>
      </c>
      <c r="T548" s="45">
        <v>0</v>
      </c>
      <c r="U548" s="45">
        <v>58896.6</v>
      </c>
      <c r="V548" s="45">
        <v>0</v>
      </c>
      <c r="W548" s="45">
        <v>1</v>
      </c>
      <c r="X548" s="45">
        <v>56773.3</v>
      </c>
      <c r="Y548" s="45">
        <v>0</v>
      </c>
      <c r="Z548" s="45">
        <v>0</v>
      </c>
      <c r="AB548" s="45">
        <v>69376.2</v>
      </c>
      <c r="AC548" s="45">
        <v>24</v>
      </c>
      <c r="AD548" s="45">
        <v>0</v>
      </c>
      <c r="AE548" s="45">
        <v>70938.3</v>
      </c>
      <c r="AF548" s="45">
        <v>8</v>
      </c>
      <c r="AG548" s="45">
        <v>1</v>
      </c>
      <c r="AH548" s="45">
        <v>55630.2</v>
      </c>
      <c r="AI548" s="45">
        <v>0</v>
      </c>
      <c r="AJ548" s="45">
        <v>0</v>
      </c>
      <c r="AK548" s="45">
        <v>52186.5</v>
      </c>
      <c r="AL548" s="45">
        <v>0</v>
      </c>
      <c r="AM548" s="45">
        <v>1</v>
      </c>
      <c r="AO548" s="45">
        <v>52853.2</v>
      </c>
      <c r="AP548" s="45">
        <v>0</v>
      </c>
      <c r="AQ548" s="45">
        <v>1</v>
      </c>
      <c r="AR548" s="45">
        <v>72890.899999999994</v>
      </c>
      <c r="AS548" s="45">
        <v>31</v>
      </c>
      <c r="AT548" s="45">
        <v>1</v>
      </c>
      <c r="AU548" s="45">
        <v>62987.8</v>
      </c>
      <c r="AV548" s="45">
        <v>20</v>
      </c>
      <c r="AW548" s="45">
        <v>1</v>
      </c>
      <c r="AX548" s="45">
        <v>56491.4</v>
      </c>
      <c r="AY548" s="45">
        <v>0</v>
      </c>
      <c r="AZ548" s="45">
        <v>0</v>
      </c>
    </row>
    <row r="549" spans="2:52">
      <c r="B549" s="45">
        <v>68042.399999999994</v>
      </c>
      <c r="C549" s="45">
        <v>0</v>
      </c>
      <c r="D549" s="45">
        <v>0</v>
      </c>
      <c r="E549" s="45">
        <v>68866.2</v>
      </c>
      <c r="F549" s="45">
        <v>15</v>
      </c>
      <c r="G549" s="45">
        <v>0</v>
      </c>
      <c r="H549" s="45">
        <v>65335.5</v>
      </c>
      <c r="I549" s="45">
        <v>0</v>
      </c>
      <c r="J549" s="45">
        <v>1</v>
      </c>
      <c r="K549" s="45">
        <v>59259.9</v>
      </c>
      <c r="L549" s="45">
        <v>0</v>
      </c>
      <c r="M549" s="45">
        <v>0</v>
      </c>
      <c r="O549" s="45">
        <v>111004</v>
      </c>
      <c r="P549" s="45">
        <v>79</v>
      </c>
      <c r="Q549" s="45">
        <v>1</v>
      </c>
      <c r="R549" s="45">
        <v>64701.2</v>
      </c>
      <c r="S549" s="45">
        <v>13</v>
      </c>
      <c r="T549" s="45">
        <v>1</v>
      </c>
      <c r="U549" s="45">
        <v>66358.8</v>
      </c>
      <c r="V549" s="45">
        <v>0</v>
      </c>
      <c r="W549" s="45">
        <v>1</v>
      </c>
      <c r="X549" s="45">
        <v>59655</v>
      </c>
      <c r="Y549" s="45">
        <v>0</v>
      </c>
      <c r="Z549" s="45">
        <v>0</v>
      </c>
      <c r="AB549" s="45">
        <v>68191</v>
      </c>
      <c r="AC549" s="45">
        <v>0</v>
      </c>
      <c r="AD549" s="45">
        <v>0</v>
      </c>
      <c r="AE549" s="45">
        <v>70319.399999999994</v>
      </c>
      <c r="AF549" s="45">
        <v>0</v>
      </c>
      <c r="AG549" s="45">
        <v>0</v>
      </c>
      <c r="AH549" s="45">
        <v>59542.5</v>
      </c>
      <c r="AI549" s="45">
        <v>0</v>
      </c>
      <c r="AJ549" s="45">
        <v>1</v>
      </c>
      <c r="AK549" s="45">
        <v>63413.3</v>
      </c>
      <c r="AL549" s="45">
        <v>5</v>
      </c>
      <c r="AM549" s="45">
        <v>0</v>
      </c>
      <c r="AO549" s="45">
        <v>58781</v>
      </c>
      <c r="AP549" s="45">
        <v>0</v>
      </c>
      <c r="AQ549" s="45">
        <v>1</v>
      </c>
      <c r="AR549" s="45">
        <v>68641.2</v>
      </c>
      <c r="AS549" s="45">
        <v>14</v>
      </c>
      <c r="AT549" s="45">
        <v>1</v>
      </c>
      <c r="AU549" s="45">
        <v>63396.2</v>
      </c>
      <c r="AV549" s="45">
        <v>0</v>
      </c>
      <c r="AW549" s="45">
        <v>1</v>
      </c>
      <c r="AX549" s="45">
        <v>58798.2</v>
      </c>
      <c r="AY549" s="45">
        <v>0</v>
      </c>
      <c r="AZ549" s="45">
        <v>1</v>
      </c>
    </row>
    <row r="550" spans="2:52">
      <c r="B550" s="45">
        <v>66812.600000000006</v>
      </c>
      <c r="C550" s="45">
        <v>41</v>
      </c>
      <c r="D550" s="45">
        <v>1</v>
      </c>
      <c r="E550" s="45">
        <v>53399.3</v>
      </c>
      <c r="F550" s="45">
        <v>10</v>
      </c>
      <c r="G550" s="45">
        <v>0</v>
      </c>
      <c r="H550" s="45">
        <v>69340.899999999994</v>
      </c>
      <c r="I550" s="45">
        <v>41</v>
      </c>
      <c r="J550" s="45">
        <v>0</v>
      </c>
      <c r="K550" s="45">
        <v>47789.5</v>
      </c>
      <c r="L550" s="45">
        <v>0</v>
      </c>
      <c r="M550" s="45">
        <v>1</v>
      </c>
      <c r="O550" s="45">
        <v>68398.100000000006</v>
      </c>
      <c r="P550" s="45">
        <v>36</v>
      </c>
      <c r="Q550" s="45">
        <v>1</v>
      </c>
      <c r="R550" s="45">
        <v>52070.1</v>
      </c>
      <c r="S550" s="45">
        <v>13</v>
      </c>
      <c r="T550" s="45">
        <v>0</v>
      </c>
      <c r="U550" s="45">
        <v>51547.4</v>
      </c>
      <c r="V550" s="45">
        <v>4</v>
      </c>
      <c r="W550" s="45">
        <v>1</v>
      </c>
      <c r="X550" s="45">
        <v>50807.9</v>
      </c>
      <c r="Y550" s="45">
        <v>0</v>
      </c>
      <c r="Z550" s="45">
        <v>0</v>
      </c>
      <c r="AB550" s="45">
        <v>55153.5</v>
      </c>
      <c r="AC550" s="45">
        <v>13</v>
      </c>
      <c r="AD550" s="45">
        <v>1</v>
      </c>
      <c r="AE550" s="45">
        <v>53045.3</v>
      </c>
      <c r="AF550" s="45">
        <v>13</v>
      </c>
      <c r="AG550" s="45">
        <v>0</v>
      </c>
      <c r="AH550" s="45">
        <v>55941.7</v>
      </c>
      <c r="AI550" s="45">
        <v>24</v>
      </c>
      <c r="AJ550" s="45">
        <v>1</v>
      </c>
      <c r="AK550" s="45">
        <v>48289</v>
      </c>
      <c r="AL550" s="45">
        <v>0</v>
      </c>
      <c r="AM550" s="45">
        <v>0</v>
      </c>
      <c r="AO550" s="45">
        <v>53364.7</v>
      </c>
      <c r="AP550" s="45">
        <v>11</v>
      </c>
      <c r="AQ550" s="45">
        <v>0</v>
      </c>
      <c r="AR550" s="45">
        <v>53305.2</v>
      </c>
      <c r="AS550" s="45">
        <v>17</v>
      </c>
      <c r="AT550" s="45">
        <v>2</v>
      </c>
      <c r="AU550" s="45">
        <v>50066.400000000001</v>
      </c>
      <c r="AV550" s="45">
        <v>4</v>
      </c>
      <c r="AW550" s="45">
        <v>1</v>
      </c>
      <c r="AX550" s="45">
        <v>91006.1</v>
      </c>
      <c r="AY550" s="45">
        <v>97</v>
      </c>
      <c r="AZ550" s="45">
        <v>1</v>
      </c>
    </row>
    <row r="551" spans="2:52">
      <c r="B551" s="45">
        <v>54298.8</v>
      </c>
      <c r="C551" s="45">
        <v>9</v>
      </c>
      <c r="D551" s="45">
        <v>0</v>
      </c>
      <c r="E551" s="45">
        <v>92017.9</v>
      </c>
      <c r="F551" s="45">
        <v>69</v>
      </c>
      <c r="G551" s="45">
        <v>1</v>
      </c>
      <c r="H551" s="45">
        <v>67822.8</v>
      </c>
      <c r="I551" s="45">
        <v>29</v>
      </c>
      <c r="J551" s="45">
        <v>0</v>
      </c>
      <c r="K551" s="45">
        <v>49013.3</v>
      </c>
      <c r="L551" s="45">
        <v>0</v>
      </c>
      <c r="M551" s="45">
        <v>0</v>
      </c>
      <c r="O551" s="45">
        <v>50238.3</v>
      </c>
      <c r="P551" s="45">
        <v>0</v>
      </c>
      <c r="Q551" s="45">
        <v>1</v>
      </c>
      <c r="R551" s="45">
        <v>52715.3</v>
      </c>
      <c r="S551" s="45">
        <v>1</v>
      </c>
      <c r="T551" s="45">
        <v>0</v>
      </c>
      <c r="U551" s="45">
        <v>54822.3</v>
      </c>
      <c r="V551" s="45">
        <v>0</v>
      </c>
      <c r="W551" s="45">
        <v>1</v>
      </c>
      <c r="X551" s="45">
        <v>72171.3</v>
      </c>
      <c r="Y551" s="45">
        <v>41</v>
      </c>
      <c r="Z551" s="45">
        <v>1</v>
      </c>
      <c r="AB551" s="45">
        <v>51391.5</v>
      </c>
      <c r="AC551" s="45">
        <v>0</v>
      </c>
      <c r="AD551" s="45">
        <v>1</v>
      </c>
      <c r="AE551" s="45">
        <v>49469.8</v>
      </c>
      <c r="AF551" s="45">
        <v>0</v>
      </c>
      <c r="AG551" s="45">
        <v>0</v>
      </c>
      <c r="AH551" s="45">
        <v>56409.1</v>
      </c>
      <c r="AI551" s="45">
        <v>14</v>
      </c>
      <c r="AJ551" s="45">
        <v>1</v>
      </c>
      <c r="AK551" s="45">
        <v>76029.899999999994</v>
      </c>
      <c r="AL551" s="45">
        <v>53</v>
      </c>
      <c r="AM551" s="45">
        <v>1</v>
      </c>
      <c r="AO551" s="45">
        <v>51155.9</v>
      </c>
      <c r="AP551" s="45">
        <v>0</v>
      </c>
      <c r="AQ551" s="45">
        <v>1</v>
      </c>
      <c r="AR551" s="45">
        <v>73547.399999999994</v>
      </c>
      <c r="AS551" s="45">
        <v>39</v>
      </c>
      <c r="AT551" s="45">
        <v>1</v>
      </c>
      <c r="AU551" s="45">
        <v>58742.2</v>
      </c>
      <c r="AV551" s="45">
        <v>14</v>
      </c>
      <c r="AW551" s="45">
        <v>1</v>
      </c>
      <c r="AX551" s="45">
        <v>49443.7</v>
      </c>
      <c r="AY551" s="45">
        <v>0</v>
      </c>
      <c r="AZ551" s="45">
        <v>1</v>
      </c>
    </row>
    <row r="552" spans="2:52">
      <c r="B552" s="45">
        <v>53987</v>
      </c>
      <c r="C552" s="45">
        <v>0</v>
      </c>
      <c r="D552" s="45">
        <v>1</v>
      </c>
      <c r="E552" s="45">
        <v>50837.599999999999</v>
      </c>
      <c r="F552" s="45">
        <v>0</v>
      </c>
      <c r="G552" s="45">
        <v>0</v>
      </c>
      <c r="H552" s="45">
        <v>60103.5</v>
      </c>
      <c r="I552" s="45">
        <v>21</v>
      </c>
      <c r="J552" s="45">
        <v>1</v>
      </c>
      <c r="K552" s="45">
        <v>51421.2</v>
      </c>
      <c r="L552" s="45">
        <v>6</v>
      </c>
      <c r="M552" s="45">
        <v>0</v>
      </c>
      <c r="O552" s="45">
        <v>55234.400000000001</v>
      </c>
      <c r="P552" s="45">
        <v>0</v>
      </c>
      <c r="Q552" s="45">
        <v>0</v>
      </c>
      <c r="R552" s="45">
        <v>53265.7</v>
      </c>
      <c r="S552" s="45">
        <v>0</v>
      </c>
      <c r="T552" s="45">
        <v>0</v>
      </c>
      <c r="U552" s="45">
        <v>51792.4</v>
      </c>
      <c r="V552" s="45">
        <v>0</v>
      </c>
      <c r="W552" s="45">
        <v>1</v>
      </c>
      <c r="X552" s="45">
        <v>56815.9</v>
      </c>
      <c r="Y552" s="45">
        <v>0</v>
      </c>
      <c r="Z552" s="45">
        <v>0</v>
      </c>
      <c r="AB552" s="45">
        <v>53275.4</v>
      </c>
      <c r="AC552" s="45">
        <v>0</v>
      </c>
      <c r="AD552" s="45">
        <v>0</v>
      </c>
      <c r="AE552" s="45">
        <v>49995.1</v>
      </c>
      <c r="AF552" s="45">
        <v>0</v>
      </c>
      <c r="AG552" s="45">
        <v>1</v>
      </c>
      <c r="AH552" s="45">
        <v>68052.2</v>
      </c>
      <c r="AI552" s="45">
        <v>30</v>
      </c>
      <c r="AJ552" s="45">
        <v>0</v>
      </c>
      <c r="AK552" s="45">
        <v>50047.9</v>
      </c>
      <c r="AL552" s="45">
        <v>2</v>
      </c>
      <c r="AM552" s="45">
        <v>1</v>
      </c>
      <c r="AO552" s="45">
        <v>57456.3</v>
      </c>
      <c r="AP552" s="45">
        <v>6</v>
      </c>
      <c r="AQ552" s="45">
        <v>0</v>
      </c>
      <c r="AR552" s="45">
        <v>51275.4</v>
      </c>
      <c r="AS552" s="45">
        <v>0</v>
      </c>
      <c r="AT552" s="45">
        <v>1</v>
      </c>
      <c r="AU552" s="45">
        <v>49430</v>
      </c>
      <c r="AV552" s="45">
        <v>2</v>
      </c>
      <c r="AW552" s="45">
        <v>1</v>
      </c>
      <c r="AX552" s="45">
        <v>48509.5</v>
      </c>
      <c r="AY552" s="45">
        <v>0</v>
      </c>
      <c r="AZ552" s="45">
        <v>1</v>
      </c>
    </row>
    <row r="553" spans="2:52">
      <c r="B553" s="45">
        <v>57191.199999999997</v>
      </c>
      <c r="C553" s="45">
        <v>0</v>
      </c>
      <c r="D553" s="45">
        <v>0</v>
      </c>
      <c r="E553" s="45">
        <v>52696.7</v>
      </c>
      <c r="F553" s="45">
        <v>0</v>
      </c>
      <c r="G553" s="45">
        <v>1</v>
      </c>
      <c r="H553" s="45">
        <v>54126.3</v>
      </c>
      <c r="I553" s="45">
        <v>0</v>
      </c>
      <c r="J553" s="45">
        <v>0</v>
      </c>
      <c r="K553" s="45">
        <v>54909.7</v>
      </c>
      <c r="L553" s="45">
        <v>0</v>
      </c>
      <c r="M553" s="45">
        <v>0</v>
      </c>
      <c r="O553" s="45">
        <v>60585</v>
      </c>
      <c r="P553" s="45">
        <v>0</v>
      </c>
      <c r="Q553" s="45">
        <v>1</v>
      </c>
      <c r="R553" s="45">
        <v>53389.7</v>
      </c>
      <c r="S553" s="45">
        <v>0</v>
      </c>
      <c r="T553" s="45">
        <v>0</v>
      </c>
      <c r="U553" s="45">
        <v>61461</v>
      </c>
      <c r="V553" s="45">
        <v>0</v>
      </c>
      <c r="W553" s="45">
        <v>0</v>
      </c>
      <c r="X553" s="45">
        <v>51381.599999999999</v>
      </c>
      <c r="Y553" s="45">
        <v>0</v>
      </c>
      <c r="Z553" s="45">
        <v>1</v>
      </c>
      <c r="AB553" s="45">
        <v>51942.2</v>
      </c>
      <c r="AC553" s="45">
        <v>0</v>
      </c>
      <c r="AD553" s="45">
        <v>0</v>
      </c>
      <c r="AE553" s="45">
        <v>56596</v>
      </c>
      <c r="AF553" s="45">
        <v>0</v>
      </c>
      <c r="AG553" s="45">
        <v>0</v>
      </c>
      <c r="AH553" s="45">
        <v>60658.2</v>
      </c>
      <c r="AI553" s="45">
        <v>18</v>
      </c>
      <c r="AJ553" s="45">
        <v>1</v>
      </c>
      <c r="AK553" s="45">
        <v>50636.2</v>
      </c>
      <c r="AL553" s="45">
        <v>0</v>
      </c>
      <c r="AM553" s="45">
        <v>0</v>
      </c>
      <c r="AO553" s="45">
        <v>51951.7</v>
      </c>
      <c r="AP553" s="45">
        <v>0</v>
      </c>
      <c r="AQ553" s="45">
        <v>0</v>
      </c>
      <c r="AR553" s="45">
        <v>60090.2</v>
      </c>
      <c r="AS553" s="45">
        <v>11</v>
      </c>
      <c r="AT553" s="45">
        <v>2</v>
      </c>
      <c r="AU553" s="45">
        <v>60757.5</v>
      </c>
      <c r="AV553" s="45">
        <v>19</v>
      </c>
      <c r="AW553" s="45">
        <v>1</v>
      </c>
      <c r="AX553" s="45">
        <v>50964.9</v>
      </c>
      <c r="AY553" s="45">
        <v>0</v>
      </c>
      <c r="AZ553" s="45">
        <v>0</v>
      </c>
    </row>
    <row r="554" spans="2:52">
      <c r="B554" s="45">
        <v>51030.7</v>
      </c>
      <c r="C554" s="45">
        <v>0</v>
      </c>
      <c r="D554" s="45">
        <v>1</v>
      </c>
      <c r="E554" s="45">
        <v>52434.400000000001</v>
      </c>
      <c r="F554" s="45">
        <v>0</v>
      </c>
      <c r="G554" s="45">
        <v>0</v>
      </c>
      <c r="H554" s="45">
        <v>58499.5</v>
      </c>
      <c r="I554" s="45">
        <v>13</v>
      </c>
      <c r="J554" s="45">
        <v>0</v>
      </c>
      <c r="K554" s="45">
        <v>51303.199999999997</v>
      </c>
      <c r="L554" s="45">
        <v>0</v>
      </c>
      <c r="M554" s="45">
        <v>1</v>
      </c>
      <c r="O554" s="45">
        <v>56996.2</v>
      </c>
      <c r="P554" s="45">
        <v>0</v>
      </c>
      <c r="Q554" s="45">
        <v>0</v>
      </c>
      <c r="R554" s="45">
        <v>51343.8</v>
      </c>
      <c r="S554" s="45">
        <v>0</v>
      </c>
      <c r="T554" s="45">
        <v>1</v>
      </c>
      <c r="U554" s="45">
        <v>54979.4</v>
      </c>
      <c r="V554" s="45">
        <v>0</v>
      </c>
      <c r="W554" s="45">
        <v>0</v>
      </c>
      <c r="X554" s="45">
        <v>49811.9</v>
      </c>
      <c r="Y554" s="45">
        <v>0</v>
      </c>
      <c r="Z554" s="45">
        <v>1</v>
      </c>
      <c r="AB554" s="45">
        <v>55654.400000000001</v>
      </c>
      <c r="AC554" s="45">
        <v>0</v>
      </c>
      <c r="AD554" s="45">
        <v>1</v>
      </c>
      <c r="AE554" s="45">
        <v>52493</v>
      </c>
      <c r="AF554" s="45">
        <v>0</v>
      </c>
      <c r="AG554" s="45">
        <v>0</v>
      </c>
      <c r="AH554" s="45">
        <v>46695.5</v>
      </c>
      <c r="AI554" s="45">
        <v>0</v>
      </c>
      <c r="AJ554" s="45">
        <v>0</v>
      </c>
      <c r="AK554" s="45">
        <v>48635.199999999997</v>
      </c>
      <c r="AL554" s="45">
        <v>0</v>
      </c>
      <c r="AM554" s="45">
        <v>1</v>
      </c>
      <c r="AO554" s="45">
        <v>50421.3</v>
      </c>
      <c r="AP554" s="45">
        <v>0</v>
      </c>
      <c r="AQ554" s="45">
        <v>1</v>
      </c>
      <c r="AR554" s="45">
        <v>46256.800000000003</v>
      </c>
      <c r="AS554" s="45">
        <v>0</v>
      </c>
      <c r="AT554" s="45">
        <v>1</v>
      </c>
      <c r="AU554" s="45">
        <v>46383.7</v>
      </c>
      <c r="AV554" s="45">
        <v>0</v>
      </c>
      <c r="AW554" s="45">
        <v>1</v>
      </c>
      <c r="AX554" s="45">
        <v>49150.1</v>
      </c>
      <c r="AY554" s="45">
        <v>0</v>
      </c>
      <c r="AZ554" s="45">
        <v>1</v>
      </c>
    </row>
    <row r="555" spans="2:52">
      <c r="B555" s="45">
        <v>61994.9</v>
      </c>
      <c r="C555" s="45">
        <v>0</v>
      </c>
      <c r="D555" s="45">
        <v>0</v>
      </c>
      <c r="E555" s="45">
        <v>56167.3</v>
      </c>
      <c r="F555" s="45">
        <v>0</v>
      </c>
      <c r="G555" s="45">
        <v>0</v>
      </c>
      <c r="H555" s="45">
        <v>64734.1</v>
      </c>
      <c r="I555" s="45">
        <v>23</v>
      </c>
      <c r="J555" s="45">
        <v>1</v>
      </c>
      <c r="K555" s="45">
        <v>53704.3</v>
      </c>
      <c r="L555" s="45">
        <v>0</v>
      </c>
      <c r="M555" s="45">
        <v>0</v>
      </c>
      <c r="O555" s="45">
        <v>63015.3</v>
      </c>
      <c r="P555" s="45">
        <v>0</v>
      </c>
      <c r="Q555" s="45">
        <v>0</v>
      </c>
      <c r="R555" s="45">
        <v>58151.7</v>
      </c>
      <c r="S555" s="45">
        <v>0</v>
      </c>
      <c r="T555" s="45">
        <v>1</v>
      </c>
      <c r="U555" s="45">
        <v>89133.7</v>
      </c>
      <c r="V555" s="45">
        <v>60</v>
      </c>
      <c r="W555" s="45">
        <v>0</v>
      </c>
      <c r="X555" s="45">
        <v>68611</v>
      </c>
      <c r="Y555" s="45">
        <v>23</v>
      </c>
      <c r="Z555" s="45">
        <v>1</v>
      </c>
      <c r="AB555" s="45">
        <v>56584.7</v>
      </c>
      <c r="AC555" s="45">
        <v>0</v>
      </c>
      <c r="AD555" s="45">
        <v>0</v>
      </c>
      <c r="AE555" s="45">
        <v>52662.3</v>
      </c>
      <c r="AF555" s="45">
        <v>0</v>
      </c>
      <c r="AG555" s="45">
        <v>1</v>
      </c>
      <c r="AH555" s="45">
        <v>58987.7</v>
      </c>
      <c r="AI555" s="45">
        <v>0</v>
      </c>
      <c r="AJ555" s="45">
        <v>0</v>
      </c>
      <c r="AK555" s="45">
        <v>58728.6</v>
      </c>
      <c r="AL555" s="45">
        <v>9</v>
      </c>
      <c r="AM555" s="45">
        <v>1</v>
      </c>
      <c r="AO555" s="45">
        <v>60372.3</v>
      </c>
      <c r="AP555" s="45">
        <v>11</v>
      </c>
      <c r="AQ555" s="45">
        <v>1</v>
      </c>
      <c r="AR555" s="45">
        <v>64150.6</v>
      </c>
      <c r="AS555" s="45">
        <v>24</v>
      </c>
      <c r="AT555" s="45">
        <v>1</v>
      </c>
      <c r="AU555" s="45">
        <v>58239.7</v>
      </c>
      <c r="AV555" s="45">
        <v>0</v>
      </c>
      <c r="AW555" s="45">
        <v>0</v>
      </c>
      <c r="AX555" s="45">
        <v>55101.1</v>
      </c>
      <c r="AY555" s="45">
        <v>0</v>
      </c>
      <c r="AZ555" s="45">
        <v>1</v>
      </c>
    </row>
    <row r="556" spans="2:52">
      <c r="B556" s="45">
        <v>58969.3</v>
      </c>
      <c r="C556" s="45">
        <v>0</v>
      </c>
      <c r="D556" s="45">
        <v>0</v>
      </c>
      <c r="E556" s="45">
        <v>63531.5</v>
      </c>
      <c r="F556" s="45">
        <v>0</v>
      </c>
      <c r="G556" s="45">
        <v>1</v>
      </c>
      <c r="H556" s="45">
        <v>65126.5</v>
      </c>
      <c r="I556" s="45">
        <v>0</v>
      </c>
      <c r="J556" s="45">
        <v>0</v>
      </c>
      <c r="K556" s="45">
        <v>64706.3</v>
      </c>
      <c r="L556" s="45">
        <v>0</v>
      </c>
      <c r="M556" s="45">
        <v>0</v>
      </c>
      <c r="O556" s="45">
        <v>69087.899999999994</v>
      </c>
      <c r="P556" s="45">
        <v>0</v>
      </c>
      <c r="Q556" s="45">
        <v>0</v>
      </c>
      <c r="R556" s="45">
        <v>66594.8</v>
      </c>
      <c r="S556" s="45">
        <v>0</v>
      </c>
      <c r="T556" s="45">
        <v>0</v>
      </c>
      <c r="U556" s="45">
        <v>62526</v>
      </c>
      <c r="V556" s="45">
        <v>0</v>
      </c>
      <c r="W556" s="45">
        <v>1</v>
      </c>
      <c r="X556" s="45">
        <v>60746.7</v>
      </c>
      <c r="Y556" s="45">
        <v>0</v>
      </c>
      <c r="Z556" s="45">
        <v>0</v>
      </c>
      <c r="AB556" s="45">
        <v>66824</v>
      </c>
      <c r="AC556" s="45">
        <v>0</v>
      </c>
      <c r="AD556" s="45">
        <v>0</v>
      </c>
      <c r="AE556" s="45">
        <v>61148.800000000003</v>
      </c>
      <c r="AF556" s="45">
        <v>0</v>
      </c>
      <c r="AG556" s="45">
        <v>0</v>
      </c>
      <c r="AH556" s="45">
        <v>63258.9</v>
      </c>
      <c r="AI556" s="45">
        <v>0</v>
      </c>
      <c r="AJ556" s="45">
        <v>1</v>
      </c>
      <c r="AK556" s="45">
        <v>61026.3</v>
      </c>
      <c r="AL556" s="45">
        <v>0</v>
      </c>
      <c r="AM556" s="45">
        <v>0</v>
      </c>
      <c r="AO556" s="45">
        <v>62614.6</v>
      </c>
      <c r="AP556" s="45">
        <v>0</v>
      </c>
      <c r="AQ556" s="45">
        <v>1</v>
      </c>
      <c r="AR556" s="45">
        <v>69136.7</v>
      </c>
      <c r="AS556" s="45">
        <v>0</v>
      </c>
      <c r="AT556" s="45">
        <v>1</v>
      </c>
      <c r="AU556" s="45">
        <v>63001.2</v>
      </c>
      <c r="AV556" s="45">
        <v>0</v>
      </c>
      <c r="AW556" s="45">
        <v>0</v>
      </c>
      <c r="AX556" s="45">
        <v>64791.9</v>
      </c>
      <c r="AY556" s="45">
        <v>0</v>
      </c>
      <c r="AZ556" s="45">
        <v>1</v>
      </c>
    </row>
    <row r="557" spans="2:52">
      <c r="B557" s="45">
        <v>68754.8</v>
      </c>
      <c r="C557" s="45">
        <v>0</v>
      </c>
      <c r="D557" s="45">
        <v>1</v>
      </c>
      <c r="E557" s="45">
        <v>79048.800000000003</v>
      </c>
      <c r="F557" s="45">
        <v>14</v>
      </c>
      <c r="G557" s="45">
        <v>0</v>
      </c>
      <c r="H557" s="45">
        <v>67074.7</v>
      </c>
      <c r="I557" s="45">
        <v>0</v>
      </c>
      <c r="J557" s="45">
        <v>0</v>
      </c>
      <c r="K557" s="45">
        <v>66906.7</v>
      </c>
      <c r="L557" s="45">
        <v>0</v>
      </c>
      <c r="M557" s="45">
        <v>1</v>
      </c>
      <c r="O557" s="45">
        <v>74688.5</v>
      </c>
      <c r="P557" s="45">
        <v>0</v>
      </c>
      <c r="Q557" s="45">
        <v>1</v>
      </c>
      <c r="R557" s="45">
        <v>67689.8</v>
      </c>
      <c r="S557" s="45">
        <v>0</v>
      </c>
      <c r="T557" s="45">
        <v>0</v>
      </c>
      <c r="U557" s="45">
        <v>88067.6</v>
      </c>
      <c r="V557" s="45">
        <v>38</v>
      </c>
      <c r="W557" s="45">
        <v>1</v>
      </c>
      <c r="X557" s="45">
        <v>67737.100000000006</v>
      </c>
      <c r="Y557" s="45">
        <v>0</v>
      </c>
      <c r="Z557" s="45">
        <v>0</v>
      </c>
      <c r="AB557" s="45">
        <v>89842.9</v>
      </c>
      <c r="AC557" s="45">
        <v>45</v>
      </c>
      <c r="AD557" s="45">
        <v>1</v>
      </c>
      <c r="AE557" s="45">
        <v>70293.8</v>
      </c>
      <c r="AF557" s="45">
        <v>0</v>
      </c>
      <c r="AG557" s="45">
        <v>0</v>
      </c>
      <c r="AH557" s="45">
        <v>68052.5</v>
      </c>
      <c r="AI557" s="45">
        <v>0</v>
      </c>
      <c r="AJ557" s="45">
        <v>0</v>
      </c>
      <c r="AK557" s="45">
        <v>67725.600000000006</v>
      </c>
      <c r="AL557" s="45">
        <v>0</v>
      </c>
      <c r="AM557" s="45">
        <v>1</v>
      </c>
      <c r="AO557" s="45">
        <v>71704.100000000006</v>
      </c>
      <c r="AP557" s="45">
        <v>0</v>
      </c>
      <c r="AQ557" s="45">
        <v>1</v>
      </c>
      <c r="AR557" s="45">
        <v>73676.899999999994</v>
      </c>
      <c r="AS557" s="45">
        <v>0</v>
      </c>
      <c r="AT557" s="45">
        <v>0</v>
      </c>
      <c r="AU557" s="45">
        <v>72465.5</v>
      </c>
      <c r="AV557" s="45">
        <v>11</v>
      </c>
      <c r="AW557" s="45">
        <v>2</v>
      </c>
      <c r="AX557" s="45">
        <v>67126.8</v>
      </c>
      <c r="AY557" s="45">
        <v>0</v>
      </c>
      <c r="AZ557" s="45">
        <v>0</v>
      </c>
    </row>
    <row r="558" spans="2:52">
      <c r="B558" s="45">
        <v>46291.9</v>
      </c>
      <c r="C558" s="45">
        <v>0</v>
      </c>
      <c r="D558" s="45">
        <v>0</v>
      </c>
      <c r="E558" s="45">
        <v>45278.400000000001</v>
      </c>
      <c r="F558" s="45">
        <v>0</v>
      </c>
      <c r="G558" s="45">
        <v>1</v>
      </c>
      <c r="H558" s="45">
        <v>45609.599999999999</v>
      </c>
      <c r="I558" s="45">
        <v>0</v>
      </c>
      <c r="J558" s="45">
        <v>0</v>
      </c>
      <c r="K558" s="45">
        <v>51862.8</v>
      </c>
      <c r="L558" s="45">
        <v>0</v>
      </c>
      <c r="M558" s="45">
        <v>0</v>
      </c>
      <c r="O558" s="45">
        <v>50926.8</v>
      </c>
      <c r="P558" s="45">
        <v>8</v>
      </c>
      <c r="Q558" s="45">
        <v>1</v>
      </c>
      <c r="R558" s="45">
        <v>51144.9</v>
      </c>
      <c r="S558" s="45">
        <v>0</v>
      </c>
      <c r="T558" s="45">
        <v>0</v>
      </c>
      <c r="U558" s="45">
        <v>46882.3</v>
      </c>
      <c r="V558" s="45">
        <v>0</v>
      </c>
      <c r="W558" s="45">
        <v>0</v>
      </c>
      <c r="X558" s="45">
        <v>44134.3</v>
      </c>
      <c r="Y558" s="45">
        <v>0</v>
      </c>
      <c r="Z558" s="45">
        <v>1</v>
      </c>
      <c r="AB558" s="45">
        <v>49228.4</v>
      </c>
      <c r="AC558" s="45">
        <v>10</v>
      </c>
      <c r="AD558" s="45">
        <v>0</v>
      </c>
      <c r="AE558" s="45">
        <v>50253.4</v>
      </c>
      <c r="AF558" s="45">
        <v>11</v>
      </c>
      <c r="AG558" s="45">
        <v>1</v>
      </c>
      <c r="AH558" s="45">
        <v>50018.9</v>
      </c>
      <c r="AI558" s="45">
        <v>0</v>
      </c>
      <c r="AJ558" s="45">
        <v>0</v>
      </c>
      <c r="AK558" s="45">
        <v>44217.2</v>
      </c>
      <c r="AL558" s="45">
        <v>4</v>
      </c>
      <c r="AM558" s="45">
        <v>1</v>
      </c>
      <c r="AO558" s="45">
        <v>41754.5</v>
      </c>
      <c r="AP558" s="45">
        <v>0</v>
      </c>
      <c r="AQ558" s="45">
        <v>1</v>
      </c>
      <c r="AR558" s="45">
        <v>42854.6</v>
      </c>
      <c r="AS558" s="45">
        <v>0</v>
      </c>
      <c r="AT558" s="45">
        <v>1</v>
      </c>
      <c r="AU558" s="45">
        <v>50098.8</v>
      </c>
      <c r="AV558" s="45">
        <v>14</v>
      </c>
      <c r="AW558" s="45">
        <v>1</v>
      </c>
      <c r="AX558" s="45">
        <v>41848.300000000003</v>
      </c>
      <c r="AY558" s="45">
        <v>0</v>
      </c>
      <c r="AZ558" s="45">
        <v>1</v>
      </c>
    </row>
    <row r="559" spans="2:52">
      <c r="B559" s="45">
        <v>65656.3</v>
      </c>
      <c r="C559" s="45">
        <v>0</v>
      </c>
      <c r="D559" s="45">
        <v>0</v>
      </c>
      <c r="E559" s="45">
        <v>64232.5</v>
      </c>
      <c r="F559" s="45">
        <v>0</v>
      </c>
      <c r="G559" s="45">
        <v>1</v>
      </c>
      <c r="H559" s="45">
        <v>67878.8</v>
      </c>
      <c r="I559" s="45">
        <v>0</v>
      </c>
      <c r="J559" s="45">
        <v>0</v>
      </c>
      <c r="K559" s="45">
        <v>66677.899999999994</v>
      </c>
      <c r="L559" s="45">
        <v>0</v>
      </c>
      <c r="M559" s="45">
        <v>0</v>
      </c>
      <c r="O559" s="45">
        <v>73540.899999999994</v>
      </c>
      <c r="P559" s="45">
        <v>0</v>
      </c>
      <c r="Q559" s="45">
        <v>0</v>
      </c>
      <c r="R559" s="45">
        <v>63968.1</v>
      </c>
      <c r="S559" s="45">
        <v>0</v>
      </c>
      <c r="T559" s="45">
        <v>1</v>
      </c>
      <c r="U559" s="45">
        <v>65080.800000000003</v>
      </c>
      <c r="V559" s="45">
        <v>0</v>
      </c>
      <c r="W559" s="45">
        <v>0</v>
      </c>
      <c r="X559" s="45">
        <v>67690.899999999994</v>
      </c>
      <c r="Y559" s="45">
        <v>0</v>
      </c>
      <c r="Z559" s="45">
        <v>1</v>
      </c>
      <c r="AB559" s="45">
        <v>62461.2</v>
      </c>
      <c r="AC559" s="45">
        <v>0</v>
      </c>
      <c r="AD559" s="45">
        <v>0</v>
      </c>
      <c r="AE559" s="45">
        <v>63374</v>
      </c>
      <c r="AF559" s="45">
        <v>0</v>
      </c>
      <c r="AG559" s="45">
        <v>1</v>
      </c>
      <c r="AH559" s="45">
        <v>66317.8</v>
      </c>
      <c r="AI559" s="45">
        <v>0</v>
      </c>
      <c r="AJ559" s="45">
        <v>0</v>
      </c>
      <c r="AK559" s="45">
        <v>66788.2</v>
      </c>
      <c r="AL559" s="45">
        <v>9</v>
      </c>
      <c r="AM559" s="45">
        <v>0</v>
      </c>
      <c r="AO559" s="45">
        <v>70314.100000000006</v>
      </c>
      <c r="AP559" s="45">
        <v>10</v>
      </c>
      <c r="AQ559" s="45">
        <v>1</v>
      </c>
      <c r="AR559" s="45">
        <v>62053.3</v>
      </c>
      <c r="AS559" s="45">
        <v>0</v>
      </c>
      <c r="AT559" s="45">
        <v>1</v>
      </c>
      <c r="AU559" s="45">
        <v>67424.800000000003</v>
      </c>
      <c r="AV559" s="45">
        <v>0</v>
      </c>
      <c r="AW559" s="45">
        <v>1</v>
      </c>
      <c r="AX559" s="45">
        <v>63646.9</v>
      </c>
      <c r="AY559" s="45">
        <v>0</v>
      </c>
      <c r="AZ559" s="45">
        <v>1</v>
      </c>
    </row>
    <row r="560" spans="2:52">
      <c r="B560" s="45">
        <v>63940.9</v>
      </c>
      <c r="C560" s="45">
        <v>0</v>
      </c>
      <c r="D560" s="45">
        <v>1</v>
      </c>
      <c r="E560" s="45">
        <v>60331.6</v>
      </c>
      <c r="F560" s="45">
        <v>10</v>
      </c>
      <c r="G560" s="45">
        <v>0</v>
      </c>
      <c r="H560" s="45">
        <v>55065.3</v>
      </c>
      <c r="I560" s="45">
        <v>0</v>
      </c>
      <c r="J560" s="45">
        <v>1</v>
      </c>
      <c r="K560" s="45">
        <v>58310.7</v>
      </c>
      <c r="L560" s="45">
        <v>0</v>
      </c>
      <c r="M560" s="45">
        <v>0</v>
      </c>
      <c r="O560" s="45">
        <v>61911.8</v>
      </c>
      <c r="P560" s="45">
        <v>0</v>
      </c>
      <c r="Q560" s="45">
        <v>0</v>
      </c>
      <c r="R560" s="45">
        <v>58823</v>
      </c>
      <c r="S560" s="45">
        <v>0</v>
      </c>
      <c r="T560" s="45">
        <v>1</v>
      </c>
      <c r="U560" s="45">
        <v>61943.5</v>
      </c>
      <c r="V560" s="45">
        <v>0</v>
      </c>
      <c r="W560" s="45">
        <v>0</v>
      </c>
      <c r="X560" s="45">
        <v>59444.4</v>
      </c>
      <c r="Y560" s="45">
        <v>0</v>
      </c>
      <c r="Z560" s="45">
        <v>0</v>
      </c>
      <c r="AB560" s="45">
        <v>59362.3</v>
      </c>
      <c r="AC560" s="45">
        <v>0</v>
      </c>
      <c r="AD560" s="45">
        <v>1</v>
      </c>
      <c r="AE560" s="45">
        <v>58373.3</v>
      </c>
      <c r="AF560" s="45">
        <v>0</v>
      </c>
      <c r="AG560" s="45">
        <v>0</v>
      </c>
      <c r="AH560" s="45">
        <v>55700.7</v>
      </c>
      <c r="AI560" s="45">
        <v>0</v>
      </c>
      <c r="AJ560" s="45">
        <v>0</v>
      </c>
      <c r="AK560" s="45">
        <v>57266.3</v>
      </c>
      <c r="AL560" s="45">
        <v>0</v>
      </c>
      <c r="AM560" s="45">
        <v>1</v>
      </c>
      <c r="AO560" s="45">
        <v>55706.1</v>
      </c>
      <c r="AP560" s="45">
        <v>0</v>
      </c>
      <c r="AQ560" s="45">
        <v>0</v>
      </c>
      <c r="AR560" s="45">
        <v>57586</v>
      </c>
      <c r="AS560" s="45">
        <v>0</v>
      </c>
      <c r="AT560" s="45">
        <v>1</v>
      </c>
      <c r="AU560" s="45">
        <v>70602.2</v>
      </c>
      <c r="AV560" s="45">
        <v>22</v>
      </c>
      <c r="AW560" s="45">
        <v>1</v>
      </c>
      <c r="AX560" s="45">
        <v>61297.7</v>
      </c>
      <c r="AY560" s="45">
        <v>0</v>
      </c>
      <c r="AZ560" s="45">
        <v>1</v>
      </c>
    </row>
    <row r="561" spans="2:52">
      <c r="B561" s="45">
        <v>83436.100000000006</v>
      </c>
      <c r="C561" s="45">
        <v>41</v>
      </c>
      <c r="D561" s="45">
        <v>1</v>
      </c>
      <c r="E561" s="45">
        <v>56749.9</v>
      </c>
      <c r="F561" s="45">
        <v>0</v>
      </c>
      <c r="G561" s="45">
        <v>0</v>
      </c>
      <c r="H561" s="45">
        <v>73904.2</v>
      </c>
      <c r="I561" s="45">
        <v>26</v>
      </c>
      <c r="J561" s="45">
        <v>0</v>
      </c>
      <c r="K561" s="45">
        <v>56329.1</v>
      </c>
      <c r="L561" s="45">
        <v>0</v>
      </c>
      <c r="M561" s="45">
        <v>1</v>
      </c>
      <c r="O561" s="45">
        <v>64503.4</v>
      </c>
      <c r="P561" s="45">
        <v>5</v>
      </c>
      <c r="Q561" s="45">
        <v>1</v>
      </c>
      <c r="R561" s="45">
        <v>91866.8</v>
      </c>
      <c r="S561" s="45">
        <v>68</v>
      </c>
      <c r="T561" s="45">
        <v>1</v>
      </c>
      <c r="U561" s="45">
        <v>81800.899999999994</v>
      </c>
      <c r="V561" s="45">
        <v>49</v>
      </c>
      <c r="W561" s="45">
        <v>1</v>
      </c>
      <c r="X561" s="45">
        <v>61169.4</v>
      </c>
      <c r="Y561" s="45">
        <v>0</v>
      </c>
      <c r="Z561" s="45">
        <v>0</v>
      </c>
      <c r="AB561" s="45">
        <v>76800.2</v>
      </c>
      <c r="AC561" s="45">
        <v>33</v>
      </c>
      <c r="AD561" s="45">
        <v>0</v>
      </c>
      <c r="AE561" s="45">
        <v>71871.399999999994</v>
      </c>
      <c r="AF561" s="45">
        <v>22</v>
      </c>
      <c r="AG561" s="45">
        <v>1</v>
      </c>
      <c r="AH561" s="45">
        <v>59459.199999999997</v>
      </c>
      <c r="AI561" s="45">
        <v>7</v>
      </c>
      <c r="AJ561" s="45">
        <v>0</v>
      </c>
      <c r="AK561" s="45">
        <v>55757.9</v>
      </c>
      <c r="AL561" s="45">
        <v>0</v>
      </c>
      <c r="AM561" s="45">
        <v>1</v>
      </c>
      <c r="AO561" s="45">
        <v>74232.3</v>
      </c>
      <c r="AP561" s="45">
        <v>25</v>
      </c>
      <c r="AQ561" s="45">
        <v>1</v>
      </c>
      <c r="AR561" s="45">
        <v>55590.3</v>
      </c>
      <c r="AS561" s="45">
        <v>0</v>
      </c>
      <c r="AT561" s="45">
        <v>1</v>
      </c>
      <c r="AU561" s="45">
        <v>77541.899999999994</v>
      </c>
      <c r="AV561" s="45">
        <v>45</v>
      </c>
      <c r="AW561" s="45">
        <v>1</v>
      </c>
      <c r="AX561" s="45">
        <v>64833.8</v>
      </c>
      <c r="AY561" s="45">
        <v>23</v>
      </c>
      <c r="AZ561" s="45">
        <v>1</v>
      </c>
    </row>
    <row r="562" spans="2:52">
      <c r="B562" s="45">
        <v>60113.8</v>
      </c>
      <c r="C562" s="45">
        <v>0</v>
      </c>
      <c r="D562" s="45">
        <v>0</v>
      </c>
      <c r="E562" s="45">
        <v>66706.8</v>
      </c>
      <c r="F562" s="45">
        <v>0</v>
      </c>
      <c r="G562" s="45">
        <v>0</v>
      </c>
      <c r="H562" s="45">
        <v>59091.4</v>
      </c>
      <c r="I562" s="45">
        <v>0</v>
      </c>
      <c r="J562" s="45">
        <v>1</v>
      </c>
      <c r="K562" s="45">
        <v>60894.2</v>
      </c>
      <c r="L562" s="45">
        <v>0</v>
      </c>
      <c r="M562" s="45">
        <v>0</v>
      </c>
      <c r="O562" s="45">
        <v>64230.9</v>
      </c>
      <c r="P562" s="45">
        <v>0</v>
      </c>
      <c r="Q562" s="45">
        <v>0</v>
      </c>
      <c r="R562" s="45">
        <v>74632.3</v>
      </c>
      <c r="S562" s="45">
        <v>21</v>
      </c>
      <c r="T562" s="45">
        <v>1</v>
      </c>
      <c r="U562" s="45">
        <v>63679.4</v>
      </c>
      <c r="V562" s="45">
        <v>6</v>
      </c>
      <c r="W562" s="45">
        <v>1</v>
      </c>
      <c r="X562" s="45">
        <v>62754.5</v>
      </c>
      <c r="Y562" s="45">
        <v>0</v>
      </c>
      <c r="Z562" s="45">
        <v>0</v>
      </c>
      <c r="AB562" s="45">
        <v>63350.400000000001</v>
      </c>
      <c r="AC562" s="45">
        <v>0</v>
      </c>
      <c r="AD562" s="45">
        <v>0</v>
      </c>
      <c r="AE562" s="45">
        <v>62655</v>
      </c>
      <c r="AF562" s="45">
        <v>0</v>
      </c>
      <c r="AG562" s="45">
        <v>0</v>
      </c>
      <c r="AH562" s="45">
        <v>58534.6</v>
      </c>
      <c r="AI562" s="45">
        <v>0</v>
      </c>
      <c r="AJ562" s="45">
        <v>1</v>
      </c>
      <c r="AK562" s="45">
        <v>61601.9</v>
      </c>
      <c r="AL562" s="45">
        <v>0</v>
      </c>
      <c r="AM562" s="45">
        <v>0</v>
      </c>
      <c r="AO562" s="45">
        <v>57742.9</v>
      </c>
      <c r="AP562" s="45">
        <v>0</v>
      </c>
      <c r="AQ562" s="45">
        <v>1</v>
      </c>
      <c r="AR562" s="45">
        <v>60075.4</v>
      </c>
      <c r="AS562" s="45">
        <v>0</v>
      </c>
      <c r="AT562" s="45">
        <v>0</v>
      </c>
      <c r="AU562" s="45">
        <v>59713.1</v>
      </c>
      <c r="AV562" s="45">
        <v>0</v>
      </c>
      <c r="AW562" s="45">
        <v>2</v>
      </c>
      <c r="AX562" s="45">
        <v>59844.3</v>
      </c>
      <c r="AY562" s="45">
        <v>0</v>
      </c>
      <c r="AZ562" s="45">
        <v>0</v>
      </c>
    </row>
    <row r="563" spans="2:52">
      <c r="B563" s="45">
        <v>61829.599999999999</v>
      </c>
      <c r="C563" s="45">
        <v>0</v>
      </c>
      <c r="D563" s="45">
        <v>0</v>
      </c>
      <c r="E563" s="45">
        <v>62703.5</v>
      </c>
      <c r="F563" s="45">
        <v>0</v>
      </c>
      <c r="G563" s="45">
        <v>1</v>
      </c>
      <c r="H563" s="45">
        <v>61200.4</v>
      </c>
      <c r="I563" s="45">
        <v>0</v>
      </c>
      <c r="J563" s="45">
        <v>0</v>
      </c>
      <c r="K563" s="45">
        <v>79335.3</v>
      </c>
      <c r="L563" s="45">
        <v>37</v>
      </c>
      <c r="M563" s="45">
        <v>0</v>
      </c>
      <c r="O563" s="45">
        <v>62755.1</v>
      </c>
      <c r="P563" s="45">
        <v>0</v>
      </c>
      <c r="Q563" s="45">
        <v>1</v>
      </c>
      <c r="R563" s="45">
        <v>63466.3</v>
      </c>
      <c r="S563" s="45">
        <v>0</v>
      </c>
      <c r="T563" s="45">
        <v>0</v>
      </c>
      <c r="U563" s="45">
        <v>60692.6</v>
      </c>
      <c r="V563" s="45">
        <v>0</v>
      </c>
      <c r="W563" s="45">
        <v>1</v>
      </c>
      <c r="X563" s="45">
        <v>74297.7</v>
      </c>
      <c r="Y563" s="45">
        <v>25</v>
      </c>
      <c r="Z563" s="45">
        <v>1</v>
      </c>
      <c r="AB563" s="45">
        <v>58753.3</v>
      </c>
      <c r="AC563" s="45">
        <v>0</v>
      </c>
      <c r="AD563" s="45">
        <v>1</v>
      </c>
      <c r="AE563" s="45">
        <v>69216.100000000006</v>
      </c>
      <c r="AF563" s="45">
        <v>17</v>
      </c>
      <c r="AG563" s="45">
        <v>1</v>
      </c>
      <c r="AH563" s="45">
        <v>67768.100000000006</v>
      </c>
      <c r="AI563" s="45">
        <v>10</v>
      </c>
      <c r="AJ563" s="45">
        <v>0</v>
      </c>
      <c r="AK563" s="45">
        <v>56272.6</v>
      </c>
      <c r="AL563" s="45">
        <v>0</v>
      </c>
      <c r="AM563" s="45">
        <v>1</v>
      </c>
      <c r="AO563" s="45">
        <v>62942</v>
      </c>
      <c r="AP563" s="45">
        <v>0</v>
      </c>
      <c r="AQ563" s="45">
        <v>1</v>
      </c>
      <c r="AR563" s="45">
        <v>64293.9</v>
      </c>
      <c r="AS563" s="45">
        <v>2</v>
      </c>
      <c r="AT563" s="45">
        <v>1</v>
      </c>
      <c r="AU563" s="45">
        <v>57608.4</v>
      </c>
      <c r="AV563" s="45">
        <v>0</v>
      </c>
      <c r="AW563" s="45">
        <v>0</v>
      </c>
      <c r="AX563" s="45">
        <v>69224.2</v>
      </c>
      <c r="AY563" s="45">
        <v>16</v>
      </c>
      <c r="AZ563" s="45">
        <v>2</v>
      </c>
    </row>
    <row r="564" spans="2:52">
      <c r="B564" s="45">
        <v>57567.199999999997</v>
      </c>
      <c r="C564" s="45">
        <v>0</v>
      </c>
      <c r="D564" s="45">
        <v>1</v>
      </c>
      <c r="E564" s="45">
        <v>61273.8</v>
      </c>
      <c r="F564" s="45">
        <v>0</v>
      </c>
      <c r="G564" s="45">
        <v>0</v>
      </c>
      <c r="H564" s="45">
        <v>54000.1</v>
      </c>
      <c r="I564" s="45">
        <v>0</v>
      </c>
      <c r="J564" s="45">
        <v>0</v>
      </c>
      <c r="K564" s="45">
        <v>57616.5</v>
      </c>
      <c r="L564" s="45">
        <v>0</v>
      </c>
      <c r="M564" s="45">
        <v>1</v>
      </c>
      <c r="O564" s="45">
        <v>62200</v>
      </c>
      <c r="P564" s="45">
        <v>0</v>
      </c>
      <c r="Q564" s="45">
        <v>0</v>
      </c>
      <c r="R564" s="45">
        <v>54654.8</v>
      </c>
      <c r="S564" s="45">
        <v>0</v>
      </c>
      <c r="T564" s="45">
        <v>0</v>
      </c>
      <c r="U564" s="45">
        <v>56573.599999999999</v>
      </c>
      <c r="V564" s="45">
        <v>0</v>
      </c>
      <c r="W564" s="45">
        <v>1</v>
      </c>
      <c r="X564" s="45">
        <v>59155.8</v>
      </c>
      <c r="Y564" s="45">
        <v>11</v>
      </c>
      <c r="Z564" s="45">
        <v>0</v>
      </c>
      <c r="AB564" s="45">
        <v>56960.4</v>
      </c>
      <c r="AC564" s="45">
        <v>0</v>
      </c>
      <c r="AD564" s="45">
        <v>0</v>
      </c>
      <c r="AE564" s="45">
        <v>54063.1</v>
      </c>
      <c r="AF564" s="45">
        <v>0</v>
      </c>
      <c r="AG564" s="45">
        <v>0</v>
      </c>
      <c r="AH564" s="45">
        <v>56076.9</v>
      </c>
      <c r="AI564" s="45">
        <v>0</v>
      </c>
      <c r="AJ564" s="45">
        <v>1</v>
      </c>
      <c r="AK564" s="45">
        <v>56986.6</v>
      </c>
      <c r="AL564" s="45">
        <v>0</v>
      </c>
      <c r="AM564" s="45">
        <v>0</v>
      </c>
      <c r="AO564" s="45">
        <v>57889.8</v>
      </c>
      <c r="AP564" s="45">
        <v>2</v>
      </c>
      <c r="AQ564" s="45">
        <v>1</v>
      </c>
      <c r="AR564" s="45">
        <v>53337.3</v>
      </c>
      <c r="AS564" s="45">
        <v>0</v>
      </c>
      <c r="AT564" s="45">
        <v>1</v>
      </c>
      <c r="AU564" s="45">
        <v>50628.3</v>
      </c>
      <c r="AV564" s="45">
        <v>0</v>
      </c>
      <c r="AW564" s="45">
        <v>0</v>
      </c>
      <c r="AX564" s="45">
        <v>48941</v>
      </c>
      <c r="AY564" s="45">
        <v>0</v>
      </c>
      <c r="AZ564" s="45">
        <v>1</v>
      </c>
    </row>
    <row r="565" spans="2:52">
      <c r="B565" s="45">
        <v>67279.5</v>
      </c>
      <c r="C565" s="45">
        <v>0</v>
      </c>
      <c r="D565" s="45">
        <v>0</v>
      </c>
      <c r="E565" s="45">
        <v>64526.7</v>
      </c>
      <c r="F565" s="45">
        <v>0</v>
      </c>
      <c r="G565" s="45">
        <v>0</v>
      </c>
      <c r="H565" s="45">
        <v>66278</v>
      </c>
      <c r="I565" s="45">
        <v>0</v>
      </c>
      <c r="J565" s="45">
        <v>1</v>
      </c>
      <c r="K565" s="45">
        <v>68437.8</v>
      </c>
      <c r="L565" s="45">
        <v>0</v>
      </c>
      <c r="M565" s="45">
        <v>0</v>
      </c>
      <c r="O565" s="45">
        <v>68703.600000000006</v>
      </c>
      <c r="P565" s="45">
        <v>1</v>
      </c>
      <c r="Q565" s="45">
        <v>1</v>
      </c>
      <c r="R565" s="45">
        <v>80104.2</v>
      </c>
      <c r="S565" s="45">
        <v>0</v>
      </c>
      <c r="T565" s="45">
        <v>0</v>
      </c>
      <c r="U565" s="45">
        <v>69931.899999999994</v>
      </c>
      <c r="V565" s="45">
        <v>0</v>
      </c>
      <c r="W565" s="45">
        <v>1</v>
      </c>
      <c r="X565" s="45">
        <v>99534.7</v>
      </c>
      <c r="Y565" s="45">
        <v>48</v>
      </c>
      <c r="Z565" s="45">
        <v>0</v>
      </c>
      <c r="AB565" s="45">
        <v>93527.5</v>
      </c>
      <c r="AC565" s="45">
        <v>48</v>
      </c>
      <c r="AD565" s="45">
        <v>0</v>
      </c>
      <c r="AE565" s="45">
        <v>68437.3</v>
      </c>
      <c r="AF565" s="45">
        <v>0</v>
      </c>
      <c r="AG565" s="45">
        <v>1</v>
      </c>
      <c r="AH565" s="45">
        <v>81883.600000000006</v>
      </c>
      <c r="AI565" s="45">
        <v>25</v>
      </c>
      <c r="AJ565" s="45">
        <v>0</v>
      </c>
      <c r="AK565" s="45">
        <v>64024.6</v>
      </c>
      <c r="AL565" s="45">
        <v>0</v>
      </c>
      <c r="AM565" s="45">
        <v>1</v>
      </c>
      <c r="AO565" s="45">
        <v>84706.2</v>
      </c>
      <c r="AP565" s="45">
        <v>43</v>
      </c>
      <c r="AQ565" s="45">
        <v>1</v>
      </c>
      <c r="AR565" s="45">
        <v>130903</v>
      </c>
      <c r="AS565" s="45">
        <v>132</v>
      </c>
      <c r="AT565" s="45">
        <v>1</v>
      </c>
      <c r="AU565" s="45">
        <v>103935</v>
      </c>
      <c r="AV565" s="45">
        <v>78</v>
      </c>
      <c r="AW565" s="45">
        <v>1</v>
      </c>
      <c r="AX565" s="45">
        <v>64724.800000000003</v>
      </c>
      <c r="AY565" s="45">
        <v>0</v>
      </c>
      <c r="AZ565" s="45">
        <v>1</v>
      </c>
    </row>
    <row r="566" spans="2:52">
      <c r="B566" s="45">
        <v>67862.3</v>
      </c>
      <c r="C566" s="45">
        <v>7</v>
      </c>
      <c r="D566" s="45">
        <v>1</v>
      </c>
      <c r="E566" s="45">
        <v>72052.100000000006</v>
      </c>
      <c r="F566" s="45">
        <v>0</v>
      </c>
      <c r="G566" s="45">
        <v>0</v>
      </c>
      <c r="H566" s="45">
        <v>68577.899999999994</v>
      </c>
      <c r="I566" s="45">
        <v>0</v>
      </c>
      <c r="J566" s="45">
        <v>0</v>
      </c>
      <c r="K566" s="45">
        <v>74377.899999999994</v>
      </c>
      <c r="L566" s="45">
        <v>14</v>
      </c>
      <c r="M566" s="45">
        <v>1</v>
      </c>
      <c r="O566" s="45">
        <v>76055.7</v>
      </c>
      <c r="P566" s="45">
        <v>14</v>
      </c>
      <c r="Q566" s="45">
        <v>1</v>
      </c>
      <c r="R566" s="45">
        <v>68329.3</v>
      </c>
      <c r="S566" s="45">
        <v>0</v>
      </c>
      <c r="T566" s="45">
        <v>0</v>
      </c>
      <c r="U566" s="45">
        <v>64629.2</v>
      </c>
      <c r="V566" s="45">
        <v>0</v>
      </c>
      <c r="W566" s="45">
        <v>1</v>
      </c>
      <c r="X566" s="45">
        <v>67865.3</v>
      </c>
      <c r="Y566" s="45">
        <v>0</v>
      </c>
      <c r="Z566" s="45">
        <v>0</v>
      </c>
      <c r="AB566" s="45">
        <v>66417.2</v>
      </c>
      <c r="AC566" s="45">
        <v>0</v>
      </c>
      <c r="AD566" s="45">
        <v>0</v>
      </c>
      <c r="AE566" s="45">
        <v>62598.1</v>
      </c>
      <c r="AF566" s="45">
        <v>0</v>
      </c>
      <c r="AG566" s="45">
        <v>0</v>
      </c>
      <c r="AH566" s="45">
        <v>70908.899999999994</v>
      </c>
      <c r="AI566" s="45">
        <v>12</v>
      </c>
      <c r="AJ566" s="45">
        <v>1</v>
      </c>
      <c r="AK566" s="45">
        <v>69884.899999999994</v>
      </c>
      <c r="AL566" s="45">
        <v>12</v>
      </c>
      <c r="AM566" s="45">
        <v>0</v>
      </c>
      <c r="AO566" s="45">
        <v>66567.3</v>
      </c>
      <c r="AP566" s="45">
        <v>0</v>
      </c>
      <c r="AQ566" s="45">
        <v>0</v>
      </c>
      <c r="AR566" s="45">
        <v>83055</v>
      </c>
      <c r="AS566" s="45">
        <v>28</v>
      </c>
      <c r="AT566" s="45">
        <v>1</v>
      </c>
      <c r="AU566" s="45">
        <v>67788</v>
      </c>
      <c r="AV566" s="45">
        <v>0</v>
      </c>
      <c r="AW566" s="45">
        <v>1</v>
      </c>
      <c r="AX566" s="45">
        <v>62143.3</v>
      </c>
      <c r="AY566" s="45">
        <v>0</v>
      </c>
      <c r="AZ566" s="45">
        <v>1</v>
      </c>
    </row>
    <row r="567" spans="2:52">
      <c r="B567" s="45">
        <v>53333.5</v>
      </c>
      <c r="C567" s="45">
        <v>0</v>
      </c>
      <c r="D567" s="45">
        <v>0</v>
      </c>
      <c r="E567" s="45">
        <v>85207.8</v>
      </c>
      <c r="F567" s="45">
        <v>60</v>
      </c>
      <c r="G567" s="45">
        <v>0</v>
      </c>
      <c r="H567" s="45">
        <v>58146</v>
      </c>
      <c r="I567" s="45">
        <v>0</v>
      </c>
      <c r="J567" s="45">
        <v>1</v>
      </c>
      <c r="K567" s="45">
        <v>56861.9</v>
      </c>
      <c r="L567" s="45">
        <v>0</v>
      </c>
      <c r="M567" s="45">
        <v>0</v>
      </c>
      <c r="O567" s="45">
        <v>61733.7</v>
      </c>
      <c r="P567" s="45">
        <v>0</v>
      </c>
      <c r="Q567" s="45">
        <v>0</v>
      </c>
      <c r="R567" s="45">
        <v>60161.5</v>
      </c>
      <c r="S567" s="45">
        <v>0</v>
      </c>
      <c r="T567" s="45">
        <v>1</v>
      </c>
      <c r="U567" s="45">
        <v>60287.9</v>
      </c>
      <c r="V567" s="45">
        <v>0</v>
      </c>
      <c r="W567" s="45">
        <v>0</v>
      </c>
      <c r="X567" s="45">
        <v>56667.1</v>
      </c>
      <c r="Y567" s="45">
        <v>0</v>
      </c>
      <c r="Z567" s="45">
        <v>1</v>
      </c>
      <c r="AB567" s="45">
        <v>53004.2</v>
      </c>
      <c r="AC567" s="45">
        <v>0</v>
      </c>
      <c r="AD567" s="45">
        <v>1</v>
      </c>
      <c r="AE567" s="45">
        <v>69871.5</v>
      </c>
      <c r="AF567" s="45">
        <v>33</v>
      </c>
      <c r="AG567" s="45">
        <v>1</v>
      </c>
      <c r="AH567" s="45">
        <v>55644.5</v>
      </c>
      <c r="AI567" s="45">
        <v>0</v>
      </c>
      <c r="AJ567" s="45">
        <v>0</v>
      </c>
      <c r="AK567" s="45">
        <v>52193.4</v>
      </c>
      <c r="AL567" s="45">
        <v>0</v>
      </c>
      <c r="AM567" s="45">
        <v>0</v>
      </c>
      <c r="AO567" s="45">
        <v>55467.6</v>
      </c>
      <c r="AP567" s="45">
        <v>0</v>
      </c>
      <c r="AQ567" s="45">
        <v>0</v>
      </c>
      <c r="AR567" s="45">
        <v>63867.8</v>
      </c>
      <c r="AS567" s="45">
        <v>3</v>
      </c>
      <c r="AT567" s="45">
        <v>1</v>
      </c>
      <c r="AU567" s="45">
        <v>54670.400000000001</v>
      </c>
      <c r="AV567" s="45">
        <v>0</v>
      </c>
      <c r="AW567" s="45">
        <v>1</v>
      </c>
      <c r="AX567" s="45">
        <v>52640.5</v>
      </c>
      <c r="AY567" s="45">
        <v>0</v>
      </c>
      <c r="AZ567" s="45">
        <v>0</v>
      </c>
    </row>
    <row r="568" spans="2:52">
      <c r="B568" s="45">
        <v>39136.199999999997</v>
      </c>
      <c r="C568" s="45">
        <v>0</v>
      </c>
      <c r="D568" s="45">
        <v>0</v>
      </c>
      <c r="E568" s="45">
        <v>37852.9</v>
      </c>
      <c r="F568" s="45">
        <v>0</v>
      </c>
      <c r="G568" s="45">
        <v>1</v>
      </c>
      <c r="H568" s="45">
        <v>38807.300000000003</v>
      </c>
      <c r="I568" s="45">
        <v>0</v>
      </c>
      <c r="J568" s="45">
        <v>0</v>
      </c>
      <c r="K568" s="45">
        <v>38264.800000000003</v>
      </c>
      <c r="L568" s="45">
        <v>0</v>
      </c>
      <c r="M568" s="45">
        <v>0</v>
      </c>
      <c r="O568" s="45">
        <v>39622.1</v>
      </c>
      <c r="P568" s="45">
        <v>0</v>
      </c>
      <c r="Q568" s="45">
        <v>0</v>
      </c>
      <c r="R568" s="45">
        <v>43824.6</v>
      </c>
      <c r="S568" s="45">
        <v>0</v>
      </c>
      <c r="T568" s="45">
        <v>0</v>
      </c>
      <c r="U568" s="45">
        <v>39297.4</v>
      </c>
      <c r="V568" s="45">
        <v>0</v>
      </c>
      <c r="W568" s="45">
        <v>1</v>
      </c>
      <c r="X568" s="45">
        <v>36625.599999999999</v>
      </c>
      <c r="Y568" s="45">
        <v>0</v>
      </c>
      <c r="Z568" s="45">
        <v>0</v>
      </c>
      <c r="AB568" s="45">
        <v>38515.5</v>
      </c>
      <c r="AC568" s="45">
        <v>0</v>
      </c>
      <c r="AD568" s="45">
        <v>1</v>
      </c>
      <c r="AE568" s="45">
        <v>37990.9</v>
      </c>
      <c r="AF568" s="45">
        <v>0</v>
      </c>
      <c r="AG568" s="45">
        <v>0</v>
      </c>
      <c r="AH568" s="45">
        <v>35780</v>
      </c>
      <c r="AI568" s="45">
        <v>0</v>
      </c>
      <c r="AJ568" s="45">
        <v>0</v>
      </c>
      <c r="AK568" s="45">
        <v>47099.3</v>
      </c>
      <c r="AL568" s="45">
        <v>20</v>
      </c>
      <c r="AM568" s="45">
        <v>1</v>
      </c>
      <c r="AO568" s="45">
        <v>36790.699999999997</v>
      </c>
      <c r="AP568" s="45">
        <v>0</v>
      </c>
      <c r="AQ568" s="45">
        <v>1</v>
      </c>
      <c r="AR568" s="45">
        <v>40221.1</v>
      </c>
      <c r="AS568" s="45">
        <v>0</v>
      </c>
      <c r="AT568" s="45">
        <v>1</v>
      </c>
      <c r="AU568" s="45">
        <v>38042.300000000003</v>
      </c>
      <c r="AV568" s="45">
        <v>6</v>
      </c>
      <c r="AW568" s="45">
        <v>0</v>
      </c>
      <c r="AX568" s="45">
        <v>34781.199999999997</v>
      </c>
      <c r="AY568" s="45">
        <v>0</v>
      </c>
      <c r="AZ568" s="45">
        <v>1</v>
      </c>
    </row>
    <row r="569" spans="2:52">
      <c r="B569" s="45">
        <v>50621</v>
      </c>
      <c r="C569" s="45">
        <v>0</v>
      </c>
      <c r="D569" s="45">
        <v>1</v>
      </c>
      <c r="E569" s="45">
        <v>52913.1</v>
      </c>
      <c r="F569" s="45">
        <v>0</v>
      </c>
      <c r="G569" s="45">
        <v>0</v>
      </c>
      <c r="H569" s="45">
        <v>50795</v>
      </c>
      <c r="I569" s="45">
        <v>0</v>
      </c>
      <c r="J569" s="45">
        <v>0</v>
      </c>
      <c r="K569" s="45">
        <v>52531.7</v>
      </c>
      <c r="L569" s="45">
        <v>0</v>
      </c>
      <c r="M569" s="45">
        <v>1</v>
      </c>
      <c r="O569" s="45">
        <v>50945</v>
      </c>
      <c r="P569" s="45">
        <v>0</v>
      </c>
      <c r="Q569" s="45">
        <v>1</v>
      </c>
      <c r="R569" s="45">
        <v>54399.4</v>
      </c>
      <c r="S569" s="45">
        <v>0</v>
      </c>
      <c r="T569" s="45">
        <v>0</v>
      </c>
      <c r="U569" s="45">
        <v>82642.7</v>
      </c>
      <c r="V569" s="45">
        <v>60</v>
      </c>
      <c r="W569" s="45">
        <v>1</v>
      </c>
      <c r="X569" s="45">
        <v>51843.5</v>
      </c>
      <c r="Y569" s="45">
        <v>0</v>
      </c>
      <c r="Z569" s="45">
        <v>0</v>
      </c>
      <c r="AB569" s="45">
        <v>70405.2</v>
      </c>
      <c r="AC569" s="45">
        <v>37</v>
      </c>
      <c r="AD569" s="45">
        <v>1</v>
      </c>
      <c r="AE569" s="45">
        <v>50187.5</v>
      </c>
      <c r="AF569" s="45">
        <v>0</v>
      </c>
      <c r="AG569" s="45">
        <v>0</v>
      </c>
      <c r="AH569" s="45">
        <v>75855.8</v>
      </c>
      <c r="AI569" s="45">
        <v>46</v>
      </c>
      <c r="AJ569" s="45">
        <v>0</v>
      </c>
      <c r="AK569" s="45">
        <v>58867.5</v>
      </c>
      <c r="AL569" s="45">
        <v>16</v>
      </c>
      <c r="AM569" s="45">
        <v>1</v>
      </c>
      <c r="AO569" s="45">
        <v>62398.9</v>
      </c>
      <c r="AP569" s="45">
        <v>23</v>
      </c>
      <c r="AQ569" s="45">
        <v>1</v>
      </c>
      <c r="AR569" s="45">
        <v>77068.800000000003</v>
      </c>
      <c r="AS569" s="45">
        <v>47</v>
      </c>
      <c r="AT569" s="45">
        <v>1</v>
      </c>
      <c r="AU569" s="45">
        <v>52752.3</v>
      </c>
      <c r="AV569" s="45">
        <v>0</v>
      </c>
      <c r="AW569" s="45">
        <v>0</v>
      </c>
      <c r="AX569" s="45">
        <v>52929.2</v>
      </c>
      <c r="AY569" s="45">
        <v>0</v>
      </c>
      <c r="AZ569" s="45">
        <v>1</v>
      </c>
    </row>
    <row r="570" spans="2:52">
      <c r="B570" s="45">
        <v>61507.5</v>
      </c>
      <c r="C570" s="45">
        <v>0</v>
      </c>
      <c r="D570" s="45">
        <v>0</v>
      </c>
      <c r="E570" s="45">
        <v>69608</v>
      </c>
      <c r="F570" s="45">
        <v>12</v>
      </c>
      <c r="G570" s="45">
        <v>0</v>
      </c>
      <c r="H570" s="45">
        <v>82124.800000000003</v>
      </c>
      <c r="I570" s="45">
        <v>44</v>
      </c>
      <c r="J570" s="45">
        <v>1</v>
      </c>
      <c r="K570" s="45">
        <v>61182.2</v>
      </c>
      <c r="L570" s="45">
        <v>0</v>
      </c>
      <c r="M570" s="45">
        <v>0</v>
      </c>
      <c r="O570" s="45">
        <v>66795.8</v>
      </c>
      <c r="P570" s="45">
        <v>0</v>
      </c>
      <c r="Q570" s="45">
        <v>0</v>
      </c>
      <c r="R570" s="45">
        <v>61854.400000000001</v>
      </c>
      <c r="S570" s="45">
        <v>0</v>
      </c>
      <c r="T570" s="45">
        <v>1</v>
      </c>
      <c r="U570" s="45">
        <v>65289.9</v>
      </c>
      <c r="V570" s="45">
        <v>0</v>
      </c>
      <c r="W570" s="45">
        <v>0</v>
      </c>
      <c r="X570" s="45">
        <v>61905.3</v>
      </c>
      <c r="Y570" s="45">
        <v>0</v>
      </c>
      <c r="Z570" s="45">
        <v>1</v>
      </c>
      <c r="AB570" s="45">
        <v>58230.9</v>
      </c>
      <c r="AC570" s="45">
        <v>0</v>
      </c>
      <c r="AD570" s="45">
        <v>0</v>
      </c>
      <c r="AE570" s="45">
        <v>62490.5</v>
      </c>
      <c r="AF570" s="45">
        <v>0</v>
      </c>
      <c r="AG570" s="45">
        <v>1</v>
      </c>
      <c r="AH570" s="45">
        <v>59231</v>
      </c>
      <c r="AI570" s="45">
        <v>0</v>
      </c>
      <c r="AJ570" s="45">
        <v>0</v>
      </c>
      <c r="AK570" s="45">
        <v>60382.1</v>
      </c>
      <c r="AL570" s="45">
        <v>0</v>
      </c>
      <c r="AM570" s="45">
        <v>0</v>
      </c>
      <c r="AO570" s="45">
        <v>62699.3</v>
      </c>
      <c r="AP570" s="45">
        <v>0</v>
      </c>
      <c r="AQ570" s="45">
        <v>0</v>
      </c>
      <c r="AR570" s="45">
        <v>60357.8</v>
      </c>
      <c r="AS570" s="45">
        <v>0</v>
      </c>
      <c r="AT570" s="45">
        <v>1</v>
      </c>
      <c r="AU570" s="45">
        <v>57867.7</v>
      </c>
      <c r="AV570" s="45">
        <v>0</v>
      </c>
      <c r="AW570" s="45">
        <v>1</v>
      </c>
      <c r="AX570" s="45">
        <v>58147.7</v>
      </c>
      <c r="AY570" s="45">
        <v>0</v>
      </c>
      <c r="AZ570" s="45">
        <v>0</v>
      </c>
    </row>
    <row r="571" spans="2:52">
      <c r="B571" s="45">
        <v>58278</v>
      </c>
      <c r="C571" s="45">
        <v>0</v>
      </c>
      <c r="D571" s="45">
        <v>1</v>
      </c>
      <c r="E571" s="45">
        <v>62521.4</v>
      </c>
      <c r="F571" s="45">
        <v>18</v>
      </c>
      <c r="G571" s="45">
        <v>0</v>
      </c>
      <c r="H571" s="45">
        <v>52571.5</v>
      </c>
      <c r="I571" s="45">
        <v>0</v>
      </c>
      <c r="J571" s="45">
        <v>0</v>
      </c>
      <c r="K571" s="45">
        <v>55327.8</v>
      </c>
      <c r="L571" s="45">
        <v>0</v>
      </c>
      <c r="M571" s="45">
        <v>1</v>
      </c>
      <c r="O571" s="45">
        <v>59319.6</v>
      </c>
      <c r="P571" s="45">
        <v>0</v>
      </c>
      <c r="Q571" s="45">
        <v>0</v>
      </c>
      <c r="R571" s="45">
        <v>57940.4</v>
      </c>
      <c r="S571" s="45">
        <v>0</v>
      </c>
      <c r="T571" s="45">
        <v>0</v>
      </c>
      <c r="U571" s="45">
        <v>66254.899999999994</v>
      </c>
      <c r="V571" s="45">
        <v>18</v>
      </c>
      <c r="W571" s="45">
        <v>1</v>
      </c>
      <c r="X571" s="45">
        <v>57332.3</v>
      </c>
      <c r="Y571" s="45">
        <v>0</v>
      </c>
      <c r="Z571" s="45">
        <v>1</v>
      </c>
      <c r="AB571" s="45">
        <v>53747.8</v>
      </c>
      <c r="AC571" s="45">
        <v>0</v>
      </c>
      <c r="AD571" s="45">
        <v>1</v>
      </c>
      <c r="AE571" s="45">
        <v>57817.2</v>
      </c>
      <c r="AF571" s="45">
        <v>0</v>
      </c>
      <c r="AG571" s="45">
        <v>0</v>
      </c>
      <c r="AH571" s="45">
        <v>51247.3</v>
      </c>
      <c r="AI571" s="45">
        <v>0</v>
      </c>
      <c r="AJ571" s="45">
        <v>0</v>
      </c>
      <c r="AK571" s="45">
        <v>53264.6</v>
      </c>
      <c r="AL571" s="45">
        <v>0</v>
      </c>
      <c r="AM571" s="45">
        <v>1</v>
      </c>
      <c r="AO571" s="45">
        <v>53512.5</v>
      </c>
      <c r="AP571" s="45">
        <v>0</v>
      </c>
      <c r="AQ571" s="45">
        <v>1</v>
      </c>
      <c r="AR571" s="45">
        <v>54498.1</v>
      </c>
      <c r="AS571" s="45">
        <v>0</v>
      </c>
      <c r="AT571" s="45">
        <v>1</v>
      </c>
      <c r="AU571" s="45">
        <v>51091.6</v>
      </c>
      <c r="AV571" s="45">
        <v>0</v>
      </c>
      <c r="AW571" s="45">
        <v>1</v>
      </c>
      <c r="AX571" s="45">
        <v>51356.5</v>
      </c>
      <c r="AY571" s="45">
        <v>0</v>
      </c>
      <c r="AZ571" s="45">
        <v>0</v>
      </c>
    </row>
    <row r="572" spans="2:52">
      <c r="B572" s="45">
        <v>56045.599999999999</v>
      </c>
      <c r="C572" s="45">
        <v>0</v>
      </c>
      <c r="D572" s="45">
        <v>0</v>
      </c>
      <c r="E572" s="45">
        <v>56739.9</v>
      </c>
      <c r="F572" s="45">
        <v>0</v>
      </c>
      <c r="G572" s="45">
        <v>0</v>
      </c>
      <c r="H572" s="45">
        <v>66916.399999999994</v>
      </c>
      <c r="I572" s="45">
        <v>29</v>
      </c>
      <c r="J572" s="45">
        <v>1</v>
      </c>
      <c r="K572" s="45">
        <v>49408.9</v>
      </c>
      <c r="L572" s="45">
        <v>0</v>
      </c>
      <c r="M572" s="45">
        <v>0</v>
      </c>
      <c r="O572" s="45">
        <v>57674.2</v>
      </c>
      <c r="P572" s="45">
        <v>0</v>
      </c>
      <c r="Q572" s="45">
        <v>0</v>
      </c>
      <c r="R572" s="45">
        <v>60089.4</v>
      </c>
      <c r="S572" s="45">
        <v>0</v>
      </c>
      <c r="T572" s="45">
        <v>0</v>
      </c>
      <c r="U572" s="45">
        <v>60644.3</v>
      </c>
      <c r="V572" s="45">
        <v>0</v>
      </c>
      <c r="W572" s="45">
        <v>1</v>
      </c>
      <c r="X572" s="45">
        <v>56006.7</v>
      </c>
      <c r="Y572" s="45">
        <v>0</v>
      </c>
      <c r="Z572" s="45">
        <v>0</v>
      </c>
      <c r="AB572" s="45">
        <v>61061.5</v>
      </c>
      <c r="AC572" s="45">
        <v>18</v>
      </c>
      <c r="AD572" s="45">
        <v>0</v>
      </c>
      <c r="AE572" s="45">
        <v>57197.7</v>
      </c>
      <c r="AF572" s="45">
        <v>5</v>
      </c>
      <c r="AG572" s="45">
        <v>1</v>
      </c>
      <c r="AH572" s="45">
        <v>76193.8</v>
      </c>
      <c r="AI572" s="45">
        <v>49</v>
      </c>
      <c r="AJ572" s="45">
        <v>0</v>
      </c>
      <c r="AK572" s="45">
        <v>54796.7</v>
      </c>
      <c r="AL572" s="45">
        <v>16</v>
      </c>
      <c r="AM572" s="45">
        <v>1</v>
      </c>
      <c r="AO572" s="45">
        <v>53470.5</v>
      </c>
      <c r="AP572" s="45">
        <v>0</v>
      </c>
      <c r="AQ572" s="45">
        <v>1</v>
      </c>
      <c r="AR572" s="45">
        <v>63297.7</v>
      </c>
      <c r="AS572" s="45">
        <v>21</v>
      </c>
      <c r="AT572" s="45">
        <v>1</v>
      </c>
      <c r="AU572" s="45">
        <v>53268.3</v>
      </c>
      <c r="AV572" s="45">
        <v>0</v>
      </c>
      <c r="AW572" s="45">
        <v>1</v>
      </c>
      <c r="AX572" s="45">
        <v>51408.4</v>
      </c>
      <c r="AY572" s="45">
        <v>1</v>
      </c>
      <c r="AZ572" s="45">
        <v>1</v>
      </c>
    </row>
    <row r="573" spans="2:52">
      <c r="B573" s="45">
        <v>55458.400000000001</v>
      </c>
      <c r="C573" s="45">
        <v>0</v>
      </c>
      <c r="D573" s="45">
        <v>0</v>
      </c>
      <c r="E573" s="45">
        <v>56156.9</v>
      </c>
      <c r="F573" s="45">
        <v>0</v>
      </c>
      <c r="G573" s="45">
        <v>1</v>
      </c>
      <c r="H573" s="45">
        <v>53432.7</v>
      </c>
      <c r="I573" s="45">
        <v>0</v>
      </c>
      <c r="J573" s="45">
        <v>0</v>
      </c>
      <c r="K573" s="45">
        <v>55653.2</v>
      </c>
      <c r="L573" s="45">
        <v>0</v>
      </c>
      <c r="M573" s="45">
        <v>0</v>
      </c>
      <c r="O573" s="45">
        <v>62038.8</v>
      </c>
      <c r="P573" s="45">
        <v>0</v>
      </c>
      <c r="Q573" s="45">
        <v>1</v>
      </c>
      <c r="R573" s="45">
        <v>78937.2</v>
      </c>
      <c r="S573" s="45">
        <v>46</v>
      </c>
      <c r="T573" s="45">
        <v>0</v>
      </c>
      <c r="U573" s="45">
        <v>58041.4</v>
      </c>
      <c r="V573" s="45">
        <v>0</v>
      </c>
      <c r="W573" s="45">
        <v>1</v>
      </c>
      <c r="X573" s="45">
        <v>55912.9</v>
      </c>
      <c r="Y573" s="45">
        <v>0</v>
      </c>
      <c r="Z573" s="45">
        <v>0</v>
      </c>
      <c r="AB573" s="45">
        <v>54240.800000000003</v>
      </c>
      <c r="AC573" s="45">
        <v>0</v>
      </c>
      <c r="AD573" s="45">
        <v>0</v>
      </c>
      <c r="AE573" s="45">
        <v>55294</v>
      </c>
      <c r="AF573" s="45">
        <v>0</v>
      </c>
      <c r="AG573" s="45">
        <v>0</v>
      </c>
      <c r="AH573" s="45">
        <v>54569.599999999999</v>
      </c>
      <c r="AI573" s="45">
        <v>0</v>
      </c>
      <c r="AJ573" s="45">
        <v>1</v>
      </c>
      <c r="AK573" s="45">
        <v>50242.5</v>
      </c>
      <c r="AL573" s="45">
        <v>0</v>
      </c>
      <c r="AM573" s="45">
        <v>0</v>
      </c>
      <c r="AO573" s="45">
        <v>53645</v>
      </c>
      <c r="AP573" s="45">
        <v>0</v>
      </c>
      <c r="AQ573" s="45">
        <v>0</v>
      </c>
      <c r="AR573" s="45">
        <v>57293.5</v>
      </c>
      <c r="AS573" s="45">
        <v>0</v>
      </c>
      <c r="AT573" s="45">
        <v>1</v>
      </c>
      <c r="AU573" s="45">
        <v>58946.1</v>
      </c>
      <c r="AV573" s="45">
        <v>0</v>
      </c>
      <c r="AW573" s="45">
        <v>0</v>
      </c>
      <c r="AX573" s="45">
        <v>50223.7</v>
      </c>
      <c r="AY573" s="45">
        <v>0</v>
      </c>
      <c r="AZ573" s="45">
        <v>1</v>
      </c>
    </row>
    <row r="574" spans="2:52">
      <c r="B574" s="45">
        <v>57417.9</v>
      </c>
      <c r="C574" s="45">
        <v>0</v>
      </c>
      <c r="D574" s="45">
        <v>1</v>
      </c>
      <c r="E574" s="45">
        <v>57131.1</v>
      </c>
      <c r="F574" s="45">
        <v>0</v>
      </c>
      <c r="G574" s="45">
        <v>0</v>
      </c>
      <c r="H574" s="45">
        <v>60687.9</v>
      </c>
      <c r="I574" s="45">
        <v>0</v>
      </c>
      <c r="J574" s="45">
        <v>0</v>
      </c>
      <c r="K574" s="45">
        <v>62050.3</v>
      </c>
      <c r="L574" s="45">
        <v>0</v>
      </c>
      <c r="M574" s="45">
        <v>1</v>
      </c>
      <c r="O574" s="45">
        <v>61363.3</v>
      </c>
      <c r="P574" s="45">
        <v>0</v>
      </c>
      <c r="Q574" s="45">
        <v>1</v>
      </c>
      <c r="R574" s="45">
        <v>60893.9</v>
      </c>
      <c r="S574" s="45">
        <v>0</v>
      </c>
      <c r="T574" s="45">
        <v>0</v>
      </c>
      <c r="U574" s="45">
        <v>57659.7</v>
      </c>
      <c r="V574" s="45">
        <v>0</v>
      </c>
      <c r="W574" s="45">
        <v>0</v>
      </c>
      <c r="X574" s="45">
        <v>63204.2</v>
      </c>
      <c r="Y574" s="45">
        <v>16</v>
      </c>
      <c r="Z574" s="45">
        <v>1</v>
      </c>
      <c r="AB574" s="45">
        <v>57246.5</v>
      </c>
      <c r="AC574" s="45">
        <v>0</v>
      </c>
      <c r="AD574" s="45">
        <v>1</v>
      </c>
      <c r="AE574" s="45">
        <v>62376.7</v>
      </c>
      <c r="AF574" s="45">
        <v>0</v>
      </c>
      <c r="AG574" s="45">
        <v>0</v>
      </c>
      <c r="AH574" s="45">
        <v>57164.800000000003</v>
      </c>
      <c r="AI574" s="45">
        <v>6</v>
      </c>
      <c r="AJ574" s="45">
        <v>1</v>
      </c>
      <c r="AK574" s="45">
        <v>63325.8</v>
      </c>
      <c r="AL574" s="45">
        <v>16</v>
      </c>
      <c r="AM574" s="45">
        <v>0</v>
      </c>
      <c r="AO574" s="45">
        <v>61152.9</v>
      </c>
      <c r="AP574" s="45">
        <v>0</v>
      </c>
      <c r="AQ574" s="45">
        <v>1</v>
      </c>
      <c r="AR574" s="45">
        <v>59422.6</v>
      </c>
      <c r="AS574" s="45">
        <v>0</v>
      </c>
      <c r="AT574" s="45">
        <v>1</v>
      </c>
      <c r="AU574" s="45">
        <v>53857.7</v>
      </c>
      <c r="AV574" s="45">
        <v>0</v>
      </c>
      <c r="AW574" s="45">
        <v>1</v>
      </c>
      <c r="AX574" s="45">
        <v>56365.1</v>
      </c>
      <c r="AY574" s="45">
        <v>0</v>
      </c>
      <c r="AZ574" s="45">
        <v>1</v>
      </c>
    </row>
    <row r="575" spans="2:52">
      <c r="B575" s="45">
        <v>43958.7</v>
      </c>
      <c r="C575" s="45">
        <v>0</v>
      </c>
      <c r="D575" s="45">
        <v>0</v>
      </c>
      <c r="E575" s="45">
        <v>44485.4</v>
      </c>
      <c r="F575" s="45">
        <v>0</v>
      </c>
      <c r="G575" s="45">
        <v>1</v>
      </c>
      <c r="H575" s="45">
        <v>46695.4</v>
      </c>
      <c r="I575" s="45">
        <v>0</v>
      </c>
      <c r="J575" s="45">
        <v>0</v>
      </c>
      <c r="K575" s="45">
        <v>59863.3</v>
      </c>
      <c r="L575" s="45">
        <v>33</v>
      </c>
      <c r="M575" s="45">
        <v>0</v>
      </c>
      <c r="O575" s="45">
        <v>46718.9</v>
      </c>
      <c r="P575" s="45">
        <v>0</v>
      </c>
      <c r="Q575" s="45">
        <v>0</v>
      </c>
      <c r="R575" s="45">
        <v>45697.8</v>
      </c>
      <c r="S575" s="45">
        <v>0</v>
      </c>
      <c r="T575" s="45">
        <v>1</v>
      </c>
      <c r="U575" s="45">
        <v>46955.199999999997</v>
      </c>
      <c r="V575" s="45">
        <v>0</v>
      </c>
      <c r="W575" s="45">
        <v>0</v>
      </c>
      <c r="X575" s="45">
        <v>43557.4</v>
      </c>
      <c r="Y575" s="45">
        <v>0</v>
      </c>
      <c r="Z575" s="45">
        <v>1</v>
      </c>
      <c r="AB575" s="45">
        <v>50985</v>
      </c>
      <c r="AC575" s="45">
        <v>9</v>
      </c>
      <c r="AD575" s="45">
        <v>0</v>
      </c>
      <c r="AE575" s="45">
        <v>44865.8</v>
      </c>
      <c r="AF575" s="45">
        <v>0</v>
      </c>
      <c r="AG575" s="45">
        <v>1</v>
      </c>
      <c r="AH575" s="45">
        <v>40506.699999999997</v>
      </c>
      <c r="AI575" s="45">
        <v>0</v>
      </c>
      <c r="AJ575" s="45">
        <v>0</v>
      </c>
      <c r="AK575" s="45">
        <v>59753.8</v>
      </c>
      <c r="AL575" s="45">
        <v>37</v>
      </c>
      <c r="AM575" s="45">
        <v>1</v>
      </c>
      <c r="AO575" s="45">
        <v>41647.599999999999</v>
      </c>
      <c r="AP575" s="45">
        <v>0</v>
      </c>
      <c r="AQ575" s="45">
        <v>0</v>
      </c>
      <c r="AR575" s="45">
        <v>45607.9</v>
      </c>
      <c r="AS575" s="45">
        <v>0</v>
      </c>
      <c r="AT575" s="45">
        <v>1</v>
      </c>
      <c r="AU575" s="45">
        <v>40307</v>
      </c>
      <c r="AV575" s="45">
        <v>0</v>
      </c>
      <c r="AW575" s="45">
        <v>0</v>
      </c>
      <c r="AX575" s="45">
        <v>43209.4</v>
      </c>
      <c r="AY575" s="45">
        <v>4</v>
      </c>
      <c r="AZ575" s="45">
        <v>1</v>
      </c>
    </row>
    <row r="576" spans="2:52">
      <c r="B576" s="45">
        <v>58025</v>
      </c>
      <c r="C576" s="45">
        <v>0</v>
      </c>
      <c r="D576" s="45">
        <v>1</v>
      </c>
      <c r="E576" s="45">
        <v>60089.5</v>
      </c>
      <c r="F576" s="45">
        <v>4</v>
      </c>
      <c r="G576" s="45">
        <v>0</v>
      </c>
      <c r="H576" s="45">
        <v>58387.8</v>
      </c>
      <c r="I576" s="45">
        <v>0</v>
      </c>
      <c r="J576" s="45">
        <v>0</v>
      </c>
      <c r="K576" s="45">
        <v>86413.5</v>
      </c>
      <c r="L576" s="45">
        <v>51</v>
      </c>
      <c r="M576" s="45">
        <v>1</v>
      </c>
      <c r="O576" s="45">
        <v>79412.5</v>
      </c>
      <c r="P576" s="45">
        <v>35</v>
      </c>
      <c r="Q576" s="45">
        <v>0</v>
      </c>
      <c r="R576" s="45">
        <v>60542.2</v>
      </c>
      <c r="S576" s="45">
        <v>0</v>
      </c>
      <c r="T576" s="45">
        <v>1</v>
      </c>
      <c r="U576" s="45">
        <v>73748.800000000003</v>
      </c>
      <c r="V576" s="45">
        <v>29</v>
      </c>
      <c r="W576" s="45">
        <v>0</v>
      </c>
      <c r="X576" s="45">
        <v>59131.3</v>
      </c>
      <c r="Y576" s="45">
        <v>0</v>
      </c>
      <c r="Z576" s="45">
        <v>1</v>
      </c>
      <c r="AB576" s="45">
        <v>64647.5</v>
      </c>
      <c r="AC576" s="45">
        <v>0</v>
      </c>
      <c r="AD576" s="45">
        <v>0</v>
      </c>
      <c r="AE576" s="45">
        <v>56346.2</v>
      </c>
      <c r="AF576" s="45">
        <v>0</v>
      </c>
      <c r="AG576" s="45">
        <v>0</v>
      </c>
      <c r="AH576" s="45">
        <v>53287.199999999997</v>
      </c>
      <c r="AI576" s="45">
        <v>0</v>
      </c>
      <c r="AJ576" s="45">
        <v>1</v>
      </c>
      <c r="AK576" s="45">
        <v>56721.5</v>
      </c>
      <c r="AL576" s="45">
        <v>0</v>
      </c>
      <c r="AM576" s="45">
        <v>0</v>
      </c>
      <c r="AO576" s="45">
        <v>66056.2</v>
      </c>
      <c r="AP576" s="45">
        <v>24</v>
      </c>
      <c r="AQ576" s="45">
        <v>2</v>
      </c>
      <c r="AR576" s="45">
        <v>57361.7</v>
      </c>
      <c r="AS576" s="45">
        <v>0</v>
      </c>
      <c r="AT576" s="45">
        <v>1</v>
      </c>
      <c r="AU576" s="45">
        <v>55529</v>
      </c>
      <c r="AV576" s="45">
        <v>0</v>
      </c>
      <c r="AW576" s="45">
        <v>1</v>
      </c>
      <c r="AX576" s="45">
        <v>55980.6</v>
      </c>
      <c r="AY576" s="45">
        <v>0</v>
      </c>
      <c r="AZ576" s="45">
        <v>0</v>
      </c>
    </row>
    <row r="577" spans="2:52">
      <c r="B577" s="45">
        <v>46897</v>
      </c>
      <c r="C577" s="45">
        <v>0</v>
      </c>
      <c r="D577" s="45">
        <v>0</v>
      </c>
      <c r="E577" s="45">
        <v>59384.1</v>
      </c>
      <c r="F577" s="45">
        <v>21</v>
      </c>
      <c r="G577" s="45">
        <v>0</v>
      </c>
      <c r="H577" s="45">
        <v>52909.599999999999</v>
      </c>
      <c r="I577" s="45">
        <v>0</v>
      </c>
      <c r="J577" s="45">
        <v>1</v>
      </c>
      <c r="K577" s="45">
        <v>51442.1</v>
      </c>
      <c r="L577" s="45">
        <v>0</v>
      </c>
      <c r="M577" s="45">
        <v>0</v>
      </c>
      <c r="O577" s="45">
        <v>58666.3</v>
      </c>
      <c r="P577" s="45">
        <v>19</v>
      </c>
      <c r="Q577" s="45">
        <v>0</v>
      </c>
      <c r="R577" s="45">
        <v>67603.7</v>
      </c>
      <c r="S577" s="45">
        <v>27</v>
      </c>
      <c r="T577" s="45">
        <v>1</v>
      </c>
      <c r="U577" s="45">
        <v>93225.9</v>
      </c>
      <c r="V577" s="45">
        <v>83</v>
      </c>
      <c r="W577" s="45">
        <v>0</v>
      </c>
      <c r="X577" s="45">
        <v>54235.9</v>
      </c>
      <c r="Y577" s="45">
        <v>0</v>
      </c>
      <c r="Z577" s="45">
        <v>1</v>
      </c>
      <c r="AB577" s="45">
        <v>50310</v>
      </c>
      <c r="AC577" s="45">
        <v>0</v>
      </c>
      <c r="AD577" s="45">
        <v>1</v>
      </c>
      <c r="AE577" s="45">
        <v>49675.7</v>
      </c>
      <c r="AF577" s="45">
        <v>0</v>
      </c>
      <c r="AG577" s="45">
        <v>0</v>
      </c>
      <c r="AH577" s="45">
        <v>50742.9</v>
      </c>
      <c r="AI577" s="45">
        <v>0</v>
      </c>
      <c r="AJ577" s="45">
        <v>1</v>
      </c>
      <c r="AK577" s="45">
        <v>46313.7</v>
      </c>
      <c r="AL577" s="45">
        <v>0</v>
      </c>
      <c r="AM577" s="45">
        <v>0</v>
      </c>
      <c r="AO577" s="45">
        <v>49475.7</v>
      </c>
      <c r="AP577" s="45">
        <v>0</v>
      </c>
      <c r="AQ577" s="45">
        <v>1</v>
      </c>
      <c r="AR577" s="45">
        <v>47238.3</v>
      </c>
      <c r="AS577" s="45">
        <v>0</v>
      </c>
      <c r="AT577" s="45">
        <v>1</v>
      </c>
      <c r="AU577" s="45">
        <v>50080.800000000003</v>
      </c>
      <c r="AV577" s="45">
        <v>0</v>
      </c>
      <c r="AW577" s="45">
        <v>1</v>
      </c>
      <c r="AX577" s="45">
        <v>48967.1</v>
      </c>
      <c r="AY577" s="45">
        <v>0</v>
      </c>
      <c r="AZ577" s="45">
        <v>0</v>
      </c>
    </row>
    <row r="578" spans="2:52">
      <c r="B578" s="45">
        <v>57320.4</v>
      </c>
      <c r="C578" s="45">
        <v>0</v>
      </c>
      <c r="D578" s="45">
        <v>0</v>
      </c>
      <c r="E578" s="45">
        <v>57700.3</v>
      </c>
      <c r="F578" s="45">
        <v>0</v>
      </c>
      <c r="G578" s="45">
        <v>1</v>
      </c>
      <c r="H578" s="45">
        <v>59535.1</v>
      </c>
      <c r="I578" s="45">
        <v>0</v>
      </c>
      <c r="J578" s="45">
        <v>0</v>
      </c>
      <c r="K578" s="45">
        <v>60095.5</v>
      </c>
      <c r="L578" s="45">
        <v>0</v>
      </c>
      <c r="M578" s="45">
        <v>0</v>
      </c>
      <c r="O578" s="45">
        <v>68543.5</v>
      </c>
      <c r="P578" s="45">
        <v>3</v>
      </c>
      <c r="Q578" s="45">
        <v>0</v>
      </c>
      <c r="R578" s="45">
        <v>63493.2</v>
      </c>
      <c r="S578" s="45">
        <v>0</v>
      </c>
      <c r="T578" s="45">
        <v>0</v>
      </c>
      <c r="U578" s="45">
        <v>64012.5</v>
      </c>
      <c r="V578" s="45">
        <v>0</v>
      </c>
      <c r="W578" s="45">
        <v>1</v>
      </c>
      <c r="X578" s="45">
        <v>67037.899999999994</v>
      </c>
      <c r="Y578" s="45">
        <v>0</v>
      </c>
      <c r="Z578" s="45">
        <v>1</v>
      </c>
      <c r="AB578" s="45">
        <v>57927.9</v>
      </c>
      <c r="AC578" s="45">
        <v>0</v>
      </c>
      <c r="AD578" s="45">
        <v>0</v>
      </c>
      <c r="AE578" s="45">
        <v>62123.8</v>
      </c>
      <c r="AF578" s="45">
        <v>2</v>
      </c>
      <c r="AG578" s="45">
        <v>1</v>
      </c>
      <c r="AH578" s="45">
        <v>61952.6</v>
      </c>
      <c r="AI578" s="45">
        <v>3</v>
      </c>
      <c r="AJ578" s="45">
        <v>0</v>
      </c>
      <c r="AK578" s="45">
        <v>64284.6</v>
      </c>
      <c r="AL578" s="45">
        <v>12</v>
      </c>
      <c r="AM578" s="45">
        <v>1</v>
      </c>
      <c r="AO578" s="45">
        <v>59777.599999999999</v>
      </c>
      <c r="AP578" s="45">
        <v>0</v>
      </c>
      <c r="AQ578" s="45">
        <v>1</v>
      </c>
      <c r="AR578" s="45">
        <v>58949.8</v>
      </c>
      <c r="AS578" s="45">
        <v>0</v>
      </c>
      <c r="AT578" s="45">
        <v>1</v>
      </c>
      <c r="AU578" s="45">
        <v>62886</v>
      </c>
      <c r="AV578" s="45">
        <v>4</v>
      </c>
      <c r="AW578" s="45">
        <v>1</v>
      </c>
      <c r="AX578" s="45">
        <v>58292.2</v>
      </c>
      <c r="AY578" s="45">
        <v>0</v>
      </c>
      <c r="AZ578" s="45">
        <v>1</v>
      </c>
    </row>
    <row r="579" spans="2:52">
      <c r="B579" s="45">
        <v>66352.100000000006</v>
      </c>
      <c r="C579" s="45">
        <v>0</v>
      </c>
      <c r="D579" s="45">
        <v>1</v>
      </c>
      <c r="E579" s="45">
        <v>75823.399999999994</v>
      </c>
      <c r="F579" s="45">
        <v>0</v>
      </c>
      <c r="G579" s="45">
        <v>0</v>
      </c>
      <c r="H579" s="45">
        <v>72505.899999999994</v>
      </c>
      <c r="I579" s="45">
        <v>0</v>
      </c>
      <c r="J579" s="45">
        <v>0</v>
      </c>
      <c r="K579" s="45">
        <v>109979</v>
      </c>
      <c r="L579" s="45">
        <v>88</v>
      </c>
      <c r="M579" s="45">
        <v>1</v>
      </c>
      <c r="O579" s="45">
        <v>74806.600000000006</v>
      </c>
      <c r="P579" s="45">
        <v>0</v>
      </c>
      <c r="Q579" s="45">
        <v>0</v>
      </c>
      <c r="R579" s="45">
        <v>73487.600000000006</v>
      </c>
      <c r="S579" s="45">
        <v>0</v>
      </c>
      <c r="T579" s="45">
        <v>0</v>
      </c>
      <c r="U579" s="45">
        <v>71399.399999999994</v>
      </c>
      <c r="V579" s="45">
        <v>0</v>
      </c>
      <c r="W579" s="45">
        <v>1</v>
      </c>
      <c r="X579" s="45">
        <v>71343.3</v>
      </c>
      <c r="Y579" s="45">
        <v>0</v>
      </c>
      <c r="Z579" s="45">
        <v>0</v>
      </c>
      <c r="AB579" s="45">
        <v>72040</v>
      </c>
      <c r="AC579" s="45">
        <v>0</v>
      </c>
      <c r="AD579" s="45">
        <v>0</v>
      </c>
      <c r="AE579" s="45">
        <v>73110.7</v>
      </c>
      <c r="AF579" s="45">
        <v>0</v>
      </c>
      <c r="AG579" s="45">
        <v>1</v>
      </c>
      <c r="AH579" s="45">
        <v>73296.5</v>
      </c>
      <c r="AI579" s="45">
        <v>0</v>
      </c>
      <c r="AJ579" s="45">
        <v>0</v>
      </c>
      <c r="AK579" s="45">
        <v>67521.5</v>
      </c>
      <c r="AL579" s="45">
        <v>0</v>
      </c>
      <c r="AM579" s="45">
        <v>1</v>
      </c>
      <c r="AO579" s="45">
        <v>74853.100000000006</v>
      </c>
      <c r="AP579" s="45">
        <v>0</v>
      </c>
      <c r="AQ579" s="45">
        <v>0</v>
      </c>
      <c r="AR579" s="45">
        <v>70236</v>
      </c>
      <c r="AS579" s="45">
        <v>0</v>
      </c>
      <c r="AT579" s="45">
        <v>1</v>
      </c>
      <c r="AU579" s="45">
        <v>74294.7</v>
      </c>
      <c r="AV579" s="45">
        <v>0</v>
      </c>
      <c r="AW579" s="45">
        <v>0</v>
      </c>
      <c r="AX579" s="45">
        <v>77034.100000000006</v>
      </c>
      <c r="AY579" s="45">
        <v>21</v>
      </c>
      <c r="AZ579" s="45">
        <v>1</v>
      </c>
    </row>
    <row r="580" spans="2:52">
      <c r="B580" s="45">
        <v>57289.3</v>
      </c>
      <c r="C580" s="45">
        <v>8</v>
      </c>
      <c r="D580" s="45">
        <v>0</v>
      </c>
      <c r="E580" s="45">
        <v>84048.4</v>
      </c>
      <c r="F580" s="45">
        <v>57</v>
      </c>
      <c r="G580" s="45">
        <v>1</v>
      </c>
      <c r="H580" s="45">
        <v>55336.800000000003</v>
      </c>
      <c r="I580" s="45">
        <v>0</v>
      </c>
      <c r="J580" s="45">
        <v>0</v>
      </c>
      <c r="K580" s="45">
        <v>56516.7</v>
      </c>
      <c r="L580" s="45">
        <v>0</v>
      </c>
      <c r="M580" s="45">
        <v>1</v>
      </c>
      <c r="O580" s="45">
        <v>61627.4</v>
      </c>
      <c r="P580" s="45">
        <v>0</v>
      </c>
      <c r="Q580" s="45">
        <v>0</v>
      </c>
      <c r="R580" s="45">
        <v>58400.5</v>
      </c>
      <c r="S580" s="45">
        <v>0</v>
      </c>
      <c r="T580" s="45">
        <v>1</v>
      </c>
      <c r="U580" s="45">
        <v>59203.4</v>
      </c>
      <c r="V580" s="45">
        <v>0</v>
      </c>
      <c r="W580" s="45">
        <v>0</v>
      </c>
      <c r="X580" s="45">
        <v>57662.3</v>
      </c>
      <c r="Y580" s="45">
        <v>0</v>
      </c>
      <c r="Z580" s="45">
        <v>1</v>
      </c>
      <c r="AB580" s="45">
        <v>55890.9</v>
      </c>
      <c r="AC580" s="45">
        <v>0</v>
      </c>
      <c r="AD580" s="45">
        <v>0</v>
      </c>
      <c r="AE580" s="45">
        <v>51834.7</v>
      </c>
      <c r="AF580" s="45">
        <v>0</v>
      </c>
      <c r="AG580" s="45">
        <v>1</v>
      </c>
      <c r="AH580" s="45">
        <v>58824.800000000003</v>
      </c>
      <c r="AI580" s="45">
        <v>0</v>
      </c>
      <c r="AJ580" s="45">
        <v>0</v>
      </c>
      <c r="AK580" s="45">
        <v>52496</v>
      </c>
      <c r="AL580" s="45">
        <v>0</v>
      </c>
      <c r="AM580" s="45">
        <v>1</v>
      </c>
      <c r="AO580" s="45">
        <v>53345.9</v>
      </c>
      <c r="AP580" s="45">
        <v>0</v>
      </c>
      <c r="AQ580" s="45">
        <v>1</v>
      </c>
      <c r="AR580" s="45">
        <v>57176.7</v>
      </c>
      <c r="AS580" s="45">
        <v>0</v>
      </c>
      <c r="AT580" s="45">
        <v>1</v>
      </c>
      <c r="AU580" s="45">
        <v>56875.1</v>
      </c>
      <c r="AV580" s="45">
        <v>0</v>
      </c>
      <c r="AW580" s="45">
        <v>0</v>
      </c>
      <c r="AX580" s="45">
        <v>52151.7</v>
      </c>
      <c r="AY580" s="45">
        <v>0</v>
      </c>
      <c r="AZ580" s="45">
        <v>1</v>
      </c>
    </row>
    <row r="581" spans="2:52">
      <c r="B581" s="45">
        <v>60121.8</v>
      </c>
      <c r="C581" s="45">
        <v>0</v>
      </c>
      <c r="D581" s="45">
        <v>0</v>
      </c>
      <c r="E581" s="45">
        <v>56689.1</v>
      </c>
      <c r="F581" s="45">
        <v>0</v>
      </c>
      <c r="G581" s="45">
        <v>0</v>
      </c>
      <c r="H581" s="45">
        <v>54531.4</v>
      </c>
      <c r="I581" s="45">
        <v>0</v>
      </c>
      <c r="J581" s="45">
        <v>1</v>
      </c>
      <c r="K581" s="45">
        <v>57058.7</v>
      </c>
      <c r="L581" s="45">
        <v>0</v>
      </c>
      <c r="M581" s="45">
        <v>0</v>
      </c>
      <c r="O581" s="45">
        <v>63131.4</v>
      </c>
      <c r="P581" s="45">
        <v>0</v>
      </c>
      <c r="Q581" s="45">
        <v>0</v>
      </c>
      <c r="R581" s="45">
        <v>63074.5</v>
      </c>
      <c r="S581" s="45">
        <v>0</v>
      </c>
      <c r="T581" s="45">
        <v>0</v>
      </c>
      <c r="U581" s="45">
        <v>60388.3</v>
      </c>
      <c r="V581" s="45">
        <v>0</v>
      </c>
      <c r="W581" s="45">
        <v>1</v>
      </c>
      <c r="X581" s="45">
        <v>81632.7</v>
      </c>
      <c r="Y581" s="45">
        <v>52</v>
      </c>
      <c r="Z581" s="45">
        <v>0</v>
      </c>
      <c r="AB581" s="45">
        <v>55535</v>
      </c>
      <c r="AC581" s="45">
        <v>0</v>
      </c>
      <c r="AD581" s="45">
        <v>0</v>
      </c>
      <c r="AE581" s="45">
        <v>61129.4</v>
      </c>
      <c r="AF581" s="45">
        <v>0</v>
      </c>
      <c r="AG581" s="45">
        <v>0</v>
      </c>
      <c r="AH581" s="45">
        <v>54412.9</v>
      </c>
      <c r="AI581" s="45">
        <v>0</v>
      </c>
      <c r="AJ581" s="45">
        <v>1</v>
      </c>
      <c r="AK581" s="45">
        <v>56266.9</v>
      </c>
      <c r="AL581" s="45">
        <v>0</v>
      </c>
      <c r="AM581" s="45">
        <v>0</v>
      </c>
      <c r="AO581" s="45">
        <v>57340.800000000003</v>
      </c>
      <c r="AP581" s="45">
        <v>0</v>
      </c>
      <c r="AQ581" s="45">
        <v>1</v>
      </c>
      <c r="AR581" s="45">
        <v>61653.8</v>
      </c>
      <c r="AS581" s="45">
        <v>0</v>
      </c>
      <c r="AT581" s="45">
        <v>0</v>
      </c>
      <c r="AU581" s="45">
        <v>60321.1</v>
      </c>
      <c r="AV581" s="45">
        <v>0</v>
      </c>
      <c r="AW581" s="45">
        <v>1</v>
      </c>
      <c r="AX581" s="45">
        <v>56213.5</v>
      </c>
      <c r="AY581" s="45">
        <v>0</v>
      </c>
      <c r="AZ581" s="45">
        <v>1</v>
      </c>
    </row>
    <row r="582" spans="2:52">
      <c r="B582" s="45">
        <v>64985.599999999999</v>
      </c>
      <c r="C582" s="45">
        <v>0</v>
      </c>
      <c r="D582" s="45">
        <v>0</v>
      </c>
      <c r="E582" s="45">
        <v>67204.100000000006</v>
      </c>
      <c r="F582" s="45">
        <v>0</v>
      </c>
      <c r="G582" s="45">
        <v>0</v>
      </c>
      <c r="H582" s="45">
        <v>64375.7</v>
      </c>
      <c r="I582" s="45">
        <v>0</v>
      </c>
      <c r="J582" s="45">
        <v>1</v>
      </c>
      <c r="K582" s="45">
        <v>64375.3</v>
      </c>
      <c r="L582" s="45">
        <v>0</v>
      </c>
      <c r="M582" s="45">
        <v>0</v>
      </c>
      <c r="O582" s="45">
        <v>73015.199999999997</v>
      </c>
      <c r="P582" s="45">
        <v>0</v>
      </c>
      <c r="Q582" s="45">
        <v>1</v>
      </c>
      <c r="R582" s="45">
        <v>65677.2</v>
      </c>
      <c r="S582" s="45">
        <v>0</v>
      </c>
      <c r="T582" s="45">
        <v>0</v>
      </c>
      <c r="U582" s="45">
        <v>63004.2</v>
      </c>
      <c r="V582" s="45">
        <v>0</v>
      </c>
      <c r="W582" s="45">
        <v>1</v>
      </c>
      <c r="X582" s="45">
        <v>73528.100000000006</v>
      </c>
      <c r="Y582" s="45">
        <v>14</v>
      </c>
      <c r="Z582" s="45">
        <v>0</v>
      </c>
      <c r="AB582" s="45">
        <v>64327.4</v>
      </c>
      <c r="AC582" s="45">
        <v>0</v>
      </c>
      <c r="AD582" s="45">
        <v>0</v>
      </c>
      <c r="AE582" s="45">
        <v>66029.600000000006</v>
      </c>
      <c r="AF582" s="45">
        <v>0</v>
      </c>
      <c r="AG582" s="45">
        <v>1</v>
      </c>
      <c r="AH582" s="45">
        <v>64018.5</v>
      </c>
      <c r="AI582" s="45">
        <v>0</v>
      </c>
      <c r="AJ582" s="45">
        <v>0</v>
      </c>
      <c r="AK582" s="45">
        <v>60881</v>
      </c>
      <c r="AL582" s="45">
        <v>0</v>
      </c>
      <c r="AM582" s="45">
        <v>1</v>
      </c>
      <c r="AO582" s="45">
        <v>66510.399999999994</v>
      </c>
      <c r="AP582" s="45">
        <v>0</v>
      </c>
      <c r="AQ582" s="45">
        <v>0</v>
      </c>
      <c r="AR582" s="45">
        <v>63504</v>
      </c>
      <c r="AS582" s="45">
        <v>6</v>
      </c>
      <c r="AT582" s="45">
        <v>2</v>
      </c>
      <c r="AU582" s="45">
        <v>64455.9</v>
      </c>
      <c r="AV582" s="45">
        <v>0</v>
      </c>
      <c r="AW582" s="45">
        <v>0</v>
      </c>
      <c r="AX582" s="45">
        <v>64099.8</v>
      </c>
      <c r="AY582" s="45">
        <v>0</v>
      </c>
      <c r="AZ582" s="45">
        <v>1</v>
      </c>
    </row>
    <row r="583" spans="2:52">
      <c r="B583" s="45">
        <v>46855.4</v>
      </c>
      <c r="C583" s="45">
        <v>0</v>
      </c>
      <c r="D583" s="45">
        <v>0</v>
      </c>
      <c r="E583" s="45">
        <v>48953.1</v>
      </c>
      <c r="F583" s="45">
        <v>0</v>
      </c>
      <c r="G583" s="45">
        <v>1</v>
      </c>
      <c r="H583" s="45">
        <v>51243.9</v>
      </c>
      <c r="I583" s="45">
        <v>0</v>
      </c>
      <c r="J583" s="45">
        <v>0</v>
      </c>
      <c r="K583" s="45">
        <v>47138.400000000001</v>
      </c>
      <c r="L583" s="45">
        <v>0</v>
      </c>
      <c r="M583" s="45">
        <v>1</v>
      </c>
      <c r="O583" s="45">
        <v>54006.400000000001</v>
      </c>
      <c r="P583" s="45">
        <v>0</v>
      </c>
      <c r="Q583" s="45">
        <v>1</v>
      </c>
      <c r="R583" s="45">
        <v>62824.3</v>
      </c>
      <c r="S583" s="45">
        <v>27</v>
      </c>
      <c r="T583" s="45">
        <v>0</v>
      </c>
      <c r="U583" s="45">
        <v>52573.9</v>
      </c>
      <c r="V583" s="45">
        <v>7</v>
      </c>
      <c r="W583" s="45">
        <v>1</v>
      </c>
      <c r="X583" s="45">
        <v>50900</v>
      </c>
      <c r="Y583" s="45">
        <v>0</v>
      </c>
      <c r="Z583" s="45">
        <v>1</v>
      </c>
      <c r="AB583" s="45">
        <v>50107.5</v>
      </c>
      <c r="AC583" s="45">
        <v>0</v>
      </c>
      <c r="AD583" s="45">
        <v>0</v>
      </c>
      <c r="AE583" s="45">
        <v>47877.5</v>
      </c>
      <c r="AF583" s="45">
        <v>0</v>
      </c>
      <c r="AG583" s="45">
        <v>1</v>
      </c>
      <c r="AH583" s="45">
        <v>68541.2</v>
      </c>
      <c r="AI583" s="45">
        <v>40</v>
      </c>
      <c r="AJ583" s="45">
        <v>0</v>
      </c>
      <c r="AK583" s="45">
        <v>48334</v>
      </c>
      <c r="AL583" s="45">
        <v>0</v>
      </c>
      <c r="AM583" s="45">
        <v>1</v>
      </c>
      <c r="AO583" s="45">
        <v>54382.9</v>
      </c>
      <c r="AP583" s="45">
        <v>0</v>
      </c>
      <c r="AQ583" s="45">
        <v>1</v>
      </c>
      <c r="AR583" s="45">
        <v>48360</v>
      </c>
      <c r="AS583" s="45">
        <v>0</v>
      </c>
      <c r="AT583" s="45">
        <v>0</v>
      </c>
      <c r="AU583" s="45">
        <v>53992.3</v>
      </c>
      <c r="AV583" s="45">
        <v>0</v>
      </c>
      <c r="AW583" s="45">
        <v>1</v>
      </c>
      <c r="AX583" s="45">
        <v>47911.199999999997</v>
      </c>
      <c r="AY583" s="45">
        <v>0</v>
      </c>
      <c r="AZ583" s="45">
        <v>1</v>
      </c>
    </row>
    <row r="584" spans="2:52">
      <c r="B584" s="45">
        <v>45715.9</v>
      </c>
      <c r="C584" s="45">
        <v>0</v>
      </c>
      <c r="D584" s="45">
        <v>0</v>
      </c>
      <c r="E584" s="45">
        <v>42756.9</v>
      </c>
      <c r="F584" s="45">
        <v>0</v>
      </c>
      <c r="G584" s="45">
        <v>0</v>
      </c>
      <c r="H584" s="45">
        <v>52834.1</v>
      </c>
      <c r="I584" s="45">
        <v>16</v>
      </c>
      <c r="J584" s="45">
        <v>0</v>
      </c>
      <c r="K584" s="45">
        <v>60262.9</v>
      </c>
      <c r="L584" s="45">
        <v>33</v>
      </c>
      <c r="M584" s="45">
        <v>1</v>
      </c>
      <c r="O584" s="45">
        <v>48272.7</v>
      </c>
      <c r="P584" s="45">
        <v>2</v>
      </c>
      <c r="Q584" s="45">
        <v>0</v>
      </c>
      <c r="R584" s="45">
        <v>47191.3</v>
      </c>
      <c r="S584" s="45">
        <v>0</v>
      </c>
      <c r="T584" s="45">
        <v>1</v>
      </c>
      <c r="U584" s="45">
        <v>44906</v>
      </c>
      <c r="V584" s="45">
        <v>0</v>
      </c>
      <c r="W584" s="45">
        <v>0</v>
      </c>
      <c r="X584" s="45">
        <v>49291.199999999997</v>
      </c>
      <c r="Y584" s="45">
        <v>0</v>
      </c>
      <c r="Z584" s="45">
        <v>0</v>
      </c>
      <c r="AB584" s="45">
        <v>51908.2</v>
      </c>
      <c r="AC584" s="45">
        <v>14</v>
      </c>
      <c r="AD584" s="45">
        <v>1</v>
      </c>
      <c r="AE584" s="45">
        <v>43080.5</v>
      </c>
      <c r="AF584" s="45">
        <v>4</v>
      </c>
      <c r="AG584" s="45">
        <v>0</v>
      </c>
      <c r="AH584" s="45">
        <v>46225.8</v>
      </c>
      <c r="AI584" s="45">
        <v>0</v>
      </c>
      <c r="AJ584" s="45">
        <v>0</v>
      </c>
      <c r="AK584" s="45">
        <v>40289.599999999999</v>
      </c>
      <c r="AL584" s="45">
        <v>0</v>
      </c>
      <c r="AM584" s="45">
        <v>1</v>
      </c>
      <c r="AO584" s="45">
        <v>47226.8</v>
      </c>
      <c r="AP584" s="45">
        <v>0</v>
      </c>
      <c r="AQ584" s="45">
        <v>0</v>
      </c>
      <c r="AR584" s="45">
        <v>44095.6</v>
      </c>
      <c r="AS584" s="45">
        <v>0</v>
      </c>
      <c r="AT584" s="45">
        <v>1</v>
      </c>
      <c r="AU584" s="45">
        <v>42371.4</v>
      </c>
      <c r="AV584" s="45">
        <v>0</v>
      </c>
      <c r="AW584" s="45">
        <v>1</v>
      </c>
      <c r="AX584" s="45">
        <v>40303.800000000003</v>
      </c>
      <c r="AY584" s="45">
        <v>0</v>
      </c>
      <c r="AZ584" s="45">
        <v>0</v>
      </c>
    </row>
    <row r="585" spans="2:52">
      <c r="B585" s="45">
        <v>58502.1</v>
      </c>
      <c r="C585" s="45">
        <v>0</v>
      </c>
      <c r="D585" s="45">
        <v>0</v>
      </c>
      <c r="E585" s="45">
        <v>56179</v>
      </c>
      <c r="F585" s="45">
        <v>0</v>
      </c>
      <c r="G585" s="45">
        <v>1</v>
      </c>
      <c r="H585" s="45">
        <v>58331</v>
      </c>
      <c r="I585" s="45">
        <v>0</v>
      </c>
      <c r="J585" s="45">
        <v>0</v>
      </c>
      <c r="K585" s="45">
        <v>55448.6</v>
      </c>
      <c r="L585" s="45">
        <v>0</v>
      </c>
      <c r="M585" s="45">
        <v>1</v>
      </c>
      <c r="O585" s="45">
        <v>62878</v>
      </c>
      <c r="P585" s="45">
        <v>0</v>
      </c>
      <c r="Q585" s="45">
        <v>1</v>
      </c>
      <c r="R585" s="45">
        <v>65278.6</v>
      </c>
      <c r="S585" s="45">
        <v>0</v>
      </c>
      <c r="T585" s="45">
        <v>0</v>
      </c>
      <c r="U585" s="45">
        <v>60368.1</v>
      </c>
      <c r="V585" s="45">
        <v>0</v>
      </c>
      <c r="W585" s="45">
        <v>1</v>
      </c>
      <c r="X585" s="45">
        <v>52728.1</v>
      </c>
      <c r="Y585" s="45">
        <v>0</v>
      </c>
      <c r="Z585" s="45">
        <v>0</v>
      </c>
      <c r="AB585" s="45">
        <v>60508.1</v>
      </c>
      <c r="AC585" s="45">
        <v>0</v>
      </c>
      <c r="AD585" s="45">
        <v>0</v>
      </c>
      <c r="AE585" s="45">
        <v>56401.5</v>
      </c>
      <c r="AF585" s="45">
        <v>0</v>
      </c>
      <c r="AG585" s="45">
        <v>1</v>
      </c>
      <c r="AH585" s="45">
        <v>54866.400000000001</v>
      </c>
      <c r="AI585" s="45">
        <v>0</v>
      </c>
      <c r="AJ585" s="45">
        <v>0</v>
      </c>
      <c r="AK585" s="45">
        <v>57280.9</v>
      </c>
      <c r="AL585" s="45">
        <v>0</v>
      </c>
      <c r="AM585" s="45">
        <v>0</v>
      </c>
      <c r="AO585" s="45">
        <v>60447.9</v>
      </c>
      <c r="AP585" s="45">
        <v>0</v>
      </c>
      <c r="AQ585" s="45">
        <v>1</v>
      </c>
      <c r="AR585" s="45">
        <v>63063.5</v>
      </c>
      <c r="AS585" s="45">
        <v>0</v>
      </c>
      <c r="AT585" s="45">
        <v>1</v>
      </c>
      <c r="AU585" s="45">
        <v>59582</v>
      </c>
      <c r="AV585" s="45">
        <v>0</v>
      </c>
      <c r="AW585" s="45">
        <v>0</v>
      </c>
      <c r="AX585" s="45">
        <v>57584</v>
      </c>
      <c r="AY585" s="45">
        <v>0</v>
      </c>
      <c r="AZ585" s="45">
        <v>1</v>
      </c>
    </row>
    <row r="586" spans="2:52">
      <c r="B586" s="45">
        <v>57198.3</v>
      </c>
      <c r="C586" s="45">
        <v>0</v>
      </c>
      <c r="D586" s="45">
        <v>0</v>
      </c>
      <c r="E586" s="45">
        <v>56415.1</v>
      </c>
      <c r="F586" s="45">
        <v>0</v>
      </c>
      <c r="G586" s="45">
        <v>0</v>
      </c>
      <c r="H586" s="45">
        <v>58218.7</v>
      </c>
      <c r="I586" s="45">
        <v>0</v>
      </c>
      <c r="J586" s="45">
        <v>0</v>
      </c>
      <c r="K586" s="45">
        <v>57252.9</v>
      </c>
      <c r="L586" s="45">
        <v>0</v>
      </c>
      <c r="M586" s="45">
        <v>1</v>
      </c>
      <c r="O586" s="45">
        <v>56408.6</v>
      </c>
      <c r="P586" s="45">
        <v>0</v>
      </c>
      <c r="Q586" s="45">
        <v>0</v>
      </c>
      <c r="R586" s="45">
        <v>58717.599999999999</v>
      </c>
      <c r="S586" s="45">
        <v>0</v>
      </c>
      <c r="T586" s="45">
        <v>1</v>
      </c>
      <c r="U586" s="45">
        <v>55634</v>
      </c>
      <c r="V586" s="45">
        <v>0</v>
      </c>
      <c r="W586" s="45">
        <v>0</v>
      </c>
      <c r="X586" s="45">
        <v>55852.9</v>
      </c>
      <c r="Y586" s="45">
        <v>0</v>
      </c>
      <c r="Z586" s="45">
        <v>1</v>
      </c>
      <c r="AB586" s="45">
        <v>56401.2</v>
      </c>
      <c r="AC586" s="45">
        <v>0</v>
      </c>
      <c r="AD586" s="45">
        <v>1</v>
      </c>
      <c r="AE586" s="45">
        <v>58692.4</v>
      </c>
      <c r="AF586" s="45">
        <v>0</v>
      </c>
      <c r="AG586" s="45">
        <v>0</v>
      </c>
      <c r="AH586" s="45">
        <v>56897.7</v>
      </c>
      <c r="AI586" s="45">
        <v>0</v>
      </c>
      <c r="AJ586" s="45">
        <v>0</v>
      </c>
      <c r="AK586" s="45">
        <v>54394.5</v>
      </c>
      <c r="AL586" s="45">
        <v>0</v>
      </c>
      <c r="AM586" s="45">
        <v>1</v>
      </c>
      <c r="AO586" s="45">
        <v>55721.2</v>
      </c>
      <c r="AP586" s="45">
        <v>0</v>
      </c>
      <c r="AQ586" s="45">
        <v>1</v>
      </c>
      <c r="AR586" s="45">
        <v>57627.7</v>
      </c>
      <c r="AS586" s="45">
        <v>0</v>
      </c>
      <c r="AT586" s="45">
        <v>0</v>
      </c>
      <c r="AU586" s="45">
        <v>59745.8</v>
      </c>
      <c r="AV586" s="45">
        <v>9</v>
      </c>
      <c r="AW586" s="45">
        <v>1</v>
      </c>
      <c r="AX586" s="45">
        <v>58499.7</v>
      </c>
      <c r="AY586" s="45">
        <v>0</v>
      </c>
      <c r="AZ586" s="45">
        <v>1</v>
      </c>
    </row>
    <row r="587" spans="2:52">
      <c r="B587" s="45">
        <v>47045.4</v>
      </c>
      <c r="C587" s="45">
        <v>0</v>
      </c>
      <c r="D587" s="45">
        <v>0</v>
      </c>
      <c r="E587" s="45">
        <v>45581.4</v>
      </c>
      <c r="F587" s="45">
        <v>0</v>
      </c>
      <c r="G587" s="45">
        <v>0</v>
      </c>
      <c r="H587" s="45">
        <v>48344.2</v>
      </c>
      <c r="I587" s="45">
        <v>0</v>
      </c>
      <c r="J587" s="45">
        <v>1</v>
      </c>
      <c r="K587" s="45">
        <v>45857.1</v>
      </c>
      <c r="L587" s="45">
        <v>0</v>
      </c>
      <c r="M587" s="45">
        <v>0</v>
      </c>
      <c r="O587" s="45">
        <v>52894.7</v>
      </c>
      <c r="P587" s="45">
        <v>0</v>
      </c>
      <c r="Q587" s="45">
        <v>0</v>
      </c>
      <c r="R587" s="45">
        <v>47545.7</v>
      </c>
      <c r="S587" s="45">
        <v>0</v>
      </c>
      <c r="T587" s="45">
        <v>0</v>
      </c>
      <c r="U587" s="45">
        <v>73770.8</v>
      </c>
      <c r="V587" s="45">
        <v>48</v>
      </c>
      <c r="W587" s="45">
        <v>1</v>
      </c>
      <c r="X587" s="45">
        <v>45550.1</v>
      </c>
      <c r="Y587" s="45">
        <v>0</v>
      </c>
      <c r="Z587" s="45">
        <v>0</v>
      </c>
      <c r="AB587" s="45">
        <v>51342.3</v>
      </c>
      <c r="AC587" s="45">
        <v>0</v>
      </c>
      <c r="AD587" s="45">
        <v>0</v>
      </c>
      <c r="AE587" s="45">
        <v>49767.5</v>
      </c>
      <c r="AF587" s="45">
        <v>0</v>
      </c>
      <c r="AG587" s="45">
        <v>0</v>
      </c>
      <c r="AH587" s="45">
        <v>44098.6</v>
      </c>
      <c r="AI587" s="45">
        <v>0</v>
      </c>
      <c r="AJ587" s="45">
        <v>1</v>
      </c>
      <c r="AK587" s="45">
        <v>44423.9</v>
      </c>
      <c r="AL587" s="45">
        <v>0</v>
      </c>
      <c r="AM587" s="45">
        <v>0</v>
      </c>
      <c r="AO587" s="45">
        <v>57574.6</v>
      </c>
      <c r="AP587" s="45">
        <v>28</v>
      </c>
      <c r="AQ587" s="45">
        <v>2</v>
      </c>
      <c r="AR587" s="45">
        <v>55342.6</v>
      </c>
      <c r="AS587" s="45">
        <v>18</v>
      </c>
      <c r="AT587" s="45">
        <v>0</v>
      </c>
      <c r="AU587" s="45">
        <v>48366.2</v>
      </c>
      <c r="AV587" s="45">
        <v>0</v>
      </c>
      <c r="AW587" s="45">
        <v>1</v>
      </c>
      <c r="AX587" s="45">
        <v>60512.4</v>
      </c>
      <c r="AY587" s="45">
        <v>33</v>
      </c>
      <c r="AZ587" s="45">
        <v>1</v>
      </c>
    </row>
    <row r="588" spans="2:52">
      <c r="B588" s="45">
        <v>54490</v>
      </c>
      <c r="C588" s="45">
        <v>0</v>
      </c>
      <c r="D588" s="45">
        <v>0</v>
      </c>
      <c r="E588" s="45">
        <v>48957.4</v>
      </c>
      <c r="F588" s="45">
        <v>0</v>
      </c>
      <c r="G588" s="45">
        <v>1</v>
      </c>
      <c r="H588" s="45">
        <v>46327</v>
      </c>
      <c r="I588" s="45">
        <v>0</v>
      </c>
      <c r="J588" s="45">
        <v>0</v>
      </c>
      <c r="K588" s="45">
        <v>49338.6</v>
      </c>
      <c r="L588" s="45">
        <v>0</v>
      </c>
      <c r="M588" s="45">
        <v>0</v>
      </c>
      <c r="O588" s="45">
        <v>55303.6</v>
      </c>
      <c r="P588" s="45">
        <v>0</v>
      </c>
      <c r="Q588" s="45">
        <v>1</v>
      </c>
      <c r="R588" s="45">
        <v>54839.4</v>
      </c>
      <c r="S588" s="45">
        <v>0</v>
      </c>
      <c r="T588" s="45">
        <v>0</v>
      </c>
      <c r="U588" s="45">
        <v>49488</v>
      </c>
      <c r="V588" s="45">
        <v>0</v>
      </c>
      <c r="W588" s="45">
        <v>0</v>
      </c>
      <c r="X588" s="45">
        <v>48416.6</v>
      </c>
      <c r="Y588" s="45">
        <v>0</v>
      </c>
      <c r="Z588" s="45">
        <v>1</v>
      </c>
      <c r="AB588" s="45">
        <v>47368</v>
      </c>
      <c r="AC588" s="45">
        <v>0</v>
      </c>
      <c r="AD588" s="45">
        <v>1</v>
      </c>
      <c r="AE588" s="45">
        <v>58060.3</v>
      </c>
      <c r="AF588" s="45">
        <v>25</v>
      </c>
      <c r="AG588" s="45">
        <v>0</v>
      </c>
      <c r="AH588" s="45">
        <v>46649.9</v>
      </c>
      <c r="AI588" s="45">
        <v>0</v>
      </c>
      <c r="AJ588" s="45">
        <v>0</v>
      </c>
      <c r="AK588" s="45">
        <v>44263.5</v>
      </c>
      <c r="AL588" s="45">
        <v>0</v>
      </c>
      <c r="AM588" s="45">
        <v>1</v>
      </c>
      <c r="AO588" s="45">
        <v>43198.400000000001</v>
      </c>
      <c r="AP588" s="45">
        <v>0</v>
      </c>
      <c r="AQ588" s="45">
        <v>1</v>
      </c>
      <c r="AR588" s="45">
        <v>48033.7</v>
      </c>
      <c r="AS588" s="45">
        <v>0</v>
      </c>
      <c r="AT588" s="45">
        <v>0</v>
      </c>
      <c r="AU588" s="45">
        <v>50218.5</v>
      </c>
      <c r="AV588" s="45">
        <v>9</v>
      </c>
      <c r="AW588" s="45">
        <v>1</v>
      </c>
      <c r="AX588" s="45">
        <v>44307.3</v>
      </c>
      <c r="AY588" s="45">
        <v>0</v>
      </c>
      <c r="AZ588" s="45">
        <v>1</v>
      </c>
    </row>
    <row r="589" spans="2:52">
      <c r="B589" s="45">
        <v>56729.5</v>
      </c>
      <c r="C589" s="45">
        <v>0</v>
      </c>
      <c r="D589" s="45">
        <v>1</v>
      </c>
      <c r="E589" s="45">
        <v>66061.100000000006</v>
      </c>
      <c r="F589" s="45">
        <v>20</v>
      </c>
      <c r="G589" s="45">
        <v>0</v>
      </c>
      <c r="H589" s="45">
        <v>56607.199999999997</v>
      </c>
      <c r="I589" s="45">
        <v>0</v>
      </c>
      <c r="J589" s="45">
        <v>0</v>
      </c>
      <c r="K589" s="45">
        <v>55240.6</v>
      </c>
      <c r="L589" s="45">
        <v>0</v>
      </c>
      <c r="M589" s="45">
        <v>1</v>
      </c>
      <c r="O589" s="45">
        <v>72540.100000000006</v>
      </c>
      <c r="P589" s="45">
        <v>28</v>
      </c>
      <c r="Q589" s="45">
        <v>0</v>
      </c>
      <c r="R589" s="45">
        <v>57734</v>
      </c>
      <c r="S589" s="45">
        <v>0</v>
      </c>
      <c r="T589" s="45">
        <v>1</v>
      </c>
      <c r="U589" s="45">
        <v>59555.7</v>
      </c>
      <c r="V589" s="45">
        <v>0</v>
      </c>
      <c r="W589" s="45">
        <v>0</v>
      </c>
      <c r="X589" s="45">
        <v>57906.3</v>
      </c>
      <c r="Y589" s="45">
        <v>0</v>
      </c>
      <c r="Z589" s="45">
        <v>0</v>
      </c>
      <c r="AB589" s="45">
        <v>52748.4</v>
      </c>
      <c r="AC589" s="45">
        <v>0</v>
      </c>
      <c r="AD589" s="45">
        <v>0</v>
      </c>
      <c r="AE589" s="45">
        <v>54821.9</v>
      </c>
      <c r="AF589" s="45">
        <v>0</v>
      </c>
      <c r="AG589" s="45">
        <v>1</v>
      </c>
      <c r="AH589" s="45">
        <v>53479</v>
      </c>
      <c r="AI589" s="45">
        <v>0</v>
      </c>
      <c r="AJ589" s="45">
        <v>0</v>
      </c>
      <c r="AK589" s="45">
        <v>54116.3</v>
      </c>
      <c r="AL589" s="45">
        <v>0</v>
      </c>
      <c r="AM589" s="45">
        <v>0</v>
      </c>
      <c r="AO589" s="45">
        <v>54737.1</v>
      </c>
      <c r="AP589" s="45">
        <v>0</v>
      </c>
      <c r="AQ589" s="45">
        <v>1</v>
      </c>
      <c r="AR589" s="45">
        <v>54117.4</v>
      </c>
      <c r="AS589" s="45">
        <v>0</v>
      </c>
      <c r="AT589" s="45">
        <v>0</v>
      </c>
      <c r="AU589" s="45">
        <v>51987.7</v>
      </c>
      <c r="AV589" s="45">
        <v>0</v>
      </c>
      <c r="AW589" s="45">
        <v>1</v>
      </c>
      <c r="AX589" s="45">
        <v>51873.8</v>
      </c>
      <c r="AY589" s="45">
        <v>0</v>
      </c>
      <c r="AZ589" s="45">
        <v>1</v>
      </c>
    </row>
    <row r="590" spans="2:52">
      <c r="B590" s="45">
        <v>61774.2</v>
      </c>
      <c r="C590" s="45">
        <v>0</v>
      </c>
      <c r="D590" s="45">
        <v>0</v>
      </c>
      <c r="E590" s="45">
        <v>62619</v>
      </c>
      <c r="F590" s="45">
        <v>0</v>
      </c>
      <c r="G590" s="45">
        <v>0</v>
      </c>
      <c r="H590" s="45">
        <v>57922.400000000001</v>
      </c>
      <c r="I590" s="45">
        <v>0</v>
      </c>
      <c r="J590" s="45">
        <v>1</v>
      </c>
      <c r="K590" s="45">
        <v>61469.8</v>
      </c>
      <c r="L590" s="45">
        <v>0</v>
      </c>
      <c r="M590" s="45">
        <v>0</v>
      </c>
      <c r="O590" s="45">
        <v>60069.599999999999</v>
      </c>
      <c r="P590" s="45">
        <v>0</v>
      </c>
      <c r="Q590" s="45">
        <v>1</v>
      </c>
      <c r="R590" s="45">
        <v>67595.600000000006</v>
      </c>
      <c r="S590" s="45">
        <v>0</v>
      </c>
      <c r="T590" s="45">
        <v>0</v>
      </c>
      <c r="U590" s="45">
        <v>62241.5</v>
      </c>
      <c r="V590" s="45">
        <v>0</v>
      </c>
      <c r="W590" s="45">
        <v>0</v>
      </c>
      <c r="X590" s="45">
        <v>61204.9</v>
      </c>
      <c r="Y590" s="45">
        <v>0</v>
      </c>
      <c r="Z590" s="45">
        <v>1</v>
      </c>
      <c r="AB590" s="45">
        <v>59533.7</v>
      </c>
      <c r="AC590" s="45">
        <v>0</v>
      </c>
      <c r="AD590" s="45">
        <v>1</v>
      </c>
      <c r="AE590" s="45">
        <v>65165.7</v>
      </c>
      <c r="AF590" s="45">
        <v>0</v>
      </c>
      <c r="AG590" s="45">
        <v>0</v>
      </c>
      <c r="AH590" s="45">
        <v>60687.8</v>
      </c>
      <c r="AI590" s="45">
        <v>0</v>
      </c>
      <c r="AJ590" s="45">
        <v>1</v>
      </c>
      <c r="AK590" s="45">
        <v>61595</v>
      </c>
      <c r="AL590" s="45">
        <v>0</v>
      </c>
      <c r="AM590" s="45">
        <v>0</v>
      </c>
      <c r="AO590" s="45">
        <v>62595.199999999997</v>
      </c>
      <c r="AP590" s="45">
        <v>0</v>
      </c>
      <c r="AQ590" s="45">
        <v>0</v>
      </c>
      <c r="AR590" s="45">
        <v>59456</v>
      </c>
      <c r="AS590" s="45">
        <v>0</v>
      </c>
      <c r="AT590" s="45">
        <v>1</v>
      </c>
      <c r="AU590" s="45">
        <v>57736.1</v>
      </c>
      <c r="AV590" s="45">
        <v>0</v>
      </c>
      <c r="AW590" s="45">
        <v>1</v>
      </c>
      <c r="AX590" s="45">
        <v>57245.599999999999</v>
      </c>
      <c r="AY590" s="45">
        <v>0</v>
      </c>
      <c r="AZ590" s="45">
        <v>1</v>
      </c>
    </row>
    <row r="591" spans="2:52">
      <c r="B591" s="45">
        <v>63746.6</v>
      </c>
      <c r="C591" s="45">
        <v>0</v>
      </c>
      <c r="D591" s="45">
        <v>0</v>
      </c>
      <c r="E591" s="45">
        <v>63093.3</v>
      </c>
      <c r="F591" s="45">
        <v>0</v>
      </c>
      <c r="G591" s="45">
        <v>1</v>
      </c>
      <c r="H591" s="45">
        <v>71631.899999999994</v>
      </c>
      <c r="I591" s="45">
        <v>9</v>
      </c>
      <c r="J591" s="45">
        <v>0</v>
      </c>
      <c r="K591" s="45">
        <v>59545</v>
      </c>
      <c r="L591" s="45">
        <v>4</v>
      </c>
      <c r="M591" s="45">
        <v>0</v>
      </c>
      <c r="O591" s="45">
        <v>59491.3</v>
      </c>
      <c r="P591" s="45">
        <v>0</v>
      </c>
      <c r="Q591" s="45">
        <v>1</v>
      </c>
      <c r="R591" s="45">
        <v>67016.7</v>
      </c>
      <c r="S591" s="45">
        <v>0</v>
      </c>
      <c r="T591" s="45">
        <v>0</v>
      </c>
      <c r="U591" s="45">
        <v>57999.8</v>
      </c>
      <c r="V591" s="45">
        <v>0</v>
      </c>
      <c r="W591" s="45">
        <v>0</v>
      </c>
      <c r="X591" s="45">
        <v>69395.5</v>
      </c>
      <c r="Y591" s="45">
        <v>24</v>
      </c>
      <c r="Z591" s="45">
        <v>1</v>
      </c>
      <c r="AB591" s="45">
        <v>59928.2</v>
      </c>
      <c r="AC591" s="45">
        <v>0</v>
      </c>
      <c r="AD591" s="45">
        <v>0</v>
      </c>
      <c r="AE591" s="45">
        <v>64249</v>
      </c>
      <c r="AF591" s="45">
        <v>0</v>
      </c>
      <c r="AG591" s="45">
        <v>1</v>
      </c>
      <c r="AH591" s="45">
        <v>59357.3</v>
      </c>
      <c r="AI591" s="45">
        <v>0</v>
      </c>
      <c r="AJ591" s="45">
        <v>0</v>
      </c>
      <c r="AK591" s="45">
        <v>63781.2</v>
      </c>
      <c r="AL591" s="45">
        <v>15</v>
      </c>
      <c r="AM591" s="45">
        <v>1</v>
      </c>
      <c r="AO591" s="45">
        <v>61368.6</v>
      </c>
      <c r="AP591" s="45">
        <v>10</v>
      </c>
      <c r="AQ591" s="45">
        <v>1</v>
      </c>
      <c r="AR591" s="45">
        <v>60003</v>
      </c>
      <c r="AS591" s="45">
        <v>0</v>
      </c>
      <c r="AT591" s="45">
        <v>1</v>
      </c>
      <c r="AU591" s="45">
        <v>55957.3</v>
      </c>
      <c r="AV591" s="45">
        <v>0</v>
      </c>
      <c r="AW591" s="45">
        <v>1</v>
      </c>
      <c r="AX591" s="45">
        <v>58135.7</v>
      </c>
      <c r="AY591" s="45">
        <v>0</v>
      </c>
      <c r="AZ591" s="45">
        <v>0</v>
      </c>
    </row>
    <row r="592" spans="2:52">
      <c r="B592" s="45">
        <v>55765.2</v>
      </c>
      <c r="C592" s="45">
        <v>12</v>
      </c>
      <c r="D592" s="45">
        <v>1</v>
      </c>
      <c r="E592" s="45">
        <v>57393.9</v>
      </c>
      <c r="F592" s="45">
        <v>0</v>
      </c>
      <c r="G592" s="45">
        <v>0</v>
      </c>
      <c r="H592" s="45">
        <v>61211.1</v>
      </c>
      <c r="I592" s="45">
        <v>18</v>
      </c>
      <c r="J592" s="45">
        <v>0</v>
      </c>
      <c r="K592" s="45">
        <v>63549.1</v>
      </c>
      <c r="L592" s="45">
        <v>17</v>
      </c>
      <c r="M592" s="45">
        <v>1</v>
      </c>
      <c r="O592" s="45">
        <v>58536.3</v>
      </c>
      <c r="P592" s="45">
        <v>10</v>
      </c>
      <c r="Q592" s="45">
        <v>0</v>
      </c>
      <c r="R592" s="45">
        <v>76099.3</v>
      </c>
      <c r="S592" s="45">
        <v>37</v>
      </c>
      <c r="T592" s="45">
        <v>1</v>
      </c>
      <c r="U592" s="45">
        <v>57364</v>
      </c>
      <c r="V592" s="45">
        <v>0</v>
      </c>
      <c r="W592" s="45">
        <v>0</v>
      </c>
      <c r="X592" s="45">
        <v>50921.3</v>
      </c>
      <c r="Y592" s="45">
        <v>0</v>
      </c>
      <c r="Z592" s="45">
        <v>1</v>
      </c>
      <c r="AB592" s="45">
        <v>50912.1</v>
      </c>
      <c r="AC592" s="45">
        <v>0</v>
      </c>
      <c r="AD592" s="45">
        <v>0</v>
      </c>
      <c r="AE592" s="45">
        <v>52034.5</v>
      </c>
      <c r="AF592" s="45">
        <v>10</v>
      </c>
      <c r="AG592" s="45">
        <v>1</v>
      </c>
      <c r="AH592" s="45">
        <v>71969.8</v>
      </c>
      <c r="AI592" s="45">
        <v>43</v>
      </c>
      <c r="AJ592" s="45">
        <v>0</v>
      </c>
      <c r="AK592" s="45">
        <v>117157</v>
      </c>
      <c r="AL592" s="45">
        <v>132</v>
      </c>
      <c r="AM592" s="45">
        <v>1</v>
      </c>
      <c r="AO592" s="45">
        <v>54679.9</v>
      </c>
      <c r="AP592" s="45">
        <v>11</v>
      </c>
      <c r="AQ592" s="45">
        <v>2</v>
      </c>
      <c r="AR592" s="45">
        <v>44364.800000000003</v>
      </c>
      <c r="AS592" s="45">
        <v>0</v>
      </c>
      <c r="AT592" s="45">
        <v>0</v>
      </c>
      <c r="AU592" s="45">
        <v>52153.1</v>
      </c>
      <c r="AV592" s="45">
        <v>0</v>
      </c>
      <c r="AW592" s="45">
        <v>1</v>
      </c>
      <c r="AX592" s="45">
        <v>71002.2</v>
      </c>
      <c r="AY592" s="45">
        <v>43</v>
      </c>
      <c r="AZ592" s="45">
        <v>1</v>
      </c>
    </row>
    <row r="593" spans="1:52">
      <c r="B593" s="45">
        <v>64864.9</v>
      </c>
      <c r="C593" s="45">
        <v>4</v>
      </c>
      <c r="D593" s="45">
        <v>0</v>
      </c>
      <c r="E593" s="45">
        <v>65544.100000000006</v>
      </c>
      <c r="F593" s="45">
        <v>0</v>
      </c>
      <c r="G593" s="45">
        <v>1</v>
      </c>
      <c r="H593" s="45">
        <v>68412.399999999994</v>
      </c>
      <c r="I593" s="45">
        <v>9</v>
      </c>
      <c r="J593" s="45">
        <v>0</v>
      </c>
      <c r="K593" s="45">
        <v>62054</v>
      </c>
      <c r="L593" s="45">
        <v>0</v>
      </c>
      <c r="M593" s="45">
        <v>0</v>
      </c>
      <c r="O593" s="45">
        <v>68115.100000000006</v>
      </c>
      <c r="P593" s="45">
        <v>0</v>
      </c>
      <c r="Q593" s="45">
        <v>0</v>
      </c>
      <c r="R593" s="45">
        <v>67660.800000000003</v>
      </c>
      <c r="S593" s="45">
        <v>0</v>
      </c>
      <c r="T593" s="45">
        <v>0</v>
      </c>
      <c r="U593" s="45">
        <v>58240.4</v>
      </c>
      <c r="V593" s="45">
        <v>0</v>
      </c>
      <c r="W593" s="45">
        <v>1</v>
      </c>
      <c r="X593" s="45">
        <v>67143.399999999994</v>
      </c>
      <c r="Y593" s="45">
        <v>0</v>
      </c>
      <c r="Z593" s="45">
        <v>0</v>
      </c>
      <c r="AB593" s="45">
        <v>65164.5</v>
      </c>
      <c r="AC593" s="45">
        <v>0</v>
      </c>
      <c r="AD593" s="45">
        <v>0</v>
      </c>
      <c r="AE593" s="45">
        <v>65512</v>
      </c>
      <c r="AF593" s="45">
        <v>0</v>
      </c>
      <c r="AG593" s="45">
        <v>1</v>
      </c>
      <c r="AH593" s="45">
        <v>62125.9</v>
      </c>
      <c r="AI593" s="45">
        <v>0</v>
      </c>
      <c r="AJ593" s="45">
        <v>0</v>
      </c>
      <c r="AK593" s="45">
        <v>60199.6</v>
      </c>
      <c r="AL593" s="45">
        <v>0</v>
      </c>
      <c r="AM593" s="45">
        <v>0</v>
      </c>
      <c r="AO593" s="45">
        <v>66638.7</v>
      </c>
      <c r="AP593" s="45">
        <v>0</v>
      </c>
      <c r="AQ593" s="45">
        <v>0</v>
      </c>
      <c r="AR593" s="45">
        <v>63276.6</v>
      </c>
      <c r="AS593" s="45">
        <v>0</v>
      </c>
      <c r="AT593" s="45">
        <v>1</v>
      </c>
      <c r="AU593" s="45">
        <v>65331.3</v>
      </c>
      <c r="AV593" s="45">
        <v>0</v>
      </c>
      <c r="AW593" s="45">
        <v>1</v>
      </c>
      <c r="AX593" s="45">
        <v>59773.2</v>
      </c>
      <c r="AY593" s="45">
        <v>0</v>
      </c>
      <c r="AZ593" s="45">
        <v>1</v>
      </c>
    </row>
    <row r="594" spans="1:52">
      <c r="B594" s="45">
        <v>65784.3</v>
      </c>
      <c r="C594" s="45">
        <v>0</v>
      </c>
      <c r="D594" s="45">
        <v>1</v>
      </c>
      <c r="E594" s="45">
        <v>74944.100000000006</v>
      </c>
      <c r="F594" s="45">
        <v>7</v>
      </c>
      <c r="G594" s="45">
        <v>0</v>
      </c>
      <c r="H594" s="45">
        <v>72641.2</v>
      </c>
      <c r="I594" s="45">
        <v>0</v>
      </c>
      <c r="J594" s="45">
        <v>0</v>
      </c>
      <c r="K594" s="45">
        <v>67498.100000000006</v>
      </c>
      <c r="L594" s="45">
        <v>0</v>
      </c>
      <c r="M594" s="45">
        <v>1</v>
      </c>
      <c r="O594" s="45">
        <v>73594.8</v>
      </c>
      <c r="P594" s="45">
        <v>0</v>
      </c>
      <c r="Q594" s="45">
        <v>1</v>
      </c>
      <c r="R594" s="45">
        <v>71085.8</v>
      </c>
      <c r="S594" s="45">
        <v>12</v>
      </c>
      <c r="T594" s="45">
        <v>0</v>
      </c>
      <c r="U594" s="45">
        <v>65320.2</v>
      </c>
      <c r="V594" s="45">
        <v>0</v>
      </c>
      <c r="W594" s="45">
        <v>1</v>
      </c>
      <c r="X594" s="45">
        <v>98584.3</v>
      </c>
      <c r="Y594" s="45">
        <v>68</v>
      </c>
      <c r="Z594" s="45">
        <v>1</v>
      </c>
      <c r="AB594" s="45">
        <v>68487.7</v>
      </c>
      <c r="AC594" s="45">
        <v>0</v>
      </c>
      <c r="AD594" s="45">
        <v>1</v>
      </c>
      <c r="AE594" s="45">
        <v>65511.199999999997</v>
      </c>
      <c r="AF594" s="45">
        <v>0</v>
      </c>
      <c r="AG594" s="45">
        <v>0</v>
      </c>
      <c r="AH594" s="45">
        <v>66370.100000000006</v>
      </c>
      <c r="AI594" s="45">
        <v>0</v>
      </c>
      <c r="AJ594" s="45">
        <v>0</v>
      </c>
      <c r="AK594" s="45">
        <v>64038.2</v>
      </c>
      <c r="AL594" s="45">
        <v>0</v>
      </c>
      <c r="AM594" s="45">
        <v>1</v>
      </c>
      <c r="AO594" s="45">
        <v>67336.100000000006</v>
      </c>
      <c r="AP594" s="45">
        <v>0</v>
      </c>
      <c r="AQ594" s="45">
        <v>1</v>
      </c>
      <c r="AR594" s="45">
        <v>66223.199999999997</v>
      </c>
      <c r="AS594" s="45">
        <v>0</v>
      </c>
      <c r="AT594" s="45">
        <v>0</v>
      </c>
      <c r="AU594" s="45">
        <v>68065.2</v>
      </c>
      <c r="AV594" s="45">
        <v>0</v>
      </c>
      <c r="AW594" s="45">
        <v>1</v>
      </c>
      <c r="AX594" s="45">
        <v>68022.2</v>
      </c>
      <c r="AY594" s="45">
        <v>0</v>
      </c>
      <c r="AZ594" s="45">
        <v>0</v>
      </c>
    </row>
    <row r="595" spans="1:52">
      <c r="B595" s="45">
        <v>64042.7</v>
      </c>
      <c r="C595" s="45">
        <v>0</v>
      </c>
      <c r="D595" s="45">
        <v>0</v>
      </c>
      <c r="E595" s="45">
        <v>67515.199999999997</v>
      </c>
      <c r="F595" s="45">
        <v>0</v>
      </c>
      <c r="G595" s="45">
        <v>0</v>
      </c>
      <c r="H595" s="45">
        <v>58127.8</v>
      </c>
      <c r="I595" s="45">
        <v>0</v>
      </c>
      <c r="J595" s="45">
        <v>1</v>
      </c>
      <c r="K595" s="45">
        <v>58466.6</v>
      </c>
      <c r="L595" s="45">
        <v>0</v>
      </c>
      <c r="M595" s="45">
        <v>0</v>
      </c>
      <c r="O595" s="45">
        <v>67421.3</v>
      </c>
      <c r="P595" s="45">
        <v>0</v>
      </c>
      <c r="Q595" s="45">
        <v>0</v>
      </c>
      <c r="R595" s="45">
        <v>62495.9</v>
      </c>
      <c r="S595" s="45">
        <v>0</v>
      </c>
      <c r="T595" s="45">
        <v>0</v>
      </c>
      <c r="U595" s="45">
        <v>60597.599999999999</v>
      </c>
      <c r="V595" s="45">
        <v>5</v>
      </c>
      <c r="W595" s="45">
        <v>1</v>
      </c>
      <c r="X595" s="45">
        <v>58498.3</v>
      </c>
      <c r="Y595" s="45">
        <v>0</v>
      </c>
      <c r="Z595" s="45">
        <v>0</v>
      </c>
      <c r="AB595" s="45">
        <v>75770.7</v>
      </c>
      <c r="AC595" s="45">
        <v>28</v>
      </c>
      <c r="AD595" s="45">
        <v>0</v>
      </c>
      <c r="AE595" s="45">
        <v>58696.2</v>
      </c>
      <c r="AF595" s="45">
        <v>0</v>
      </c>
      <c r="AG595" s="45">
        <v>1</v>
      </c>
      <c r="AH595" s="45">
        <v>57428.2</v>
      </c>
      <c r="AI595" s="45">
        <v>0</v>
      </c>
      <c r="AJ595" s="45">
        <v>0</v>
      </c>
      <c r="AK595" s="45">
        <v>59838.7</v>
      </c>
      <c r="AL595" s="45">
        <v>0</v>
      </c>
      <c r="AM595" s="45">
        <v>1</v>
      </c>
      <c r="AO595" s="45">
        <v>67777.3</v>
      </c>
      <c r="AP595" s="45">
        <v>0</v>
      </c>
      <c r="AQ595" s="45">
        <v>1</v>
      </c>
      <c r="AR595" s="45">
        <v>60139.3</v>
      </c>
      <c r="AS595" s="45">
        <v>0</v>
      </c>
      <c r="AT595" s="45">
        <v>1</v>
      </c>
      <c r="AU595" s="45">
        <v>79550.600000000006</v>
      </c>
      <c r="AV595" s="45">
        <v>41</v>
      </c>
      <c r="AW595" s="45">
        <v>1</v>
      </c>
      <c r="AX595" s="45">
        <v>58971.199999999997</v>
      </c>
      <c r="AY595" s="45">
        <v>0</v>
      </c>
      <c r="AZ595" s="45">
        <v>0</v>
      </c>
    </row>
    <row r="596" spans="1:52">
      <c r="B596" s="45">
        <v>58593.8</v>
      </c>
      <c r="C596" s="45">
        <v>0</v>
      </c>
      <c r="D596" s="45">
        <v>0</v>
      </c>
      <c r="E596" s="45">
        <v>54650</v>
      </c>
      <c r="F596" s="45">
        <v>0</v>
      </c>
      <c r="G596" s="45">
        <v>1</v>
      </c>
      <c r="H596" s="45">
        <v>57659.9</v>
      </c>
      <c r="I596" s="45">
        <v>0</v>
      </c>
      <c r="J596" s="45">
        <v>0</v>
      </c>
      <c r="K596" s="45">
        <v>57525.2</v>
      </c>
      <c r="L596" s="45">
        <v>0</v>
      </c>
      <c r="M596" s="45">
        <v>0</v>
      </c>
      <c r="O596" s="45">
        <v>56699.5</v>
      </c>
      <c r="P596" s="45">
        <v>0</v>
      </c>
      <c r="Q596" s="45">
        <v>1</v>
      </c>
      <c r="R596" s="45">
        <v>59040.6</v>
      </c>
      <c r="S596" s="45">
        <v>0</v>
      </c>
      <c r="T596" s="45">
        <v>0</v>
      </c>
      <c r="U596" s="45">
        <v>57719.9</v>
      </c>
      <c r="V596" s="45">
        <v>0</v>
      </c>
      <c r="W596" s="45">
        <v>0</v>
      </c>
      <c r="X596" s="45">
        <v>57939.199999999997</v>
      </c>
      <c r="Y596" s="45">
        <v>0</v>
      </c>
      <c r="Z596" s="45">
        <v>1</v>
      </c>
      <c r="AB596" s="45">
        <v>61288.3</v>
      </c>
      <c r="AC596" s="45">
        <v>0</v>
      </c>
      <c r="AD596" s="45">
        <v>0</v>
      </c>
      <c r="AE596" s="45">
        <v>61418.7</v>
      </c>
      <c r="AF596" s="45">
        <v>0</v>
      </c>
      <c r="AG596" s="45">
        <v>0</v>
      </c>
      <c r="AH596" s="45">
        <v>55848.6</v>
      </c>
      <c r="AI596" s="45">
        <v>0</v>
      </c>
      <c r="AJ596" s="45">
        <v>1</v>
      </c>
      <c r="AK596" s="45">
        <v>56325.3</v>
      </c>
      <c r="AL596" s="45">
        <v>0</v>
      </c>
      <c r="AM596" s="45">
        <v>0</v>
      </c>
      <c r="AO596" s="45">
        <v>58033.5</v>
      </c>
      <c r="AP596" s="45">
        <v>0</v>
      </c>
      <c r="AQ596" s="45">
        <v>1</v>
      </c>
      <c r="AR596" s="45">
        <v>55492.7</v>
      </c>
      <c r="AS596" s="45">
        <v>0</v>
      </c>
      <c r="AT596" s="45">
        <v>1</v>
      </c>
      <c r="AU596" s="45">
        <v>58100.6</v>
      </c>
      <c r="AV596" s="45">
        <v>0</v>
      </c>
      <c r="AW596" s="45">
        <v>0</v>
      </c>
      <c r="AX596" s="45">
        <v>54904.3</v>
      </c>
      <c r="AY596" s="45">
        <v>0</v>
      </c>
      <c r="AZ596" s="45">
        <v>1</v>
      </c>
    </row>
    <row r="597" spans="1:52">
      <c r="B597" s="45">
        <v>66074</v>
      </c>
      <c r="C597" s="45">
        <v>0</v>
      </c>
      <c r="D597" s="45">
        <v>1</v>
      </c>
      <c r="E597" s="45">
        <v>66704.100000000006</v>
      </c>
      <c r="F597" s="45">
        <v>0</v>
      </c>
      <c r="G597" s="45">
        <v>0</v>
      </c>
      <c r="H597" s="45">
        <v>68247.199999999997</v>
      </c>
      <c r="I597" s="45">
        <v>0</v>
      </c>
      <c r="J597" s="45">
        <v>0</v>
      </c>
      <c r="K597" s="45">
        <v>69287.3</v>
      </c>
      <c r="L597" s="45">
        <v>0</v>
      </c>
      <c r="M597" s="45">
        <v>1</v>
      </c>
      <c r="O597" s="45">
        <v>70179.899999999994</v>
      </c>
      <c r="P597" s="45">
        <v>0</v>
      </c>
      <c r="Q597" s="45">
        <v>0</v>
      </c>
      <c r="R597" s="45">
        <v>68553.899999999994</v>
      </c>
      <c r="S597" s="45">
        <v>0</v>
      </c>
      <c r="T597" s="45">
        <v>1</v>
      </c>
      <c r="U597" s="45">
        <v>72154.3</v>
      </c>
      <c r="V597" s="45">
        <v>2</v>
      </c>
      <c r="W597" s="45">
        <v>0</v>
      </c>
      <c r="X597" s="45">
        <v>66169.399999999994</v>
      </c>
      <c r="Y597" s="45">
        <v>0</v>
      </c>
      <c r="Z597" s="45">
        <v>0</v>
      </c>
      <c r="AB597" s="45">
        <v>68655.600000000006</v>
      </c>
      <c r="AC597" s="45">
        <v>0</v>
      </c>
      <c r="AD597" s="45">
        <v>0</v>
      </c>
      <c r="AE597" s="45">
        <v>66875.399999999994</v>
      </c>
      <c r="AF597" s="45">
        <v>0</v>
      </c>
      <c r="AG597" s="45">
        <v>1</v>
      </c>
      <c r="AH597" s="45">
        <v>70438.600000000006</v>
      </c>
      <c r="AI597" s="45">
        <v>0</v>
      </c>
      <c r="AJ597" s="45">
        <v>0</v>
      </c>
      <c r="AK597" s="45">
        <v>62775.199999999997</v>
      </c>
      <c r="AL597" s="45">
        <v>0</v>
      </c>
      <c r="AM597" s="45">
        <v>0</v>
      </c>
      <c r="AO597" s="45">
        <v>85629.3</v>
      </c>
      <c r="AP597" s="45">
        <v>39</v>
      </c>
      <c r="AQ597" s="45">
        <v>1</v>
      </c>
      <c r="AR597" s="45">
        <v>84093.6</v>
      </c>
      <c r="AS597" s="45">
        <v>25</v>
      </c>
      <c r="AT597" s="45">
        <v>1</v>
      </c>
      <c r="AU597" s="45">
        <v>66898.899999999994</v>
      </c>
      <c r="AV597" s="45">
        <v>0</v>
      </c>
      <c r="AW597" s="45">
        <v>1</v>
      </c>
      <c r="AX597" s="45">
        <v>64550.3</v>
      </c>
      <c r="AY597" s="45">
        <v>0</v>
      </c>
      <c r="AZ597" s="45">
        <v>1</v>
      </c>
    </row>
    <row r="598" spans="1:52">
      <c r="B598" s="45">
        <v>59699.1</v>
      </c>
      <c r="C598" s="45">
        <v>7</v>
      </c>
      <c r="D598" s="45">
        <v>0</v>
      </c>
      <c r="E598" s="45">
        <v>58669.3</v>
      </c>
      <c r="F598" s="45">
        <v>0</v>
      </c>
      <c r="G598" s="45">
        <v>0</v>
      </c>
      <c r="H598" s="45">
        <v>62145.3</v>
      </c>
      <c r="I598" s="45">
        <v>0</v>
      </c>
      <c r="J598" s="45">
        <v>1</v>
      </c>
      <c r="K598" s="45">
        <v>56726.1</v>
      </c>
      <c r="L598" s="45">
        <v>0</v>
      </c>
      <c r="M598" s="45">
        <v>0</v>
      </c>
      <c r="O598" s="45">
        <v>62831.3</v>
      </c>
      <c r="P598" s="45">
        <v>0</v>
      </c>
      <c r="Q598" s="45">
        <v>1</v>
      </c>
      <c r="R598" s="45">
        <v>71885.399999999994</v>
      </c>
      <c r="S598" s="45">
        <v>28</v>
      </c>
      <c r="T598" s="45">
        <v>0</v>
      </c>
      <c r="U598" s="45">
        <v>65388.2</v>
      </c>
      <c r="V598" s="45">
        <v>0</v>
      </c>
      <c r="W598" s="45">
        <v>1</v>
      </c>
      <c r="X598" s="45">
        <v>55799.4</v>
      </c>
      <c r="Y598" s="45">
        <v>0</v>
      </c>
      <c r="Z598" s="45">
        <v>0</v>
      </c>
      <c r="AB598" s="45">
        <v>59093.4</v>
      </c>
      <c r="AC598" s="45">
        <v>0</v>
      </c>
      <c r="AD598" s="45">
        <v>1</v>
      </c>
      <c r="AE598" s="45">
        <v>59995.4</v>
      </c>
      <c r="AF598" s="45">
        <v>0</v>
      </c>
      <c r="AG598" s="45">
        <v>0</v>
      </c>
      <c r="AH598" s="45">
        <v>55684.3</v>
      </c>
      <c r="AI598" s="45">
        <v>0</v>
      </c>
      <c r="AJ598" s="45">
        <v>1</v>
      </c>
      <c r="AK598" s="45">
        <v>57599.9</v>
      </c>
      <c r="AL598" s="45">
        <v>0</v>
      </c>
      <c r="AM598" s="45">
        <v>0</v>
      </c>
      <c r="AO598" s="45">
        <v>62568.9</v>
      </c>
      <c r="AP598" s="45">
        <v>0</v>
      </c>
      <c r="AQ598" s="45">
        <v>0</v>
      </c>
      <c r="AR598" s="45">
        <v>55480.1</v>
      </c>
      <c r="AS598" s="45">
        <v>0</v>
      </c>
      <c r="AT598" s="45">
        <v>1</v>
      </c>
      <c r="AU598" s="45">
        <v>55069.4</v>
      </c>
      <c r="AV598" s="45">
        <v>0</v>
      </c>
      <c r="AW598" s="45">
        <v>1</v>
      </c>
      <c r="AX598" s="45">
        <v>65458.3</v>
      </c>
      <c r="AY598" s="45">
        <v>23</v>
      </c>
      <c r="AZ598" s="45">
        <v>1</v>
      </c>
    </row>
    <row r="599" spans="1:52">
      <c r="B599" s="45">
        <v>53957</v>
      </c>
      <c r="C599" s="45">
        <v>0</v>
      </c>
      <c r="D599" s="45">
        <v>0</v>
      </c>
      <c r="E599" s="45">
        <v>57835.1</v>
      </c>
      <c r="F599" s="45">
        <v>0</v>
      </c>
      <c r="G599" s="45">
        <v>1</v>
      </c>
      <c r="H599" s="45">
        <v>55000.800000000003</v>
      </c>
      <c r="I599" s="45">
        <v>0</v>
      </c>
      <c r="J599" s="45">
        <v>0</v>
      </c>
      <c r="K599" s="45">
        <v>56883</v>
      </c>
      <c r="L599" s="45">
        <v>0</v>
      </c>
      <c r="M599" s="45">
        <v>0</v>
      </c>
      <c r="O599" s="45">
        <v>61328.3</v>
      </c>
      <c r="P599" s="45">
        <v>2</v>
      </c>
      <c r="Q599" s="45">
        <v>1</v>
      </c>
      <c r="R599" s="45">
        <v>57327.5</v>
      </c>
      <c r="S599" s="45">
        <v>0</v>
      </c>
      <c r="T599" s="45">
        <v>0</v>
      </c>
      <c r="U599" s="45">
        <v>56587.7</v>
      </c>
      <c r="V599" s="45">
        <v>0</v>
      </c>
      <c r="W599" s="45">
        <v>0</v>
      </c>
      <c r="X599" s="45">
        <v>60080.800000000003</v>
      </c>
      <c r="Y599" s="45">
        <v>0</v>
      </c>
      <c r="Z599" s="45">
        <v>1</v>
      </c>
      <c r="AB599" s="45">
        <v>59412.5</v>
      </c>
      <c r="AC599" s="45">
        <v>0</v>
      </c>
      <c r="AD599" s="45">
        <v>0</v>
      </c>
      <c r="AE599" s="45">
        <v>57476.9</v>
      </c>
      <c r="AF599" s="45">
        <v>0</v>
      </c>
      <c r="AG599" s="45">
        <v>1</v>
      </c>
      <c r="AH599" s="45">
        <v>56585.3</v>
      </c>
      <c r="AI599" s="45">
        <v>0</v>
      </c>
      <c r="AJ599" s="45">
        <v>0</v>
      </c>
      <c r="AK599" s="45">
        <v>57080</v>
      </c>
      <c r="AL599" s="45">
        <v>0</v>
      </c>
      <c r="AM599" s="45">
        <v>1</v>
      </c>
      <c r="AO599" s="45">
        <v>53452.1</v>
      </c>
      <c r="AP599" s="45">
        <v>0</v>
      </c>
      <c r="AQ599" s="45">
        <v>1</v>
      </c>
      <c r="AR599" s="45">
        <v>56388.1</v>
      </c>
      <c r="AS599" s="45">
        <v>0</v>
      </c>
      <c r="AT599" s="45">
        <v>0</v>
      </c>
      <c r="AU599" s="45">
        <v>55522.7</v>
      </c>
      <c r="AV599" s="45">
        <v>0</v>
      </c>
      <c r="AW599" s="45">
        <v>1</v>
      </c>
      <c r="AX599" s="45">
        <v>55273</v>
      </c>
      <c r="AY599" s="45">
        <v>0</v>
      </c>
      <c r="AZ599" s="45">
        <v>0</v>
      </c>
    </row>
    <row r="600" spans="1:52">
      <c r="B600" s="45">
        <v>59848.7</v>
      </c>
      <c r="C600" s="45">
        <v>0</v>
      </c>
      <c r="D600" s="45">
        <v>1</v>
      </c>
      <c r="E600" s="45">
        <v>54322.1</v>
      </c>
      <c r="F600" s="45">
        <v>0</v>
      </c>
      <c r="G600" s="45">
        <v>0</v>
      </c>
      <c r="H600" s="45">
        <v>53860.3</v>
      </c>
      <c r="I600" s="45">
        <v>0</v>
      </c>
      <c r="J600" s="45">
        <v>0</v>
      </c>
      <c r="K600" s="45">
        <v>52137.7</v>
      </c>
      <c r="L600" s="45">
        <v>0</v>
      </c>
      <c r="M600" s="45">
        <v>1</v>
      </c>
      <c r="O600" s="45">
        <v>61780.800000000003</v>
      </c>
      <c r="P600" s="45">
        <v>0</v>
      </c>
      <c r="Q600" s="45">
        <v>0</v>
      </c>
      <c r="R600" s="45">
        <v>54543</v>
      </c>
      <c r="S600" s="45">
        <v>0</v>
      </c>
      <c r="T600" s="45">
        <v>1</v>
      </c>
      <c r="U600" s="45">
        <v>57274.7</v>
      </c>
      <c r="V600" s="45">
        <v>0</v>
      </c>
      <c r="W600" s="45">
        <v>0</v>
      </c>
      <c r="X600" s="45">
        <v>60093.599999999999</v>
      </c>
      <c r="Y600" s="45">
        <v>0</v>
      </c>
      <c r="Z600" s="45">
        <v>0</v>
      </c>
      <c r="AB600" s="45">
        <v>51999.6</v>
      </c>
      <c r="AC600" s="45">
        <v>0</v>
      </c>
      <c r="AD600" s="45">
        <v>0</v>
      </c>
      <c r="AE600" s="45">
        <v>61035.8</v>
      </c>
      <c r="AF600" s="45">
        <v>0</v>
      </c>
      <c r="AG600" s="45">
        <v>0</v>
      </c>
      <c r="AH600" s="45">
        <v>52433.2</v>
      </c>
      <c r="AI600" s="45">
        <v>0</v>
      </c>
      <c r="AJ600" s="45">
        <v>1</v>
      </c>
      <c r="AK600" s="45">
        <v>53234.5</v>
      </c>
      <c r="AL600" s="45">
        <v>0</v>
      </c>
      <c r="AM600" s="45">
        <v>0</v>
      </c>
      <c r="AO600" s="45">
        <v>70643.899999999994</v>
      </c>
      <c r="AP600" s="45">
        <v>19</v>
      </c>
      <c r="AQ600" s="45">
        <v>1</v>
      </c>
      <c r="AR600" s="45">
        <v>59627.6</v>
      </c>
      <c r="AS600" s="45">
        <v>10</v>
      </c>
      <c r="AT600" s="45">
        <v>0</v>
      </c>
      <c r="AU600" s="45">
        <v>57438.400000000001</v>
      </c>
      <c r="AV600" s="45">
        <v>0</v>
      </c>
      <c r="AW600" s="45">
        <v>1</v>
      </c>
      <c r="AX600" s="45">
        <v>52964.2</v>
      </c>
      <c r="AY600" s="45">
        <v>0</v>
      </c>
      <c r="AZ600" s="45">
        <v>0</v>
      </c>
    </row>
    <row r="601" spans="1:52">
      <c r="B601" s="45">
        <v>48384</v>
      </c>
      <c r="C601" s="45">
        <v>0</v>
      </c>
      <c r="D601" s="45">
        <v>0</v>
      </c>
      <c r="E601" s="45">
        <v>50390.5</v>
      </c>
      <c r="F601" s="45">
        <v>0</v>
      </c>
      <c r="G601" s="45">
        <v>0</v>
      </c>
      <c r="H601" s="45">
        <v>47415.4</v>
      </c>
      <c r="I601" s="45">
        <v>0</v>
      </c>
      <c r="J601" s="45">
        <v>1</v>
      </c>
      <c r="K601" s="45">
        <v>49742.400000000001</v>
      </c>
      <c r="L601" s="45">
        <v>0</v>
      </c>
      <c r="M601" s="45">
        <v>0</v>
      </c>
      <c r="O601" s="45">
        <v>51478.9</v>
      </c>
      <c r="P601" s="45">
        <v>0</v>
      </c>
      <c r="Q601" s="45">
        <v>1</v>
      </c>
      <c r="R601" s="45">
        <v>49846.7</v>
      </c>
      <c r="S601" s="45">
        <v>0</v>
      </c>
      <c r="T601" s="45">
        <v>0</v>
      </c>
      <c r="U601" s="45">
        <v>51996</v>
      </c>
      <c r="V601" s="45">
        <v>0</v>
      </c>
      <c r="W601" s="45">
        <v>1</v>
      </c>
      <c r="X601" s="45">
        <v>50778.400000000001</v>
      </c>
      <c r="Y601" s="45">
        <v>0</v>
      </c>
      <c r="Z601" s="45">
        <v>0</v>
      </c>
      <c r="AB601" s="45">
        <v>53546.2</v>
      </c>
      <c r="AC601" s="45">
        <v>15</v>
      </c>
      <c r="AD601" s="45">
        <v>1</v>
      </c>
      <c r="AE601" s="45">
        <v>47512.4</v>
      </c>
      <c r="AF601" s="45">
        <v>0</v>
      </c>
      <c r="AG601" s="45">
        <v>0</v>
      </c>
      <c r="AH601" s="45">
        <v>48549.1</v>
      </c>
      <c r="AI601" s="45">
        <v>0</v>
      </c>
      <c r="AJ601" s="45">
        <v>1</v>
      </c>
      <c r="AK601" s="45">
        <v>47061.4</v>
      </c>
      <c r="AL601" s="45">
        <v>0</v>
      </c>
      <c r="AM601" s="45">
        <v>0</v>
      </c>
      <c r="AO601" s="45">
        <v>45985.4</v>
      </c>
      <c r="AP601" s="45">
        <v>0</v>
      </c>
      <c r="AQ601" s="45">
        <v>1</v>
      </c>
      <c r="AR601" s="45">
        <v>50425.599999999999</v>
      </c>
      <c r="AS601" s="45">
        <v>0</v>
      </c>
      <c r="AT601" s="45">
        <v>0</v>
      </c>
      <c r="AU601" s="45">
        <v>51999</v>
      </c>
      <c r="AV601" s="45">
        <v>0</v>
      </c>
      <c r="AW601" s="45">
        <v>1</v>
      </c>
      <c r="AX601" s="45">
        <v>47798.7</v>
      </c>
      <c r="AY601" s="45">
        <v>0</v>
      </c>
      <c r="AZ601" s="45">
        <v>0</v>
      </c>
    </row>
    <row r="602" spans="1:52">
      <c r="B602" s="45">
        <v>42864.800000000003</v>
      </c>
      <c r="C602" s="45">
        <v>0</v>
      </c>
      <c r="D602" s="45">
        <v>0</v>
      </c>
      <c r="E602" s="45">
        <v>80378.8</v>
      </c>
      <c r="F602" s="45">
        <v>75</v>
      </c>
      <c r="G602" s="45">
        <v>1</v>
      </c>
      <c r="H602" s="45">
        <v>43336.1</v>
      </c>
      <c r="I602" s="45">
        <v>7</v>
      </c>
      <c r="J602" s="45">
        <v>0</v>
      </c>
      <c r="K602" s="45">
        <v>48839.199999999997</v>
      </c>
      <c r="L602" s="45">
        <v>0</v>
      </c>
      <c r="M602" s="45">
        <v>1</v>
      </c>
      <c r="O602" s="45">
        <v>44111</v>
      </c>
      <c r="P602" s="45">
        <v>0</v>
      </c>
      <c r="Q602" s="45">
        <v>0</v>
      </c>
      <c r="R602" s="45">
        <v>51230.3</v>
      </c>
      <c r="S602" s="45">
        <v>0</v>
      </c>
      <c r="T602" s="45">
        <v>1</v>
      </c>
      <c r="U602" s="45">
        <v>58312.4</v>
      </c>
      <c r="V602" s="45">
        <v>44</v>
      </c>
      <c r="W602" s="45">
        <v>0</v>
      </c>
      <c r="X602" s="45">
        <v>57823</v>
      </c>
      <c r="Y602" s="45">
        <v>21</v>
      </c>
      <c r="Z602" s="45">
        <v>1</v>
      </c>
      <c r="AB602" s="45">
        <v>40663.300000000003</v>
      </c>
      <c r="AC602" s="45">
        <v>0</v>
      </c>
      <c r="AD602" s="45">
        <v>0</v>
      </c>
      <c r="AE602" s="45">
        <v>44978.400000000001</v>
      </c>
      <c r="AF602" s="45">
        <v>0</v>
      </c>
      <c r="AG602" s="45">
        <v>1</v>
      </c>
      <c r="AH602" s="45">
        <v>50956.7</v>
      </c>
      <c r="AI602" s="45">
        <v>23</v>
      </c>
      <c r="AJ602" s="45">
        <v>0</v>
      </c>
      <c r="AK602" s="45">
        <v>50648.4</v>
      </c>
      <c r="AL602" s="45">
        <v>24</v>
      </c>
      <c r="AM602" s="45">
        <v>1</v>
      </c>
      <c r="AO602" s="45">
        <v>40461.300000000003</v>
      </c>
      <c r="AP602" s="45">
        <v>0</v>
      </c>
      <c r="AQ602" s="45">
        <v>0</v>
      </c>
      <c r="AR602" s="45">
        <v>57030.7</v>
      </c>
      <c r="AS602" s="45">
        <v>24</v>
      </c>
      <c r="AT602" s="45">
        <v>1</v>
      </c>
      <c r="AU602" s="45">
        <v>39335.599999999999</v>
      </c>
      <c r="AV602" s="45">
        <v>0</v>
      </c>
      <c r="AW602" s="45">
        <v>0</v>
      </c>
      <c r="AX602" s="45">
        <v>41417.800000000003</v>
      </c>
      <c r="AY602" s="45">
        <v>0</v>
      </c>
      <c r="AZ602" s="45">
        <v>1</v>
      </c>
    </row>
    <row r="603" spans="1:52">
      <c r="A603" s="50"/>
      <c r="B603" s="50">
        <v>351435</v>
      </c>
      <c r="C603" s="50">
        <v>0</v>
      </c>
      <c r="D603" s="50">
        <v>2</v>
      </c>
      <c r="E603" s="50">
        <v>312317</v>
      </c>
      <c r="F603" s="50">
        <v>0</v>
      </c>
      <c r="G603" s="50">
        <v>2</v>
      </c>
      <c r="H603" s="50">
        <v>315130</v>
      </c>
      <c r="I603" s="50">
        <v>0</v>
      </c>
      <c r="J603" s="50">
        <v>1</v>
      </c>
      <c r="K603" s="50">
        <v>318003</v>
      </c>
      <c r="L603" s="50">
        <v>0</v>
      </c>
      <c r="M603" s="50">
        <v>2</v>
      </c>
      <c r="N603" s="50"/>
      <c r="O603" s="50">
        <v>366019</v>
      </c>
      <c r="P603" s="50">
        <v>0</v>
      </c>
      <c r="Q603" s="50">
        <v>2</v>
      </c>
      <c r="R603" s="50">
        <v>340313</v>
      </c>
      <c r="S603" s="50">
        <v>0</v>
      </c>
      <c r="T603" s="50">
        <v>2</v>
      </c>
      <c r="U603" s="50">
        <v>348710</v>
      </c>
      <c r="V603" s="50">
        <v>0</v>
      </c>
      <c r="W603" s="50">
        <v>2</v>
      </c>
      <c r="X603" s="50">
        <v>341618</v>
      </c>
      <c r="Y603" s="50">
        <v>0</v>
      </c>
      <c r="Z603" s="50">
        <v>2</v>
      </c>
      <c r="AA603" s="50"/>
      <c r="AB603" s="50">
        <v>380848</v>
      </c>
      <c r="AC603" s="50">
        <v>0</v>
      </c>
      <c r="AD603" s="50">
        <v>2</v>
      </c>
      <c r="AE603" s="50">
        <v>391307</v>
      </c>
      <c r="AF603" s="50">
        <v>0</v>
      </c>
      <c r="AG603" s="50">
        <v>1</v>
      </c>
      <c r="AH603" s="50">
        <v>376507</v>
      </c>
      <c r="AI603" s="50">
        <v>0</v>
      </c>
      <c r="AJ603" s="50">
        <v>1</v>
      </c>
      <c r="AK603" s="50">
        <v>367109</v>
      </c>
      <c r="AL603" s="50">
        <v>0</v>
      </c>
      <c r="AM603" s="50">
        <v>1</v>
      </c>
      <c r="AN603" s="50"/>
      <c r="AO603" s="50">
        <v>381008</v>
      </c>
      <c r="AP603" s="50">
        <v>0</v>
      </c>
      <c r="AQ603" s="50">
        <v>2</v>
      </c>
      <c r="AR603" s="50">
        <v>341362</v>
      </c>
      <c r="AS603" s="50">
        <v>0</v>
      </c>
      <c r="AT603" s="50">
        <v>3</v>
      </c>
      <c r="AU603" s="50">
        <v>341568</v>
      </c>
      <c r="AV603" s="50">
        <v>0</v>
      </c>
      <c r="AW603" s="50">
        <v>2</v>
      </c>
      <c r="AX603" s="50">
        <v>332367</v>
      </c>
      <c r="AY603" s="50">
        <v>2</v>
      </c>
      <c r="AZ603" s="50">
        <v>3</v>
      </c>
    </row>
    <row r="604" spans="1:52">
      <c r="B604" s="45">
        <v>344463</v>
      </c>
      <c r="C604" s="45">
        <v>0</v>
      </c>
      <c r="D604" s="45">
        <v>1</v>
      </c>
      <c r="E604" s="45">
        <v>354321</v>
      </c>
      <c r="F604" s="45">
        <v>0</v>
      </c>
      <c r="G604" s="45">
        <v>0</v>
      </c>
      <c r="H604" s="45">
        <v>366501</v>
      </c>
      <c r="I604" s="45">
        <v>25</v>
      </c>
      <c r="J604" s="45">
        <v>3</v>
      </c>
      <c r="K604" s="45">
        <v>335819</v>
      </c>
      <c r="L604" s="45">
        <v>0</v>
      </c>
      <c r="M604" s="45">
        <v>1</v>
      </c>
      <c r="O604" s="45">
        <v>359495</v>
      </c>
      <c r="P604" s="45">
        <v>0</v>
      </c>
      <c r="Q604" s="45">
        <v>2</v>
      </c>
      <c r="R604" s="45">
        <v>369328</v>
      </c>
      <c r="S604" s="45">
        <v>0</v>
      </c>
      <c r="T604" s="45">
        <v>2</v>
      </c>
      <c r="U604" s="45">
        <v>371433</v>
      </c>
      <c r="V604" s="45">
        <v>0</v>
      </c>
      <c r="W604" s="45">
        <v>3</v>
      </c>
      <c r="X604" s="45">
        <v>384889</v>
      </c>
      <c r="Y604" s="45">
        <v>0</v>
      </c>
      <c r="Z604" s="45">
        <v>3</v>
      </c>
      <c r="AB604" s="45">
        <v>401549</v>
      </c>
      <c r="AC604" s="45">
        <v>0</v>
      </c>
      <c r="AD604" s="45">
        <v>1</v>
      </c>
      <c r="AE604" s="45">
        <v>365346</v>
      </c>
      <c r="AF604" s="45">
        <v>0</v>
      </c>
      <c r="AG604" s="45">
        <v>1</v>
      </c>
      <c r="AH604" s="45">
        <v>379516</v>
      </c>
      <c r="AI604" s="45">
        <v>0</v>
      </c>
      <c r="AJ604" s="45">
        <v>1</v>
      </c>
      <c r="AK604" s="45">
        <v>385955</v>
      </c>
      <c r="AL604" s="45">
        <v>0</v>
      </c>
      <c r="AM604" s="45">
        <v>1</v>
      </c>
      <c r="AO604" s="45">
        <v>344335</v>
      </c>
      <c r="AP604" s="45">
        <v>0</v>
      </c>
      <c r="AQ604" s="45">
        <v>4</v>
      </c>
      <c r="AR604" s="45">
        <v>318089</v>
      </c>
      <c r="AS604" s="45">
        <v>0</v>
      </c>
      <c r="AT604" s="45">
        <v>4</v>
      </c>
      <c r="AU604" s="45">
        <v>330787</v>
      </c>
      <c r="AV604" s="45">
        <v>0</v>
      </c>
      <c r="AW604" s="45">
        <v>2</v>
      </c>
      <c r="AX604" s="45">
        <v>336860</v>
      </c>
      <c r="AY604" s="45">
        <v>0</v>
      </c>
      <c r="AZ604" s="45">
        <v>3</v>
      </c>
    </row>
    <row r="605" spans="1:52">
      <c r="B605" s="45">
        <v>397766</v>
      </c>
      <c r="C605" s="45">
        <v>6</v>
      </c>
      <c r="D605" s="45">
        <v>4</v>
      </c>
      <c r="E605" s="45">
        <v>371993</v>
      </c>
      <c r="F605" s="45">
        <v>0</v>
      </c>
      <c r="G605" s="45">
        <v>1</v>
      </c>
      <c r="H605" s="45">
        <v>352109</v>
      </c>
      <c r="I605" s="45">
        <v>1</v>
      </c>
      <c r="J605" s="45">
        <v>2</v>
      </c>
      <c r="K605" s="45">
        <v>385590</v>
      </c>
      <c r="L605" s="45">
        <v>0</v>
      </c>
      <c r="M605" s="45">
        <v>1</v>
      </c>
      <c r="O605" s="45">
        <v>391045</v>
      </c>
      <c r="P605" s="45">
        <v>0</v>
      </c>
      <c r="Q605" s="45">
        <v>3</v>
      </c>
      <c r="R605" s="45">
        <v>381104</v>
      </c>
      <c r="S605" s="45">
        <v>0</v>
      </c>
      <c r="T605" s="45">
        <v>2</v>
      </c>
      <c r="U605" s="45">
        <v>369961</v>
      </c>
      <c r="V605" s="45">
        <v>0</v>
      </c>
      <c r="W605" s="45">
        <v>1</v>
      </c>
      <c r="X605" s="45">
        <v>372878</v>
      </c>
      <c r="Y605" s="45">
        <v>0</v>
      </c>
      <c r="Z605" s="45">
        <v>3</v>
      </c>
      <c r="AB605" s="45">
        <v>431378</v>
      </c>
      <c r="AC605" s="45">
        <v>0</v>
      </c>
      <c r="AD605" s="45">
        <v>1</v>
      </c>
      <c r="AE605" s="45">
        <v>432776</v>
      </c>
      <c r="AF605" s="45">
        <v>0</v>
      </c>
      <c r="AG605" s="45">
        <v>1</v>
      </c>
      <c r="AH605" s="45">
        <v>438654</v>
      </c>
      <c r="AI605" s="45">
        <v>0</v>
      </c>
      <c r="AJ605" s="45">
        <v>1</v>
      </c>
      <c r="AK605" s="45">
        <v>436561</v>
      </c>
      <c r="AL605" s="45">
        <v>0</v>
      </c>
      <c r="AM605" s="45">
        <v>1</v>
      </c>
      <c r="AO605" s="45">
        <v>392086</v>
      </c>
      <c r="AP605" s="45">
        <v>0</v>
      </c>
      <c r="AQ605" s="45">
        <v>2</v>
      </c>
      <c r="AR605" s="45">
        <v>355057</v>
      </c>
      <c r="AS605" s="45">
        <v>0</v>
      </c>
      <c r="AT605" s="45">
        <v>2</v>
      </c>
      <c r="AU605" s="45">
        <v>371571</v>
      </c>
      <c r="AV605" s="45">
        <v>0</v>
      </c>
      <c r="AW605" s="45">
        <v>4</v>
      </c>
      <c r="AX605" s="45">
        <v>369407</v>
      </c>
      <c r="AY605" s="45">
        <v>0</v>
      </c>
      <c r="AZ605" s="45">
        <v>2</v>
      </c>
    </row>
    <row r="606" spans="1:52">
      <c r="B606" s="45">
        <v>392498</v>
      </c>
      <c r="C606" s="45">
        <v>37</v>
      </c>
      <c r="D606" s="45">
        <v>3</v>
      </c>
      <c r="E606" s="45">
        <v>333395</v>
      </c>
      <c r="F606" s="45">
        <v>0</v>
      </c>
      <c r="G606" s="45">
        <v>2</v>
      </c>
      <c r="H606" s="45">
        <v>414749</v>
      </c>
      <c r="I606" s="45">
        <v>100</v>
      </c>
      <c r="J606" s="45">
        <v>3</v>
      </c>
      <c r="K606" s="45">
        <v>383498</v>
      </c>
      <c r="L606" s="45">
        <v>30</v>
      </c>
      <c r="M606" s="45">
        <v>2</v>
      </c>
      <c r="O606" s="45">
        <v>373750</v>
      </c>
      <c r="P606" s="45">
        <v>0</v>
      </c>
      <c r="Q606" s="45">
        <v>2</v>
      </c>
      <c r="R606" s="45">
        <v>335496</v>
      </c>
      <c r="S606" s="45">
        <v>0</v>
      </c>
      <c r="T606" s="45">
        <v>1</v>
      </c>
      <c r="U606" s="45">
        <v>355962</v>
      </c>
      <c r="V606" s="45">
        <v>0</v>
      </c>
      <c r="W606" s="45">
        <v>2</v>
      </c>
      <c r="X606" s="45">
        <v>378224</v>
      </c>
      <c r="Y606" s="45">
        <v>0</v>
      </c>
      <c r="Z606" s="45">
        <v>2</v>
      </c>
      <c r="AB606" s="45">
        <v>368650</v>
      </c>
      <c r="AC606" s="45">
        <v>0</v>
      </c>
      <c r="AD606" s="45">
        <v>1</v>
      </c>
      <c r="AE606" s="45">
        <v>384537</v>
      </c>
      <c r="AF606" s="45">
        <v>0</v>
      </c>
      <c r="AG606" s="45">
        <v>1</v>
      </c>
      <c r="AH606" s="45">
        <v>384526</v>
      </c>
      <c r="AI606" s="45">
        <v>0</v>
      </c>
      <c r="AJ606" s="45">
        <v>1</v>
      </c>
      <c r="AK606" s="45">
        <v>377441</v>
      </c>
      <c r="AL606" s="45">
        <v>0</v>
      </c>
      <c r="AM606" s="45">
        <v>1</v>
      </c>
      <c r="AO606" s="45">
        <v>362661</v>
      </c>
      <c r="AP606" s="45">
        <v>0</v>
      </c>
      <c r="AQ606" s="45">
        <v>1</v>
      </c>
      <c r="AR606" s="45">
        <v>338262</v>
      </c>
      <c r="AS606" s="45">
        <v>0</v>
      </c>
      <c r="AT606" s="45">
        <v>3</v>
      </c>
      <c r="AU606" s="45">
        <v>333335</v>
      </c>
      <c r="AV606" s="45">
        <v>0</v>
      </c>
      <c r="AW606" s="45">
        <v>1</v>
      </c>
      <c r="AX606" s="45">
        <v>346303</v>
      </c>
      <c r="AY606" s="45">
        <v>0</v>
      </c>
      <c r="AZ606" s="45">
        <v>2</v>
      </c>
    </row>
    <row r="607" spans="1:52">
      <c r="B607" s="45">
        <v>338734</v>
      </c>
      <c r="C607" s="45">
        <v>0</v>
      </c>
      <c r="D607" s="45">
        <v>3</v>
      </c>
      <c r="E607" s="45">
        <v>323713</v>
      </c>
      <c r="F607" s="45">
        <v>0</v>
      </c>
      <c r="G607" s="45">
        <v>2</v>
      </c>
      <c r="H607" s="45">
        <v>339873</v>
      </c>
      <c r="I607" s="45">
        <v>0</v>
      </c>
      <c r="J607" s="45">
        <v>1</v>
      </c>
      <c r="K607" s="45">
        <v>325874</v>
      </c>
      <c r="L607" s="45">
        <v>0</v>
      </c>
      <c r="M607" s="45">
        <v>2</v>
      </c>
      <c r="O607" s="45">
        <v>341556</v>
      </c>
      <c r="P607" s="45">
        <v>0</v>
      </c>
      <c r="Q607" s="45">
        <v>2</v>
      </c>
      <c r="R607" s="45">
        <v>328156</v>
      </c>
      <c r="S607" s="45">
        <v>0</v>
      </c>
      <c r="T607" s="45">
        <v>2</v>
      </c>
      <c r="U607" s="45">
        <v>346076</v>
      </c>
      <c r="V607" s="45">
        <v>0</v>
      </c>
      <c r="W607" s="45">
        <v>2</v>
      </c>
      <c r="X607" s="45">
        <v>332622</v>
      </c>
      <c r="Y607" s="45">
        <v>0</v>
      </c>
      <c r="Z607" s="45">
        <v>2</v>
      </c>
      <c r="AB607" s="45">
        <v>374629</v>
      </c>
      <c r="AC607" s="45">
        <v>0</v>
      </c>
      <c r="AD607" s="45">
        <v>1</v>
      </c>
      <c r="AE607" s="45">
        <v>390220</v>
      </c>
      <c r="AF607" s="45">
        <v>0</v>
      </c>
      <c r="AG607" s="45">
        <v>1</v>
      </c>
      <c r="AH607" s="45">
        <v>381888</v>
      </c>
      <c r="AI607" s="45">
        <v>0</v>
      </c>
      <c r="AJ607" s="45">
        <v>1</v>
      </c>
      <c r="AK607" s="45">
        <v>371639</v>
      </c>
      <c r="AL607" s="45">
        <v>0</v>
      </c>
      <c r="AM607" s="45">
        <v>1</v>
      </c>
      <c r="AO607" s="45">
        <v>353841</v>
      </c>
      <c r="AP607" s="45">
        <v>0</v>
      </c>
      <c r="AQ607" s="45">
        <v>2</v>
      </c>
      <c r="AR607" s="45">
        <v>339206</v>
      </c>
      <c r="AS607" s="45">
        <v>0</v>
      </c>
      <c r="AT607" s="45">
        <v>2</v>
      </c>
      <c r="AU607" s="45">
        <v>322119</v>
      </c>
      <c r="AV607" s="45">
        <v>0</v>
      </c>
      <c r="AW607" s="45">
        <v>1</v>
      </c>
      <c r="AX607" s="45">
        <v>326656</v>
      </c>
      <c r="AY607" s="45">
        <v>0</v>
      </c>
      <c r="AZ607" s="45">
        <v>2</v>
      </c>
    </row>
    <row r="608" spans="1:52">
      <c r="B608" s="45">
        <v>360790</v>
      </c>
      <c r="C608" s="45">
        <v>0</v>
      </c>
      <c r="D608" s="45">
        <v>1</v>
      </c>
      <c r="E608" s="45">
        <v>371472</v>
      </c>
      <c r="F608" s="45">
        <v>25</v>
      </c>
      <c r="G608" s="45">
        <v>3</v>
      </c>
      <c r="H608" s="45">
        <v>334704</v>
      </c>
      <c r="I608" s="45">
        <v>0</v>
      </c>
      <c r="J608" s="45">
        <v>3</v>
      </c>
      <c r="K608" s="45">
        <v>350898</v>
      </c>
      <c r="L608" s="45">
        <v>0</v>
      </c>
      <c r="M608" s="45">
        <v>1</v>
      </c>
      <c r="O608" s="45">
        <v>342516</v>
      </c>
      <c r="P608" s="45">
        <v>0</v>
      </c>
      <c r="Q608" s="45">
        <v>3</v>
      </c>
      <c r="R608" s="45">
        <v>389943</v>
      </c>
      <c r="S608" s="45">
        <v>0</v>
      </c>
      <c r="T608" s="45">
        <v>3</v>
      </c>
      <c r="U608" s="45">
        <v>368026</v>
      </c>
      <c r="V608" s="45">
        <v>0</v>
      </c>
      <c r="W608" s="45">
        <v>2</v>
      </c>
      <c r="X608" s="45">
        <v>338149</v>
      </c>
      <c r="Y608" s="45">
        <v>0</v>
      </c>
      <c r="Z608" s="45">
        <v>2</v>
      </c>
      <c r="AB608" s="45">
        <v>399188</v>
      </c>
      <c r="AC608" s="45">
        <v>0</v>
      </c>
      <c r="AD608" s="45">
        <v>1</v>
      </c>
      <c r="AE608" s="45">
        <v>398364</v>
      </c>
      <c r="AF608" s="45">
        <v>0</v>
      </c>
      <c r="AG608" s="45">
        <v>1</v>
      </c>
      <c r="AH608" s="45">
        <v>400902</v>
      </c>
      <c r="AI608" s="45">
        <v>0</v>
      </c>
      <c r="AJ608" s="45">
        <v>1</v>
      </c>
      <c r="AK608" s="45">
        <v>392180</v>
      </c>
      <c r="AL608" s="45">
        <v>0</v>
      </c>
      <c r="AM608" s="45">
        <v>2</v>
      </c>
      <c r="AO608" s="45">
        <v>336833</v>
      </c>
      <c r="AP608" s="45">
        <v>0</v>
      </c>
      <c r="AQ608" s="45">
        <v>4</v>
      </c>
      <c r="AR608" s="45">
        <v>339562</v>
      </c>
      <c r="AS608" s="45">
        <v>0</v>
      </c>
      <c r="AT608" s="45">
        <v>2</v>
      </c>
      <c r="AU608" s="45">
        <v>324577</v>
      </c>
      <c r="AV608" s="45">
        <v>0</v>
      </c>
      <c r="AW608" s="45">
        <v>4</v>
      </c>
      <c r="AX608" s="45">
        <v>355350</v>
      </c>
      <c r="AY608" s="45">
        <v>0</v>
      </c>
      <c r="AZ608" s="45">
        <v>2</v>
      </c>
    </row>
    <row r="609" spans="2:52">
      <c r="B609" s="45">
        <v>322734</v>
      </c>
      <c r="C609" s="45">
        <v>0</v>
      </c>
      <c r="D609" s="45">
        <v>3</v>
      </c>
      <c r="E609" s="45">
        <v>317062</v>
      </c>
      <c r="F609" s="45">
        <v>0</v>
      </c>
      <c r="G609" s="45">
        <v>2</v>
      </c>
      <c r="H609" s="45">
        <v>310252</v>
      </c>
      <c r="I609" s="45">
        <v>0</v>
      </c>
      <c r="J609" s="45">
        <v>1</v>
      </c>
      <c r="K609" s="45">
        <v>304649</v>
      </c>
      <c r="L609" s="45">
        <v>0</v>
      </c>
      <c r="M609" s="45">
        <v>3</v>
      </c>
      <c r="O609" s="45">
        <v>337352</v>
      </c>
      <c r="P609" s="45">
        <v>0</v>
      </c>
      <c r="Q609" s="45">
        <v>2</v>
      </c>
      <c r="R609" s="45">
        <v>327753</v>
      </c>
      <c r="S609" s="45">
        <v>0</v>
      </c>
      <c r="T609" s="45">
        <v>2</v>
      </c>
      <c r="U609" s="45">
        <v>336370</v>
      </c>
      <c r="V609" s="45">
        <v>0</v>
      </c>
      <c r="W609" s="45">
        <v>2</v>
      </c>
      <c r="X609" s="45">
        <v>338216</v>
      </c>
      <c r="Y609" s="45">
        <v>0</v>
      </c>
      <c r="Z609" s="45">
        <v>2</v>
      </c>
      <c r="AB609" s="45">
        <v>361058</v>
      </c>
      <c r="AC609" s="45">
        <v>0</v>
      </c>
      <c r="AD609" s="45">
        <v>2</v>
      </c>
      <c r="AE609" s="45">
        <v>372942</v>
      </c>
      <c r="AF609" s="45">
        <v>0</v>
      </c>
      <c r="AG609" s="45">
        <v>1</v>
      </c>
      <c r="AH609" s="45">
        <v>369830</v>
      </c>
      <c r="AI609" s="45">
        <v>0</v>
      </c>
      <c r="AJ609" s="45">
        <v>1</v>
      </c>
      <c r="AK609" s="45">
        <v>354306</v>
      </c>
      <c r="AL609" s="45">
        <v>0</v>
      </c>
      <c r="AM609" s="45">
        <v>2</v>
      </c>
      <c r="AO609" s="45">
        <v>345083</v>
      </c>
      <c r="AP609" s="45">
        <v>0</v>
      </c>
      <c r="AQ609" s="45">
        <v>3</v>
      </c>
      <c r="AR609" s="45">
        <v>332488</v>
      </c>
      <c r="AS609" s="45">
        <v>0</v>
      </c>
      <c r="AT609" s="45">
        <v>3</v>
      </c>
      <c r="AU609" s="45">
        <v>344306</v>
      </c>
      <c r="AV609" s="45">
        <v>0</v>
      </c>
      <c r="AW609" s="45">
        <v>1</v>
      </c>
      <c r="AX609" s="45">
        <v>311042</v>
      </c>
      <c r="AY609" s="45">
        <v>1</v>
      </c>
      <c r="AZ609" s="45">
        <v>3</v>
      </c>
    </row>
    <row r="610" spans="2:52">
      <c r="B610" s="45">
        <v>389103</v>
      </c>
      <c r="C610" s="45">
        <v>0</v>
      </c>
      <c r="D610" s="45">
        <v>2</v>
      </c>
      <c r="E610" s="45">
        <v>415171</v>
      </c>
      <c r="F610" s="45">
        <v>0</v>
      </c>
      <c r="G610" s="45">
        <v>2</v>
      </c>
      <c r="H610" s="45">
        <v>433386</v>
      </c>
      <c r="I610" s="45">
        <v>54</v>
      </c>
      <c r="J610" s="45">
        <v>4</v>
      </c>
      <c r="K610" s="45">
        <v>374955</v>
      </c>
      <c r="L610" s="45">
        <v>0</v>
      </c>
      <c r="M610" s="45">
        <v>1</v>
      </c>
      <c r="O610" s="45">
        <v>419057</v>
      </c>
      <c r="P610" s="45">
        <v>0</v>
      </c>
      <c r="Q610" s="45">
        <v>2</v>
      </c>
      <c r="R610" s="45">
        <v>412500</v>
      </c>
      <c r="S610" s="45">
        <v>0</v>
      </c>
      <c r="T610" s="45">
        <v>3</v>
      </c>
      <c r="U610" s="45">
        <v>404759</v>
      </c>
      <c r="V610" s="45">
        <v>0</v>
      </c>
      <c r="W610" s="45">
        <v>2</v>
      </c>
      <c r="X610" s="45">
        <v>411572</v>
      </c>
      <c r="Y610" s="45">
        <v>0</v>
      </c>
      <c r="Z610" s="45">
        <v>2</v>
      </c>
      <c r="AB610" s="45">
        <v>445341</v>
      </c>
      <c r="AC610" s="45">
        <v>0</v>
      </c>
      <c r="AD610" s="45">
        <v>1</v>
      </c>
      <c r="AE610" s="45">
        <v>458868</v>
      </c>
      <c r="AF610" s="45">
        <v>0</v>
      </c>
      <c r="AG610" s="45">
        <v>3</v>
      </c>
      <c r="AH610" s="45">
        <v>443336</v>
      </c>
      <c r="AI610" s="45">
        <v>0</v>
      </c>
      <c r="AJ610" s="45">
        <v>2</v>
      </c>
      <c r="AK610" s="45">
        <v>428386</v>
      </c>
      <c r="AL610" s="45">
        <v>0</v>
      </c>
      <c r="AM610" s="45">
        <v>1</v>
      </c>
      <c r="AO610" s="45">
        <v>480019</v>
      </c>
      <c r="AP610" s="45">
        <v>99</v>
      </c>
      <c r="AQ610" s="45">
        <v>5</v>
      </c>
      <c r="AR610" s="45">
        <v>387731</v>
      </c>
      <c r="AS610" s="45">
        <v>0</v>
      </c>
      <c r="AT610" s="45">
        <v>4</v>
      </c>
      <c r="AU610" s="45">
        <v>401652</v>
      </c>
      <c r="AV610" s="45">
        <v>0</v>
      </c>
      <c r="AW610" s="45">
        <v>1</v>
      </c>
      <c r="AX610" s="45">
        <v>410771</v>
      </c>
      <c r="AY610" s="45">
        <v>40</v>
      </c>
      <c r="AZ610" s="45">
        <v>4</v>
      </c>
    </row>
    <row r="611" spans="2:52">
      <c r="B611" s="45">
        <v>335825</v>
      </c>
      <c r="C611" s="45">
        <v>0</v>
      </c>
      <c r="D611" s="45">
        <v>2</v>
      </c>
      <c r="E611" s="45">
        <v>323552</v>
      </c>
      <c r="F611" s="45">
        <v>0</v>
      </c>
      <c r="G611" s="45">
        <v>2</v>
      </c>
      <c r="H611" s="45">
        <v>318369</v>
      </c>
      <c r="I611" s="45">
        <v>0</v>
      </c>
      <c r="J611" s="45">
        <v>1</v>
      </c>
      <c r="K611" s="45">
        <v>298872</v>
      </c>
      <c r="L611" s="45">
        <v>0</v>
      </c>
      <c r="M611" s="45">
        <v>2</v>
      </c>
      <c r="O611" s="45">
        <v>334894</v>
      </c>
      <c r="P611" s="45">
        <v>0</v>
      </c>
      <c r="Q611" s="45">
        <v>2</v>
      </c>
      <c r="R611" s="45">
        <v>331593</v>
      </c>
      <c r="S611" s="45">
        <v>0</v>
      </c>
      <c r="T611" s="45">
        <v>2</v>
      </c>
      <c r="U611" s="45">
        <v>334942</v>
      </c>
      <c r="V611" s="45">
        <v>0</v>
      </c>
      <c r="W611" s="45">
        <v>2</v>
      </c>
      <c r="X611" s="45">
        <v>299185</v>
      </c>
      <c r="Y611" s="45">
        <v>0</v>
      </c>
      <c r="Z611" s="45">
        <v>3</v>
      </c>
      <c r="AB611" s="45">
        <v>359815</v>
      </c>
      <c r="AC611" s="45">
        <v>0</v>
      </c>
      <c r="AD611" s="45">
        <v>3</v>
      </c>
      <c r="AE611" s="45">
        <v>360258</v>
      </c>
      <c r="AF611" s="45">
        <v>0</v>
      </c>
      <c r="AG611" s="45">
        <v>2</v>
      </c>
      <c r="AH611" s="45">
        <v>371868</v>
      </c>
      <c r="AI611" s="45">
        <v>0</v>
      </c>
      <c r="AJ611" s="45">
        <v>2</v>
      </c>
      <c r="AK611" s="45">
        <v>328313</v>
      </c>
      <c r="AL611" s="45">
        <v>0</v>
      </c>
      <c r="AM611" s="45">
        <v>1</v>
      </c>
      <c r="AO611" s="45">
        <v>315833</v>
      </c>
      <c r="AP611" s="45">
        <v>0</v>
      </c>
      <c r="AQ611" s="45">
        <v>4</v>
      </c>
      <c r="AR611" s="45">
        <v>331479</v>
      </c>
      <c r="AS611" s="45">
        <v>0</v>
      </c>
      <c r="AT611" s="45">
        <v>3</v>
      </c>
      <c r="AU611" s="45">
        <v>324422</v>
      </c>
      <c r="AV611" s="45">
        <v>0</v>
      </c>
      <c r="AW611" s="45">
        <v>3</v>
      </c>
      <c r="AX611" s="45">
        <v>313026</v>
      </c>
      <c r="AY611" s="45">
        <v>0</v>
      </c>
      <c r="AZ611" s="45">
        <v>2</v>
      </c>
    </row>
    <row r="612" spans="2:52">
      <c r="B612" s="45">
        <v>387306</v>
      </c>
      <c r="C612" s="45">
        <v>0</v>
      </c>
      <c r="D612" s="45">
        <v>2</v>
      </c>
      <c r="E612" s="45">
        <v>378386</v>
      </c>
      <c r="F612" s="45">
        <v>19</v>
      </c>
      <c r="G612" s="45">
        <v>4</v>
      </c>
      <c r="H612" s="45">
        <v>406105</v>
      </c>
      <c r="I612" s="45">
        <v>0</v>
      </c>
      <c r="J612" s="45">
        <v>2</v>
      </c>
      <c r="K612" s="45">
        <v>490768</v>
      </c>
      <c r="L612" s="45">
        <v>108</v>
      </c>
      <c r="M612" s="45">
        <v>2</v>
      </c>
      <c r="O612" s="45">
        <v>380464</v>
      </c>
      <c r="P612" s="45">
        <v>0</v>
      </c>
      <c r="Q612" s="45">
        <v>2</v>
      </c>
      <c r="R612" s="45">
        <v>393442</v>
      </c>
      <c r="S612" s="45">
        <v>0</v>
      </c>
      <c r="T612" s="45">
        <v>2</v>
      </c>
      <c r="U612" s="45">
        <v>402684</v>
      </c>
      <c r="V612" s="45">
        <v>0</v>
      </c>
      <c r="W612" s="45">
        <v>3</v>
      </c>
      <c r="X612" s="45">
        <v>373163</v>
      </c>
      <c r="Y612" s="45">
        <v>0</v>
      </c>
      <c r="Z612" s="45">
        <v>3</v>
      </c>
      <c r="AB612" s="45">
        <v>404076</v>
      </c>
      <c r="AC612" s="45">
        <v>0</v>
      </c>
      <c r="AD612" s="45">
        <v>2</v>
      </c>
      <c r="AE612" s="45">
        <v>413413</v>
      </c>
      <c r="AF612" s="45">
        <v>0</v>
      </c>
      <c r="AG612" s="45">
        <v>2</v>
      </c>
      <c r="AH612" s="45">
        <v>404190</v>
      </c>
      <c r="AI612" s="45">
        <v>0</v>
      </c>
      <c r="AJ612" s="45">
        <v>1</v>
      </c>
      <c r="AK612" s="45">
        <v>418692</v>
      </c>
      <c r="AL612" s="45">
        <v>0</v>
      </c>
      <c r="AM612" s="45">
        <v>2</v>
      </c>
      <c r="AO612" s="45">
        <v>382684</v>
      </c>
      <c r="AP612" s="45">
        <v>0</v>
      </c>
      <c r="AQ612" s="45">
        <v>2</v>
      </c>
      <c r="AR612" s="45">
        <v>375198</v>
      </c>
      <c r="AS612" s="45">
        <v>0</v>
      </c>
      <c r="AT612" s="45">
        <v>3</v>
      </c>
      <c r="AU612" s="45">
        <v>377256</v>
      </c>
      <c r="AV612" s="45">
        <v>12</v>
      </c>
      <c r="AW612" s="45">
        <v>4</v>
      </c>
      <c r="AX612" s="45">
        <v>381123</v>
      </c>
      <c r="AY612" s="45">
        <v>0</v>
      </c>
      <c r="AZ612" s="45">
        <v>2</v>
      </c>
    </row>
    <row r="613" spans="2:52">
      <c r="B613" s="45">
        <v>350182</v>
      </c>
      <c r="C613" s="45">
        <v>0</v>
      </c>
      <c r="D613" s="45">
        <v>4</v>
      </c>
      <c r="E613" s="45">
        <v>379760</v>
      </c>
      <c r="F613" s="45">
        <v>0</v>
      </c>
      <c r="G613" s="45">
        <v>1</v>
      </c>
      <c r="H613" s="45">
        <v>366864</v>
      </c>
      <c r="I613" s="45">
        <v>0</v>
      </c>
      <c r="J613" s="45">
        <v>1</v>
      </c>
      <c r="K613" s="45">
        <v>362414</v>
      </c>
      <c r="L613" s="45">
        <v>0</v>
      </c>
      <c r="M613" s="45">
        <v>2</v>
      </c>
      <c r="O613" s="45">
        <v>350239</v>
      </c>
      <c r="P613" s="45">
        <v>0</v>
      </c>
      <c r="Q613" s="45">
        <v>2</v>
      </c>
      <c r="R613" s="45">
        <v>358605</v>
      </c>
      <c r="S613" s="45">
        <v>0</v>
      </c>
      <c r="T613" s="45">
        <v>2</v>
      </c>
      <c r="U613" s="45">
        <v>358743</v>
      </c>
      <c r="V613" s="45">
        <v>0</v>
      </c>
      <c r="W613" s="45">
        <v>2</v>
      </c>
      <c r="X613" s="45">
        <v>378835</v>
      </c>
      <c r="Y613" s="45">
        <v>0</v>
      </c>
      <c r="Z613" s="45">
        <v>2</v>
      </c>
      <c r="AB613" s="45">
        <v>418286</v>
      </c>
      <c r="AC613" s="45">
        <v>0</v>
      </c>
      <c r="AD613" s="45">
        <v>1</v>
      </c>
      <c r="AE613" s="45">
        <v>389993</v>
      </c>
      <c r="AF613" s="45">
        <v>0</v>
      </c>
      <c r="AG613" s="45">
        <v>2</v>
      </c>
      <c r="AH613" s="45">
        <v>389989</v>
      </c>
      <c r="AI613" s="45">
        <v>0</v>
      </c>
      <c r="AJ613" s="45">
        <v>1</v>
      </c>
      <c r="AK613" s="45">
        <v>401520</v>
      </c>
      <c r="AL613" s="45">
        <v>0</v>
      </c>
      <c r="AM613" s="45">
        <v>2</v>
      </c>
      <c r="AO613" s="45">
        <v>356017</v>
      </c>
      <c r="AP613" s="45">
        <v>0</v>
      </c>
      <c r="AQ613" s="45">
        <v>4</v>
      </c>
      <c r="AR613" s="45">
        <v>377123</v>
      </c>
      <c r="AS613" s="45">
        <v>0</v>
      </c>
      <c r="AT613" s="45">
        <v>2</v>
      </c>
      <c r="AU613" s="45">
        <v>364906</v>
      </c>
      <c r="AV613" s="45">
        <v>0</v>
      </c>
      <c r="AW613" s="45">
        <v>2</v>
      </c>
      <c r="AX613" s="45">
        <v>351245</v>
      </c>
      <c r="AY613" s="45">
        <v>0</v>
      </c>
      <c r="AZ613" s="45">
        <v>2</v>
      </c>
    </row>
    <row r="614" spans="2:52">
      <c r="B614" s="45">
        <v>323324</v>
      </c>
      <c r="C614" s="45">
        <v>0</v>
      </c>
      <c r="D614" s="45">
        <v>2</v>
      </c>
      <c r="E614" s="45">
        <v>340506</v>
      </c>
      <c r="F614" s="45">
        <v>0</v>
      </c>
      <c r="G614" s="45">
        <v>1</v>
      </c>
      <c r="H614" s="45">
        <v>342607</v>
      </c>
      <c r="I614" s="45">
        <v>0</v>
      </c>
      <c r="J614" s="45">
        <v>2</v>
      </c>
      <c r="K614" s="45">
        <v>320948</v>
      </c>
      <c r="L614" s="45">
        <v>0</v>
      </c>
      <c r="M614" s="45">
        <v>2</v>
      </c>
      <c r="O614" s="45">
        <v>346276</v>
      </c>
      <c r="P614" s="45">
        <v>0</v>
      </c>
      <c r="Q614" s="45">
        <v>2</v>
      </c>
      <c r="R614" s="45">
        <v>345196</v>
      </c>
      <c r="S614" s="45">
        <v>0</v>
      </c>
      <c r="T614" s="45">
        <v>2</v>
      </c>
      <c r="U614" s="45">
        <v>354352</v>
      </c>
      <c r="V614" s="45">
        <v>0</v>
      </c>
      <c r="W614" s="45">
        <v>2</v>
      </c>
      <c r="X614" s="45">
        <v>339869</v>
      </c>
      <c r="Y614" s="45">
        <v>0</v>
      </c>
      <c r="Z614" s="45">
        <v>2</v>
      </c>
      <c r="AB614" s="45">
        <v>375713</v>
      </c>
      <c r="AC614" s="45">
        <v>0</v>
      </c>
      <c r="AD614" s="45">
        <v>2</v>
      </c>
      <c r="AE614" s="45">
        <v>373773</v>
      </c>
      <c r="AF614" s="45">
        <v>0</v>
      </c>
      <c r="AG614" s="45">
        <v>3</v>
      </c>
      <c r="AH614" s="45">
        <v>376436</v>
      </c>
      <c r="AI614" s="45">
        <v>0</v>
      </c>
      <c r="AJ614" s="45">
        <v>1</v>
      </c>
      <c r="AK614" s="45">
        <v>397279</v>
      </c>
      <c r="AL614" s="45">
        <v>0</v>
      </c>
      <c r="AM614" s="45">
        <v>2</v>
      </c>
      <c r="AO614" s="45">
        <v>331618</v>
      </c>
      <c r="AP614" s="45">
        <v>0</v>
      </c>
      <c r="AQ614" s="45">
        <v>4</v>
      </c>
      <c r="AR614" s="45">
        <v>359122</v>
      </c>
      <c r="AS614" s="45">
        <v>0</v>
      </c>
      <c r="AT614" s="45">
        <v>2</v>
      </c>
      <c r="AU614" s="45">
        <v>348071</v>
      </c>
      <c r="AV614" s="45">
        <v>0</v>
      </c>
      <c r="AW614" s="45">
        <v>2</v>
      </c>
      <c r="AX614" s="45">
        <v>330584</v>
      </c>
      <c r="AY614" s="45">
        <v>0</v>
      </c>
      <c r="AZ614" s="45">
        <v>2</v>
      </c>
    </row>
    <row r="615" spans="2:52">
      <c r="B615" s="45">
        <v>347609</v>
      </c>
      <c r="C615" s="45">
        <v>20</v>
      </c>
      <c r="D615" s="45">
        <v>4</v>
      </c>
      <c r="E615" s="45">
        <v>335023</v>
      </c>
      <c r="F615" s="45">
        <v>0</v>
      </c>
      <c r="G615" s="45">
        <v>1</v>
      </c>
      <c r="H615" s="45">
        <v>320602</v>
      </c>
      <c r="I615" s="45">
        <v>0</v>
      </c>
      <c r="J615" s="45">
        <v>2</v>
      </c>
      <c r="K615" s="45">
        <v>311850</v>
      </c>
      <c r="L615" s="45">
        <v>0</v>
      </c>
      <c r="M615" s="45">
        <v>2</v>
      </c>
      <c r="O615" s="45">
        <v>327728</v>
      </c>
      <c r="P615" s="45">
        <v>0</v>
      </c>
      <c r="Q615" s="45">
        <v>2</v>
      </c>
      <c r="R615" s="45">
        <v>316530</v>
      </c>
      <c r="S615" s="45">
        <v>0</v>
      </c>
      <c r="T615" s="45">
        <v>3</v>
      </c>
      <c r="U615" s="45">
        <v>336243</v>
      </c>
      <c r="V615" s="45">
        <v>0</v>
      </c>
      <c r="W615" s="45">
        <v>2</v>
      </c>
      <c r="X615" s="45">
        <v>336667</v>
      </c>
      <c r="Y615" s="45">
        <v>0</v>
      </c>
      <c r="Z615" s="45">
        <v>2</v>
      </c>
      <c r="AB615" s="45">
        <v>354629</v>
      </c>
      <c r="AC615" s="45">
        <v>0</v>
      </c>
      <c r="AD615" s="45">
        <v>1</v>
      </c>
      <c r="AE615" s="45">
        <v>352924</v>
      </c>
      <c r="AF615" s="45">
        <v>0</v>
      </c>
      <c r="AG615" s="45">
        <v>2</v>
      </c>
      <c r="AH615" s="45">
        <v>360742</v>
      </c>
      <c r="AI615" s="45">
        <v>0</v>
      </c>
      <c r="AJ615" s="45">
        <v>1</v>
      </c>
      <c r="AK615" s="45">
        <v>368603</v>
      </c>
      <c r="AL615" s="45">
        <v>0</v>
      </c>
      <c r="AM615" s="45">
        <v>3</v>
      </c>
      <c r="AO615" s="45">
        <v>345485</v>
      </c>
      <c r="AP615" s="45">
        <v>0</v>
      </c>
      <c r="AQ615" s="45">
        <v>3</v>
      </c>
      <c r="AR615" s="45">
        <v>308442</v>
      </c>
      <c r="AS615" s="45">
        <v>0</v>
      </c>
      <c r="AT615" s="45">
        <v>3</v>
      </c>
      <c r="AU615" s="45">
        <v>339006</v>
      </c>
      <c r="AV615" s="45">
        <v>0</v>
      </c>
      <c r="AW615" s="45">
        <v>2</v>
      </c>
      <c r="AX615" s="45">
        <v>320285</v>
      </c>
      <c r="AY615" s="45">
        <v>0</v>
      </c>
      <c r="AZ615" s="45">
        <v>2</v>
      </c>
    </row>
    <row r="616" spans="2:52">
      <c r="B616" s="45">
        <v>406914</v>
      </c>
      <c r="C616" s="45">
        <v>0</v>
      </c>
      <c r="D616" s="45">
        <v>2</v>
      </c>
      <c r="E616" s="45">
        <v>382254</v>
      </c>
      <c r="F616" s="45">
        <v>0</v>
      </c>
      <c r="G616" s="45">
        <v>2</v>
      </c>
      <c r="H616" s="45">
        <v>400409</v>
      </c>
      <c r="I616" s="45">
        <v>0</v>
      </c>
      <c r="J616" s="45">
        <v>2</v>
      </c>
      <c r="K616" s="45">
        <v>416416</v>
      </c>
      <c r="L616" s="45">
        <v>0</v>
      </c>
      <c r="M616" s="45">
        <v>1</v>
      </c>
      <c r="O616" s="45">
        <v>416710</v>
      </c>
      <c r="P616" s="45">
        <v>0</v>
      </c>
      <c r="Q616" s="45">
        <v>3</v>
      </c>
      <c r="R616" s="45">
        <v>466106</v>
      </c>
      <c r="S616" s="45">
        <v>0</v>
      </c>
      <c r="T616" s="45">
        <v>2</v>
      </c>
      <c r="U616" s="45">
        <v>438831</v>
      </c>
      <c r="V616" s="45">
        <v>0</v>
      </c>
      <c r="W616" s="45">
        <v>2</v>
      </c>
      <c r="X616" s="45">
        <v>416590</v>
      </c>
      <c r="Y616" s="45">
        <v>0</v>
      </c>
      <c r="Z616" s="45">
        <v>2</v>
      </c>
      <c r="AB616" s="45">
        <v>470886</v>
      </c>
      <c r="AC616" s="45">
        <v>0</v>
      </c>
      <c r="AD616" s="45">
        <v>2</v>
      </c>
      <c r="AE616" s="45">
        <v>451235</v>
      </c>
      <c r="AF616" s="45">
        <v>0</v>
      </c>
      <c r="AG616" s="45">
        <v>1</v>
      </c>
      <c r="AH616" s="45">
        <v>465457</v>
      </c>
      <c r="AI616" s="45">
        <v>0</v>
      </c>
      <c r="AJ616" s="45">
        <v>2</v>
      </c>
      <c r="AK616" s="45">
        <v>455940</v>
      </c>
      <c r="AL616" s="45">
        <v>0</v>
      </c>
      <c r="AM616" s="45">
        <v>1</v>
      </c>
      <c r="AO616" s="45">
        <v>433925</v>
      </c>
      <c r="AP616" s="45">
        <v>0</v>
      </c>
      <c r="AQ616" s="45">
        <v>2</v>
      </c>
      <c r="AR616" s="45">
        <v>413000</v>
      </c>
      <c r="AS616" s="45">
        <v>0</v>
      </c>
      <c r="AT616" s="45">
        <v>3</v>
      </c>
      <c r="AU616" s="45">
        <v>395181</v>
      </c>
      <c r="AV616" s="45">
        <v>0</v>
      </c>
      <c r="AW616" s="45">
        <v>2</v>
      </c>
      <c r="AX616" s="45">
        <v>426852</v>
      </c>
      <c r="AY616" s="45">
        <v>0</v>
      </c>
      <c r="AZ616" s="45">
        <v>2</v>
      </c>
    </row>
    <row r="617" spans="2:52">
      <c r="B617" s="45">
        <v>315626</v>
      </c>
      <c r="C617" s="45">
        <v>0</v>
      </c>
      <c r="D617" s="45">
        <v>4</v>
      </c>
      <c r="E617" s="45">
        <v>325046</v>
      </c>
      <c r="F617" s="45">
        <v>0</v>
      </c>
      <c r="G617" s="45">
        <v>1</v>
      </c>
      <c r="H617" s="45">
        <v>329225</v>
      </c>
      <c r="I617" s="45">
        <v>0</v>
      </c>
      <c r="J617" s="45">
        <v>1</v>
      </c>
      <c r="K617" s="45">
        <v>338647</v>
      </c>
      <c r="L617" s="45">
        <v>0</v>
      </c>
      <c r="M617" s="45">
        <v>2</v>
      </c>
      <c r="O617" s="45">
        <v>335402</v>
      </c>
      <c r="P617" s="45">
        <v>0</v>
      </c>
      <c r="Q617" s="45">
        <v>3</v>
      </c>
      <c r="R617" s="45">
        <v>369066</v>
      </c>
      <c r="S617" s="45">
        <v>0</v>
      </c>
      <c r="T617" s="45">
        <v>2</v>
      </c>
      <c r="U617" s="45">
        <v>362538</v>
      </c>
      <c r="V617" s="45">
        <v>0</v>
      </c>
      <c r="W617" s="45">
        <v>2</v>
      </c>
      <c r="X617" s="45">
        <v>334983</v>
      </c>
      <c r="Y617" s="45">
        <v>0</v>
      </c>
      <c r="Z617" s="45">
        <v>3</v>
      </c>
      <c r="AB617" s="45">
        <v>380483</v>
      </c>
      <c r="AC617" s="45">
        <v>0</v>
      </c>
      <c r="AD617" s="45">
        <v>4</v>
      </c>
      <c r="AE617" s="45">
        <v>393295</v>
      </c>
      <c r="AF617" s="45">
        <v>0</v>
      </c>
      <c r="AG617" s="45">
        <v>1</v>
      </c>
      <c r="AH617" s="45">
        <v>349075</v>
      </c>
      <c r="AI617" s="45">
        <v>0</v>
      </c>
      <c r="AJ617" s="45">
        <v>1</v>
      </c>
      <c r="AK617" s="45">
        <v>386699</v>
      </c>
      <c r="AL617" s="45">
        <v>0</v>
      </c>
      <c r="AM617" s="45">
        <v>2</v>
      </c>
      <c r="AO617" s="45">
        <v>313452</v>
      </c>
      <c r="AP617" s="45">
        <v>0</v>
      </c>
      <c r="AQ617" s="45">
        <v>4</v>
      </c>
      <c r="AR617" s="45">
        <v>341536</v>
      </c>
      <c r="AS617" s="45">
        <v>0</v>
      </c>
      <c r="AT617" s="45">
        <v>2</v>
      </c>
      <c r="AU617" s="45">
        <v>330348</v>
      </c>
      <c r="AV617" s="45">
        <v>0</v>
      </c>
      <c r="AW617" s="45">
        <v>2</v>
      </c>
      <c r="AX617" s="45">
        <v>331353</v>
      </c>
      <c r="AY617" s="45">
        <v>0</v>
      </c>
      <c r="AZ617" s="45">
        <v>1</v>
      </c>
    </row>
    <row r="618" spans="2:52">
      <c r="B618" s="45">
        <v>381296</v>
      </c>
      <c r="C618" s="45">
        <v>0</v>
      </c>
      <c r="D618" s="45">
        <v>2</v>
      </c>
      <c r="E618" s="45">
        <v>391517</v>
      </c>
      <c r="F618" s="45">
        <v>0</v>
      </c>
      <c r="G618" s="45">
        <v>2</v>
      </c>
      <c r="H618" s="45">
        <v>374651</v>
      </c>
      <c r="I618" s="45">
        <v>0</v>
      </c>
      <c r="J618" s="45">
        <v>1</v>
      </c>
      <c r="K618" s="45">
        <v>393328</v>
      </c>
      <c r="L618" s="45">
        <v>12</v>
      </c>
      <c r="M618" s="45">
        <v>3</v>
      </c>
      <c r="O618" s="45">
        <v>393887</v>
      </c>
      <c r="P618" s="45">
        <v>0</v>
      </c>
      <c r="Q618" s="45">
        <v>3</v>
      </c>
      <c r="R618" s="45">
        <v>379318</v>
      </c>
      <c r="S618" s="45">
        <v>0</v>
      </c>
      <c r="T618" s="45">
        <v>2</v>
      </c>
      <c r="U618" s="45">
        <v>387502</v>
      </c>
      <c r="V618" s="45">
        <v>1</v>
      </c>
      <c r="W618" s="45">
        <v>2</v>
      </c>
      <c r="X618" s="45">
        <v>399512</v>
      </c>
      <c r="Y618" s="45">
        <v>0</v>
      </c>
      <c r="Z618" s="45">
        <v>2</v>
      </c>
      <c r="AB618" s="45">
        <v>454362</v>
      </c>
      <c r="AC618" s="45">
        <v>0</v>
      </c>
      <c r="AD618" s="45">
        <v>1</v>
      </c>
      <c r="AE618" s="45">
        <v>426445</v>
      </c>
      <c r="AF618" s="45">
        <v>0</v>
      </c>
      <c r="AG618" s="45">
        <v>2</v>
      </c>
      <c r="AH618" s="45">
        <v>449322</v>
      </c>
      <c r="AI618" s="45">
        <v>0</v>
      </c>
      <c r="AJ618" s="45">
        <v>2</v>
      </c>
      <c r="AK618" s="45">
        <v>430131</v>
      </c>
      <c r="AL618" s="45">
        <v>0</v>
      </c>
      <c r="AM618" s="45">
        <v>1</v>
      </c>
      <c r="AO618" s="45">
        <v>396804</v>
      </c>
      <c r="AP618" s="45">
        <v>0</v>
      </c>
      <c r="AQ618" s="45">
        <v>2</v>
      </c>
      <c r="AR618" s="45">
        <v>387307</v>
      </c>
      <c r="AS618" s="45">
        <v>0</v>
      </c>
      <c r="AT618" s="45">
        <v>2</v>
      </c>
      <c r="AU618" s="45">
        <v>362237</v>
      </c>
      <c r="AV618" s="45">
        <v>0</v>
      </c>
      <c r="AW618" s="45">
        <v>3</v>
      </c>
      <c r="AX618" s="45">
        <v>356539</v>
      </c>
      <c r="AY618" s="45">
        <v>0</v>
      </c>
      <c r="AZ618" s="45">
        <v>3</v>
      </c>
    </row>
    <row r="619" spans="2:52">
      <c r="B619" s="45">
        <v>391428</v>
      </c>
      <c r="C619" s="45">
        <v>0</v>
      </c>
      <c r="D619" s="45">
        <v>3</v>
      </c>
      <c r="E619" s="45">
        <v>386605</v>
      </c>
      <c r="F619" s="45">
        <v>0</v>
      </c>
      <c r="G619" s="45">
        <v>2</v>
      </c>
      <c r="H619" s="45">
        <v>365942</v>
      </c>
      <c r="I619" s="45">
        <v>0</v>
      </c>
      <c r="J619" s="45">
        <v>2</v>
      </c>
      <c r="K619" s="45">
        <v>386424</v>
      </c>
      <c r="L619" s="45">
        <v>0</v>
      </c>
      <c r="M619" s="45">
        <v>2</v>
      </c>
      <c r="O619" s="45">
        <v>411096</v>
      </c>
      <c r="P619" s="45">
        <v>0</v>
      </c>
      <c r="Q619" s="45">
        <v>3</v>
      </c>
      <c r="R619" s="45">
        <v>402108</v>
      </c>
      <c r="S619" s="45">
        <v>7</v>
      </c>
      <c r="T619" s="45">
        <v>3</v>
      </c>
      <c r="U619" s="45">
        <v>405605</v>
      </c>
      <c r="V619" s="45">
        <v>0</v>
      </c>
      <c r="W619" s="45">
        <v>2</v>
      </c>
      <c r="X619" s="45">
        <v>383035</v>
      </c>
      <c r="Y619" s="45">
        <v>0</v>
      </c>
      <c r="Z619" s="45">
        <v>2</v>
      </c>
      <c r="AB619" s="45">
        <v>432810</v>
      </c>
      <c r="AC619" s="45">
        <v>0</v>
      </c>
      <c r="AD619" s="45">
        <v>3</v>
      </c>
      <c r="AE619" s="45">
        <v>414765</v>
      </c>
      <c r="AF619" s="45">
        <v>0</v>
      </c>
      <c r="AG619" s="45">
        <v>1</v>
      </c>
      <c r="AH619" s="45">
        <v>440087</v>
      </c>
      <c r="AI619" s="45">
        <v>0</v>
      </c>
      <c r="AJ619" s="45">
        <v>2</v>
      </c>
      <c r="AK619" s="45">
        <v>428008</v>
      </c>
      <c r="AL619" s="45">
        <v>0</v>
      </c>
      <c r="AM619" s="45">
        <v>1</v>
      </c>
      <c r="AO619" s="45">
        <v>386540</v>
      </c>
      <c r="AP619" s="45">
        <v>0</v>
      </c>
      <c r="AQ619" s="45">
        <v>2</v>
      </c>
      <c r="AR619" s="45">
        <v>379265</v>
      </c>
      <c r="AS619" s="45">
        <v>0</v>
      </c>
      <c r="AT619" s="45">
        <v>2</v>
      </c>
      <c r="AU619" s="45">
        <v>402234</v>
      </c>
      <c r="AV619" s="45">
        <v>17</v>
      </c>
      <c r="AW619" s="45">
        <v>4</v>
      </c>
      <c r="AX619" s="45">
        <v>412094</v>
      </c>
      <c r="AY619" s="45">
        <v>32</v>
      </c>
      <c r="AZ619" s="45">
        <v>5</v>
      </c>
    </row>
    <row r="620" spans="2:52">
      <c r="B620" s="45">
        <v>371222</v>
      </c>
      <c r="C620" s="45">
        <v>0</v>
      </c>
      <c r="D620" s="45">
        <v>3</v>
      </c>
      <c r="E620" s="45">
        <v>387273</v>
      </c>
      <c r="F620" s="45">
        <v>0</v>
      </c>
      <c r="G620" s="45">
        <v>2</v>
      </c>
      <c r="H620" s="45">
        <v>375254</v>
      </c>
      <c r="I620" s="45">
        <v>0</v>
      </c>
      <c r="J620" s="45">
        <v>1</v>
      </c>
      <c r="K620" s="45">
        <v>369562</v>
      </c>
      <c r="L620" s="45">
        <v>0</v>
      </c>
      <c r="M620" s="45">
        <v>2</v>
      </c>
      <c r="O620" s="45">
        <v>391439</v>
      </c>
      <c r="P620" s="45">
        <v>0</v>
      </c>
      <c r="Q620" s="45">
        <v>2</v>
      </c>
      <c r="R620" s="45">
        <v>425596</v>
      </c>
      <c r="S620" s="45">
        <v>0</v>
      </c>
      <c r="T620" s="45">
        <v>2</v>
      </c>
      <c r="U620" s="45">
        <v>385724</v>
      </c>
      <c r="V620" s="45">
        <v>0</v>
      </c>
      <c r="W620" s="45">
        <v>3</v>
      </c>
      <c r="X620" s="45">
        <v>359007</v>
      </c>
      <c r="Y620" s="45">
        <v>0</v>
      </c>
      <c r="Z620" s="45">
        <v>2</v>
      </c>
      <c r="AB620" s="45">
        <v>439018</v>
      </c>
      <c r="AC620" s="45">
        <v>0</v>
      </c>
      <c r="AD620" s="45">
        <v>2</v>
      </c>
      <c r="AE620" s="45">
        <v>419259</v>
      </c>
      <c r="AF620" s="45">
        <v>0</v>
      </c>
      <c r="AG620" s="45">
        <v>2</v>
      </c>
      <c r="AH620" s="45">
        <v>419666</v>
      </c>
      <c r="AI620" s="45">
        <v>0</v>
      </c>
      <c r="AJ620" s="45">
        <v>1</v>
      </c>
      <c r="AK620" s="45">
        <v>420861</v>
      </c>
      <c r="AL620" s="45">
        <v>0</v>
      </c>
      <c r="AM620" s="45">
        <v>1</v>
      </c>
      <c r="AO620" s="45">
        <v>388741</v>
      </c>
      <c r="AP620" s="45">
        <v>0</v>
      </c>
      <c r="AQ620" s="45">
        <v>2</v>
      </c>
      <c r="AR620" s="45">
        <v>372696</v>
      </c>
      <c r="AS620" s="45">
        <v>0</v>
      </c>
      <c r="AT620" s="45">
        <v>2</v>
      </c>
      <c r="AU620" s="45">
        <v>364394</v>
      </c>
      <c r="AV620" s="45">
        <v>0</v>
      </c>
      <c r="AW620" s="45">
        <v>2</v>
      </c>
      <c r="AX620" s="45">
        <v>374670</v>
      </c>
      <c r="AY620" s="45">
        <v>0</v>
      </c>
      <c r="AZ620" s="45">
        <v>2</v>
      </c>
    </row>
    <row r="621" spans="2:52">
      <c r="B621" s="45">
        <v>423562</v>
      </c>
      <c r="C621" s="45">
        <v>0</v>
      </c>
      <c r="D621" s="45">
        <v>2</v>
      </c>
      <c r="E621" s="45">
        <v>463808</v>
      </c>
      <c r="F621" s="45">
        <v>56</v>
      </c>
      <c r="G621" s="45">
        <v>2</v>
      </c>
      <c r="H621" s="45">
        <v>395508</v>
      </c>
      <c r="I621" s="45">
        <v>0</v>
      </c>
      <c r="J621" s="45">
        <v>1</v>
      </c>
      <c r="K621" s="45">
        <v>391939</v>
      </c>
      <c r="L621" s="45">
        <v>0</v>
      </c>
      <c r="M621" s="45">
        <v>2</v>
      </c>
      <c r="O621" s="45">
        <v>430558</v>
      </c>
      <c r="P621" s="45">
        <v>0</v>
      </c>
      <c r="Q621" s="45">
        <v>3</v>
      </c>
      <c r="R621" s="45">
        <v>442696</v>
      </c>
      <c r="S621" s="45">
        <v>0</v>
      </c>
      <c r="T621" s="45">
        <v>2</v>
      </c>
      <c r="U621" s="45">
        <v>390530</v>
      </c>
      <c r="V621" s="45">
        <v>0</v>
      </c>
      <c r="W621" s="45">
        <v>2</v>
      </c>
      <c r="X621" s="45">
        <v>433705</v>
      </c>
      <c r="Y621" s="45">
        <v>1</v>
      </c>
      <c r="Z621" s="45">
        <v>3</v>
      </c>
      <c r="AB621" s="45">
        <v>461569</v>
      </c>
      <c r="AC621" s="45">
        <v>0</v>
      </c>
      <c r="AD621" s="45">
        <v>2</v>
      </c>
      <c r="AE621" s="45">
        <v>475261</v>
      </c>
      <c r="AF621" s="45">
        <v>0</v>
      </c>
      <c r="AG621" s="45">
        <v>2</v>
      </c>
      <c r="AH621" s="45">
        <v>462491</v>
      </c>
      <c r="AI621" s="45">
        <v>0</v>
      </c>
      <c r="AJ621" s="45">
        <v>1</v>
      </c>
      <c r="AK621" s="45">
        <v>446783</v>
      </c>
      <c r="AL621" s="45">
        <v>0</v>
      </c>
      <c r="AM621" s="45">
        <v>2</v>
      </c>
      <c r="AO621" s="45">
        <v>404282</v>
      </c>
      <c r="AP621" s="45">
        <v>0</v>
      </c>
      <c r="AQ621" s="45">
        <v>2</v>
      </c>
      <c r="AR621" s="45">
        <v>431561</v>
      </c>
      <c r="AS621" s="45">
        <v>0</v>
      </c>
      <c r="AT621" s="45">
        <v>3</v>
      </c>
      <c r="AU621" s="45">
        <v>398430</v>
      </c>
      <c r="AV621" s="45">
        <v>0</v>
      </c>
      <c r="AW621" s="45">
        <v>2</v>
      </c>
      <c r="AX621" s="45">
        <v>395855</v>
      </c>
      <c r="AY621" s="45">
        <v>0</v>
      </c>
      <c r="AZ621" s="45">
        <v>2</v>
      </c>
    </row>
    <row r="622" spans="2:52">
      <c r="B622" s="45">
        <v>361705</v>
      </c>
      <c r="C622" s="45">
        <v>0</v>
      </c>
      <c r="D622" s="45">
        <v>1</v>
      </c>
      <c r="E622" s="45">
        <v>364674</v>
      </c>
      <c r="F622" s="45">
        <v>0</v>
      </c>
      <c r="G622" s="45">
        <v>2</v>
      </c>
      <c r="H622" s="45">
        <v>368182</v>
      </c>
      <c r="I622" s="45">
        <v>0</v>
      </c>
      <c r="J622" s="45">
        <v>1</v>
      </c>
      <c r="K622" s="45">
        <v>374127</v>
      </c>
      <c r="L622" s="45">
        <v>0</v>
      </c>
      <c r="M622" s="45">
        <v>1</v>
      </c>
      <c r="O622" s="45">
        <v>382669</v>
      </c>
      <c r="P622" s="45">
        <v>0</v>
      </c>
      <c r="Q622" s="45">
        <v>2</v>
      </c>
      <c r="R622" s="45">
        <v>426512</v>
      </c>
      <c r="S622" s="45">
        <v>0</v>
      </c>
      <c r="T622" s="45">
        <v>2</v>
      </c>
      <c r="U622" s="45">
        <v>368539</v>
      </c>
      <c r="V622" s="45">
        <v>0</v>
      </c>
      <c r="W622" s="45">
        <v>2</v>
      </c>
      <c r="X622" s="45">
        <v>373897</v>
      </c>
      <c r="Y622" s="45">
        <v>0</v>
      </c>
      <c r="Z622" s="45">
        <v>2</v>
      </c>
      <c r="AB622" s="45">
        <v>416533</v>
      </c>
      <c r="AC622" s="45">
        <v>0</v>
      </c>
      <c r="AD622" s="45">
        <v>2</v>
      </c>
      <c r="AE622" s="45">
        <v>413120</v>
      </c>
      <c r="AF622" s="45">
        <v>0</v>
      </c>
      <c r="AG622" s="45">
        <v>2</v>
      </c>
      <c r="AH622" s="45">
        <v>393622</v>
      </c>
      <c r="AI622" s="45">
        <v>0</v>
      </c>
      <c r="AJ622" s="45">
        <v>1</v>
      </c>
      <c r="AK622" s="45">
        <v>414164</v>
      </c>
      <c r="AL622" s="45">
        <v>0</v>
      </c>
      <c r="AM622" s="45">
        <v>2</v>
      </c>
      <c r="AO622" s="45">
        <v>364515</v>
      </c>
      <c r="AP622" s="45">
        <v>0</v>
      </c>
      <c r="AQ622" s="45">
        <v>3</v>
      </c>
      <c r="AR622" s="45">
        <v>371725</v>
      </c>
      <c r="AS622" s="45">
        <v>0</v>
      </c>
      <c r="AT622" s="45">
        <v>4</v>
      </c>
      <c r="AU622" s="45">
        <v>365407</v>
      </c>
      <c r="AV622" s="45">
        <v>0</v>
      </c>
      <c r="AW622" s="45">
        <v>1</v>
      </c>
      <c r="AX622" s="45">
        <v>350208</v>
      </c>
      <c r="AY622" s="45">
        <v>0</v>
      </c>
      <c r="AZ622" s="45">
        <v>3</v>
      </c>
    </row>
    <row r="623" spans="2:52">
      <c r="B623" s="45">
        <v>341523</v>
      </c>
      <c r="C623" s="45">
        <v>0</v>
      </c>
      <c r="D623" s="45">
        <v>3</v>
      </c>
      <c r="E623" s="45">
        <v>356127</v>
      </c>
      <c r="F623" s="45">
        <v>0</v>
      </c>
      <c r="G623" s="45">
        <v>1</v>
      </c>
      <c r="H623" s="45">
        <v>371031</v>
      </c>
      <c r="I623" s="45">
        <v>0</v>
      </c>
      <c r="J623" s="45">
        <v>2</v>
      </c>
      <c r="K623" s="45">
        <v>368322</v>
      </c>
      <c r="L623" s="45">
        <v>0</v>
      </c>
      <c r="M623" s="45">
        <v>1</v>
      </c>
      <c r="O623" s="45">
        <v>357499</v>
      </c>
      <c r="P623" s="45">
        <v>0</v>
      </c>
      <c r="Q623" s="45">
        <v>3</v>
      </c>
      <c r="R623" s="45">
        <v>349234</v>
      </c>
      <c r="S623" s="45">
        <v>0</v>
      </c>
      <c r="T623" s="45">
        <v>2</v>
      </c>
      <c r="U623" s="45">
        <v>361766</v>
      </c>
      <c r="V623" s="45">
        <v>0</v>
      </c>
      <c r="W623" s="45">
        <v>2</v>
      </c>
      <c r="X623" s="45">
        <v>367764</v>
      </c>
      <c r="Y623" s="45">
        <v>0</v>
      </c>
      <c r="Z623" s="45">
        <v>2</v>
      </c>
      <c r="AB623" s="45">
        <v>405072</v>
      </c>
      <c r="AC623" s="45">
        <v>0</v>
      </c>
      <c r="AD623" s="45">
        <v>2</v>
      </c>
      <c r="AE623" s="45">
        <v>390748</v>
      </c>
      <c r="AF623" s="45">
        <v>0</v>
      </c>
      <c r="AG623" s="45">
        <v>2</v>
      </c>
      <c r="AH623" s="45">
        <v>408842</v>
      </c>
      <c r="AI623" s="45">
        <v>0</v>
      </c>
      <c r="AJ623" s="45">
        <v>2</v>
      </c>
      <c r="AK623" s="45">
        <v>403317</v>
      </c>
      <c r="AL623" s="45">
        <v>0</v>
      </c>
      <c r="AM623" s="45">
        <v>1</v>
      </c>
      <c r="AO623" s="45">
        <v>346320</v>
      </c>
      <c r="AP623" s="45">
        <v>0</v>
      </c>
      <c r="AQ623" s="45">
        <v>3</v>
      </c>
      <c r="AR623" s="45">
        <v>345569</v>
      </c>
      <c r="AS623" s="45">
        <v>0</v>
      </c>
      <c r="AT623" s="45">
        <v>3</v>
      </c>
      <c r="AU623" s="45">
        <v>387017</v>
      </c>
      <c r="AV623" s="45">
        <v>0</v>
      </c>
      <c r="AW623" s="45">
        <v>1</v>
      </c>
      <c r="AX623" s="45">
        <v>375912</v>
      </c>
      <c r="AY623" s="45">
        <v>0</v>
      </c>
      <c r="AZ623" s="45">
        <v>2</v>
      </c>
    </row>
    <row r="624" spans="2:52">
      <c r="B624" s="45">
        <v>384862</v>
      </c>
      <c r="C624" s="45">
        <v>0</v>
      </c>
      <c r="D624" s="45">
        <v>2</v>
      </c>
      <c r="E624" s="45">
        <v>472146</v>
      </c>
      <c r="F624" s="45">
        <v>89</v>
      </c>
      <c r="G624" s="45">
        <v>3</v>
      </c>
      <c r="H624" s="45">
        <v>363909</v>
      </c>
      <c r="I624" s="45">
        <v>0</v>
      </c>
      <c r="J624" s="45">
        <v>1</v>
      </c>
      <c r="K624" s="45">
        <v>398985</v>
      </c>
      <c r="L624" s="45">
        <v>0</v>
      </c>
      <c r="M624" s="45">
        <v>1</v>
      </c>
      <c r="O624" s="45">
        <v>390541</v>
      </c>
      <c r="P624" s="45">
        <v>0</v>
      </c>
      <c r="Q624" s="45">
        <v>2</v>
      </c>
      <c r="R624" s="45">
        <v>383792</v>
      </c>
      <c r="S624" s="45">
        <v>0</v>
      </c>
      <c r="T624" s="45">
        <v>2</v>
      </c>
      <c r="U624" s="45">
        <v>387403</v>
      </c>
      <c r="V624" s="45">
        <v>0</v>
      </c>
      <c r="W624" s="45">
        <v>2</v>
      </c>
      <c r="X624" s="45">
        <v>383305</v>
      </c>
      <c r="Y624" s="45">
        <v>0</v>
      </c>
      <c r="Z624" s="45">
        <v>2</v>
      </c>
      <c r="AB624" s="45">
        <v>423883</v>
      </c>
      <c r="AC624" s="45">
        <v>0</v>
      </c>
      <c r="AD624" s="45">
        <v>3</v>
      </c>
      <c r="AE624" s="45">
        <v>430705</v>
      </c>
      <c r="AF624" s="45">
        <v>0</v>
      </c>
      <c r="AG624" s="45">
        <v>1</v>
      </c>
      <c r="AH624" s="45">
        <v>428982</v>
      </c>
      <c r="AI624" s="45">
        <v>0</v>
      </c>
      <c r="AJ624" s="45">
        <v>2</v>
      </c>
      <c r="AK624" s="45">
        <v>410380</v>
      </c>
      <c r="AL624" s="45">
        <v>0</v>
      </c>
      <c r="AM624" s="45">
        <v>1</v>
      </c>
      <c r="AO624" s="45">
        <v>382521</v>
      </c>
      <c r="AP624" s="45">
        <v>0</v>
      </c>
      <c r="AQ624" s="45">
        <v>1</v>
      </c>
      <c r="AR624" s="45">
        <v>357986</v>
      </c>
      <c r="AS624" s="45">
        <v>0</v>
      </c>
      <c r="AT624" s="45">
        <v>3</v>
      </c>
      <c r="AU624" s="45">
        <v>377338</v>
      </c>
      <c r="AV624" s="45">
        <v>0</v>
      </c>
      <c r="AW624" s="45">
        <v>2</v>
      </c>
      <c r="AX624" s="45">
        <v>386363</v>
      </c>
      <c r="AY624" s="45">
        <v>0</v>
      </c>
      <c r="AZ624" s="45">
        <v>2</v>
      </c>
    </row>
    <row r="625" spans="2:52">
      <c r="B625" s="45">
        <v>382963</v>
      </c>
      <c r="C625" s="45">
        <v>0</v>
      </c>
      <c r="D625" s="45">
        <v>2</v>
      </c>
      <c r="E625" s="45">
        <v>381475</v>
      </c>
      <c r="F625" s="45">
        <v>0</v>
      </c>
      <c r="G625" s="45">
        <v>2</v>
      </c>
      <c r="H625" s="45">
        <v>354443</v>
      </c>
      <c r="I625" s="45">
        <v>0</v>
      </c>
      <c r="J625" s="45">
        <v>2</v>
      </c>
      <c r="K625" s="45">
        <v>387883</v>
      </c>
      <c r="L625" s="45">
        <v>0</v>
      </c>
      <c r="M625" s="45">
        <v>1</v>
      </c>
      <c r="O625" s="45">
        <v>426187</v>
      </c>
      <c r="P625" s="45">
        <v>0</v>
      </c>
      <c r="Q625" s="45">
        <v>1</v>
      </c>
      <c r="R625" s="45">
        <v>413438</v>
      </c>
      <c r="S625" s="45">
        <v>0</v>
      </c>
      <c r="T625" s="45">
        <v>2</v>
      </c>
      <c r="U625" s="45">
        <v>373824</v>
      </c>
      <c r="V625" s="45">
        <v>0</v>
      </c>
      <c r="W625" s="45">
        <v>2</v>
      </c>
      <c r="X625" s="45">
        <v>359021</v>
      </c>
      <c r="Y625" s="45">
        <v>0</v>
      </c>
      <c r="Z625" s="45">
        <v>2</v>
      </c>
      <c r="AB625" s="45">
        <v>421356</v>
      </c>
      <c r="AC625" s="45">
        <v>0</v>
      </c>
      <c r="AD625" s="45">
        <v>2</v>
      </c>
      <c r="AE625" s="45">
        <v>422492</v>
      </c>
      <c r="AF625" s="45">
        <v>0</v>
      </c>
      <c r="AG625" s="45">
        <v>2</v>
      </c>
      <c r="AH625" s="45">
        <v>421525</v>
      </c>
      <c r="AI625" s="45">
        <v>0</v>
      </c>
      <c r="AJ625" s="45">
        <v>1</v>
      </c>
      <c r="AK625" s="45">
        <v>428980</v>
      </c>
      <c r="AL625" s="45">
        <v>0</v>
      </c>
      <c r="AM625" s="45">
        <v>2</v>
      </c>
      <c r="AO625" s="45">
        <v>365215</v>
      </c>
      <c r="AP625" s="45">
        <v>0</v>
      </c>
      <c r="AQ625" s="45">
        <v>3</v>
      </c>
      <c r="AR625" s="45">
        <v>373960</v>
      </c>
      <c r="AS625" s="45">
        <v>0</v>
      </c>
      <c r="AT625" s="45">
        <v>2</v>
      </c>
      <c r="AU625" s="45">
        <v>372606</v>
      </c>
      <c r="AV625" s="45">
        <v>0</v>
      </c>
      <c r="AW625" s="45">
        <v>2</v>
      </c>
      <c r="AX625" s="45">
        <v>360401</v>
      </c>
      <c r="AY625" s="45">
        <v>0</v>
      </c>
      <c r="AZ625" s="45">
        <v>3</v>
      </c>
    </row>
    <row r="626" spans="2:52">
      <c r="B626" s="45">
        <v>397690</v>
      </c>
      <c r="C626" s="45">
        <v>0</v>
      </c>
      <c r="D626" s="45">
        <v>1</v>
      </c>
      <c r="E626" s="45">
        <v>358124</v>
      </c>
      <c r="F626" s="45">
        <v>0</v>
      </c>
      <c r="G626" s="45">
        <v>2</v>
      </c>
      <c r="H626" s="45">
        <v>381896</v>
      </c>
      <c r="I626" s="45">
        <v>0</v>
      </c>
      <c r="J626" s="45">
        <v>1</v>
      </c>
      <c r="K626" s="45">
        <v>382816</v>
      </c>
      <c r="L626" s="45">
        <v>0</v>
      </c>
      <c r="M626" s="45">
        <v>2</v>
      </c>
      <c r="O626" s="45">
        <v>391823</v>
      </c>
      <c r="P626" s="45">
        <v>0</v>
      </c>
      <c r="Q626" s="45">
        <v>2</v>
      </c>
      <c r="R626" s="45">
        <v>382639</v>
      </c>
      <c r="S626" s="45">
        <v>0</v>
      </c>
      <c r="T626" s="45">
        <v>4</v>
      </c>
      <c r="U626" s="45">
        <v>405065</v>
      </c>
      <c r="V626" s="45">
        <v>0</v>
      </c>
      <c r="W626" s="45">
        <v>1</v>
      </c>
      <c r="X626" s="45">
        <v>367883</v>
      </c>
      <c r="Y626" s="45">
        <v>0</v>
      </c>
      <c r="Z626" s="45">
        <v>3</v>
      </c>
      <c r="AB626" s="45">
        <v>440463</v>
      </c>
      <c r="AC626" s="45">
        <v>0</v>
      </c>
      <c r="AD626" s="45">
        <v>2</v>
      </c>
      <c r="AE626" s="45">
        <v>430756</v>
      </c>
      <c r="AF626" s="45">
        <v>0</v>
      </c>
      <c r="AG626" s="45">
        <v>2</v>
      </c>
      <c r="AH626" s="45">
        <v>431963</v>
      </c>
      <c r="AI626" s="45">
        <v>0</v>
      </c>
      <c r="AJ626" s="45">
        <v>1</v>
      </c>
      <c r="AK626" s="45">
        <v>429016</v>
      </c>
      <c r="AL626" s="45">
        <v>0</v>
      </c>
      <c r="AM626" s="45">
        <v>2</v>
      </c>
      <c r="AO626" s="45">
        <v>404276</v>
      </c>
      <c r="AP626" s="45">
        <v>0</v>
      </c>
      <c r="AQ626" s="45">
        <v>2</v>
      </c>
      <c r="AR626" s="45">
        <v>382003</v>
      </c>
      <c r="AS626" s="45">
        <v>0</v>
      </c>
      <c r="AT626" s="45">
        <v>3</v>
      </c>
      <c r="AU626" s="45">
        <v>355160</v>
      </c>
      <c r="AV626" s="45">
        <v>0</v>
      </c>
      <c r="AW626" s="45">
        <v>1</v>
      </c>
      <c r="AX626" s="45">
        <v>369491</v>
      </c>
      <c r="AY626" s="45">
        <v>0</v>
      </c>
      <c r="AZ626" s="45">
        <v>2</v>
      </c>
    </row>
    <row r="627" spans="2:52">
      <c r="B627" s="45">
        <v>347789</v>
      </c>
      <c r="C627" s="45">
        <v>0</v>
      </c>
      <c r="D627" s="45">
        <v>3</v>
      </c>
      <c r="E627" s="45">
        <v>384009</v>
      </c>
      <c r="F627" s="45">
        <v>0</v>
      </c>
      <c r="G627" s="45">
        <v>2</v>
      </c>
      <c r="H627" s="45">
        <v>348342</v>
      </c>
      <c r="I627" s="45">
        <v>0</v>
      </c>
      <c r="J627" s="45">
        <v>2</v>
      </c>
      <c r="K627" s="45">
        <v>359646</v>
      </c>
      <c r="L627" s="45">
        <v>0</v>
      </c>
      <c r="M627" s="45">
        <v>1</v>
      </c>
      <c r="O627" s="45">
        <v>386295</v>
      </c>
      <c r="P627" s="45">
        <v>0</v>
      </c>
      <c r="Q627" s="45">
        <v>2</v>
      </c>
      <c r="R627" s="45">
        <v>385249</v>
      </c>
      <c r="S627" s="45">
        <v>0</v>
      </c>
      <c r="T627" s="45">
        <v>2</v>
      </c>
      <c r="U627" s="45">
        <v>361005</v>
      </c>
      <c r="V627" s="45">
        <v>0</v>
      </c>
      <c r="W627" s="45">
        <v>3</v>
      </c>
      <c r="X627" s="45">
        <v>385417</v>
      </c>
      <c r="Y627" s="45">
        <v>0</v>
      </c>
      <c r="Z627" s="45">
        <v>2</v>
      </c>
      <c r="AB627" s="45">
        <v>443766</v>
      </c>
      <c r="AC627" s="45">
        <v>0</v>
      </c>
      <c r="AD627" s="45">
        <v>1</v>
      </c>
      <c r="AE627" s="45">
        <v>417497</v>
      </c>
      <c r="AF627" s="45">
        <v>0</v>
      </c>
      <c r="AG627" s="45">
        <v>2</v>
      </c>
      <c r="AH627" s="45">
        <v>393149</v>
      </c>
      <c r="AI627" s="45">
        <v>0</v>
      </c>
      <c r="AJ627" s="45">
        <v>2</v>
      </c>
      <c r="AK627" s="45">
        <v>432049</v>
      </c>
      <c r="AL627" s="45">
        <v>0</v>
      </c>
      <c r="AM627" s="45">
        <v>1</v>
      </c>
      <c r="AO627" s="45">
        <v>366281</v>
      </c>
      <c r="AP627" s="45">
        <v>0</v>
      </c>
      <c r="AQ627" s="45">
        <v>2</v>
      </c>
      <c r="AR627" s="45">
        <v>395589</v>
      </c>
      <c r="AS627" s="45">
        <v>16</v>
      </c>
      <c r="AT627" s="45">
        <v>3</v>
      </c>
      <c r="AU627" s="45">
        <v>386633</v>
      </c>
      <c r="AV627" s="45">
        <v>0</v>
      </c>
      <c r="AW627" s="45">
        <v>2</v>
      </c>
      <c r="AX627" s="45">
        <v>371612</v>
      </c>
      <c r="AY627" s="45">
        <v>0</v>
      </c>
      <c r="AZ627" s="45">
        <v>2</v>
      </c>
    </row>
    <row r="628" spans="2:52">
      <c r="B628" s="45">
        <v>393483</v>
      </c>
      <c r="C628" s="45">
        <v>0</v>
      </c>
      <c r="D628" s="45">
        <v>1</v>
      </c>
      <c r="E628" s="45">
        <v>410211</v>
      </c>
      <c r="F628" s="45">
        <v>0</v>
      </c>
      <c r="G628" s="45">
        <v>2</v>
      </c>
      <c r="H628" s="45">
        <v>408393</v>
      </c>
      <c r="I628" s="45">
        <v>0</v>
      </c>
      <c r="J628" s="45">
        <v>2</v>
      </c>
      <c r="K628" s="45">
        <v>400428</v>
      </c>
      <c r="L628" s="45">
        <v>0</v>
      </c>
      <c r="M628" s="45">
        <v>1</v>
      </c>
      <c r="O628" s="45">
        <v>401676</v>
      </c>
      <c r="P628" s="45">
        <v>0</v>
      </c>
      <c r="Q628" s="45">
        <v>2</v>
      </c>
      <c r="R628" s="45">
        <v>414587</v>
      </c>
      <c r="S628" s="45">
        <v>0</v>
      </c>
      <c r="T628" s="45">
        <v>2</v>
      </c>
      <c r="U628" s="45">
        <v>407222</v>
      </c>
      <c r="V628" s="45">
        <v>0</v>
      </c>
      <c r="W628" s="45">
        <v>2</v>
      </c>
      <c r="X628" s="45">
        <v>404805</v>
      </c>
      <c r="Y628" s="45">
        <v>0</v>
      </c>
      <c r="Z628" s="45">
        <v>3</v>
      </c>
      <c r="AB628" s="45">
        <v>442980</v>
      </c>
      <c r="AC628" s="45">
        <v>0</v>
      </c>
      <c r="AD628" s="45">
        <v>2</v>
      </c>
      <c r="AE628" s="45">
        <v>454322</v>
      </c>
      <c r="AF628" s="45">
        <v>0</v>
      </c>
      <c r="AG628" s="45">
        <v>2</v>
      </c>
      <c r="AH628" s="45">
        <v>451670</v>
      </c>
      <c r="AI628" s="45">
        <v>0</v>
      </c>
      <c r="AJ628" s="45">
        <v>1</v>
      </c>
      <c r="AK628" s="45">
        <v>415150</v>
      </c>
      <c r="AL628" s="45">
        <v>0</v>
      </c>
      <c r="AM628" s="45">
        <v>1</v>
      </c>
      <c r="AO628" s="45">
        <v>398405</v>
      </c>
      <c r="AP628" s="45">
        <v>0</v>
      </c>
      <c r="AQ628" s="45">
        <v>2</v>
      </c>
      <c r="AR628" s="45">
        <v>421342</v>
      </c>
      <c r="AS628" s="45">
        <v>0</v>
      </c>
      <c r="AT628" s="45">
        <v>2</v>
      </c>
      <c r="AU628" s="45">
        <v>402588</v>
      </c>
      <c r="AV628" s="45">
        <v>0</v>
      </c>
      <c r="AW628" s="45">
        <v>2</v>
      </c>
      <c r="AX628" s="45">
        <v>385243</v>
      </c>
      <c r="AY628" s="45">
        <v>0</v>
      </c>
      <c r="AZ628" s="45">
        <v>2</v>
      </c>
    </row>
    <row r="629" spans="2:52">
      <c r="B629" s="45">
        <v>352246</v>
      </c>
      <c r="C629" s="45">
        <v>0</v>
      </c>
      <c r="D629" s="45">
        <v>3</v>
      </c>
      <c r="E629" s="45">
        <v>359518</v>
      </c>
      <c r="F629" s="45">
        <v>0</v>
      </c>
      <c r="G629" s="45">
        <v>1</v>
      </c>
      <c r="H629" s="45">
        <v>341388</v>
      </c>
      <c r="I629" s="45">
        <v>0</v>
      </c>
      <c r="J629" s="45">
        <v>1</v>
      </c>
      <c r="K629" s="45">
        <v>347656</v>
      </c>
      <c r="L629" s="45">
        <v>0</v>
      </c>
      <c r="M629" s="45">
        <v>2</v>
      </c>
      <c r="O629" s="45">
        <v>369638</v>
      </c>
      <c r="P629" s="45">
        <v>0</v>
      </c>
      <c r="Q629" s="45">
        <v>2</v>
      </c>
      <c r="R629" s="45">
        <v>360694</v>
      </c>
      <c r="S629" s="45">
        <v>13</v>
      </c>
      <c r="T629" s="45">
        <v>4</v>
      </c>
      <c r="U629" s="45">
        <v>389171</v>
      </c>
      <c r="V629" s="45">
        <v>0</v>
      </c>
      <c r="W629" s="45">
        <v>1</v>
      </c>
      <c r="X629" s="45">
        <v>350984</v>
      </c>
      <c r="Y629" s="45">
        <v>0</v>
      </c>
      <c r="Z629" s="45">
        <v>3</v>
      </c>
      <c r="AB629" s="45">
        <v>391256</v>
      </c>
      <c r="AC629" s="45">
        <v>0</v>
      </c>
      <c r="AD629" s="45">
        <v>3</v>
      </c>
      <c r="AE629" s="45">
        <v>400444</v>
      </c>
      <c r="AF629" s="45">
        <v>0</v>
      </c>
      <c r="AG629" s="45">
        <v>2</v>
      </c>
      <c r="AH629" s="45">
        <v>396260</v>
      </c>
      <c r="AI629" s="45">
        <v>0</v>
      </c>
      <c r="AJ629" s="45">
        <v>1</v>
      </c>
      <c r="AK629" s="45">
        <v>387253</v>
      </c>
      <c r="AL629" s="45">
        <v>0</v>
      </c>
      <c r="AM629" s="45">
        <v>2</v>
      </c>
      <c r="AO629" s="45">
        <v>366867</v>
      </c>
      <c r="AP629" s="45">
        <v>0</v>
      </c>
      <c r="AQ629" s="45">
        <v>2</v>
      </c>
      <c r="AR629" s="45">
        <v>365377</v>
      </c>
      <c r="AS629" s="45">
        <v>0</v>
      </c>
      <c r="AT629" s="45">
        <v>2</v>
      </c>
      <c r="AU629" s="45">
        <v>341652</v>
      </c>
      <c r="AV629" s="45">
        <v>0</v>
      </c>
      <c r="AW629" s="45">
        <v>3</v>
      </c>
      <c r="AX629" s="45">
        <v>355820</v>
      </c>
      <c r="AY629" s="45">
        <v>0</v>
      </c>
      <c r="AZ629" s="45">
        <v>2</v>
      </c>
    </row>
    <row r="630" spans="2:52">
      <c r="B630" s="45">
        <v>419883</v>
      </c>
      <c r="C630" s="45">
        <v>66</v>
      </c>
      <c r="D630" s="45">
        <v>3</v>
      </c>
      <c r="E630" s="45">
        <v>305972</v>
      </c>
      <c r="F630" s="45">
        <v>0</v>
      </c>
      <c r="G630" s="45">
        <v>2</v>
      </c>
      <c r="H630" s="45">
        <v>340880</v>
      </c>
      <c r="I630" s="45">
        <v>0</v>
      </c>
      <c r="J630" s="45">
        <v>1</v>
      </c>
      <c r="K630" s="45">
        <v>325354</v>
      </c>
      <c r="L630" s="45">
        <v>0</v>
      </c>
      <c r="M630" s="45">
        <v>3</v>
      </c>
      <c r="O630" s="45">
        <v>376364</v>
      </c>
      <c r="P630" s="45">
        <v>0</v>
      </c>
      <c r="Q630" s="45">
        <v>2</v>
      </c>
      <c r="R630" s="45">
        <v>362703</v>
      </c>
      <c r="S630" s="45">
        <v>0</v>
      </c>
      <c r="T630" s="45">
        <v>2</v>
      </c>
      <c r="U630" s="45">
        <v>356436</v>
      </c>
      <c r="V630" s="45">
        <v>0</v>
      </c>
      <c r="W630" s="45">
        <v>2</v>
      </c>
      <c r="X630" s="45">
        <v>359338</v>
      </c>
      <c r="Y630" s="45">
        <v>0</v>
      </c>
      <c r="Z630" s="45">
        <v>2</v>
      </c>
      <c r="AB630" s="45">
        <v>400055</v>
      </c>
      <c r="AC630" s="45">
        <v>0</v>
      </c>
      <c r="AD630" s="45">
        <v>1</v>
      </c>
      <c r="AE630" s="45">
        <v>375837</v>
      </c>
      <c r="AF630" s="45">
        <v>0</v>
      </c>
      <c r="AG630" s="45">
        <v>2</v>
      </c>
      <c r="AH630" s="45">
        <v>380619</v>
      </c>
      <c r="AI630" s="45">
        <v>0</v>
      </c>
      <c r="AJ630" s="45">
        <v>2</v>
      </c>
      <c r="AK630" s="45">
        <v>397412</v>
      </c>
      <c r="AL630" s="45">
        <v>0</v>
      </c>
      <c r="AM630" s="45">
        <v>1</v>
      </c>
      <c r="AO630" s="45">
        <v>331017</v>
      </c>
      <c r="AP630" s="45">
        <v>0</v>
      </c>
      <c r="AQ630" s="45">
        <v>3</v>
      </c>
      <c r="AR630" s="45">
        <v>329210</v>
      </c>
      <c r="AS630" s="45">
        <v>0</v>
      </c>
      <c r="AT630" s="45">
        <v>1</v>
      </c>
      <c r="AU630" s="45">
        <v>340129</v>
      </c>
      <c r="AV630" s="45">
        <v>0</v>
      </c>
      <c r="AW630" s="45">
        <v>2</v>
      </c>
      <c r="AX630" s="45">
        <v>332348</v>
      </c>
      <c r="AY630" s="45">
        <v>0</v>
      </c>
      <c r="AZ630" s="45">
        <v>2</v>
      </c>
    </row>
    <row r="631" spans="2:52">
      <c r="B631" s="45">
        <v>350921</v>
      </c>
      <c r="C631" s="45">
        <v>0</v>
      </c>
      <c r="D631" s="45">
        <v>1</v>
      </c>
      <c r="E631" s="45">
        <v>344090</v>
      </c>
      <c r="F631" s="45">
        <v>8</v>
      </c>
      <c r="G631" s="45">
        <v>2</v>
      </c>
      <c r="H631" s="45">
        <v>335479</v>
      </c>
      <c r="I631" s="45">
        <v>0</v>
      </c>
      <c r="J631" s="45">
        <v>1</v>
      </c>
      <c r="K631" s="45">
        <v>347696</v>
      </c>
      <c r="L631" s="45">
        <v>5</v>
      </c>
      <c r="M631" s="45">
        <v>2</v>
      </c>
      <c r="O631" s="45">
        <v>356454</v>
      </c>
      <c r="P631" s="45">
        <v>0</v>
      </c>
      <c r="Q631" s="45">
        <v>2</v>
      </c>
      <c r="R631" s="45">
        <v>359900</v>
      </c>
      <c r="S631" s="45">
        <v>0</v>
      </c>
      <c r="T631" s="45">
        <v>2</v>
      </c>
      <c r="U631" s="45">
        <v>342503</v>
      </c>
      <c r="V631" s="45">
        <v>0</v>
      </c>
      <c r="W631" s="45">
        <v>2</v>
      </c>
      <c r="X631" s="45">
        <v>338471</v>
      </c>
      <c r="Y631" s="45">
        <v>0</v>
      </c>
      <c r="Z631" s="45">
        <v>2</v>
      </c>
      <c r="AB631" s="45">
        <v>398507</v>
      </c>
      <c r="AC631" s="45">
        <v>0</v>
      </c>
      <c r="AD631" s="45">
        <v>2</v>
      </c>
      <c r="AE631" s="45">
        <v>398254</v>
      </c>
      <c r="AF631" s="45">
        <v>0</v>
      </c>
      <c r="AG631" s="45">
        <v>2</v>
      </c>
      <c r="AH631" s="45">
        <v>397812</v>
      </c>
      <c r="AI631" s="45">
        <v>0</v>
      </c>
      <c r="AJ631" s="45">
        <v>1</v>
      </c>
      <c r="AK631" s="45">
        <v>370527</v>
      </c>
      <c r="AL631" s="45">
        <v>0</v>
      </c>
      <c r="AM631" s="45">
        <v>1</v>
      </c>
      <c r="AO631" s="45">
        <v>355758</v>
      </c>
      <c r="AP631" s="45">
        <v>0</v>
      </c>
      <c r="AQ631" s="45">
        <v>2</v>
      </c>
      <c r="AR631" s="45">
        <v>329812</v>
      </c>
      <c r="AS631" s="45">
        <v>0</v>
      </c>
      <c r="AT631" s="45">
        <v>4</v>
      </c>
      <c r="AU631" s="45">
        <v>345814</v>
      </c>
      <c r="AV631" s="45">
        <v>0</v>
      </c>
      <c r="AW631" s="45">
        <v>1</v>
      </c>
      <c r="AX631" s="45">
        <v>351413</v>
      </c>
      <c r="AY631" s="45">
        <v>4</v>
      </c>
      <c r="AZ631" s="45">
        <v>2</v>
      </c>
    </row>
    <row r="632" spans="2:52">
      <c r="B632" s="45">
        <v>374501</v>
      </c>
      <c r="C632" s="45">
        <v>0</v>
      </c>
      <c r="D632" s="45">
        <v>2</v>
      </c>
      <c r="E632" s="45">
        <v>368200</v>
      </c>
      <c r="F632" s="45">
        <v>0</v>
      </c>
      <c r="G632" s="45">
        <v>1</v>
      </c>
      <c r="H632" s="45">
        <v>357280</v>
      </c>
      <c r="I632" s="45">
        <v>0</v>
      </c>
      <c r="J632" s="45">
        <v>2</v>
      </c>
      <c r="K632" s="45">
        <v>354670</v>
      </c>
      <c r="L632" s="45">
        <v>0</v>
      </c>
      <c r="M632" s="45">
        <v>3</v>
      </c>
      <c r="O632" s="45">
        <v>391963</v>
      </c>
      <c r="P632" s="45">
        <v>0</v>
      </c>
      <c r="Q632" s="45">
        <v>3</v>
      </c>
      <c r="R632" s="45">
        <v>348800</v>
      </c>
      <c r="S632" s="45">
        <v>0</v>
      </c>
      <c r="T632" s="45">
        <v>2</v>
      </c>
      <c r="U632" s="45">
        <v>364266</v>
      </c>
      <c r="V632" s="45">
        <v>0</v>
      </c>
      <c r="W632" s="45">
        <v>2</v>
      </c>
      <c r="X632" s="45">
        <v>386839</v>
      </c>
      <c r="Y632" s="45">
        <v>14</v>
      </c>
      <c r="Z632" s="45">
        <v>2</v>
      </c>
      <c r="AB632" s="45">
        <v>424630</v>
      </c>
      <c r="AC632" s="45">
        <v>0</v>
      </c>
      <c r="AD632" s="45">
        <v>2</v>
      </c>
      <c r="AE632" s="45">
        <v>416881</v>
      </c>
      <c r="AF632" s="45">
        <v>0</v>
      </c>
      <c r="AG632" s="45">
        <v>1</v>
      </c>
      <c r="AH632" s="45">
        <v>410077</v>
      </c>
      <c r="AI632" s="45">
        <v>0</v>
      </c>
      <c r="AJ632" s="45">
        <v>2</v>
      </c>
      <c r="AK632" s="45">
        <v>403916</v>
      </c>
      <c r="AL632" s="45">
        <v>0</v>
      </c>
      <c r="AM632" s="45">
        <v>1</v>
      </c>
      <c r="AO632" s="45">
        <v>347936</v>
      </c>
      <c r="AP632" s="45">
        <v>0</v>
      </c>
      <c r="AQ632" s="45">
        <v>2</v>
      </c>
      <c r="AR632" s="45">
        <v>349042</v>
      </c>
      <c r="AS632" s="45">
        <v>0</v>
      </c>
      <c r="AT632" s="45">
        <v>4</v>
      </c>
      <c r="AU632" s="45">
        <v>352323</v>
      </c>
      <c r="AV632" s="45">
        <v>0</v>
      </c>
      <c r="AW632" s="45">
        <v>1</v>
      </c>
      <c r="AX632" s="45">
        <v>338536</v>
      </c>
      <c r="AY632" s="45">
        <v>0</v>
      </c>
      <c r="AZ632" s="45">
        <v>2</v>
      </c>
    </row>
    <row r="633" spans="2:52">
      <c r="B633" s="45">
        <v>363597</v>
      </c>
      <c r="C633" s="45">
        <v>0</v>
      </c>
      <c r="D633" s="45">
        <v>1</v>
      </c>
      <c r="E633" s="45">
        <v>375178</v>
      </c>
      <c r="F633" s="45">
        <v>0</v>
      </c>
      <c r="G633" s="45">
        <v>3</v>
      </c>
      <c r="H633" s="45">
        <v>375647</v>
      </c>
      <c r="I633" s="45">
        <v>0</v>
      </c>
      <c r="J633" s="45">
        <v>1</v>
      </c>
      <c r="K633" s="45">
        <v>375934</v>
      </c>
      <c r="L633" s="45">
        <v>0</v>
      </c>
      <c r="M633" s="45">
        <v>1</v>
      </c>
      <c r="O633" s="45">
        <v>382820</v>
      </c>
      <c r="P633" s="45">
        <v>0</v>
      </c>
      <c r="Q633" s="45">
        <v>4</v>
      </c>
      <c r="R633" s="45">
        <v>362319</v>
      </c>
      <c r="S633" s="45">
        <v>0</v>
      </c>
      <c r="T633" s="45">
        <v>2</v>
      </c>
      <c r="U633" s="45">
        <v>369827</v>
      </c>
      <c r="V633" s="45">
        <v>0</v>
      </c>
      <c r="W633" s="45">
        <v>2</v>
      </c>
      <c r="X633" s="45">
        <v>373711</v>
      </c>
      <c r="Y633" s="45">
        <v>0</v>
      </c>
      <c r="Z633" s="45">
        <v>3</v>
      </c>
      <c r="AB633" s="45">
        <v>395433</v>
      </c>
      <c r="AC633" s="45">
        <v>0</v>
      </c>
      <c r="AD633" s="45">
        <v>2</v>
      </c>
      <c r="AE633" s="45">
        <v>387632</v>
      </c>
      <c r="AF633" s="45">
        <v>0</v>
      </c>
      <c r="AG633" s="45">
        <v>2</v>
      </c>
      <c r="AH633" s="45">
        <v>380507</v>
      </c>
      <c r="AI633" s="45">
        <v>0</v>
      </c>
      <c r="AJ633" s="45">
        <v>1</v>
      </c>
      <c r="AK633" s="45">
        <v>405617</v>
      </c>
      <c r="AL633" s="45">
        <v>0</v>
      </c>
      <c r="AM633" s="45">
        <v>2</v>
      </c>
      <c r="AO633" s="45">
        <v>355887</v>
      </c>
      <c r="AP633" s="45">
        <v>0</v>
      </c>
      <c r="AQ633" s="45">
        <v>2</v>
      </c>
      <c r="AR633" s="45">
        <v>371200</v>
      </c>
      <c r="AS633" s="45">
        <v>0</v>
      </c>
      <c r="AT633" s="45">
        <v>2</v>
      </c>
      <c r="AU633" s="45">
        <v>366206</v>
      </c>
      <c r="AV633" s="45">
        <v>0</v>
      </c>
      <c r="AW633" s="45">
        <v>1</v>
      </c>
      <c r="AX633" s="45">
        <v>374090</v>
      </c>
      <c r="AY633" s="45">
        <v>0</v>
      </c>
      <c r="AZ633" s="45">
        <v>1</v>
      </c>
    </row>
    <row r="634" spans="2:52">
      <c r="B634" s="45">
        <v>420007</v>
      </c>
      <c r="C634" s="45">
        <v>0</v>
      </c>
      <c r="D634" s="45">
        <v>3</v>
      </c>
      <c r="E634" s="45">
        <v>384316</v>
      </c>
      <c r="F634" s="45">
        <v>0</v>
      </c>
      <c r="G634" s="45">
        <v>2</v>
      </c>
      <c r="H634" s="45">
        <v>416881</v>
      </c>
      <c r="I634" s="45">
        <v>0</v>
      </c>
      <c r="J634" s="45">
        <v>1</v>
      </c>
      <c r="K634" s="45">
        <v>396409</v>
      </c>
      <c r="L634" s="45">
        <v>0</v>
      </c>
      <c r="M634" s="45">
        <v>2</v>
      </c>
      <c r="O634" s="45">
        <v>420663</v>
      </c>
      <c r="P634" s="45">
        <v>0</v>
      </c>
      <c r="Q634" s="45">
        <v>2</v>
      </c>
      <c r="R634" s="45">
        <v>425101</v>
      </c>
      <c r="S634" s="45">
        <v>0</v>
      </c>
      <c r="T634" s="45">
        <v>2</v>
      </c>
      <c r="U634" s="45">
        <v>429953</v>
      </c>
      <c r="V634" s="45">
        <v>16</v>
      </c>
      <c r="W634" s="45">
        <v>3</v>
      </c>
      <c r="X634" s="45">
        <v>403482</v>
      </c>
      <c r="Y634" s="45">
        <v>0</v>
      </c>
      <c r="Z634" s="45">
        <v>3</v>
      </c>
      <c r="AB634" s="45">
        <v>453790</v>
      </c>
      <c r="AC634" s="45">
        <v>0</v>
      </c>
      <c r="AD634" s="45">
        <v>1</v>
      </c>
      <c r="AE634" s="45">
        <v>429480</v>
      </c>
      <c r="AF634" s="45">
        <v>0</v>
      </c>
      <c r="AG634" s="45">
        <v>2</v>
      </c>
      <c r="AH634" s="45">
        <v>449555</v>
      </c>
      <c r="AI634" s="45">
        <v>0</v>
      </c>
      <c r="AJ634" s="45">
        <v>2</v>
      </c>
      <c r="AK634" s="45">
        <v>446730</v>
      </c>
      <c r="AL634" s="45">
        <v>0</v>
      </c>
      <c r="AM634" s="45">
        <v>2</v>
      </c>
      <c r="AO634" s="45">
        <v>406930</v>
      </c>
      <c r="AP634" s="45">
        <v>19</v>
      </c>
      <c r="AQ634" s="45">
        <v>3</v>
      </c>
      <c r="AR634" s="45">
        <v>480234</v>
      </c>
      <c r="AS634" s="45">
        <v>47</v>
      </c>
      <c r="AT634" s="45">
        <v>3</v>
      </c>
      <c r="AU634" s="45">
        <v>414390</v>
      </c>
      <c r="AV634" s="45">
        <v>0</v>
      </c>
      <c r="AW634" s="45">
        <v>2</v>
      </c>
      <c r="AX634" s="45">
        <v>417360</v>
      </c>
      <c r="AY634" s="45">
        <v>0</v>
      </c>
      <c r="AZ634" s="45">
        <v>2</v>
      </c>
    </row>
    <row r="635" spans="2:52">
      <c r="B635" s="45">
        <v>404870</v>
      </c>
      <c r="C635" s="45">
        <v>0</v>
      </c>
      <c r="D635" s="45">
        <v>1</v>
      </c>
      <c r="E635" s="45">
        <v>391413</v>
      </c>
      <c r="F635" s="45">
        <v>0</v>
      </c>
      <c r="G635" s="45">
        <v>2</v>
      </c>
      <c r="H635" s="45">
        <v>394605</v>
      </c>
      <c r="I635" s="45">
        <v>0</v>
      </c>
      <c r="J635" s="45">
        <v>2</v>
      </c>
      <c r="K635" s="45">
        <v>379756</v>
      </c>
      <c r="L635" s="45">
        <v>0</v>
      </c>
      <c r="M635" s="45">
        <v>1</v>
      </c>
      <c r="O635" s="45">
        <v>395660</v>
      </c>
      <c r="P635" s="45">
        <v>0</v>
      </c>
      <c r="Q635" s="45">
        <v>2</v>
      </c>
      <c r="R635" s="45">
        <v>392753</v>
      </c>
      <c r="S635" s="45">
        <v>0</v>
      </c>
      <c r="T635" s="45">
        <v>2</v>
      </c>
      <c r="U635" s="45">
        <v>426944</v>
      </c>
      <c r="V635" s="45">
        <v>19</v>
      </c>
      <c r="W635" s="45">
        <v>3</v>
      </c>
      <c r="X635" s="45">
        <v>376849</v>
      </c>
      <c r="Y635" s="45">
        <v>0</v>
      </c>
      <c r="Z635" s="45">
        <v>3</v>
      </c>
      <c r="AB635" s="45">
        <v>439226</v>
      </c>
      <c r="AC635" s="45">
        <v>0</v>
      </c>
      <c r="AD635" s="45">
        <v>1</v>
      </c>
      <c r="AE635" s="45">
        <v>422960</v>
      </c>
      <c r="AF635" s="45">
        <v>0</v>
      </c>
      <c r="AG635" s="45">
        <v>2</v>
      </c>
      <c r="AH635" s="45">
        <v>425926</v>
      </c>
      <c r="AI635" s="45">
        <v>0</v>
      </c>
      <c r="AJ635" s="45">
        <v>1</v>
      </c>
      <c r="AK635" s="45">
        <v>457541</v>
      </c>
      <c r="AL635" s="45">
        <v>0</v>
      </c>
      <c r="AM635" s="45">
        <v>1</v>
      </c>
      <c r="AO635" s="45">
        <v>396783</v>
      </c>
      <c r="AP635" s="45">
        <v>0</v>
      </c>
      <c r="AQ635" s="45">
        <v>2</v>
      </c>
      <c r="AR635" s="45">
        <v>366024</v>
      </c>
      <c r="AS635" s="45">
        <v>0</v>
      </c>
      <c r="AT635" s="45">
        <v>2</v>
      </c>
      <c r="AU635" s="45">
        <v>403375</v>
      </c>
      <c r="AV635" s="45">
        <v>0</v>
      </c>
      <c r="AW635" s="45">
        <v>2</v>
      </c>
      <c r="AX635" s="45">
        <v>392773</v>
      </c>
      <c r="AY635" s="45">
        <v>0</v>
      </c>
      <c r="AZ635" s="45">
        <v>1</v>
      </c>
    </row>
    <row r="636" spans="2:52">
      <c r="B636" s="45">
        <v>342929</v>
      </c>
      <c r="C636" s="45">
        <v>0</v>
      </c>
      <c r="D636" s="45">
        <v>4</v>
      </c>
      <c r="E636" s="45">
        <v>390988</v>
      </c>
      <c r="F636" s="45">
        <v>0</v>
      </c>
      <c r="G636" s="45">
        <v>2</v>
      </c>
      <c r="H636" s="45">
        <v>368739</v>
      </c>
      <c r="I636" s="45">
        <v>0</v>
      </c>
      <c r="J636" s="45">
        <v>1</v>
      </c>
      <c r="K636" s="45">
        <v>375230</v>
      </c>
      <c r="L636" s="45">
        <v>0</v>
      </c>
      <c r="M636" s="45">
        <v>2</v>
      </c>
      <c r="O636" s="45">
        <v>365529</v>
      </c>
      <c r="P636" s="45">
        <v>0</v>
      </c>
      <c r="Q636" s="45">
        <v>3</v>
      </c>
      <c r="R636" s="45">
        <v>356763</v>
      </c>
      <c r="S636" s="45">
        <v>0</v>
      </c>
      <c r="T636" s="45">
        <v>1</v>
      </c>
      <c r="U636" s="45">
        <v>398049</v>
      </c>
      <c r="V636" s="45">
        <v>25</v>
      </c>
      <c r="W636" s="45">
        <v>4</v>
      </c>
      <c r="X636" s="45">
        <v>350177</v>
      </c>
      <c r="Y636" s="45">
        <v>0</v>
      </c>
      <c r="Z636" s="45">
        <v>2</v>
      </c>
      <c r="AB636" s="45">
        <v>385027</v>
      </c>
      <c r="AC636" s="45">
        <v>0</v>
      </c>
      <c r="AD636" s="45">
        <v>3</v>
      </c>
      <c r="AE636" s="45">
        <v>388598</v>
      </c>
      <c r="AF636" s="45">
        <v>0</v>
      </c>
      <c r="AG636" s="45">
        <v>2</v>
      </c>
      <c r="AH636" s="45">
        <v>403447</v>
      </c>
      <c r="AI636" s="45">
        <v>0</v>
      </c>
      <c r="AJ636" s="45">
        <v>1</v>
      </c>
      <c r="AK636" s="45">
        <v>383169</v>
      </c>
      <c r="AL636" s="45">
        <v>0</v>
      </c>
      <c r="AM636" s="45">
        <v>2</v>
      </c>
      <c r="AO636" s="45">
        <v>329620</v>
      </c>
      <c r="AP636" s="45">
        <v>0</v>
      </c>
      <c r="AQ636" s="45">
        <v>3</v>
      </c>
      <c r="AR636" s="45">
        <v>359276</v>
      </c>
      <c r="AS636" s="45">
        <v>0</v>
      </c>
      <c r="AT636" s="45">
        <v>1</v>
      </c>
      <c r="AU636" s="45">
        <v>335294</v>
      </c>
      <c r="AV636" s="45">
        <v>0</v>
      </c>
      <c r="AW636" s="45">
        <v>2</v>
      </c>
      <c r="AX636" s="45">
        <v>349275</v>
      </c>
      <c r="AY636" s="45">
        <v>0</v>
      </c>
      <c r="AZ636" s="45">
        <v>1</v>
      </c>
    </row>
    <row r="637" spans="2:52">
      <c r="B637" s="45">
        <v>290729</v>
      </c>
      <c r="C637" s="45">
        <v>0</v>
      </c>
      <c r="D637" s="45">
        <v>2</v>
      </c>
      <c r="E637" s="45">
        <v>287845</v>
      </c>
      <c r="F637" s="45">
        <v>0</v>
      </c>
      <c r="G637" s="45">
        <v>2</v>
      </c>
      <c r="H637" s="45">
        <v>305380</v>
      </c>
      <c r="I637" s="45">
        <v>11</v>
      </c>
      <c r="J637" s="45">
        <v>2</v>
      </c>
      <c r="K637" s="45">
        <v>293042</v>
      </c>
      <c r="L637" s="45">
        <v>0</v>
      </c>
      <c r="M637" s="45">
        <v>2</v>
      </c>
      <c r="O637" s="45">
        <v>320098</v>
      </c>
      <c r="P637" s="45">
        <v>0</v>
      </c>
      <c r="Q637" s="45">
        <v>3</v>
      </c>
      <c r="R637" s="45">
        <v>334188</v>
      </c>
      <c r="S637" s="45">
        <v>0</v>
      </c>
      <c r="T637" s="45">
        <v>3</v>
      </c>
      <c r="U637" s="45">
        <v>316256</v>
      </c>
      <c r="V637" s="45">
        <v>0</v>
      </c>
      <c r="W637" s="45">
        <v>1</v>
      </c>
      <c r="X637" s="45">
        <v>303275</v>
      </c>
      <c r="Y637" s="45">
        <v>0</v>
      </c>
      <c r="Z637" s="45">
        <v>3</v>
      </c>
      <c r="AB637" s="45">
        <v>348028</v>
      </c>
      <c r="AC637" s="45">
        <v>0</v>
      </c>
      <c r="AD637" s="45">
        <v>2</v>
      </c>
      <c r="AE637" s="45">
        <v>333721</v>
      </c>
      <c r="AF637" s="45">
        <v>0</v>
      </c>
      <c r="AG637" s="45">
        <v>2</v>
      </c>
      <c r="AH637" s="45">
        <v>347050</v>
      </c>
      <c r="AI637" s="45">
        <v>0</v>
      </c>
      <c r="AJ637" s="45">
        <v>1</v>
      </c>
      <c r="AK637" s="45">
        <v>344145</v>
      </c>
      <c r="AL637" s="45">
        <v>0</v>
      </c>
      <c r="AM637" s="45">
        <v>2</v>
      </c>
      <c r="AO637" s="45">
        <v>304940</v>
      </c>
      <c r="AP637" s="45">
        <v>0</v>
      </c>
      <c r="AQ637" s="45">
        <v>2</v>
      </c>
      <c r="AR637" s="45">
        <v>308284</v>
      </c>
      <c r="AS637" s="45">
        <v>0</v>
      </c>
      <c r="AT637" s="45">
        <v>2</v>
      </c>
      <c r="AU637" s="45">
        <v>314430</v>
      </c>
      <c r="AV637" s="45">
        <v>0</v>
      </c>
      <c r="AW637" s="45">
        <v>1</v>
      </c>
      <c r="AX637" s="45">
        <v>290869</v>
      </c>
      <c r="AY637" s="45">
        <v>0</v>
      </c>
      <c r="AZ637" s="45">
        <v>1</v>
      </c>
    </row>
    <row r="638" spans="2:52">
      <c r="B638" s="45">
        <v>414215</v>
      </c>
      <c r="C638" s="45">
        <v>5</v>
      </c>
      <c r="D638" s="45">
        <v>4</v>
      </c>
      <c r="E638" s="45">
        <v>396692</v>
      </c>
      <c r="F638" s="45">
        <v>0</v>
      </c>
      <c r="G638" s="45">
        <v>2</v>
      </c>
      <c r="H638" s="45">
        <v>422073</v>
      </c>
      <c r="I638" s="45">
        <v>3</v>
      </c>
      <c r="J638" s="45">
        <v>1</v>
      </c>
      <c r="K638" s="45">
        <v>420151</v>
      </c>
      <c r="L638" s="45">
        <v>0</v>
      </c>
      <c r="M638" s="45">
        <v>1</v>
      </c>
      <c r="O638" s="45">
        <v>421481</v>
      </c>
      <c r="P638" s="45">
        <v>0</v>
      </c>
      <c r="Q638" s="45">
        <v>2</v>
      </c>
      <c r="R638" s="45">
        <v>429994</v>
      </c>
      <c r="S638" s="45">
        <v>0</v>
      </c>
      <c r="T638" s="45">
        <v>2</v>
      </c>
      <c r="U638" s="45">
        <v>417987</v>
      </c>
      <c r="V638" s="45">
        <v>0</v>
      </c>
      <c r="W638" s="45">
        <v>3</v>
      </c>
      <c r="X638" s="45">
        <v>434665</v>
      </c>
      <c r="Y638" s="45">
        <v>0</v>
      </c>
      <c r="Z638" s="45">
        <v>2</v>
      </c>
      <c r="AB638" s="45">
        <v>464473</v>
      </c>
      <c r="AC638" s="45">
        <v>0</v>
      </c>
      <c r="AD638" s="45">
        <v>2</v>
      </c>
      <c r="AE638" s="45">
        <v>447946</v>
      </c>
      <c r="AF638" s="45">
        <v>0</v>
      </c>
      <c r="AG638" s="45">
        <v>2</v>
      </c>
      <c r="AH638" s="45">
        <v>470128</v>
      </c>
      <c r="AI638" s="45">
        <v>0</v>
      </c>
      <c r="AJ638" s="45">
        <v>1</v>
      </c>
      <c r="AK638" s="45">
        <v>452930</v>
      </c>
      <c r="AL638" s="45">
        <v>0</v>
      </c>
      <c r="AM638" s="45">
        <v>2</v>
      </c>
      <c r="AO638" s="45">
        <v>428777</v>
      </c>
      <c r="AP638" s="45">
        <v>0</v>
      </c>
      <c r="AQ638" s="45">
        <v>2</v>
      </c>
      <c r="AR638" s="45">
        <v>420273</v>
      </c>
      <c r="AS638" s="45">
        <v>0</v>
      </c>
      <c r="AT638" s="45">
        <v>1</v>
      </c>
      <c r="AU638" s="45">
        <v>438019</v>
      </c>
      <c r="AV638" s="45">
        <v>0</v>
      </c>
      <c r="AW638" s="45">
        <v>2</v>
      </c>
      <c r="AX638" s="45">
        <v>462041</v>
      </c>
      <c r="AY638" s="45">
        <v>53</v>
      </c>
      <c r="AZ638" s="45">
        <v>2</v>
      </c>
    </row>
    <row r="639" spans="2:52">
      <c r="B639" s="45">
        <v>371532</v>
      </c>
      <c r="C639" s="45">
        <v>0</v>
      </c>
      <c r="D639" s="45">
        <v>3</v>
      </c>
      <c r="E639" s="45">
        <v>385365</v>
      </c>
      <c r="F639" s="45">
        <v>0</v>
      </c>
      <c r="G639" s="45">
        <v>1</v>
      </c>
      <c r="H639" s="45">
        <v>353808</v>
      </c>
      <c r="I639" s="45">
        <v>0</v>
      </c>
      <c r="J639" s="45">
        <v>1</v>
      </c>
      <c r="K639" s="45">
        <v>360880</v>
      </c>
      <c r="L639" s="45">
        <v>0</v>
      </c>
      <c r="M639" s="45">
        <v>1</v>
      </c>
      <c r="O639" s="45">
        <v>399091</v>
      </c>
      <c r="P639" s="45">
        <v>0</v>
      </c>
      <c r="Q639" s="45">
        <v>1</v>
      </c>
      <c r="R639" s="45">
        <v>390728</v>
      </c>
      <c r="S639" s="45">
        <v>0</v>
      </c>
      <c r="T639" s="45">
        <v>2</v>
      </c>
      <c r="U639" s="45">
        <v>373097</v>
      </c>
      <c r="V639" s="45">
        <v>0</v>
      </c>
      <c r="W639" s="45">
        <v>3</v>
      </c>
      <c r="X639" s="45">
        <v>372255</v>
      </c>
      <c r="Y639" s="45">
        <v>0</v>
      </c>
      <c r="Z639" s="45">
        <v>2</v>
      </c>
      <c r="AB639" s="45">
        <v>412004</v>
      </c>
      <c r="AC639" s="45">
        <v>0</v>
      </c>
      <c r="AD639" s="45">
        <v>1</v>
      </c>
      <c r="AE639" s="45">
        <v>423438</v>
      </c>
      <c r="AF639" s="45">
        <v>0</v>
      </c>
      <c r="AG639" s="45">
        <v>2</v>
      </c>
      <c r="AH639" s="45">
        <v>403639</v>
      </c>
      <c r="AI639" s="45">
        <v>0</v>
      </c>
      <c r="AJ639" s="45">
        <v>1</v>
      </c>
      <c r="AK639" s="45">
        <v>393118</v>
      </c>
      <c r="AL639" s="45">
        <v>0</v>
      </c>
      <c r="AM639" s="45">
        <v>2</v>
      </c>
      <c r="AO639" s="45">
        <v>395768</v>
      </c>
      <c r="AP639" s="45">
        <v>0</v>
      </c>
      <c r="AQ639" s="45">
        <v>1</v>
      </c>
      <c r="AR639" s="45">
        <v>367080</v>
      </c>
      <c r="AS639" s="45">
        <v>0</v>
      </c>
      <c r="AT639" s="45">
        <v>2</v>
      </c>
      <c r="AU639" s="45">
        <v>374903</v>
      </c>
      <c r="AV639" s="45">
        <v>0</v>
      </c>
      <c r="AW639" s="45">
        <v>1</v>
      </c>
      <c r="AX639" s="45">
        <v>372235</v>
      </c>
      <c r="AY639" s="45">
        <v>0</v>
      </c>
      <c r="AZ639" s="45">
        <v>2</v>
      </c>
    </row>
    <row r="640" spans="2:52">
      <c r="B640" s="45">
        <v>391110</v>
      </c>
      <c r="C640" s="45">
        <v>0</v>
      </c>
      <c r="D640" s="45">
        <v>2</v>
      </c>
      <c r="E640" s="45">
        <v>374170</v>
      </c>
      <c r="F640" s="45">
        <v>0</v>
      </c>
      <c r="G640" s="45">
        <v>2</v>
      </c>
      <c r="H640" s="45">
        <v>372454</v>
      </c>
      <c r="I640" s="45">
        <v>0</v>
      </c>
      <c r="J640" s="45">
        <v>0</v>
      </c>
      <c r="K640" s="45">
        <v>370336</v>
      </c>
      <c r="L640" s="45">
        <v>0</v>
      </c>
      <c r="M640" s="45">
        <v>2</v>
      </c>
      <c r="O640" s="45">
        <v>400237</v>
      </c>
      <c r="P640" s="45">
        <v>0</v>
      </c>
      <c r="Q640" s="45">
        <v>1</v>
      </c>
      <c r="R640" s="45">
        <v>377750</v>
      </c>
      <c r="S640" s="45">
        <v>0</v>
      </c>
      <c r="T640" s="45">
        <v>2</v>
      </c>
      <c r="U640" s="45">
        <v>383070</v>
      </c>
      <c r="V640" s="45">
        <v>0</v>
      </c>
      <c r="W640" s="45">
        <v>3</v>
      </c>
      <c r="X640" s="45">
        <v>382999</v>
      </c>
      <c r="Y640" s="45">
        <v>0</v>
      </c>
      <c r="Z640" s="45">
        <v>3</v>
      </c>
      <c r="AB640" s="45">
        <v>406116</v>
      </c>
      <c r="AC640" s="45">
        <v>0</v>
      </c>
      <c r="AD640" s="45">
        <v>1</v>
      </c>
      <c r="AE640" s="45">
        <v>427397</v>
      </c>
      <c r="AF640" s="45">
        <v>0</v>
      </c>
      <c r="AG640" s="45">
        <v>2</v>
      </c>
      <c r="AH640" s="45">
        <v>408891</v>
      </c>
      <c r="AI640" s="45">
        <v>0</v>
      </c>
      <c r="AJ640" s="45">
        <v>2</v>
      </c>
      <c r="AK640" s="45">
        <v>404576</v>
      </c>
      <c r="AL640" s="45">
        <v>0</v>
      </c>
      <c r="AM640" s="45">
        <v>2</v>
      </c>
      <c r="AO640" s="45">
        <v>378119</v>
      </c>
      <c r="AP640" s="45">
        <v>0</v>
      </c>
      <c r="AQ640" s="45">
        <v>2</v>
      </c>
      <c r="AR640" s="45">
        <v>385888</v>
      </c>
      <c r="AS640" s="45">
        <v>4</v>
      </c>
      <c r="AT640" s="45">
        <v>3</v>
      </c>
      <c r="AU640" s="45">
        <v>379766</v>
      </c>
      <c r="AV640" s="45">
        <v>0</v>
      </c>
      <c r="AW640" s="45">
        <v>1</v>
      </c>
      <c r="AX640" s="45">
        <v>372320</v>
      </c>
      <c r="AY640" s="45">
        <v>0</v>
      </c>
      <c r="AZ640" s="45">
        <v>2</v>
      </c>
    </row>
    <row r="641" spans="2:52">
      <c r="B641" s="45">
        <v>388471</v>
      </c>
      <c r="C641" s="45">
        <v>0</v>
      </c>
      <c r="D641" s="45">
        <v>2</v>
      </c>
      <c r="E641" s="45">
        <v>385096</v>
      </c>
      <c r="F641" s="45">
        <v>0</v>
      </c>
      <c r="G641" s="45">
        <v>2</v>
      </c>
      <c r="H641" s="45">
        <v>373634</v>
      </c>
      <c r="I641" s="45">
        <v>0</v>
      </c>
      <c r="J641" s="45">
        <v>1</v>
      </c>
      <c r="K641" s="45">
        <v>397447</v>
      </c>
      <c r="L641" s="45">
        <v>0</v>
      </c>
      <c r="M641" s="45">
        <v>1</v>
      </c>
      <c r="O641" s="45">
        <v>407793</v>
      </c>
      <c r="P641" s="45">
        <v>0</v>
      </c>
      <c r="Q641" s="45">
        <v>2</v>
      </c>
      <c r="R641" s="45">
        <v>376673</v>
      </c>
      <c r="S641" s="45">
        <v>0</v>
      </c>
      <c r="T641" s="45">
        <v>3</v>
      </c>
      <c r="U641" s="45">
        <v>384532</v>
      </c>
      <c r="V641" s="45">
        <v>0</v>
      </c>
      <c r="W641" s="45">
        <v>2</v>
      </c>
      <c r="X641" s="45">
        <v>386284</v>
      </c>
      <c r="Y641" s="45">
        <v>0</v>
      </c>
      <c r="Z641" s="45">
        <v>1</v>
      </c>
      <c r="AB641" s="45">
        <v>423845</v>
      </c>
      <c r="AC641" s="45">
        <v>0</v>
      </c>
      <c r="AD641" s="45">
        <v>2</v>
      </c>
      <c r="AE641" s="45">
        <v>429775</v>
      </c>
      <c r="AF641" s="45">
        <v>0</v>
      </c>
      <c r="AG641" s="45">
        <v>1</v>
      </c>
      <c r="AH641" s="45">
        <v>445551</v>
      </c>
      <c r="AI641" s="45">
        <v>0</v>
      </c>
      <c r="AJ641" s="45">
        <v>1</v>
      </c>
      <c r="AK641" s="45">
        <v>403768</v>
      </c>
      <c r="AL641" s="45">
        <v>0</v>
      </c>
      <c r="AM641" s="45">
        <v>2</v>
      </c>
      <c r="AO641" s="45">
        <v>362943</v>
      </c>
      <c r="AP641" s="45">
        <v>0</v>
      </c>
      <c r="AQ641" s="45">
        <v>2</v>
      </c>
      <c r="AR641" s="45">
        <v>378989</v>
      </c>
      <c r="AS641" s="45">
        <v>0</v>
      </c>
      <c r="AT641" s="45">
        <v>1</v>
      </c>
      <c r="AU641" s="45">
        <v>386395</v>
      </c>
      <c r="AV641" s="45">
        <v>0</v>
      </c>
      <c r="AW641" s="45">
        <v>1</v>
      </c>
      <c r="AX641" s="45">
        <v>361802</v>
      </c>
      <c r="AY641" s="45">
        <v>0</v>
      </c>
      <c r="AZ641" s="45">
        <v>1</v>
      </c>
    </row>
    <row r="642" spans="2:52">
      <c r="B642" s="45">
        <v>411476</v>
      </c>
      <c r="C642" s="45">
        <v>0</v>
      </c>
      <c r="D642" s="45">
        <v>1</v>
      </c>
      <c r="E642" s="45">
        <v>422257</v>
      </c>
      <c r="F642" s="45">
        <v>0</v>
      </c>
      <c r="G642" s="45">
        <v>1</v>
      </c>
      <c r="H642" s="45">
        <v>398169</v>
      </c>
      <c r="I642" s="45">
        <v>0</v>
      </c>
      <c r="J642" s="45">
        <v>1</v>
      </c>
      <c r="K642" s="45">
        <v>375357</v>
      </c>
      <c r="L642" s="45">
        <v>0</v>
      </c>
      <c r="M642" s="45">
        <v>2</v>
      </c>
      <c r="O642" s="45">
        <v>425492</v>
      </c>
      <c r="P642" s="45">
        <v>0</v>
      </c>
      <c r="Q642" s="45">
        <v>4</v>
      </c>
      <c r="R642" s="45">
        <v>433135</v>
      </c>
      <c r="S642" s="45">
        <v>0</v>
      </c>
      <c r="T642" s="45">
        <v>2</v>
      </c>
      <c r="U642" s="45">
        <v>442204</v>
      </c>
      <c r="V642" s="45">
        <v>0</v>
      </c>
      <c r="W642" s="45">
        <v>2</v>
      </c>
      <c r="X642" s="45">
        <v>427193</v>
      </c>
      <c r="Y642" s="45">
        <v>0</v>
      </c>
      <c r="Z642" s="45">
        <v>2</v>
      </c>
      <c r="AB642" s="45">
        <v>444022</v>
      </c>
      <c r="AC642" s="45">
        <v>0</v>
      </c>
      <c r="AD642" s="45">
        <v>2</v>
      </c>
      <c r="AE642" s="45">
        <v>454360</v>
      </c>
      <c r="AF642" s="45">
        <v>0</v>
      </c>
      <c r="AG642" s="45">
        <v>2</v>
      </c>
      <c r="AH642" s="45">
        <v>470490</v>
      </c>
      <c r="AI642" s="45">
        <v>0</v>
      </c>
      <c r="AJ642" s="45">
        <v>1</v>
      </c>
      <c r="AK642" s="45">
        <v>420501</v>
      </c>
      <c r="AL642" s="45">
        <v>0</v>
      </c>
      <c r="AM642" s="45">
        <v>2</v>
      </c>
      <c r="AO642" s="45">
        <v>416175</v>
      </c>
      <c r="AP642" s="45">
        <v>0</v>
      </c>
      <c r="AQ642" s="45">
        <v>2</v>
      </c>
      <c r="AR642" s="45">
        <v>404546</v>
      </c>
      <c r="AS642" s="45">
        <v>0</v>
      </c>
      <c r="AT642" s="45">
        <v>2</v>
      </c>
      <c r="AU642" s="45">
        <v>424049</v>
      </c>
      <c r="AV642" s="45">
        <v>0</v>
      </c>
      <c r="AW642" s="45">
        <v>2</v>
      </c>
      <c r="AX642" s="45">
        <v>446105</v>
      </c>
      <c r="AY642" s="45">
        <v>26</v>
      </c>
      <c r="AZ642" s="45">
        <v>2</v>
      </c>
    </row>
    <row r="643" spans="2:52">
      <c r="B643" s="45">
        <v>418986</v>
      </c>
      <c r="C643" s="45">
        <v>0</v>
      </c>
      <c r="D643" s="45">
        <v>3</v>
      </c>
      <c r="E643" s="45">
        <v>434847</v>
      </c>
      <c r="F643" s="45">
        <v>0</v>
      </c>
      <c r="G643" s="45">
        <v>1</v>
      </c>
      <c r="H643" s="45">
        <v>388515</v>
      </c>
      <c r="I643" s="45">
        <v>0</v>
      </c>
      <c r="J643" s="45">
        <v>3</v>
      </c>
      <c r="K643" s="45">
        <v>383372</v>
      </c>
      <c r="L643" s="45">
        <v>5</v>
      </c>
      <c r="M643" s="45">
        <v>3</v>
      </c>
      <c r="O643" s="45">
        <v>436108</v>
      </c>
      <c r="P643" s="45">
        <v>0</v>
      </c>
      <c r="Q643" s="45">
        <v>2</v>
      </c>
      <c r="R643" s="45">
        <v>399168</v>
      </c>
      <c r="S643" s="45">
        <v>0</v>
      </c>
      <c r="T643" s="45">
        <v>3</v>
      </c>
      <c r="U643" s="45">
        <v>416807</v>
      </c>
      <c r="V643" s="45">
        <v>0</v>
      </c>
      <c r="W643" s="45">
        <v>2</v>
      </c>
      <c r="X643" s="45">
        <v>413190</v>
      </c>
      <c r="Y643" s="45">
        <v>0</v>
      </c>
      <c r="Z643" s="45">
        <v>2</v>
      </c>
      <c r="AB643" s="45">
        <v>449540</v>
      </c>
      <c r="AC643" s="45">
        <v>0</v>
      </c>
      <c r="AD643" s="45">
        <v>1</v>
      </c>
      <c r="AE643" s="45">
        <v>457004</v>
      </c>
      <c r="AF643" s="45">
        <v>0</v>
      </c>
      <c r="AG643" s="45">
        <v>2</v>
      </c>
      <c r="AH643" s="45">
        <v>434157</v>
      </c>
      <c r="AI643" s="45">
        <v>0</v>
      </c>
      <c r="AJ643" s="45">
        <v>1</v>
      </c>
      <c r="AK643" s="45">
        <v>463119</v>
      </c>
      <c r="AL643" s="45">
        <v>0</v>
      </c>
      <c r="AM643" s="45">
        <v>2</v>
      </c>
      <c r="AO643" s="45">
        <v>416853</v>
      </c>
      <c r="AP643" s="45">
        <v>0</v>
      </c>
      <c r="AQ643" s="45">
        <v>1</v>
      </c>
      <c r="AR643" s="45">
        <v>438389</v>
      </c>
      <c r="AS643" s="45">
        <v>0</v>
      </c>
      <c r="AT643" s="45">
        <v>1</v>
      </c>
      <c r="AU643" s="45">
        <v>395280</v>
      </c>
      <c r="AV643" s="45">
        <v>0</v>
      </c>
      <c r="AW643" s="45">
        <v>1</v>
      </c>
      <c r="AX643" s="45">
        <v>409607</v>
      </c>
      <c r="AY643" s="45">
        <v>0</v>
      </c>
      <c r="AZ643" s="45">
        <v>2</v>
      </c>
    </row>
    <row r="644" spans="2:52">
      <c r="B644" s="45">
        <v>393652</v>
      </c>
      <c r="C644" s="45">
        <v>0</v>
      </c>
      <c r="D644" s="45">
        <v>2</v>
      </c>
      <c r="E644" s="45">
        <v>415830</v>
      </c>
      <c r="F644" s="45">
        <v>0</v>
      </c>
      <c r="G644" s="45">
        <v>1</v>
      </c>
      <c r="H644" s="45">
        <v>410331</v>
      </c>
      <c r="I644" s="45">
        <v>0</v>
      </c>
      <c r="J644" s="45">
        <v>1</v>
      </c>
      <c r="K644" s="45">
        <v>410871</v>
      </c>
      <c r="L644" s="45">
        <v>0</v>
      </c>
      <c r="M644" s="45">
        <v>2</v>
      </c>
      <c r="O644" s="45">
        <v>419013</v>
      </c>
      <c r="P644" s="45">
        <v>0</v>
      </c>
      <c r="Q644" s="45">
        <v>2</v>
      </c>
      <c r="R644" s="45">
        <v>402768</v>
      </c>
      <c r="S644" s="45">
        <v>0</v>
      </c>
      <c r="T644" s="45">
        <v>2</v>
      </c>
      <c r="U644" s="45">
        <v>439502</v>
      </c>
      <c r="V644" s="45">
        <v>0</v>
      </c>
      <c r="W644" s="45">
        <v>2</v>
      </c>
      <c r="X644" s="45">
        <v>403201</v>
      </c>
      <c r="Y644" s="45">
        <v>0</v>
      </c>
      <c r="Z644" s="45">
        <v>3</v>
      </c>
      <c r="AB644" s="45">
        <v>443032</v>
      </c>
      <c r="AC644" s="45">
        <v>0</v>
      </c>
      <c r="AD644" s="45">
        <v>1</v>
      </c>
      <c r="AE644" s="45">
        <v>447409</v>
      </c>
      <c r="AF644" s="45">
        <v>0</v>
      </c>
      <c r="AG644" s="45">
        <v>2</v>
      </c>
      <c r="AH644" s="45">
        <v>462927</v>
      </c>
      <c r="AI644" s="45">
        <v>0</v>
      </c>
      <c r="AJ644" s="45">
        <v>1</v>
      </c>
      <c r="AK644" s="45">
        <v>437620</v>
      </c>
      <c r="AL644" s="45">
        <v>0</v>
      </c>
      <c r="AM644" s="45">
        <v>2</v>
      </c>
      <c r="AO644" s="45">
        <v>406309</v>
      </c>
      <c r="AP644" s="45">
        <v>0</v>
      </c>
      <c r="AQ644" s="45">
        <v>2</v>
      </c>
      <c r="AR644" s="45">
        <v>411457</v>
      </c>
      <c r="AS644" s="45">
        <v>0</v>
      </c>
      <c r="AT644" s="45">
        <v>1</v>
      </c>
      <c r="AU644" s="45">
        <v>419428</v>
      </c>
      <c r="AV644" s="45">
        <v>0</v>
      </c>
      <c r="AW644" s="45">
        <v>1</v>
      </c>
      <c r="AX644" s="45">
        <v>418791</v>
      </c>
      <c r="AY644" s="45">
        <v>0</v>
      </c>
      <c r="AZ644" s="45">
        <v>1</v>
      </c>
    </row>
    <row r="645" spans="2:52">
      <c r="B645" s="45">
        <v>318043</v>
      </c>
      <c r="C645" s="45">
        <v>0</v>
      </c>
      <c r="D645" s="45">
        <v>3</v>
      </c>
      <c r="E645" s="45">
        <v>337515</v>
      </c>
      <c r="F645" s="45">
        <v>0</v>
      </c>
      <c r="G645" s="45">
        <v>2</v>
      </c>
      <c r="H645" s="45">
        <v>309132</v>
      </c>
      <c r="I645" s="45">
        <v>0</v>
      </c>
      <c r="J645" s="45">
        <v>1</v>
      </c>
      <c r="K645" s="45">
        <v>330028</v>
      </c>
      <c r="L645" s="45">
        <v>0</v>
      </c>
      <c r="M645" s="45">
        <v>1</v>
      </c>
      <c r="O645" s="45">
        <v>342979</v>
      </c>
      <c r="P645" s="45">
        <v>0</v>
      </c>
      <c r="Q645" s="45">
        <v>2</v>
      </c>
      <c r="R645" s="45">
        <v>337554</v>
      </c>
      <c r="S645" s="45">
        <v>0</v>
      </c>
      <c r="T645" s="45">
        <v>3</v>
      </c>
      <c r="U645" s="45">
        <v>336470</v>
      </c>
      <c r="V645" s="45">
        <v>0</v>
      </c>
      <c r="W645" s="45">
        <v>2</v>
      </c>
      <c r="X645" s="45">
        <v>340339</v>
      </c>
      <c r="Y645" s="45">
        <v>0</v>
      </c>
      <c r="Z645" s="45">
        <v>3</v>
      </c>
      <c r="AB645" s="45">
        <v>370056</v>
      </c>
      <c r="AC645" s="45">
        <v>0</v>
      </c>
      <c r="AD645" s="45">
        <v>1</v>
      </c>
      <c r="AE645" s="45">
        <v>351948</v>
      </c>
      <c r="AF645" s="45">
        <v>0</v>
      </c>
      <c r="AG645" s="45">
        <v>3</v>
      </c>
      <c r="AH645" s="45">
        <v>358290</v>
      </c>
      <c r="AI645" s="45">
        <v>0</v>
      </c>
      <c r="AJ645" s="45">
        <v>1</v>
      </c>
      <c r="AK645" s="45">
        <v>345360</v>
      </c>
      <c r="AL645" s="45">
        <v>0</v>
      </c>
      <c r="AM645" s="45">
        <v>2</v>
      </c>
      <c r="AO645" s="45">
        <v>322806</v>
      </c>
      <c r="AP645" s="45">
        <v>0</v>
      </c>
      <c r="AQ645" s="45">
        <v>2</v>
      </c>
      <c r="AR645" s="45">
        <v>346809</v>
      </c>
      <c r="AS645" s="45">
        <v>0</v>
      </c>
      <c r="AT645" s="45">
        <v>1</v>
      </c>
      <c r="AU645" s="45">
        <v>344490</v>
      </c>
      <c r="AV645" s="45">
        <v>0</v>
      </c>
      <c r="AW645" s="45">
        <v>1</v>
      </c>
      <c r="AX645" s="45">
        <v>318354</v>
      </c>
      <c r="AY645" s="45">
        <v>0</v>
      </c>
      <c r="AZ645" s="45">
        <v>1</v>
      </c>
    </row>
    <row r="646" spans="2:52">
      <c r="B646" s="45">
        <v>402488</v>
      </c>
      <c r="C646" s="45">
        <v>0</v>
      </c>
      <c r="D646" s="45">
        <v>2</v>
      </c>
      <c r="E646" s="45">
        <v>388482</v>
      </c>
      <c r="F646" s="45">
        <v>0</v>
      </c>
      <c r="G646" s="45">
        <v>2</v>
      </c>
      <c r="H646" s="45">
        <v>436788</v>
      </c>
      <c r="I646" s="45">
        <v>0</v>
      </c>
      <c r="J646" s="45">
        <v>1</v>
      </c>
      <c r="K646" s="45">
        <v>423856</v>
      </c>
      <c r="L646" s="45">
        <v>0</v>
      </c>
      <c r="M646" s="45">
        <v>2</v>
      </c>
      <c r="O646" s="45">
        <v>436943</v>
      </c>
      <c r="P646" s="45">
        <v>0</v>
      </c>
      <c r="Q646" s="45">
        <v>2</v>
      </c>
      <c r="R646" s="45">
        <v>420732</v>
      </c>
      <c r="S646" s="45">
        <v>0</v>
      </c>
      <c r="T646" s="45">
        <v>4</v>
      </c>
      <c r="U646" s="45">
        <v>421411</v>
      </c>
      <c r="V646" s="45">
        <v>0</v>
      </c>
      <c r="W646" s="45">
        <v>2</v>
      </c>
      <c r="X646" s="45">
        <v>409307</v>
      </c>
      <c r="Y646" s="45">
        <v>0</v>
      </c>
      <c r="Z646" s="45">
        <v>3</v>
      </c>
      <c r="AB646" s="45">
        <v>450033</v>
      </c>
      <c r="AC646" s="45">
        <v>0</v>
      </c>
      <c r="AD646" s="45">
        <v>2</v>
      </c>
      <c r="AE646" s="45">
        <v>470989</v>
      </c>
      <c r="AF646" s="45">
        <v>0</v>
      </c>
      <c r="AG646" s="45">
        <v>1</v>
      </c>
      <c r="AH646" s="45">
        <v>478921</v>
      </c>
      <c r="AI646" s="45">
        <v>0</v>
      </c>
      <c r="AJ646" s="45">
        <v>2</v>
      </c>
      <c r="AK646" s="45">
        <v>451263</v>
      </c>
      <c r="AL646" s="45">
        <v>0</v>
      </c>
      <c r="AM646" s="45">
        <v>1</v>
      </c>
      <c r="AO646" s="45">
        <v>411731</v>
      </c>
      <c r="AP646" s="45">
        <v>0</v>
      </c>
      <c r="AQ646" s="45">
        <v>2</v>
      </c>
      <c r="AR646" s="45">
        <v>413502</v>
      </c>
      <c r="AS646" s="45">
        <v>0</v>
      </c>
      <c r="AT646" s="45">
        <v>1</v>
      </c>
      <c r="AU646" s="45">
        <v>424620</v>
      </c>
      <c r="AV646" s="45">
        <v>0</v>
      </c>
      <c r="AW646" s="45">
        <v>1</v>
      </c>
      <c r="AX646" s="45">
        <v>422220</v>
      </c>
      <c r="AY646" s="45">
        <v>0</v>
      </c>
      <c r="AZ646" s="45">
        <v>1</v>
      </c>
    </row>
    <row r="647" spans="2:52">
      <c r="B647" s="45">
        <v>407167</v>
      </c>
      <c r="C647" s="45">
        <v>0</v>
      </c>
      <c r="D647" s="45">
        <v>3</v>
      </c>
      <c r="E647" s="45">
        <v>433914</v>
      </c>
      <c r="F647" s="45">
        <v>57</v>
      </c>
      <c r="G647" s="45">
        <v>2</v>
      </c>
      <c r="H647" s="45">
        <v>365499</v>
      </c>
      <c r="I647" s="45">
        <v>0</v>
      </c>
      <c r="J647" s="45">
        <v>2</v>
      </c>
      <c r="K647" s="45">
        <v>400445</v>
      </c>
      <c r="L647" s="45">
        <v>0</v>
      </c>
      <c r="M647" s="45">
        <v>1</v>
      </c>
      <c r="O647" s="45">
        <v>402641</v>
      </c>
      <c r="P647" s="45">
        <v>0</v>
      </c>
      <c r="Q647" s="45">
        <v>2</v>
      </c>
      <c r="R647" s="45">
        <v>407226</v>
      </c>
      <c r="S647" s="45">
        <v>0</v>
      </c>
      <c r="T647" s="45">
        <v>2</v>
      </c>
      <c r="U647" s="45">
        <v>362165</v>
      </c>
      <c r="V647" s="45">
        <v>0</v>
      </c>
      <c r="W647" s="45">
        <v>2</v>
      </c>
      <c r="X647" s="45">
        <v>402158</v>
      </c>
      <c r="Y647" s="45">
        <v>0</v>
      </c>
      <c r="Z647" s="45">
        <v>2</v>
      </c>
      <c r="AB647" s="45">
        <v>428494</v>
      </c>
      <c r="AC647" s="45">
        <v>0</v>
      </c>
      <c r="AD647" s="45">
        <v>2</v>
      </c>
      <c r="AE647" s="45">
        <v>440181</v>
      </c>
      <c r="AF647" s="45">
        <v>0</v>
      </c>
      <c r="AG647" s="45">
        <v>1</v>
      </c>
      <c r="AH647" s="45">
        <v>449026</v>
      </c>
      <c r="AI647" s="45">
        <v>0</v>
      </c>
      <c r="AJ647" s="45">
        <v>2</v>
      </c>
      <c r="AK647" s="45">
        <v>447227</v>
      </c>
      <c r="AL647" s="45">
        <v>0</v>
      </c>
      <c r="AM647" s="45">
        <v>1</v>
      </c>
      <c r="AO647" s="45">
        <v>388687</v>
      </c>
      <c r="AP647" s="45">
        <v>0</v>
      </c>
      <c r="AQ647" s="45">
        <v>2</v>
      </c>
      <c r="AR647" s="45">
        <v>385934</v>
      </c>
      <c r="AS647" s="45">
        <v>0</v>
      </c>
      <c r="AT647" s="45">
        <v>2</v>
      </c>
      <c r="AU647" s="45">
        <v>360893</v>
      </c>
      <c r="AV647" s="45">
        <v>0</v>
      </c>
      <c r="AW647" s="45">
        <v>1</v>
      </c>
      <c r="AX647" s="45">
        <v>408199</v>
      </c>
      <c r="AY647" s="45">
        <v>0</v>
      </c>
      <c r="AZ647" s="45">
        <v>2</v>
      </c>
    </row>
    <row r="648" spans="2:52">
      <c r="B648" s="45">
        <v>379248</v>
      </c>
      <c r="C648" s="45">
        <v>0</v>
      </c>
      <c r="D648" s="45">
        <v>2</v>
      </c>
      <c r="E648" s="45">
        <v>385762</v>
      </c>
      <c r="F648" s="45">
        <v>0</v>
      </c>
      <c r="G648" s="45">
        <v>2</v>
      </c>
      <c r="H648" s="45">
        <v>394697</v>
      </c>
      <c r="I648" s="45">
        <v>0</v>
      </c>
      <c r="J648" s="45">
        <v>2</v>
      </c>
      <c r="K648" s="45">
        <v>386797</v>
      </c>
      <c r="L648" s="45">
        <v>0</v>
      </c>
      <c r="M648" s="45">
        <v>1</v>
      </c>
      <c r="O648" s="45">
        <v>425732</v>
      </c>
      <c r="P648" s="45">
        <v>0</v>
      </c>
      <c r="Q648" s="45">
        <v>3</v>
      </c>
      <c r="R648" s="45">
        <v>413983</v>
      </c>
      <c r="S648" s="45">
        <v>0</v>
      </c>
      <c r="T648" s="45">
        <v>2</v>
      </c>
      <c r="U648" s="45">
        <v>425480</v>
      </c>
      <c r="V648" s="45">
        <v>0</v>
      </c>
      <c r="W648" s="45">
        <v>1</v>
      </c>
      <c r="X648" s="45">
        <v>418512</v>
      </c>
      <c r="Y648" s="45">
        <v>22</v>
      </c>
      <c r="Z648" s="45">
        <v>5</v>
      </c>
      <c r="AB648" s="45">
        <v>459921</v>
      </c>
      <c r="AC648" s="45">
        <v>0</v>
      </c>
      <c r="AD648" s="45">
        <v>2</v>
      </c>
      <c r="AE648" s="45">
        <v>457831</v>
      </c>
      <c r="AF648" s="45">
        <v>0</v>
      </c>
      <c r="AG648" s="45">
        <v>1</v>
      </c>
      <c r="AH648" s="45">
        <v>461096</v>
      </c>
      <c r="AI648" s="45">
        <v>0</v>
      </c>
      <c r="AJ648" s="45">
        <v>1</v>
      </c>
      <c r="AK648" s="45">
        <v>441998</v>
      </c>
      <c r="AL648" s="45">
        <v>0</v>
      </c>
      <c r="AM648" s="45">
        <v>2</v>
      </c>
      <c r="AO648" s="45">
        <v>394492</v>
      </c>
      <c r="AP648" s="45">
        <v>3</v>
      </c>
      <c r="AQ648" s="45">
        <v>1</v>
      </c>
      <c r="AR648" s="45">
        <v>363904</v>
      </c>
      <c r="AS648" s="45">
        <v>0</v>
      </c>
      <c r="AT648" s="45">
        <v>2</v>
      </c>
      <c r="AU648" s="45">
        <v>408301</v>
      </c>
      <c r="AV648" s="45">
        <v>28</v>
      </c>
      <c r="AW648" s="45">
        <v>4</v>
      </c>
      <c r="AX648" s="45">
        <v>403610</v>
      </c>
      <c r="AY648" s="45">
        <v>34</v>
      </c>
      <c r="AZ648" s="45">
        <v>2</v>
      </c>
    </row>
    <row r="649" spans="2:52">
      <c r="B649" s="45">
        <v>294203</v>
      </c>
      <c r="C649" s="45">
        <v>17</v>
      </c>
      <c r="D649" s="45">
        <v>3</v>
      </c>
      <c r="E649" s="45">
        <v>279473</v>
      </c>
      <c r="F649" s="45">
        <v>0</v>
      </c>
      <c r="G649" s="45">
        <v>2</v>
      </c>
      <c r="H649" s="45">
        <v>308580</v>
      </c>
      <c r="I649" s="45">
        <v>0</v>
      </c>
      <c r="J649" s="45">
        <v>1</v>
      </c>
      <c r="K649" s="45">
        <v>292332</v>
      </c>
      <c r="L649" s="45">
        <v>0</v>
      </c>
      <c r="M649" s="45">
        <v>1</v>
      </c>
      <c r="O649" s="45">
        <v>344639</v>
      </c>
      <c r="P649" s="45">
        <v>0</v>
      </c>
      <c r="Q649" s="45">
        <v>1</v>
      </c>
      <c r="R649" s="45">
        <v>338055</v>
      </c>
      <c r="S649" s="45">
        <v>15</v>
      </c>
      <c r="T649" s="45">
        <v>3</v>
      </c>
      <c r="U649" s="45">
        <v>331464</v>
      </c>
      <c r="V649" s="45">
        <v>13</v>
      </c>
      <c r="W649" s="45">
        <v>3</v>
      </c>
      <c r="X649" s="45">
        <v>305191</v>
      </c>
      <c r="Y649" s="45">
        <v>0</v>
      </c>
      <c r="Z649" s="45">
        <v>2</v>
      </c>
      <c r="AB649" s="45">
        <v>351259</v>
      </c>
      <c r="AC649" s="45">
        <v>0</v>
      </c>
      <c r="AD649" s="45">
        <v>1</v>
      </c>
      <c r="AE649" s="45">
        <v>359228</v>
      </c>
      <c r="AF649" s="45">
        <v>0</v>
      </c>
      <c r="AG649" s="45">
        <v>2</v>
      </c>
      <c r="AH649" s="45">
        <v>340622</v>
      </c>
      <c r="AI649" s="45">
        <v>0</v>
      </c>
      <c r="AJ649" s="45">
        <v>1</v>
      </c>
      <c r="AK649" s="45">
        <v>359986</v>
      </c>
      <c r="AL649" s="45">
        <v>0</v>
      </c>
      <c r="AM649" s="45">
        <v>2</v>
      </c>
      <c r="AO649" s="45">
        <v>353450</v>
      </c>
      <c r="AP649" s="45">
        <v>48</v>
      </c>
      <c r="AQ649" s="45">
        <v>3</v>
      </c>
      <c r="AR649" s="45">
        <v>332517</v>
      </c>
      <c r="AS649" s="45">
        <v>42</v>
      </c>
      <c r="AT649" s="45">
        <v>2</v>
      </c>
      <c r="AU649" s="45">
        <v>287620</v>
      </c>
      <c r="AV649" s="45">
        <v>8</v>
      </c>
      <c r="AW649" s="45">
        <v>3</v>
      </c>
      <c r="AX649" s="45">
        <v>299869</v>
      </c>
      <c r="AY649" s="45">
        <v>0</v>
      </c>
      <c r="AZ649" s="45">
        <v>1</v>
      </c>
    </row>
    <row r="650" spans="2:52">
      <c r="B650" s="45">
        <v>294549</v>
      </c>
      <c r="C650" s="45">
        <v>0</v>
      </c>
      <c r="D650" s="45">
        <v>1</v>
      </c>
      <c r="E650" s="45">
        <v>319698</v>
      </c>
      <c r="F650" s="45">
        <v>0</v>
      </c>
      <c r="G650" s="45">
        <v>1</v>
      </c>
      <c r="H650" s="45">
        <v>294292</v>
      </c>
      <c r="I650" s="45">
        <v>0</v>
      </c>
      <c r="J650" s="45">
        <v>1</v>
      </c>
      <c r="K650" s="45">
        <v>306577</v>
      </c>
      <c r="L650" s="45">
        <v>0</v>
      </c>
      <c r="M650" s="45">
        <v>2</v>
      </c>
      <c r="O650" s="45">
        <v>305179</v>
      </c>
      <c r="P650" s="45">
        <v>1</v>
      </c>
      <c r="Q650" s="45">
        <v>2</v>
      </c>
      <c r="R650" s="45">
        <v>316092</v>
      </c>
      <c r="S650" s="45">
        <v>0</v>
      </c>
      <c r="T650" s="45">
        <v>2</v>
      </c>
      <c r="U650" s="45">
        <v>299924</v>
      </c>
      <c r="V650" s="45">
        <v>0</v>
      </c>
      <c r="W650" s="45">
        <v>2</v>
      </c>
      <c r="X650" s="45">
        <v>320935</v>
      </c>
      <c r="Y650" s="45">
        <v>0</v>
      </c>
      <c r="Z650" s="45">
        <v>2</v>
      </c>
      <c r="AB650" s="45">
        <v>325875</v>
      </c>
      <c r="AC650" s="45">
        <v>0</v>
      </c>
      <c r="AD650" s="45">
        <v>1</v>
      </c>
      <c r="AE650" s="45">
        <v>331978</v>
      </c>
      <c r="AF650" s="45">
        <v>0</v>
      </c>
      <c r="AG650" s="45">
        <v>2</v>
      </c>
      <c r="AH650" s="45">
        <v>357903</v>
      </c>
      <c r="AI650" s="45">
        <v>0</v>
      </c>
      <c r="AJ650" s="45">
        <v>1</v>
      </c>
      <c r="AK650" s="45">
        <v>342773</v>
      </c>
      <c r="AL650" s="45">
        <v>0</v>
      </c>
      <c r="AM650" s="45">
        <v>2</v>
      </c>
      <c r="AO650" s="45">
        <v>288876</v>
      </c>
      <c r="AP650" s="45">
        <v>0</v>
      </c>
      <c r="AQ650" s="45">
        <v>2</v>
      </c>
      <c r="AR650" s="45">
        <v>297730</v>
      </c>
      <c r="AS650" s="45">
        <v>0</v>
      </c>
      <c r="AT650" s="45">
        <v>1</v>
      </c>
      <c r="AU650" s="45">
        <v>281075</v>
      </c>
      <c r="AV650" s="45">
        <v>0</v>
      </c>
      <c r="AW650" s="45">
        <v>3</v>
      </c>
      <c r="AX650" s="45">
        <v>286090</v>
      </c>
      <c r="AY650" s="45">
        <v>0</v>
      </c>
      <c r="AZ650" s="45">
        <v>2</v>
      </c>
    </row>
    <row r="651" spans="2:52">
      <c r="B651" s="45">
        <v>262080</v>
      </c>
      <c r="C651" s="45">
        <v>0</v>
      </c>
      <c r="D651" s="45">
        <v>3</v>
      </c>
      <c r="E651" s="45">
        <v>287978</v>
      </c>
      <c r="F651" s="45">
        <v>0</v>
      </c>
      <c r="G651" s="45">
        <v>1</v>
      </c>
      <c r="H651" s="45">
        <v>279791</v>
      </c>
      <c r="I651" s="45">
        <v>14</v>
      </c>
      <c r="J651" s="45">
        <v>3</v>
      </c>
      <c r="K651" s="45">
        <v>255311</v>
      </c>
      <c r="L651" s="45">
        <v>0</v>
      </c>
      <c r="M651" s="45">
        <v>1</v>
      </c>
      <c r="O651" s="45">
        <v>309772</v>
      </c>
      <c r="P651" s="45">
        <v>0</v>
      </c>
      <c r="Q651" s="45">
        <v>2</v>
      </c>
      <c r="R651" s="45">
        <v>292005</v>
      </c>
      <c r="S651" s="45">
        <v>0</v>
      </c>
      <c r="T651" s="45">
        <v>3</v>
      </c>
      <c r="U651" s="45">
        <v>297776</v>
      </c>
      <c r="V651" s="45">
        <v>0</v>
      </c>
      <c r="W651" s="45">
        <v>2</v>
      </c>
      <c r="X651" s="45">
        <v>304138</v>
      </c>
      <c r="Y651" s="45">
        <v>0</v>
      </c>
      <c r="Z651" s="45">
        <v>2</v>
      </c>
      <c r="AB651" s="45">
        <v>347172</v>
      </c>
      <c r="AC651" s="45">
        <v>0</v>
      </c>
      <c r="AD651" s="45">
        <v>2</v>
      </c>
      <c r="AE651" s="45">
        <v>330485</v>
      </c>
      <c r="AF651" s="45">
        <v>0</v>
      </c>
      <c r="AG651" s="45">
        <v>1</v>
      </c>
      <c r="AH651" s="45">
        <v>342103</v>
      </c>
      <c r="AI651" s="45">
        <v>0</v>
      </c>
      <c r="AJ651" s="45">
        <v>2</v>
      </c>
      <c r="AK651" s="45">
        <v>330478</v>
      </c>
      <c r="AL651" s="45">
        <v>0</v>
      </c>
      <c r="AM651" s="45">
        <v>2</v>
      </c>
      <c r="AO651" s="45">
        <v>324460</v>
      </c>
      <c r="AP651" s="45">
        <v>40</v>
      </c>
      <c r="AQ651" s="45">
        <v>5</v>
      </c>
      <c r="AR651" s="45">
        <v>267682</v>
      </c>
      <c r="AS651" s="45">
        <v>0</v>
      </c>
      <c r="AT651" s="45">
        <v>2</v>
      </c>
      <c r="AU651" s="45">
        <v>288511</v>
      </c>
      <c r="AV651" s="45">
        <v>0</v>
      </c>
      <c r="AW651" s="45">
        <v>2</v>
      </c>
      <c r="AX651" s="45">
        <v>266091</v>
      </c>
      <c r="AY651" s="45">
        <v>0</v>
      </c>
      <c r="AZ651" s="45">
        <v>2</v>
      </c>
    </row>
    <row r="652" spans="2:52">
      <c r="B652" s="45">
        <v>300362</v>
      </c>
      <c r="C652" s="45">
        <v>0</v>
      </c>
      <c r="D652" s="45">
        <v>2</v>
      </c>
      <c r="E652" s="45">
        <v>331266</v>
      </c>
      <c r="F652" s="45">
        <v>0</v>
      </c>
      <c r="G652" s="45">
        <v>1</v>
      </c>
      <c r="H652" s="45">
        <v>301657</v>
      </c>
      <c r="I652" s="45">
        <v>0</v>
      </c>
      <c r="J652" s="45">
        <v>2</v>
      </c>
      <c r="K652" s="45">
        <v>322257</v>
      </c>
      <c r="L652" s="45">
        <v>0</v>
      </c>
      <c r="M652" s="45">
        <v>1</v>
      </c>
      <c r="O652" s="45">
        <v>313004</v>
      </c>
      <c r="P652" s="45">
        <v>0</v>
      </c>
      <c r="Q652" s="45">
        <v>2</v>
      </c>
      <c r="R652" s="45">
        <v>349095</v>
      </c>
      <c r="S652" s="45">
        <v>0</v>
      </c>
      <c r="T652" s="45">
        <v>1</v>
      </c>
      <c r="U652" s="45">
        <v>348063</v>
      </c>
      <c r="V652" s="45">
        <v>0</v>
      </c>
      <c r="W652" s="45">
        <v>2</v>
      </c>
      <c r="X652" s="45">
        <v>367419</v>
      </c>
      <c r="Y652" s="45">
        <v>0</v>
      </c>
      <c r="Z652" s="45">
        <v>3</v>
      </c>
      <c r="AB652" s="45">
        <v>378913</v>
      </c>
      <c r="AC652" s="45">
        <v>0</v>
      </c>
      <c r="AD652" s="45">
        <v>2</v>
      </c>
      <c r="AE652" s="45">
        <v>372327</v>
      </c>
      <c r="AF652" s="45">
        <v>0</v>
      </c>
      <c r="AG652" s="45">
        <v>1</v>
      </c>
      <c r="AH652" s="45">
        <v>376550</v>
      </c>
      <c r="AI652" s="45">
        <v>0</v>
      </c>
      <c r="AJ652" s="45">
        <v>2</v>
      </c>
      <c r="AK652" s="45">
        <v>382686</v>
      </c>
      <c r="AL652" s="45">
        <v>0</v>
      </c>
      <c r="AM652" s="45">
        <v>1</v>
      </c>
      <c r="AO652" s="45">
        <v>314055</v>
      </c>
      <c r="AP652" s="45">
        <v>0</v>
      </c>
      <c r="AQ652" s="45">
        <v>2</v>
      </c>
      <c r="AR652" s="45">
        <v>326680</v>
      </c>
      <c r="AS652" s="45">
        <v>1</v>
      </c>
      <c r="AT652" s="45">
        <v>2</v>
      </c>
      <c r="AU652" s="45">
        <v>307370</v>
      </c>
      <c r="AV652" s="45">
        <v>0</v>
      </c>
      <c r="AW652" s="45">
        <v>1</v>
      </c>
      <c r="AX652" s="45">
        <v>316047</v>
      </c>
      <c r="AY652" s="45">
        <v>0</v>
      </c>
      <c r="AZ652" s="45">
        <v>2</v>
      </c>
    </row>
    <row r="653" spans="2:52">
      <c r="B653" s="45">
        <v>304977</v>
      </c>
      <c r="C653" s="45">
        <v>0</v>
      </c>
      <c r="D653" s="45">
        <v>2</v>
      </c>
      <c r="E653" s="45">
        <v>338996</v>
      </c>
      <c r="F653" s="45">
        <v>24</v>
      </c>
      <c r="G653" s="45">
        <v>2</v>
      </c>
      <c r="H653" s="45">
        <v>303301</v>
      </c>
      <c r="I653" s="45">
        <v>0</v>
      </c>
      <c r="J653" s="45">
        <v>1</v>
      </c>
      <c r="K653" s="45">
        <v>310298</v>
      </c>
      <c r="L653" s="45">
        <v>19</v>
      </c>
      <c r="M653" s="45">
        <v>2</v>
      </c>
      <c r="O653" s="45">
        <v>329063</v>
      </c>
      <c r="P653" s="45">
        <v>0</v>
      </c>
      <c r="Q653" s="45">
        <v>4</v>
      </c>
      <c r="R653" s="45">
        <v>319845</v>
      </c>
      <c r="S653" s="45">
        <v>0</v>
      </c>
      <c r="T653" s="45">
        <v>1</v>
      </c>
      <c r="U653" s="45">
        <v>314860</v>
      </c>
      <c r="V653" s="45">
        <v>0</v>
      </c>
      <c r="W653" s="45">
        <v>2</v>
      </c>
      <c r="X653" s="45">
        <v>317883</v>
      </c>
      <c r="Y653" s="45">
        <v>0</v>
      </c>
      <c r="Z653" s="45">
        <v>2</v>
      </c>
      <c r="AB653" s="45">
        <v>364151</v>
      </c>
      <c r="AC653" s="45">
        <v>0</v>
      </c>
      <c r="AD653" s="45">
        <v>2</v>
      </c>
      <c r="AE653" s="45">
        <v>370110</v>
      </c>
      <c r="AF653" s="45">
        <v>0</v>
      </c>
      <c r="AG653" s="45">
        <v>1</v>
      </c>
      <c r="AH653" s="45">
        <v>370581</v>
      </c>
      <c r="AI653" s="45">
        <v>0</v>
      </c>
      <c r="AJ653" s="45">
        <v>2</v>
      </c>
      <c r="AK653" s="45">
        <v>361351</v>
      </c>
      <c r="AL653" s="45">
        <v>0</v>
      </c>
      <c r="AM653" s="45">
        <v>1</v>
      </c>
      <c r="AO653" s="45">
        <v>312713</v>
      </c>
      <c r="AP653" s="45">
        <v>0</v>
      </c>
      <c r="AQ653" s="45">
        <v>2</v>
      </c>
      <c r="AR653" s="45">
        <v>378907</v>
      </c>
      <c r="AS653" s="45">
        <v>77</v>
      </c>
      <c r="AT653" s="45">
        <v>5</v>
      </c>
      <c r="AU653" s="45">
        <v>285461</v>
      </c>
      <c r="AV653" s="45">
        <v>0</v>
      </c>
      <c r="AW653" s="45">
        <v>2</v>
      </c>
      <c r="AX653" s="45">
        <v>303585</v>
      </c>
      <c r="AY653" s="45">
        <v>0</v>
      </c>
      <c r="AZ653" s="45">
        <v>2</v>
      </c>
    </row>
    <row r="654" spans="2:52">
      <c r="B654" s="45">
        <v>344002</v>
      </c>
      <c r="C654" s="45">
        <v>0</v>
      </c>
      <c r="D654" s="45">
        <v>1</v>
      </c>
      <c r="E654" s="45">
        <v>362796</v>
      </c>
      <c r="F654" s="45">
        <v>29</v>
      </c>
      <c r="G654" s="45">
        <v>3</v>
      </c>
      <c r="H654" s="45">
        <v>323054</v>
      </c>
      <c r="I654" s="45">
        <v>0</v>
      </c>
      <c r="J654" s="45">
        <v>1</v>
      </c>
      <c r="K654" s="45">
        <v>376097</v>
      </c>
      <c r="L654" s="45">
        <v>57</v>
      </c>
      <c r="M654" s="45">
        <v>2</v>
      </c>
      <c r="O654" s="45">
        <v>358337</v>
      </c>
      <c r="P654" s="45">
        <v>0</v>
      </c>
      <c r="Q654" s="45">
        <v>2</v>
      </c>
      <c r="R654" s="45">
        <v>342428</v>
      </c>
      <c r="S654" s="45">
        <v>0</v>
      </c>
      <c r="T654" s="45">
        <v>2</v>
      </c>
      <c r="U654" s="45">
        <v>355284</v>
      </c>
      <c r="V654" s="45">
        <v>0</v>
      </c>
      <c r="W654" s="45">
        <v>2</v>
      </c>
      <c r="X654" s="45">
        <v>353016</v>
      </c>
      <c r="Y654" s="45">
        <v>0</v>
      </c>
      <c r="Z654" s="45">
        <v>2</v>
      </c>
      <c r="AB654" s="45">
        <v>399446</v>
      </c>
      <c r="AC654" s="45">
        <v>0</v>
      </c>
      <c r="AD654" s="45">
        <v>2</v>
      </c>
      <c r="AE654" s="45">
        <v>395536</v>
      </c>
      <c r="AF654" s="45">
        <v>0</v>
      </c>
      <c r="AG654" s="45">
        <v>1</v>
      </c>
      <c r="AH654" s="45">
        <v>388562</v>
      </c>
      <c r="AI654" s="45">
        <v>0</v>
      </c>
      <c r="AJ654" s="45">
        <v>2</v>
      </c>
      <c r="AK654" s="45">
        <v>389426</v>
      </c>
      <c r="AL654" s="45">
        <v>0</v>
      </c>
      <c r="AM654" s="45">
        <v>1</v>
      </c>
      <c r="AO654" s="45">
        <v>315362</v>
      </c>
      <c r="AP654" s="45">
        <v>4</v>
      </c>
      <c r="AQ654" s="45">
        <v>5</v>
      </c>
      <c r="AR654" s="45">
        <v>322206</v>
      </c>
      <c r="AS654" s="45">
        <v>0</v>
      </c>
      <c r="AT654" s="45">
        <v>1</v>
      </c>
      <c r="AU654" s="45">
        <v>315025</v>
      </c>
      <c r="AV654" s="45">
        <v>0</v>
      </c>
      <c r="AW654" s="45">
        <v>1</v>
      </c>
      <c r="AX654" s="45">
        <v>325223</v>
      </c>
      <c r="AY654" s="45">
        <v>0</v>
      </c>
      <c r="AZ654" s="45">
        <v>1</v>
      </c>
    </row>
    <row r="655" spans="2:52">
      <c r="B655" s="45">
        <v>358058</v>
      </c>
      <c r="C655" s="45">
        <v>0</v>
      </c>
      <c r="D655" s="45">
        <v>2</v>
      </c>
      <c r="E655" s="45">
        <v>325920</v>
      </c>
      <c r="F655" s="45">
        <v>0</v>
      </c>
      <c r="G655" s="45">
        <v>2</v>
      </c>
      <c r="H655" s="45">
        <v>331847</v>
      </c>
      <c r="I655" s="45">
        <v>0</v>
      </c>
      <c r="J655" s="45">
        <v>2</v>
      </c>
      <c r="K655" s="45">
        <v>335022</v>
      </c>
      <c r="L655" s="45">
        <v>0</v>
      </c>
      <c r="M655" s="45">
        <v>1</v>
      </c>
      <c r="O655" s="45">
        <v>359945</v>
      </c>
      <c r="P655" s="45">
        <v>0</v>
      </c>
      <c r="Q655" s="45">
        <v>2</v>
      </c>
      <c r="R655" s="45">
        <v>368205</v>
      </c>
      <c r="S655" s="45">
        <v>0</v>
      </c>
      <c r="T655" s="45">
        <v>3</v>
      </c>
      <c r="U655" s="45">
        <v>358235</v>
      </c>
      <c r="V655" s="45">
        <v>0</v>
      </c>
      <c r="W655" s="45">
        <v>2</v>
      </c>
      <c r="X655" s="45">
        <v>348788</v>
      </c>
      <c r="Y655" s="45">
        <v>0</v>
      </c>
      <c r="Z655" s="45">
        <v>2</v>
      </c>
      <c r="AB655" s="45">
        <v>397318</v>
      </c>
      <c r="AC655" s="45">
        <v>0</v>
      </c>
      <c r="AD655" s="45">
        <v>3</v>
      </c>
      <c r="AE655" s="45">
        <v>378510</v>
      </c>
      <c r="AF655" s="45">
        <v>0</v>
      </c>
      <c r="AG655" s="45">
        <v>1</v>
      </c>
      <c r="AH655" s="45">
        <v>391084</v>
      </c>
      <c r="AI655" s="45">
        <v>0</v>
      </c>
      <c r="AJ655" s="45">
        <v>1</v>
      </c>
      <c r="AK655" s="45">
        <v>410454</v>
      </c>
      <c r="AL655" s="45">
        <v>0</v>
      </c>
      <c r="AM655" s="45">
        <v>3</v>
      </c>
      <c r="AO655" s="45">
        <v>324664</v>
      </c>
      <c r="AP655" s="45">
        <v>0</v>
      </c>
      <c r="AQ655" s="45">
        <v>2</v>
      </c>
      <c r="AR655" s="45">
        <v>339547</v>
      </c>
      <c r="AS655" s="45">
        <v>0</v>
      </c>
      <c r="AT655" s="45">
        <v>2</v>
      </c>
      <c r="AU655" s="45">
        <v>346641</v>
      </c>
      <c r="AV655" s="45">
        <v>29</v>
      </c>
      <c r="AW655" s="45">
        <v>3</v>
      </c>
      <c r="AX655" s="45">
        <v>334199</v>
      </c>
      <c r="AY655" s="45">
        <v>0</v>
      </c>
      <c r="AZ655" s="45">
        <v>1</v>
      </c>
    </row>
    <row r="656" spans="2:52">
      <c r="B656" s="45">
        <v>291617</v>
      </c>
      <c r="C656" s="45">
        <v>0</v>
      </c>
      <c r="D656" s="45">
        <v>2</v>
      </c>
      <c r="E656" s="45">
        <v>298360</v>
      </c>
      <c r="F656" s="45">
        <v>0</v>
      </c>
      <c r="G656" s="45">
        <v>3</v>
      </c>
      <c r="H656" s="45">
        <v>337112</v>
      </c>
      <c r="I656" s="45">
        <v>49</v>
      </c>
      <c r="J656" s="45">
        <v>3</v>
      </c>
      <c r="K656" s="45">
        <v>315531</v>
      </c>
      <c r="L656" s="45">
        <v>0</v>
      </c>
      <c r="M656" s="45">
        <v>2</v>
      </c>
      <c r="O656" s="45">
        <v>319193</v>
      </c>
      <c r="P656" s="45">
        <v>0</v>
      </c>
      <c r="Q656" s="45">
        <v>2</v>
      </c>
      <c r="R656" s="45">
        <v>332840</v>
      </c>
      <c r="S656" s="45">
        <v>0</v>
      </c>
      <c r="T656" s="45">
        <v>2</v>
      </c>
      <c r="U656" s="45">
        <v>322199</v>
      </c>
      <c r="V656" s="45">
        <v>0</v>
      </c>
      <c r="W656" s="45">
        <v>2</v>
      </c>
      <c r="X656" s="45">
        <v>308815</v>
      </c>
      <c r="Y656" s="45">
        <v>0</v>
      </c>
      <c r="Z656" s="45">
        <v>2</v>
      </c>
      <c r="AB656" s="45">
        <v>386287</v>
      </c>
      <c r="AC656" s="45">
        <v>0</v>
      </c>
      <c r="AD656" s="45">
        <v>1</v>
      </c>
      <c r="AE656" s="45">
        <v>364899</v>
      </c>
      <c r="AF656" s="45">
        <v>0</v>
      </c>
      <c r="AG656" s="45">
        <v>3</v>
      </c>
      <c r="AH656" s="45">
        <v>375192</v>
      </c>
      <c r="AI656" s="45">
        <v>0</v>
      </c>
      <c r="AJ656" s="45">
        <v>2</v>
      </c>
      <c r="AK656" s="45">
        <v>373822</v>
      </c>
      <c r="AL656" s="45">
        <v>0</v>
      </c>
      <c r="AM656" s="45">
        <v>1</v>
      </c>
      <c r="AO656" s="45">
        <v>363688</v>
      </c>
      <c r="AP656" s="45">
        <v>68</v>
      </c>
      <c r="AQ656" s="45">
        <v>4</v>
      </c>
      <c r="AR656" s="45">
        <v>333649</v>
      </c>
      <c r="AS656" s="45">
        <v>29</v>
      </c>
      <c r="AT656" s="45">
        <v>3</v>
      </c>
      <c r="AU656" s="45">
        <v>289466</v>
      </c>
      <c r="AV656" s="45">
        <v>0</v>
      </c>
      <c r="AW656" s="45">
        <v>2</v>
      </c>
      <c r="AX656" s="45">
        <v>308414</v>
      </c>
      <c r="AY656" s="45">
        <v>0</v>
      </c>
      <c r="AZ656" s="45">
        <v>2</v>
      </c>
    </row>
    <row r="657" spans="2:52">
      <c r="B657" s="45">
        <v>328565</v>
      </c>
      <c r="C657" s="45">
        <v>0</v>
      </c>
      <c r="D657" s="45">
        <v>2</v>
      </c>
      <c r="E657" s="45">
        <v>335357</v>
      </c>
      <c r="F657" s="45">
        <v>0</v>
      </c>
      <c r="G657" s="45">
        <v>2</v>
      </c>
      <c r="H657" s="45">
        <v>333356</v>
      </c>
      <c r="I657" s="45">
        <v>0</v>
      </c>
      <c r="J657" s="45">
        <v>1</v>
      </c>
      <c r="K657" s="45">
        <v>331278</v>
      </c>
      <c r="L657" s="45">
        <v>0</v>
      </c>
      <c r="M657" s="45">
        <v>1</v>
      </c>
      <c r="O657" s="45">
        <v>360900</v>
      </c>
      <c r="P657" s="45">
        <v>0</v>
      </c>
      <c r="Q657" s="45">
        <v>3</v>
      </c>
      <c r="R657" s="45">
        <v>354837</v>
      </c>
      <c r="S657" s="45">
        <v>0</v>
      </c>
      <c r="T657" s="45">
        <v>2</v>
      </c>
      <c r="U657" s="45">
        <v>364511</v>
      </c>
      <c r="V657" s="45">
        <v>0</v>
      </c>
      <c r="W657" s="45">
        <v>2</v>
      </c>
      <c r="X657" s="45">
        <v>369054</v>
      </c>
      <c r="Y657" s="45">
        <v>0</v>
      </c>
      <c r="Z657" s="45">
        <v>2</v>
      </c>
      <c r="AB657" s="45">
        <v>401841</v>
      </c>
      <c r="AC657" s="45">
        <v>0</v>
      </c>
      <c r="AD657" s="45">
        <v>2</v>
      </c>
      <c r="AE657" s="45">
        <v>397628</v>
      </c>
      <c r="AF657" s="45">
        <v>0</v>
      </c>
      <c r="AG657" s="45">
        <v>1</v>
      </c>
      <c r="AH657" s="45">
        <v>410361</v>
      </c>
      <c r="AI657" s="45">
        <v>0</v>
      </c>
      <c r="AJ657" s="45">
        <v>2</v>
      </c>
      <c r="AK657" s="45">
        <v>405383</v>
      </c>
      <c r="AL657" s="45">
        <v>0</v>
      </c>
      <c r="AM657" s="45">
        <v>2</v>
      </c>
      <c r="AO657" s="45">
        <v>338460</v>
      </c>
      <c r="AP657" s="45">
        <v>0</v>
      </c>
      <c r="AQ657" s="45">
        <v>3</v>
      </c>
      <c r="AR657" s="45">
        <v>343391</v>
      </c>
      <c r="AS657" s="45">
        <v>0</v>
      </c>
      <c r="AT657" s="45">
        <v>1</v>
      </c>
      <c r="AU657" s="45">
        <v>339885</v>
      </c>
      <c r="AV657" s="45">
        <v>0</v>
      </c>
      <c r="AW657" s="45">
        <v>1</v>
      </c>
      <c r="AX657" s="45">
        <v>323994</v>
      </c>
      <c r="AY657" s="45">
        <v>0</v>
      </c>
      <c r="AZ657" s="45">
        <v>3</v>
      </c>
    </row>
    <row r="658" spans="2:52">
      <c r="B658" s="45">
        <v>327119</v>
      </c>
      <c r="C658" s="45">
        <v>0</v>
      </c>
      <c r="D658" s="45">
        <v>2</v>
      </c>
      <c r="E658" s="45">
        <v>312174</v>
      </c>
      <c r="F658" s="45">
        <v>0</v>
      </c>
      <c r="G658" s="45">
        <v>2</v>
      </c>
      <c r="H658" s="45">
        <v>305978</v>
      </c>
      <c r="I658" s="45">
        <v>0</v>
      </c>
      <c r="J658" s="45">
        <v>2</v>
      </c>
      <c r="K658" s="45">
        <v>352169</v>
      </c>
      <c r="L658" s="45">
        <v>0</v>
      </c>
      <c r="M658" s="45">
        <v>2</v>
      </c>
      <c r="O658" s="45">
        <v>366050</v>
      </c>
      <c r="P658" s="45">
        <v>0</v>
      </c>
      <c r="Q658" s="45">
        <v>2</v>
      </c>
      <c r="R658" s="45">
        <v>357060</v>
      </c>
      <c r="S658" s="45">
        <v>0</v>
      </c>
      <c r="T658" s="45">
        <v>3</v>
      </c>
      <c r="U658" s="45">
        <v>385442</v>
      </c>
      <c r="V658" s="45">
        <v>36</v>
      </c>
      <c r="W658" s="45">
        <v>3</v>
      </c>
      <c r="X658" s="45">
        <v>347669</v>
      </c>
      <c r="Y658" s="45">
        <v>0</v>
      </c>
      <c r="Z658" s="45">
        <v>2</v>
      </c>
      <c r="AB658" s="45">
        <v>387840</v>
      </c>
      <c r="AC658" s="45">
        <v>0</v>
      </c>
      <c r="AD658" s="45">
        <v>1</v>
      </c>
      <c r="AE658" s="45">
        <v>385253</v>
      </c>
      <c r="AF658" s="45">
        <v>0</v>
      </c>
      <c r="AG658" s="45">
        <v>2</v>
      </c>
      <c r="AH658" s="45">
        <v>408867</v>
      </c>
      <c r="AI658" s="45">
        <v>0</v>
      </c>
      <c r="AJ658" s="45">
        <v>1</v>
      </c>
      <c r="AK658" s="45">
        <v>371998</v>
      </c>
      <c r="AL658" s="45">
        <v>0</v>
      </c>
      <c r="AM658" s="45">
        <v>2</v>
      </c>
      <c r="AO658" s="45">
        <v>340621</v>
      </c>
      <c r="AP658" s="45">
        <v>0</v>
      </c>
      <c r="AQ658" s="45">
        <v>2</v>
      </c>
      <c r="AR658" s="45">
        <v>350077</v>
      </c>
      <c r="AS658" s="45">
        <v>26</v>
      </c>
      <c r="AT658" s="45">
        <v>3</v>
      </c>
      <c r="AU658" s="45">
        <v>330409</v>
      </c>
      <c r="AV658" s="45">
        <v>0</v>
      </c>
      <c r="AW658" s="45">
        <v>1</v>
      </c>
      <c r="AX658" s="45">
        <v>319434</v>
      </c>
      <c r="AY658" s="45">
        <v>0</v>
      </c>
      <c r="AZ658" s="45">
        <v>2</v>
      </c>
    </row>
    <row r="659" spans="2:52">
      <c r="B659" s="45">
        <v>376072</v>
      </c>
      <c r="C659" s="45">
        <v>7</v>
      </c>
      <c r="D659" s="45">
        <v>2</v>
      </c>
      <c r="E659" s="45">
        <v>391924</v>
      </c>
      <c r="F659" s="45">
        <v>0</v>
      </c>
      <c r="G659" s="45">
        <v>1</v>
      </c>
      <c r="H659" s="45">
        <v>364419</v>
      </c>
      <c r="I659" s="45">
        <v>0</v>
      </c>
      <c r="J659" s="45">
        <v>1</v>
      </c>
      <c r="K659" s="45">
        <v>363220</v>
      </c>
      <c r="L659" s="45">
        <v>0</v>
      </c>
      <c r="M659" s="45">
        <v>2</v>
      </c>
      <c r="O659" s="45">
        <v>380773</v>
      </c>
      <c r="P659" s="45">
        <v>0</v>
      </c>
      <c r="Q659" s="45">
        <v>2</v>
      </c>
      <c r="R659" s="45">
        <v>390782</v>
      </c>
      <c r="S659" s="45">
        <v>0</v>
      </c>
      <c r="T659" s="45">
        <v>2</v>
      </c>
      <c r="U659" s="45">
        <v>396785</v>
      </c>
      <c r="V659" s="45">
        <v>11</v>
      </c>
      <c r="W659" s="45">
        <v>2</v>
      </c>
      <c r="X659" s="45">
        <v>362792</v>
      </c>
      <c r="Y659" s="45">
        <v>3</v>
      </c>
      <c r="Z659" s="45">
        <v>4</v>
      </c>
      <c r="AB659" s="45">
        <v>438932</v>
      </c>
      <c r="AC659" s="45">
        <v>0</v>
      </c>
      <c r="AD659" s="45">
        <v>0</v>
      </c>
      <c r="AE659" s="45">
        <v>439901</v>
      </c>
      <c r="AF659" s="45">
        <v>0</v>
      </c>
      <c r="AG659" s="45">
        <v>1</v>
      </c>
      <c r="AH659" s="45">
        <v>434464</v>
      </c>
      <c r="AI659" s="45">
        <v>0</v>
      </c>
      <c r="AJ659" s="45">
        <v>1</v>
      </c>
      <c r="AK659" s="45">
        <v>437144</v>
      </c>
      <c r="AL659" s="45">
        <v>0</v>
      </c>
      <c r="AM659" s="45">
        <v>1</v>
      </c>
      <c r="AO659" s="45">
        <v>375296</v>
      </c>
      <c r="AP659" s="45">
        <v>0</v>
      </c>
      <c r="AQ659" s="45">
        <v>1</v>
      </c>
      <c r="AR659" s="45">
        <v>362011</v>
      </c>
      <c r="AS659" s="45">
        <v>0</v>
      </c>
      <c r="AT659" s="45">
        <v>2</v>
      </c>
      <c r="AU659" s="45">
        <v>356206</v>
      </c>
      <c r="AV659" s="45">
        <v>0</v>
      </c>
      <c r="AW659" s="45">
        <v>1</v>
      </c>
      <c r="AX659" s="45">
        <v>370179</v>
      </c>
      <c r="AY659" s="45">
        <v>0</v>
      </c>
      <c r="AZ659" s="45">
        <v>1</v>
      </c>
    </row>
    <row r="660" spans="2:52">
      <c r="B660" s="45">
        <v>304539</v>
      </c>
      <c r="C660" s="45">
        <v>0</v>
      </c>
      <c r="D660" s="45">
        <v>2</v>
      </c>
      <c r="E660" s="45">
        <v>302128</v>
      </c>
      <c r="F660" s="45">
        <v>0</v>
      </c>
      <c r="G660" s="45">
        <v>1</v>
      </c>
      <c r="H660" s="45">
        <v>311423</v>
      </c>
      <c r="I660" s="45">
        <v>0</v>
      </c>
      <c r="J660" s="45">
        <v>1</v>
      </c>
      <c r="K660" s="45">
        <v>325356</v>
      </c>
      <c r="L660" s="45">
        <v>0</v>
      </c>
      <c r="M660" s="45">
        <v>2</v>
      </c>
      <c r="O660" s="45">
        <v>317752</v>
      </c>
      <c r="P660" s="45">
        <v>0</v>
      </c>
      <c r="Q660" s="45">
        <v>3</v>
      </c>
      <c r="R660" s="45">
        <v>339900</v>
      </c>
      <c r="S660" s="45">
        <v>0</v>
      </c>
      <c r="T660" s="45">
        <v>2</v>
      </c>
      <c r="U660" s="45">
        <v>343222</v>
      </c>
      <c r="V660" s="45">
        <v>16</v>
      </c>
      <c r="W660" s="45">
        <v>3</v>
      </c>
      <c r="X660" s="45">
        <v>338247</v>
      </c>
      <c r="Y660" s="45">
        <v>0</v>
      </c>
      <c r="Z660" s="45">
        <v>2</v>
      </c>
      <c r="AB660" s="45">
        <v>356739</v>
      </c>
      <c r="AC660" s="45">
        <v>0</v>
      </c>
      <c r="AD660" s="45">
        <v>1</v>
      </c>
      <c r="AE660" s="45">
        <v>360728</v>
      </c>
      <c r="AF660" s="45">
        <v>0</v>
      </c>
      <c r="AG660" s="45">
        <v>1</v>
      </c>
      <c r="AH660" s="45">
        <v>368332</v>
      </c>
      <c r="AI660" s="45">
        <v>0</v>
      </c>
      <c r="AJ660" s="45">
        <v>1</v>
      </c>
      <c r="AK660" s="45">
        <v>349936</v>
      </c>
      <c r="AL660" s="45">
        <v>0</v>
      </c>
      <c r="AM660" s="45">
        <v>1</v>
      </c>
      <c r="AO660" s="45">
        <v>327179</v>
      </c>
      <c r="AP660" s="45">
        <v>0</v>
      </c>
      <c r="AQ660" s="45">
        <v>2</v>
      </c>
      <c r="AR660" s="45">
        <v>301540</v>
      </c>
      <c r="AS660" s="45">
        <v>0</v>
      </c>
      <c r="AT660" s="45">
        <v>1</v>
      </c>
      <c r="AU660" s="45">
        <v>325282</v>
      </c>
      <c r="AV660" s="45">
        <v>24</v>
      </c>
      <c r="AW660" s="45">
        <v>3</v>
      </c>
      <c r="AX660" s="45">
        <v>296181</v>
      </c>
      <c r="AY660" s="45">
        <v>0</v>
      </c>
      <c r="AZ660" s="45">
        <v>2</v>
      </c>
    </row>
    <row r="661" spans="2:52">
      <c r="B661" s="45">
        <v>347769</v>
      </c>
      <c r="C661" s="45">
        <v>20</v>
      </c>
      <c r="D661" s="45">
        <v>2</v>
      </c>
      <c r="E661" s="45">
        <v>334133</v>
      </c>
      <c r="F661" s="45">
        <v>0</v>
      </c>
      <c r="G661" s="45">
        <v>2</v>
      </c>
      <c r="H661" s="45">
        <v>380478</v>
      </c>
      <c r="I661" s="45">
        <v>55</v>
      </c>
      <c r="J661" s="45">
        <v>4</v>
      </c>
      <c r="K661" s="45">
        <v>335510</v>
      </c>
      <c r="L661" s="45">
        <v>9</v>
      </c>
      <c r="M661" s="45">
        <v>2</v>
      </c>
      <c r="O661" s="45">
        <v>377070</v>
      </c>
      <c r="P661" s="45">
        <v>8</v>
      </c>
      <c r="Q661" s="45">
        <v>3</v>
      </c>
      <c r="R661" s="45">
        <v>353251</v>
      </c>
      <c r="S661" s="45">
        <v>0</v>
      </c>
      <c r="T661" s="45">
        <v>2</v>
      </c>
      <c r="U661" s="45">
        <v>339930</v>
      </c>
      <c r="V661" s="45">
        <v>4</v>
      </c>
      <c r="W661" s="45">
        <v>2</v>
      </c>
      <c r="X661" s="45">
        <v>341153</v>
      </c>
      <c r="Y661" s="45">
        <v>0</v>
      </c>
      <c r="Z661" s="45">
        <v>2</v>
      </c>
      <c r="AB661" s="45">
        <v>405642</v>
      </c>
      <c r="AC661" s="45">
        <v>0</v>
      </c>
      <c r="AD661" s="45">
        <v>1</v>
      </c>
      <c r="AE661" s="45">
        <v>405607</v>
      </c>
      <c r="AF661" s="45">
        <v>0</v>
      </c>
      <c r="AG661" s="45">
        <v>1</v>
      </c>
      <c r="AH661" s="45">
        <v>383364</v>
      </c>
      <c r="AI661" s="45">
        <v>0</v>
      </c>
      <c r="AJ661" s="45">
        <v>1</v>
      </c>
      <c r="AK661" s="45">
        <v>382706</v>
      </c>
      <c r="AL661" s="45">
        <v>0</v>
      </c>
      <c r="AM661" s="45">
        <v>1</v>
      </c>
      <c r="AO661" s="45">
        <v>320741</v>
      </c>
      <c r="AP661" s="45">
        <v>0</v>
      </c>
      <c r="AQ661" s="45">
        <v>2</v>
      </c>
      <c r="AR661" s="45">
        <v>356638</v>
      </c>
      <c r="AS661" s="45">
        <v>27</v>
      </c>
      <c r="AT661" s="45">
        <v>2</v>
      </c>
      <c r="AU661" s="45">
        <v>307174</v>
      </c>
      <c r="AV661" s="45">
        <v>0</v>
      </c>
      <c r="AW661" s="45">
        <v>2</v>
      </c>
      <c r="AX661" s="45">
        <v>313312</v>
      </c>
      <c r="AY661" s="45">
        <v>0</v>
      </c>
      <c r="AZ661" s="45">
        <v>1</v>
      </c>
    </row>
    <row r="662" spans="2:52">
      <c r="B662" s="45">
        <v>276335</v>
      </c>
      <c r="C662" s="45">
        <v>0</v>
      </c>
      <c r="D662" s="45">
        <v>1</v>
      </c>
      <c r="E662" s="45">
        <v>309676</v>
      </c>
      <c r="F662" s="45">
        <v>40</v>
      </c>
      <c r="G662" s="45">
        <v>2</v>
      </c>
      <c r="H662" s="45">
        <v>268298</v>
      </c>
      <c r="I662" s="45">
        <v>0</v>
      </c>
      <c r="J662" s="45">
        <v>1</v>
      </c>
      <c r="K662" s="45">
        <v>289108</v>
      </c>
      <c r="L662" s="45">
        <v>0</v>
      </c>
      <c r="M662" s="45">
        <v>2</v>
      </c>
      <c r="O662" s="45">
        <v>297320</v>
      </c>
      <c r="P662" s="45">
        <v>0</v>
      </c>
      <c r="Q662" s="45">
        <v>4</v>
      </c>
      <c r="R662" s="45">
        <v>296668</v>
      </c>
      <c r="S662" s="45">
        <v>0</v>
      </c>
      <c r="T662" s="45">
        <v>2</v>
      </c>
      <c r="U662" s="45">
        <v>299040</v>
      </c>
      <c r="V662" s="45">
        <v>0</v>
      </c>
      <c r="W662" s="45">
        <v>1</v>
      </c>
      <c r="X662" s="45">
        <v>288724</v>
      </c>
      <c r="Y662" s="45">
        <v>0</v>
      </c>
      <c r="Z662" s="45">
        <v>3</v>
      </c>
      <c r="AB662" s="45">
        <v>307820</v>
      </c>
      <c r="AC662" s="45">
        <v>0</v>
      </c>
      <c r="AD662" s="45">
        <v>1</v>
      </c>
      <c r="AE662" s="45">
        <v>313042</v>
      </c>
      <c r="AF662" s="45">
        <v>0</v>
      </c>
      <c r="AG662" s="45">
        <v>1</v>
      </c>
      <c r="AH662" s="45">
        <v>317177</v>
      </c>
      <c r="AI662" s="45">
        <v>0</v>
      </c>
      <c r="AJ662" s="45">
        <v>1</v>
      </c>
      <c r="AK662" s="45">
        <v>328232</v>
      </c>
      <c r="AL662" s="45">
        <v>0</v>
      </c>
      <c r="AM662" s="45">
        <v>2</v>
      </c>
      <c r="AO662" s="45">
        <v>269853</v>
      </c>
      <c r="AP662" s="45">
        <v>0</v>
      </c>
      <c r="AQ662" s="45">
        <v>2</v>
      </c>
      <c r="AR662" s="45">
        <v>259137</v>
      </c>
      <c r="AS662" s="45">
        <v>0</v>
      </c>
      <c r="AT662" s="45">
        <v>1</v>
      </c>
      <c r="AU662" s="45">
        <v>274655</v>
      </c>
      <c r="AV662" s="45">
        <v>0</v>
      </c>
      <c r="AW662" s="45">
        <v>1</v>
      </c>
      <c r="AX662" s="45">
        <v>268686</v>
      </c>
      <c r="AY662" s="45">
        <v>0</v>
      </c>
      <c r="AZ662" s="45">
        <v>1</v>
      </c>
    </row>
    <row r="663" spans="2:52">
      <c r="B663" s="45">
        <v>334428</v>
      </c>
      <c r="C663" s="45">
        <v>15</v>
      </c>
      <c r="D663" s="45">
        <v>3</v>
      </c>
      <c r="E663" s="45">
        <v>316117</v>
      </c>
      <c r="F663" s="45">
        <v>0</v>
      </c>
      <c r="G663" s="45">
        <v>1</v>
      </c>
      <c r="H663" s="45">
        <v>293585</v>
      </c>
      <c r="I663" s="45">
        <v>0</v>
      </c>
      <c r="J663" s="45">
        <v>3</v>
      </c>
      <c r="K663" s="45">
        <v>299033</v>
      </c>
      <c r="L663" s="45">
        <v>0</v>
      </c>
      <c r="M663" s="45">
        <v>1</v>
      </c>
      <c r="O663" s="45">
        <v>326287</v>
      </c>
      <c r="P663" s="45">
        <v>0</v>
      </c>
      <c r="Q663" s="45">
        <v>2</v>
      </c>
      <c r="R663" s="45">
        <v>333172</v>
      </c>
      <c r="S663" s="45">
        <v>0</v>
      </c>
      <c r="T663" s="45">
        <v>2</v>
      </c>
      <c r="U663" s="45">
        <v>312685</v>
      </c>
      <c r="V663" s="45">
        <v>0</v>
      </c>
      <c r="W663" s="45">
        <v>2</v>
      </c>
      <c r="X663" s="45">
        <v>339443</v>
      </c>
      <c r="Y663" s="45">
        <v>0</v>
      </c>
      <c r="Z663" s="45">
        <v>2</v>
      </c>
      <c r="AB663" s="45">
        <v>376033</v>
      </c>
      <c r="AC663" s="45">
        <v>0</v>
      </c>
      <c r="AD663" s="45">
        <v>1</v>
      </c>
      <c r="AE663" s="45">
        <v>381922</v>
      </c>
      <c r="AF663" s="45">
        <v>0</v>
      </c>
      <c r="AG663" s="45">
        <v>1</v>
      </c>
      <c r="AH663" s="45">
        <v>379948</v>
      </c>
      <c r="AI663" s="45">
        <v>0</v>
      </c>
      <c r="AJ663" s="45">
        <v>1</v>
      </c>
      <c r="AK663" s="45">
        <v>372420</v>
      </c>
      <c r="AL663" s="45">
        <v>0</v>
      </c>
      <c r="AM663" s="45">
        <v>1</v>
      </c>
      <c r="AO663" s="45">
        <v>309891</v>
      </c>
      <c r="AP663" s="45">
        <v>0</v>
      </c>
      <c r="AQ663" s="45">
        <v>2</v>
      </c>
      <c r="AR663" s="45">
        <v>323005</v>
      </c>
      <c r="AS663" s="45">
        <v>28</v>
      </c>
      <c r="AT663" s="45">
        <v>4</v>
      </c>
      <c r="AU663" s="45">
        <v>299022</v>
      </c>
      <c r="AV663" s="45">
        <v>0</v>
      </c>
      <c r="AW663" s="45">
        <v>1</v>
      </c>
      <c r="AX663" s="45">
        <v>311168</v>
      </c>
      <c r="AY663" s="45">
        <v>0</v>
      </c>
      <c r="AZ663" s="45">
        <v>2</v>
      </c>
    </row>
    <row r="664" spans="2:52">
      <c r="B664" s="45">
        <v>396104</v>
      </c>
      <c r="C664" s="45">
        <v>0</v>
      </c>
      <c r="D664" s="45">
        <v>2</v>
      </c>
      <c r="E664" s="45">
        <v>404611</v>
      </c>
      <c r="F664" s="45">
        <v>0</v>
      </c>
      <c r="G664" s="45">
        <v>2</v>
      </c>
      <c r="H664" s="45">
        <v>417590</v>
      </c>
      <c r="I664" s="45">
        <v>0</v>
      </c>
      <c r="J664" s="45">
        <v>1</v>
      </c>
      <c r="K664" s="45">
        <v>412938</v>
      </c>
      <c r="L664" s="45">
        <v>0</v>
      </c>
      <c r="M664" s="45">
        <v>2</v>
      </c>
      <c r="O664" s="45">
        <v>629424</v>
      </c>
      <c r="P664" s="45">
        <v>189</v>
      </c>
      <c r="Q664" s="45">
        <v>3</v>
      </c>
      <c r="R664" s="45">
        <v>433889</v>
      </c>
      <c r="S664" s="45">
        <v>0</v>
      </c>
      <c r="T664" s="45">
        <v>3</v>
      </c>
      <c r="U664" s="45">
        <v>411011</v>
      </c>
      <c r="V664" s="45">
        <v>0</v>
      </c>
      <c r="W664" s="45">
        <v>2</v>
      </c>
      <c r="X664" s="45">
        <v>417357</v>
      </c>
      <c r="Y664" s="45">
        <v>0</v>
      </c>
      <c r="Z664" s="45">
        <v>4</v>
      </c>
      <c r="AB664" s="45">
        <v>444230</v>
      </c>
      <c r="AC664" s="45">
        <v>0</v>
      </c>
      <c r="AD664" s="45">
        <v>1</v>
      </c>
      <c r="AE664" s="45">
        <v>477071</v>
      </c>
      <c r="AF664" s="45">
        <v>0</v>
      </c>
      <c r="AG664" s="45">
        <v>1</v>
      </c>
      <c r="AH664" s="45">
        <v>463378</v>
      </c>
      <c r="AI664" s="45">
        <v>0</v>
      </c>
      <c r="AJ664" s="45">
        <v>1</v>
      </c>
      <c r="AK664" s="45">
        <v>470994</v>
      </c>
      <c r="AL664" s="45">
        <v>0</v>
      </c>
      <c r="AM664" s="45">
        <v>2</v>
      </c>
      <c r="AO664" s="45">
        <v>418276</v>
      </c>
      <c r="AP664" s="45">
        <v>0</v>
      </c>
      <c r="AQ664" s="45">
        <v>1</v>
      </c>
      <c r="AR664" s="45">
        <v>417384</v>
      </c>
      <c r="AS664" s="45">
        <v>0</v>
      </c>
      <c r="AT664" s="45">
        <v>2</v>
      </c>
      <c r="AU664" s="45">
        <v>414845</v>
      </c>
      <c r="AV664" s="45">
        <v>0</v>
      </c>
      <c r="AW664" s="45">
        <v>1</v>
      </c>
      <c r="AX664" s="45">
        <v>408195</v>
      </c>
      <c r="AY664" s="45">
        <v>0</v>
      </c>
      <c r="AZ664" s="45">
        <v>2</v>
      </c>
    </row>
    <row r="665" spans="2:52">
      <c r="B665" s="45">
        <v>354711</v>
      </c>
      <c r="C665" s="45">
        <v>0</v>
      </c>
      <c r="D665" s="45">
        <v>3</v>
      </c>
      <c r="E665" s="45">
        <v>364579</v>
      </c>
      <c r="F665" s="45">
        <v>0</v>
      </c>
      <c r="G665" s="45">
        <v>2</v>
      </c>
      <c r="H665" s="45">
        <v>361189</v>
      </c>
      <c r="I665" s="45">
        <v>0</v>
      </c>
      <c r="J665" s="45">
        <v>1</v>
      </c>
      <c r="K665" s="45">
        <v>416498</v>
      </c>
      <c r="L665" s="45">
        <v>56</v>
      </c>
      <c r="M665" s="45">
        <v>2</v>
      </c>
      <c r="O665" s="45">
        <v>400111</v>
      </c>
      <c r="P665" s="45">
        <v>0</v>
      </c>
      <c r="Q665" s="45">
        <v>1</v>
      </c>
      <c r="R665" s="45">
        <v>379510</v>
      </c>
      <c r="S665" s="45">
        <v>0</v>
      </c>
      <c r="T665" s="45">
        <v>2</v>
      </c>
      <c r="U665" s="45">
        <v>402305</v>
      </c>
      <c r="V665" s="45">
        <v>0</v>
      </c>
      <c r="W665" s="45">
        <v>2</v>
      </c>
      <c r="X665" s="45">
        <v>372091</v>
      </c>
      <c r="Y665" s="45">
        <v>0</v>
      </c>
      <c r="Z665" s="45">
        <v>3</v>
      </c>
      <c r="AB665" s="45">
        <v>429648</v>
      </c>
      <c r="AC665" s="45">
        <v>0</v>
      </c>
      <c r="AD665" s="45">
        <v>0</v>
      </c>
      <c r="AE665" s="45">
        <v>414262</v>
      </c>
      <c r="AF665" s="45">
        <v>0</v>
      </c>
      <c r="AG665" s="45">
        <v>1</v>
      </c>
      <c r="AH665" s="45">
        <v>420724</v>
      </c>
      <c r="AI665" s="45">
        <v>0</v>
      </c>
      <c r="AJ665" s="45">
        <v>2</v>
      </c>
      <c r="AK665" s="45">
        <v>430207</v>
      </c>
      <c r="AL665" s="45">
        <v>0</v>
      </c>
      <c r="AM665" s="45">
        <v>1</v>
      </c>
      <c r="AO665" s="45">
        <v>375666</v>
      </c>
      <c r="AP665" s="45">
        <v>0</v>
      </c>
      <c r="AQ665" s="45">
        <v>3</v>
      </c>
      <c r="AR665" s="45">
        <v>364605</v>
      </c>
      <c r="AS665" s="45">
        <v>0</v>
      </c>
      <c r="AT665" s="45">
        <v>2</v>
      </c>
      <c r="AU665" s="45">
        <v>343175</v>
      </c>
      <c r="AV665" s="45">
        <v>0</v>
      </c>
      <c r="AW665" s="45">
        <v>3</v>
      </c>
      <c r="AX665" s="45">
        <v>339434</v>
      </c>
      <c r="AY665" s="45">
        <v>0</v>
      </c>
      <c r="AZ665" s="45">
        <v>1</v>
      </c>
    </row>
    <row r="666" spans="2:52">
      <c r="B666" s="45">
        <v>435609</v>
      </c>
      <c r="C666" s="45">
        <v>98</v>
      </c>
      <c r="D666" s="45">
        <v>6</v>
      </c>
      <c r="E666" s="45">
        <v>369778</v>
      </c>
      <c r="F666" s="45">
        <v>0</v>
      </c>
      <c r="G666" s="45">
        <v>1</v>
      </c>
      <c r="H666" s="45">
        <v>352924</v>
      </c>
      <c r="I666" s="45">
        <v>0</v>
      </c>
      <c r="J666" s="45">
        <v>1</v>
      </c>
      <c r="K666" s="45">
        <v>363416</v>
      </c>
      <c r="L666" s="45">
        <v>0</v>
      </c>
      <c r="M666" s="45">
        <v>1</v>
      </c>
      <c r="O666" s="45">
        <v>390655</v>
      </c>
      <c r="P666" s="45">
        <v>20</v>
      </c>
      <c r="Q666" s="45">
        <v>5</v>
      </c>
      <c r="R666" s="45">
        <v>367741</v>
      </c>
      <c r="S666" s="45">
        <v>0</v>
      </c>
      <c r="T666" s="45">
        <v>2</v>
      </c>
      <c r="U666" s="45">
        <v>372607</v>
      </c>
      <c r="V666" s="45">
        <v>0</v>
      </c>
      <c r="W666" s="45">
        <v>2</v>
      </c>
      <c r="X666" s="45">
        <v>385047</v>
      </c>
      <c r="Y666" s="45">
        <v>0</v>
      </c>
      <c r="Z666" s="45">
        <v>2</v>
      </c>
      <c r="AB666" s="45">
        <v>432336</v>
      </c>
      <c r="AC666" s="45">
        <v>0</v>
      </c>
      <c r="AD666" s="45">
        <v>2</v>
      </c>
      <c r="AE666" s="45">
        <v>423606</v>
      </c>
      <c r="AF666" s="45">
        <v>0</v>
      </c>
      <c r="AG666" s="45">
        <v>1</v>
      </c>
      <c r="AH666" s="45">
        <v>412426</v>
      </c>
      <c r="AI666" s="45">
        <v>0</v>
      </c>
      <c r="AJ666" s="45">
        <v>0</v>
      </c>
      <c r="AK666" s="45">
        <v>403047</v>
      </c>
      <c r="AL666" s="45">
        <v>0</v>
      </c>
      <c r="AM666" s="45">
        <v>2</v>
      </c>
      <c r="AO666" s="45">
        <v>329412</v>
      </c>
      <c r="AP666" s="45">
        <v>0</v>
      </c>
      <c r="AQ666" s="45">
        <v>2</v>
      </c>
      <c r="AR666" s="45">
        <v>345359</v>
      </c>
      <c r="AS666" s="45">
        <v>0</v>
      </c>
      <c r="AT666" s="45">
        <v>1</v>
      </c>
      <c r="AU666" s="45">
        <v>353362</v>
      </c>
      <c r="AV666" s="45">
        <v>0</v>
      </c>
      <c r="AW666" s="45">
        <v>2</v>
      </c>
      <c r="AX666" s="45">
        <v>359900</v>
      </c>
      <c r="AY666" s="45">
        <v>0</v>
      </c>
      <c r="AZ666" s="45">
        <v>2</v>
      </c>
    </row>
    <row r="667" spans="2:52">
      <c r="B667" s="45">
        <v>328753</v>
      </c>
      <c r="C667" s="45">
        <v>0</v>
      </c>
      <c r="D667" s="45">
        <v>2</v>
      </c>
      <c r="E667" s="45">
        <v>334319</v>
      </c>
      <c r="F667" s="45">
        <v>0</v>
      </c>
      <c r="G667" s="45">
        <v>2</v>
      </c>
      <c r="H667" s="45">
        <v>318624</v>
      </c>
      <c r="I667" s="45">
        <v>0</v>
      </c>
      <c r="J667" s="45">
        <v>1</v>
      </c>
      <c r="K667" s="45">
        <v>329342</v>
      </c>
      <c r="L667" s="45">
        <v>0</v>
      </c>
      <c r="M667" s="45">
        <v>2</v>
      </c>
      <c r="O667" s="45">
        <v>358983</v>
      </c>
      <c r="P667" s="45">
        <v>0</v>
      </c>
      <c r="Q667" s="45">
        <v>2</v>
      </c>
      <c r="R667" s="45">
        <v>351922</v>
      </c>
      <c r="S667" s="45">
        <v>0</v>
      </c>
      <c r="T667" s="45">
        <v>2</v>
      </c>
      <c r="U667" s="45">
        <v>377942</v>
      </c>
      <c r="V667" s="45">
        <v>0</v>
      </c>
      <c r="W667" s="45">
        <v>2</v>
      </c>
      <c r="X667" s="45">
        <v>367410</v>
      </c>
      <c r="Y667" s="45">
        <v>0</v>
      </c>
      <c r="Z667" s="45">
        <v>1</v>
      </c>
      <c r="AB667" s="45">
        <v>373441</v>
      </c>
      <c r="AC667" s="45">
        <v>0</v>
      </c>
      <c r="AD667" s="45">
        <v>1</v>
      </c>
      <c r="AE667" s="45">
        <v>398657</v>
      </c>
      <c r="AF667" s="45">
        <v>0</v>
      </c>
      <c r="AG667" s="45">
        <v>1</v>
      </c>
      <c r="AH667" s="45">
        <v>413472</v>
      </c>
      <c r="AI667" s="45">
        <v>0</v>
      </c>
      <c r="AJ667" s="45">
        <v>1</v>
      </c>
      <c r="AK667" s="45">
        <v>406833</v>
      </c>
      <c r="AL667" s="45">
        <v>0</v>
      </c>
      <c r="AM667" s="45">
        <v>1</v>
      </c>
      <c r="AO667" s="45">
        <v>353517</v>
      </c>
      <c r="AP667" s="45">
        <v>0</v>
      </c>
      <c r="AQ667" s="45">
        <v>3</v>
      </c>
      <c r="AR667" s="45">
        <v>348136</v>
      </c>
      <c r="AS667" s="45">
        <v>0</v>
      </c>
      <c r="AT667" s="45">
        <v>1</v>
      </c>
      <c r="AU667" s="45">
        <v>349931</v>
      </c>
      <c r="AV667" s="45">
        <v>0</v>
      </c>
      <c r="AW667" s="45">
        <v>2</v>
      </c>
      <c r="AX667" s="45">
        <v>338540</v>
      </c>
      <c r="AY667" s="45">
        <v>0</v>
      </c>
      <c r="AZ667" s="45">
        <v>1</v>
      </c>
    </row>
    <row r="668" spans="2:52">
      <c r="B668" s="45">
        <v>358444</v>
      </c>
      <c r="C668" s="45">
        <v>0</v>
      </c>
      <c r="D668" s="45">
        <v>1</v>
      </c>
      <c r="E668" s="45">
        <v>363771</v>
      </c>
      <c r="F668" s="45">
        <v>0</v>
      </c>
      <c r="G668" s="45">
        <v>2</v>
      </c>
      <c r="H668" s="45">
        <v>347588</v>
      </c>
      <c r="I668" s="45">
        <v>0</v>
      </c>
      <c r="J668" s="45">
        <v>2</v>
      </c>
      <c r="K668" s="45">
        <v>354584</v>
      </c>
      <c r="L668" s="45">
        <v>0</v>
      </c>
      <c r="M668" s="45">
        <v>1</v>
      </c>
      <c r="O668" s="45">
        <v>380717</v>
      </c>
      <c r="P668" s="45">
        <v>5</v>
      </c>
      <c r="Q668" s="45">
        <v>4</v>
      </c>
      <c r="R668" s="45">
        <v>374164</v>
      </c>
      <c r="S668" s="45">
        <v>5</v>
      </c>
      <c r="T668" s="45">
        <v>4</v>
      </c>
      <c r="U668" s="45">
        <v>368389</v>
      </c>
      <c r="V668" s="45">
        <v>0</v>
      </c>
      <c r="W668" s="45">
        <v>2</v>
      </c>
      <c r="X668" s="45">
        <v>384192</v>
      </c>
      <c r="Y668" s="45">
        <v>28</v>
      </c>
      <c r="Z668" s="45">
        <v>5</v>
      </c>
      <c r="AB668" s="45">
        <v>410084</v>
      </c>
      <c r="AC668" s="45">
        <v>0</v>
      </c>
      <c r="AD668" s="45">
        <v>1</v>
      </c>
      <c r="AE668" s="45">
        <v>408036</v>
      </c>
      <c r="AF668" s="45">
        <v>0</v>
      </c>
      <c r="AG668" s="45">
        <v>1</v>
      </c>
      <c r="AH668" s="45">
        <v>397825</v>
      </c>
      <c r="AI668" s="45">
        <v>0</v>
      </c>
      <c r="AJ668" s="45">
        <v>1</v>
      </c>
      <c r="AK668" s="45">
        <v>404337</v>
      </c>
      <c r="AL668" s="45">
        <v>0</v>
      </c>
      <c r="AM668" s="45">
        <v>1</v>
      </c>
      <c r="AO668" s="45">
        <v>403645</v>
      </c>
      <c r="AP668" s="45">
        <v>17</v>
      </c>
      <c r="AQ668" s="45">
        <v>2</v>
      </c>
      <c r="AR668" s="45">
        <v>370402</v>
      </c>
      <c r="AS668" s="45">
        <v>0</v>
      </c>
      <c r="AT668" s="45">
        <v>2</v>
      </c>
      <c r="AU668" s="45">
        <v>345694</v>
      </c>
      <c r="AV668" s="45">
        <v>0</v>
      </c>
      <c r="AW668" s="45">
        <v>2</v>
      </c>
      <c r="AX668" s="45">
        <v>348880</v>
      </c>
      <c r="AY668" s="45">
        <v>0</v>
      </c>
      <c r="AZ668" s="45">
        <v>3</v>
      </c>
    </row>
    <row r="669" spans="2:52">
      <c r="B669" s="45">
        <v>321015</v>
      </c>
      <c r="C669" s="45">
        <v>0</v>
      </c>
      <c r="D669" s="45">
        <v>2</v>
      </c>
      <c r="E669" s="45">
        <v>326548</v>
      </c>
      <c r="F669" s="45">
        <v>0</v>
      </c>
      <c r="G669" s="45">
        <v>2</v>
      </c>
      <c r="H669" s="45">
        <v>331294</v>
      </c>
      <c r="I669" s="45">
        <v>0</v>
      </c>
      <c r="J669" s="45">
        <v>1</v>
      </c>
      <c r="K669" s="45">
        <v>336908</v>
      </c>
      <c r="L669" s="45">
        <v>0</v>
      </c>
      <c r="M669" s="45">
        <v>2</v>
      </c>
      <c r="O669" s="45">
        <v>332528</v>
      </c>
      <c r="P669" s="45">
        <v>0</v>
      </c>
      <c r="Q669" s="45">
        <v>4</v>
      </c>
      <c r="R669" s="45">
        <v>375533</v>
      </c>
      <c r="S669" s="45">
        <v>0</v>
      </c>
      <c r="T669" s="45">
        <v>1</v>
      </c>
      <c r="U669" s="45">
        <v>346603</v>
      </c>
      <c r="V669" s="45">
        <v>0</v>
      </c>
      <c r="W669" s="45">
        <v>2</v>
      </c>
      <c r="X669" s="45">
        <v>335433</v>
      </c>
      <c r="Y669" s="45">
        <v>0</v>
      </c>
      <c r="Z669" s="45">
        <v>3</v>
      </c>
      <c r="AB669" s="45">
        <v>395694</v>
      </c>
      <c r="AC669" s="45">
        <v>0</v>
      </c>
      <c r="AD669" s="45">
        <v>1</v>
      </c>
      <c r="AE669" s="45">
        <v>379441</v>
      </c>
      <c r="AF669" s="45">
        <v>0</v>
      </c>
      <c r="AG669" s="45">
        <v>1</v>
      </c>
      <c r="AH669" s="45">
        <v>387550</v>
      </c>
      <c r="AI669" s="45">
        <v>0</v>
      </c>
      <c r="AJ669" s="45">
        <v>2</v>
      </c>
      <c r="AK669" s="45">
        <v>405680</v>
      </c>
      <c r="AL669" s="45">
        <v>0</v>
      </c>
      <c r="AM669" s="45">
        <v>0</v>
      </c>
      <c r="AO669" s="45">
        <v>321023</v>
      </c>
      <c r="AP669" s="45">
        <v>0</v>
      </c>
      <c r="AQ669" s="45">
        <v>2</v>
      </c>
      <c r="AR669" s="45">
        <v>349369</v>
      </c>
      <c r="AS669" s="45">
        <v>1</v>
      </c>
      <c r="AT669" s="45">
        <v>2</v>
      </c>
      <c r="AU669" s="45">
        <v>327078</v>
      </c>
      <c r="AV669" s="45">
        <v>0</v>
      </c>
      <c r="AW669" s="45">
        <v>1</v>
      </c>
      <c r="AX669" s="45">
        <v>321945</v>
      </c>
      <c r="AY669" s="45">
        <v>19</v>
      </c>
      <c r="AZ669" s="45">
        <v>2</v>
      </c>
    </row>
    <row r="670" spans="2:52">
      <c r="B670" s="45">
        <v>317712</v>
      </c>
      <c r="C670" s="45">
        <v>0</v>
      </c>
      <c r="D670" s="45">
        <v>2</v>
      </c>
      <c r="E670" s="45">
        <v>323456</v>
      </c>
      <c r="F670" s="45">
        <v>0</v>
      </c>
      <c r="G670" s="45">
        <v>1</v>
      </c>
      <c r="H670" s="45">
        <v>320338</v>
      </c>
      <c r="I670" s="45">
        <v>0</v>
      </c>
      <c r="J670" s="45">
        <v>1</v>
      </c>
      <c r="K670" s="45">
        <v>332998</v>
      </c>
      <c r="L670" s="45">
        <v>0</v>
      </c>
      <c r="M670" s="45">
        <v>2</v>
      </c>
      <c r="O670" s="45">
        <v>361881</v>
      </c>
      <c r="P670" s="45">
        <v>0</v>
      </c>
      <c r="Q670" s="45">
        <v>2</v>
      </c>
      <c r="R670" s="45">
        <v>365346</v>
      </c>
      <c r="S670" s="45">
        <v>0</v>
      </c>
      <c r="T670" s="45">
        <v>2</v>
      </c>
      <c r="U670" s="45">
        <v>381341</v>
      </c>
      <c r="V670" s="45">
        <v>0</v>
      </c>
      <c r="W670" s="45">
        <v>1</v>
      </c>
      <c r="X670" s="45">
        <v>344999</v>
      </c>
      <c r="Y670" s="45">
        <v>0</v>
      </c>
      <c r="Z670" s="45">
        <v>3</v>
      </c>
      <c r="AB670" s="45">
        <v>398112</v>
      </c>
      <c r="AC670" s="45">
        <v>0</v>
      </c>
      <c r="AD670" s="45">
        <v>2</v>
      </c>
      <c r="AE670" s="45">
        <v>378640</v>
      </c>
      <c r="AF670" s="45">
        <v>0</v>
      </c>
      <c r="AG670" s="45">
        <v>1</v>
      </c>
      <c r="AH670" s="45">
        <v>380837</v>
      </c>
      <c r="AI670" s="45">
        <v>0</v>
      </c>
      <c r="AJ670" s="45">
        <v>1</v>
      </c>
      <c r="AK670" s="45">
        <v>380703</v>
      </c>
      <c r="AL670" s="45">
        <v>0</v>
      </c>
      <c r="AM670" s="45">
        <v>1</v>
      </c>
      <c r="AO670" s="45">
        <v>333256</v>
      </c>
      <c r="AP670" s="45">
        <v>0</v>
      </c>
      <c r="AQ670" s="45">
        <v>3</v>
      </c>
      <c r="AR670" s="45">
        <v>340850</v>
      </c>
      <c r="AS670" s="45">
        <v>0</v>
      </c>
      <c r="AT670" s="45">
        <v>1</v>
      </c>
      <c r="AU670" s="45">
        <v>327521</v>
      </c>
      <c r="AV670" s="45">
        <v>0</v>
      </c>
      <c r="AW670" s="45">
        <v>2</v>
      </c>
      <c r="AX670" s="45">
        <v>318367</v>
      </c>
      <c r="AY670" s="45">
        <v>0</v>
      </c>
      <c r="AZ670" s="45">
        <v>2</v>
      </c>
    </row>
    <row r="671" spans="2:52">
      <c r="B671" s="45">
        <v>298396</v>
      </c>
      <c r="C671" s="45">
        <v>0</v>
      </c>
      <c r="D671" s="45">
        <v>2</v>
      </c>
      <c r="E671" s="45">
        <v>297436</v>
      </c>
      <c r="F671" s="45">
        <v>0</v>
      </c>
      <c r="G671" s="45">
        <v>2</v>
      </c>
      <c r="H671" s="45">
        <v>298667</v>
      </c>
      <c r="I671" s="45">
        <v>0</v>
      </c>
      <c r="J671" s="45">
        <v>1</v>
      </c>
      <c r="K671" s="45">
        <v>285121</v>
      </c>
      <c r="L671" s="45">
        <v>0</v>
      </c>
      <c r="M671" s="45">
        <v>1</v>
      </c>
      <c r="O671" s="45">
        <v>322702</v>
      </c>
      <c r="P671" s="45">
        <v>0</v>
      </c>
      <c r="Q671" s="45">
        <v>1</v>
      </c>
      <c r="R671" s="45">
        <v>331769</v>
      </c>
      <c r="S671" s="45">
        <v>0</v>
      </c>
      <c r="T671" s="45">
        <v>2</v>
      </c>
      <c r="U671" s="45">
        <v>319557</v>
      </c>
      <c r="V671" s="45">
        <v>0</v>
      </c>
      <c r="W671" s="45">
        <v>2</v>
      </c>
      <c r="X671" s="45">
        <v>325195</v>
      </c>
      <c r="Y671" s="45">
        <v>0</v>
      </c>
      <c r="Z671" s="45">
        <v>2</v>
      </c>
      <c r="AB671" s="45">
        <v>352016</v>
      </c>
      <c r="AC671" s="45">
        <v>0</v>
      </c>
      <c r="AD671" s="45">
        <v>1</v>
      </c>
      <c r="AE671" s="45">
        <v>334139</v>
      </c>
      <c r="AF671" s="45">
        <v>0</v>
      </c>
      <c r="AG671" s="45">
        <v>1</v>
      </c>
      <c r="AH671" s="45">
        <v>369931</v>
      </c>
      <c r="AI671" s="45">
        <v>0</v>
      </c>
      <c r="AJ671" s="45">
        <v>1</v>
      </c>
      <c r="AK671" s="45">
        <v>350454</v>
      </c>
      <c r="AL671" s="45">
        <v>0</v>
      </c>
      <c r="AM671" s="45">
        <v>1</v>
      </c>
      <c r="AO671" s="45">
        <v>309591</v>
      </c>
      <c r="AP671" s="45">
        <v>0</v>
      </c>
      <c r="AQ671" s="45">
        <v>1</v>
      </c>
      <c r="AR671" s="45">
        <v>306647</v>
      </c>
      <c r="AS671" s="45">
        <v>0</v>
      </c>
      <c r="AT671" s="45">
        <v>2</v>
      </c>
      <c r="AU671" s="45">
        <v>295318</v>
      </c>
      <c r="AV671" s="45">
        <v>0</v>
      </c>
      <c r="AW671" s="45">
        <v>2</v>
      </c>
      <c r="AX671" s="45">
        <v>300980</v>
      </c>
      <c r="AY671" s="45">
        <v>0</v>
      </c>
      <c r="AZ671" s="45">
        <v>2</v>
      </c>
    </row>
    <row r="672" spans="2:52">
      <c r="B672" s="45">
        <v>334589</v>
      </c>
      <c r="C672" s="45">
        <v>0</v>
      </c>
      <c r="D672" s="45">
        <v>3</v>
      </c>
      <c r="E672" s="45">
        <v>341372</v>
      </c>
      <c r="F672" s="45">
        <v>0</v>
      </c>
      <c r="G672" s="45">
        <v>2</v>
      </c>
      <c r="H672" s="45">
        <v>349508</v>
      </c>
      <c r="I672" s="45">
        <v>0</v>
      </c>
      <c r="J672" s="45">
        <v>1</v>
      </c>
      <c r="K672" s="45">
        <v>345828</v>
      </c>
      <c r="L672" s="45">
        <v>0</v>
      </c>
      <c r="M672" s="45">
        <v>1</v>
      </c>
      <c r="O672" s="45">
        <v>368678</v>
      </c>
      <c r="P672" s="45">
        <v>0</v>
      </c>
      <c r="Q672" s="45">
        <v>3</v>
      </c>
      <c r="R672" s="45">
        <v>367873</v>
      </c>
      <c r="S672" s="45">
        <v>0</v>
      </c>
      <c r="T672" s="45">
        <v>2</v>
      </c>
      <c r="U672" s="45">
        <v>380004</v>
      </c>
      <c r="V672" s="45">
        <v>0</v>
      </c>
      <c r="W672" s="45">
        <v>1</v>
      </c>
      <c r="X672" s="45">
        <v>380331</v>
      </c>
      <c r="Y672" s="45">
        <v>0</v>
      </c>
      <c r="Z672" s="45">
        <v>2</v>
      </c>
      <c r="AB672" s="45">
        <v>417693</v>
      </c>
      <c r="AC672" s="45">
        <v>0</v>
      </c>
      <c r="AD672" s="45">
        <v>1</v>
      </c>
      <c r="AE672" s="45">
        <v>413975</v>
      </c>
      <c r="AF672" s="45">
        <v>0</v>
      </c>
      <c r="AG672" s="45">
        <v>1</v>
      </c>
      <c r="AH672" s="45">
        <v>410031</v>
      </c>
      <c r="AI672" s="45">
        <v>0</v>
      </c>
      <c r="AJ672" s="45">
        <v>0</v>
      </c>
      <c r="AK672" s="45">
        <v>431332</v>
      </c>
      <c r="AL672" s="45">
        <v>0</v>
      </c>
      <c r="AM672" s="45">
        <v>1</v>
      </c>
      <c r="AO672" s="45">
        <v>343614</v>
      </c>
      <c r="AP672" s="45">
        <v>0</v>
      </c>
      <c r="AQ672" s="45">
        <v>3</v>
      </c>
      <c r="AR672" s="45">
        <v>349837</v>
      </c>
      <c r="AS672" s="45">
        <v>0</v>
      </c>
      <c r="AT672" s="45">
        <v>3</v>
      </c>
      <c r="AU672" s="45">
        <v>335495</v>
      </c>
      <c r="AV672" s="45">
        <v>0</v>
      </c>
      <c r="AW672" s="45">
        <v>2</v>
      </c>
      <c r="AX672" s="45">
        <v>352117</v>
      </c>
      <c r="AY672" s="45">
        <v>0</v>
      </c>
      <c r="AZ672" s="45">
        <v>2</v>
      </c>
    </row>
    <row r="673" spans="2:52">
      <c r="B673" s="45">
        <v>350879</v>
      </c>
      <c r="C673" s="45">
        <v>0</v>
      </c>
      <c r="D673" s="45">
        <v>3</v>
      </c>
      <c r="E673" s="45">
        <v>365741</v>
      </c>
      <c r="F673" s="45">
        <v>0</v>
      </c>
      <c r="G673" s="45">
        <v>2</v>
      </c>
      <c r="H673" s="45">
        <v>373925</v>
      </c>
      <c r="I673" s="45">
        <v>0</v>
      </c>
      <c r="J673" s="45">
        <v>2</v>
      </c>
      <c r="K673" s="45">
        <v>360253</v>
      </c>
      <c r="L673" s="45">
        <v>0</v>
      </c>
      <c r="M673" s="45">
        <v>1</v>
      </c>
      <c r="O673" s="45">
        <v>399272</v>
      </c>
      <c r="P673" s="45">
        <v>0</v>
      </c>
      <c r="Q673" s="45">
        <v>2</v>
      </c>
      <c r="R673" s="45">
        <v>416588</v>
      </c>
      <c r="S673" s="45">
        <v>0</v>
      </c>
      <c r="T673" s="45">
        <v>2</v>
      </c>
      <c r="U673" s="45">
        <v>369864</v>
      </c>
      <c r="V673" s="45">
        <v>5</v>
      </c>
      <c r="W673" s="45">
        <v>3</v>
      </c>
      <c r="X673" s="45">
        <v>363228</v>
      </c>
      <c r="Y673" s="45">
        <v>0</v>
      </c>
      <c r="Z673" s="45">
        <v>2</v>
      </c>
      <c r="AB673" s="45">
        <v>455904</v>
      </c>
      <c r="AC673" s="45">
        <v>0</v>
      </c>
      <c r="AD673" s="45">
        <v>2</v>
      </c>
      <c r="AE673" s="45">
        <v>419789</v>
      </c>
      <c r="AF673" s="45">
        <v>0</v>
      </c>
      <c r="AG673" s="45">
        <v>1</v>
      </c>
      <c r="AH673" s="45">
        <v>432075</v>
      </c>
      <c r="AI673" s="45">
        <v>0</v>
      </c>
      <c r="AJ673" s="45">
        <v>1</v>
      </c>
      <c r="AK673" s="45">
        <v>444384</v>
      </c>
      <c r="AL673" s="45">
        <v>0</v>
      </c>
      <c r="AM673" s="45">
        <v>1</v>
      </c>
      <c r="AO673" s="45">
        <v>389537</v>
      </c>
      <c r="AP673" s="45">
        <v>0</v>
      </c>
      <c r="AQ673" s="45">
        <v>2</v>
      </c>
      <c r="AR673" s="45">
        <v>365054</v>
      </c>
      <c r="AS673" s="45">
        <v>0</v>
      </c>
      <c r="AT673" s="45">
        <v>1</v>
      </c>
      <c r="AU673" s="45">
        <v>354320</v>
      </c>
      <c r="AV673" s="45">
        <v>0</v>
      </c>
      <c r="AW673" s="45">
        <v>2</v>
      </c>
      <c r="AX673" s="45">
        <v>346129</v>
      </c>
      <c r="AY673" s="45">
        <v>0</v>
      </c>
      <c r="AZ673" s="45">
        <v>2</v>
      </c>
    </row>
    <row r="674" spans="2:52">
      <c r="B674" s="45">
        <v>349728</v>
      </c>
      <c r="C674" s="45">
        <v>0</v>
      </c>
      <c r="D674" s="45">
        <v>3</v>
      </c>
      <c r="E674" s="45">
        <v>358438</v>
      </c>
      <c r="F674" s="45">
        <v>0</v>
      </c>
      <c r="G674" s="45">
        <v>1</v>
      </c>
      <c r="H674" s="45">
        <v>347754</v>
      </c>
      <c r="I674" s="45">
        <v>0</v>
      </c>
      <c r="J674" s="45">
        <v>2</v>
      </c>
      <c r="K674" s="45">
        <v>344474</v>
      </c>
      <c r="L674" s="45">
        <v>0</v>
      </c>
      <c r="M674" s="45">
        <v>1</v>
      </c>
      <c r="O674" s="45">
        <v>389790</v>
      </c>
      <c r="P674" s="45">
        <v>0</v>
      </c>
      <c r="Q674" s="45">
        <v>2</v>
      </c>
      <c r="R674" s="45">
        <v>391916</v>
      </c>
      <c r="S674" s="45">
        <v>0</v>
      </c>
      <c r="T674" s="45">
        <v>2</v>
      </c>
      <c r="U674" s="45">
        <v>367240</v>
      </c>
      <c r="V674" s="45">
        <v>0</v>
      </c>
      <c r="W674" s="45">
        <v>2</v>
      </c>
      <c r="X674" s="45">
        <v>367479</v>
      </c>
      <c r="Y674" s="45">
        <v>0</v>
      </c>
      <c r="Z674" s="45">
        <v>2</v>
      </c>
      <c r="AB674" s="45">
        <v>424670</v>
      </c>
      <c r="AC674" s="45">
        <v>0</v>
      </c>
      <c r="AD674" s="45">
        <v>1</v>
      </c>
      <c r="AE674" s="45">
        <v>423236</v>
      </c>
      <c r="AF674" s="45">
        <v>0</v>
      </c>
      <c r="AG674" s="45">
        <v>1</v>
      </c>
      <c r="AH674" s="45">
        <v>424676</v>
      </c>
      <c r="AI674" s="45">
        <v>0</v>
      </c>
      <c r="AJ674" s="45">
        <v>1</v>
      </c>
      <c r="AK674" s="45">
        <v>437406</v>
      </c>
      <c r="AL674" s="45">
        <v>0</v>
      </c>
      <c r="AM674" s="45">
        <v>2</v>
      </c>
      <c r="AO674" s="45">
        <v>340429</v>
      </c>
      <c r="AP674" s="45">
        <v>0</v>
      </c>
      <c r="AQ674" s="45">
        <v>3</v>
      </c>
      <c r="AR674" s="45">
        <v>338926</v>
      </c>
      <c r="AS674" s="45">
        <v>0</v>
      </c>
      <c r="AT674" s="45">
        <v>2</v>
      </c>
      <c r="AU674" s="45">
        <v>383062</v>
      </c>
      <c r="AV674" s="45">
        <v>44</v>
      </c>
      <c r="AW674" s="45">
        <v>3</v>
      </c>
      <c r="AX674" s="45">
        <v>350376</v>
      </c>
      <c r="AY674" s="45">
        <v>0</v>
      </c>
      <c r="AZ674" s="45">
        <v>2</v>
      </c>
    </row>
    <row r="675" spans="2:52">
      <c r="B675" s="45">
        <v>341740</v>
      </c>
      <c r="C675" s="45">
        <v>0</v>
      </c>
      <c r="D675" s="45">
        <v>2</v>
      </c>
      <c r="E675" s="45">
        <v>337140</v>
      </c>
      <c r="F675" s="45">
        <v>0</v>
      </c>
      <c r="G675" s="45">
        <v>2</v>
      </c>
      <c r="H675" s="45">
        <v>342808</v>
      </c>
      <c r="I675" s="45">
        <v>0</v>
      </c>
      <c r="J675" s="45">
        <v>1</v>
      </c>
      <c r="K675" s="45">
        <v>384358</v>
      </c>
      <c r="L675" s="45">
        <v>48</v>
      </c>
      <c r="M675" s="45">
        <v>2</v>
      </c>
      <c r="O675" s="45">
        <v>349883</v>
      </c>
      <c r="P675" s="45">
        <v>0</v>
      </c>
      <c r="Q675" s="45">
        <v>3</v>
      </c>
      <c r="R675" s="45">
        <v>364552</v>
      </c>
      <c r="S675" s="45">
        <v>22</v>
      </c>
      <c r="T675" s="45">
        <v>3</v>
      </c>
      <c r="U675" s="45">
        <v>347868</v>
      </c>
      <c r="V675" s="45">
        <v>0</v>
      </c>
      <c r="W675" s="45">
        <v>3</v>
      </c>
      <c r="X675" s="45">
        <v>360518</v>
      </c>
      <c r="Y675" s="45">
        <v>0</v>
      </c>
      <c r="Z675" s="45">
        <v>2</v>
      </c>
      <c r="AB675" s="45">
        <v>370716</v>
      </c>
      <c r="AC675" s="45">
        <v>0</v>
      </c>
      <c r="AD675" s="45">
        <v>1</v>
      </c>
      <c r="AE675" s="45">
        <v>394555</v>
      </c>
      <c r="AF675" s="45">
        <v>0</v>
      </c>
      <c r="AG675" s="45">
        <v>1</v>
      </c>
      <c r="AH675" s="45">
        <v>391881</v>
      </c>
      <c r="AI675" s="45">
        <v>0</v>
      </c>
      <c r="AJ675" s="45">
        <v>1</v>
      </c>
      <c r="AK675" s="45">
        <v>376926</v>
      </c>
      <c r="AL675" s="45">
        <v>0</v>
      </c>
      <c r="AM675" s="45">
        <v>1</v>
      </c>
      <c r="AO675" s="45">
        <v>314643</v>
      </c>
      <c r="AP675" s="45">
        <v>0</v>
      </c>
      <c r="AQ675" s="45">
        <v>3</v>
      </c>
      <c r="AR675" s="45">
        <v>352299</v>
      </c>
      <c r="AS675" s="45">
        <v>0</v>
      </c>
      <c r="AT675" s="45">
        <v>2</v>
      </c>
      <c r="AU675" s="45">
        <v>320420</v>
      </c>
      <c r="AV675" s="45">
        <v>0</v>
      </c>
      <c r="AW675" s="45">
        <v>2</v>
      </c>
      <c r="AX675" s="45">
        <v>321151</v>
      </c>
      <c r="AY675" s="45">
        <v>0</v>
      </c>
      <c r="AZ675" s="45">
        <v>2</v>
      </c>
    </row>
    <row r="676" spans="2:52">
      <c r="B676" s="45">
        <v>344296</v>
      </c>
      <c r="C676" s="45">
        <v>0</v>
      </c>
      <c r="D676" s="45">
        <v>1</v>
      </c>
      <c r="E676" s="45">
        <v>324402</v>
      </c>
      <c r="F676" s="45">
        <v>0</v>
      </c>
      <c r="G676" s="45">
        <v>1</v>
      </c>
      <c r="H676" s="45">
        <v>324996</v>
      </c>
      <c r="I676" s="45">
        <v>0</v>
      </c>
      <c r="J676" s="45">
        <v>2</v>
      </c>
      <c r="K676" s="45">
        <v>327277</v>
      </c>
      <c r="L676" s="45">
        <v>0</v>
      </c>
      <c r="M676" s="45">
        <v>1</v>
      </c>
      <c r="O676" s="45">
        <v>347793</v>
      </c>
      <c r="P676" s="45">
        <v>0</v>
      </c>
      <c r="Q676" s="45">
        <v>2</v>
      </c>
      <c r="R676" s="45">
        <v>351094</v>
      </c>
      <c r="S676" s="45">
        <v>5</v>
      </c>
      <c r="T676" s="45">
        <v>3</v>
      </c>
      <c r="U676" s="45">
        <v>383105</v>
      </c>
      <c r="V676" s="45">
        <v>34</v>
      </c>
      <c r="W676" s="45">
        <v>3</v>
      </c>
      <c r="X676" s="45">
        <v>353589</v>
      </c>
      <c r="Y676" s="45">
        <v>0</v>
      </c>
      <c r="Z676" s="45">
        <v>2</v>
      </c>
      <c r="AB676" s="45">
        <v>383008</v>
      </c>
      <c r="AC676" s="45">
        <v>0</v>
      </c>
      <c r="AD676" s="45">
        <v>1</v>
      </c>
      <c r="AE676" s="45">
        <v>387889</v>
      </c>
      <c r="AF676" s="45">
        <v>0</v>
      </c>
      <c r="AG676" s="45">
        <v>1</v>
      </c>
      <c r="AH676" s="45">
        <v>378700</v>
      </c>
      <c r="AI676" s="45">
        <v>0</v>
      </c>
      <c r="AJ676" s="45">
        <v>1</v>
      </c>
      <c r="AK676" s="45">
        <v>397739</v>
      </c>
      <c r="AL676" s="45">
        <v>0</v>
      </c>
      <c r="AM676" s="45">
        <v>0</v>
      </c>
      <c r="AO676" s="45">
        <v>308427</v>
      </c>
      <c r="AP676" s="45">
        <v>0</v>
      </c>
      <c r="AQ676" s="45">
        <v>3</v>
      </c>
      <c r="AR676" s="45">
        <v>308855</v>
      </c>
      <c r="AS676" s="45">
        <v>0</v>
      </c>
      <c r="AT676" s="45">
        <v>1</v>
      </c>
      <c r="AU676" s="45">
        <v>315827</v>
      </c>
      <c r="AV676" s="45">
        <v>0</v>
      </c>
      <c r="AW676" s="45">
        <v>3</v>
      </c>
      <c r="AX676" s="45">
        <v>313893</v>
      </c>
      <c r="AY676" s="45">
        <v>0</v>
      </c>
      <c r="AZ676" s="45">
        <v>2</v>
      </c>
    </row>
    <row r="677" spans="2:52">
      <c r="B677" s="45">
        <v>349759</v>
      </c>
      <c r="C677" s="45">
        <v>0</v>
      </c>
      <c r="D677" s="45">
        <v>3</v>
      </c>
      <c r="E677" s="45">
        <v>357500</v>
      </c>
      <c r="F677" s="45">
        <v>0</v>
      </c>
      <c r="G677" s="45">
        <v>1</v>
      </c>
      <c r="H677" s="45">
        <v>358177</v>
      </c>
      <c r="I677" s="45">
        <v>0</v>
      </c>
      <c r="J677" s="45">
        <v>1</v>
      </c>
      <c r="K677" s="45">
        <v>361747</v>
      </c>
      <c r="L677" s="45">
        <v>0</v>
      </c>
      <c r="M677" s="45">
        <v>1</v>
      </c>
      <c r="O677" s="45">
        <v>398102</v>
      </c>
      <c r="P677" s="45">
        <v>0</v>
      </c>
      <c r="Q677" s="45">
        <v>1</v>
      </c>
      <c r="R677" s="45">
        <v>368945</v>
      </c>
      <c r="S677" s="45">
        <v>0</v>
      </c>
      <c r="T677" s="45">
        <v>3</v>
      </c>
      <c r="U677" s="45">
        <v>390108</v>
      </c>
      <c r="V677" s="45">
        <v>0</v>
      </c>
      <c r="W677" s="45">
        <v>2</v>
      </c>
      <c r="X677" s="45">
        <v>356392</v>
      </c>
      <c r="Y677" s="45">
        <v>0</v>
      </c>
      <c r="Z677" s="45">
        <v>2</v>
      </c>
      <c r="AB677" s="45">
        <v>431052</v>
      </c>
      <c r="AC677" s="45">
        <v>0</v>
      </c>
      <c r="AD677" s="45">
        <v>2</v>
      </c>
      <c r="AE677" s="45">
        <v>437332</v>
      </c>
      <c r="AF677" s="45">
        <v>0</v>
      </c>
      <c r="AG677" s="45">
        <v>1</v>
      </c>
      <c r="AH677" s="45">
        <v>404833</v>
      </c>
      <c r="AI677" s="45">
        <v>0</v>
      </c>
      <c r="AJ677" s="45">
        <v>1</v>
      </c>
      <c r="AK677" s="45">
        <v>432526</v>
      </c>
      <c r="AL677" s="45">
        <v>0</v>
      </c>
      <c r="AM677" s="45">
        <v>1</v>
      </c>
      <c r="AO677" s="45">
        <v>367341</v>
      </c>
      <c r="AP677" s="45">
        <v>0</v>
      </c>
      <c r="AQ677" s="45">
        <v>3</v>
      </c>
      <c r="AR677" s="45">
        <v>372947</v>
      </c>
      <c r="AS677" s="45">
        <v>0</v>
      </c>
      <c r="AT677" s="45">
        <v>2</v>
      </c>
      <c r="AU677" s="45">
        <v>364378</v>
      </c>
      <c r="AV677" s="45">
        <v>0</v>
      </c>
      <c r="AW677" s="45">
        <v>2</v>
      </c>
      <c r="AX677" s="45">
        <v>344421</v>
      </c>
      <c r="AY677" s="45">
        <v>0</v>
      </c>
      <c r="AZ677" s="45">
        <v>1</v>
      </c>
    </row>
    <row r="678" spans="2:52">
      <c r="B678" s="45">
        <v>345449</v>
      </c>
      <c r="C678" s="45">
        <v>0</v>
      </c>
      <c r="D678" s="45">
        <v>2</v>
      </c>
      <c r="E678" s="45">
        <v>365447</v>
      </c>
      <c r="F678" s="45">
        <v>0</v>
      </c>
      <c r="G678" s="45">
        <v>1</v>
      </c>
      <c r="H678" s="45">
        <v>339001</v>
      </c>
      <c r="I678" s="45">
        <v>0</v>
      </c>
      <c r="J678" s="45">
        <v>1</v>
      </c>
      <c r="K678" s="45">
        <v>375792</v>
      </c>
      <c r="L678" s="45">
        <v>0</v>
      </c>
      <c r="M678" s="45">
        <v>1</v>
      </c>
      <c r="O678" s="45">
        <v>382579</v>
      </c>
      <c r="P678" s="45">
        <v>0</v>
      </c>
      <c r="Q678" s="45">
        <v>3</v>
      </c>
      <c r="R678" s="45">
        <v>386417</v>
      </c>
      <c r="S678" s="45">
        <v>0</v>
      </c>
      <c r="T678" s="45">
        <v>2</v>
      </c>
      <c r="U678" s="45">
        <v>361630</v>
      </c>
      <c r="V678" s="45">
        <v>0</v>
      </c>
      <c r="W678" s="45">
        <v>2</v>
      </c>
      <c r="X678" s="45">
        <v>376466</v>
      </c>
      <c r="Y678" s="45">
        <v>0</v>
      </c>
      <c r="Z678" s="45">
        <v>2</v>
      </c>
      <c r="AB678" s="45">
        <v>423152</v>
      </c>
      <c r="AC678" s="45">
        <v>0</v>
      </c>
      <c r="AD678" s="45">
        <v>1</v>
      </c>
      <c r="AE678" s="45">
        <v>422254</v>
      </c>
      <c r="AF678" s="45">
        <v>0</v>
      </c>
      <c r="AG678" s="45">
        <v>1</v>
      </c>
      <c r="AH678" s="45">
        <v>413966</v>
      </c>
      <c r="AI678" s="45">
        <v>0</v>
      </c>
      <c r="AJ678" s="45">
        <v>2</v>
      </c>
      <c r="AK678" s="45">
        <v>407644</v>
      </c>
      <c r="AL678" s="45">
        <v>0</v>
      </c>
      <c r="AM678" s="45">
        <v>0</v>
      </c>
      <c r="AO678" s="45">
        <v>359768</v>
      </c>
      <c r="AP678" s="45">
        <v>0</v>
      </c>
      <c r="AQ678" s="45">
        <v>3</v>
      </c>
      <c r="AR678" s="45">
        <v>377196</v>
      </c>
      <c r="AS678" s="45">
        <v>20</v>
      </c>
      <c r="AT678" s="45">
        <v>3</v>
      </c>
      <c r="AU678" s="45">
        <v>351334</v>
      </c>
      <c r="AV678" s="45">
        <v>0</v>
      </c>
      <c r="AW678" s="45">
        <v>1</v>
      </c>
      <c r="AX678" s="45">
        <v>325755</v>
      </c>
      <c r="AY678" s="45">
        <v>0</v>
      </c>
      <c r="AZ678" s="45">
        <v>2</v>
      </c>
    </row>
    <row r="679" spans="2:52">
      <c r="B679" s="45">
        <v>325189</v>
      </c>
      <c r="C679" s="45">
        <v>0</v>
      </c>
      <c r="D679" s="45">
        <v>2</v>
      </c>
      <c r="E679" s="45">
        <v>359848</v>
      </c>
      <c r="F679" s="45">
        <v>33</v>
      </c>
      <c r="G679" s="45">
        <v>4</v>
      </c>
      <c r="H679" s="45">
        <v>346139</v>
      </c>
      <c r="I679" s="45">
        <v>0</v>
      </c>
      <c r="J679" s="45">
        <v>2</v>
      </c>
      <c r="K679" s="45">
        <v>341950</v>
      </c>
      <c r="L679" s="45">
        <v>0</v>
      </c>
      <c r="M679" s="45">
        <v>1</v>
      </c>
      <c r="O679" s="45">
        <v>369926</v>
      </c>
      <c r="P679" s="45">
        <v>0</v>
      </c>
      <c r="Q679" s="45">
        <v>2</v>
      </c>
      <c r="R679" s="45">
        <v>373222</v>
      </c>
      <c r="S679" s="45">
        <v>0</v>
      </c>
      <c r="T679" s="45">
        <v>2</v>
      </c>
      <c r="U679" s="45">
        <v>377834</v>
      </c>
      <c r="V679" s="45">
        <v>0</v>
      </c>
      <c r="W679" s="45">
        <v>2</v>
      </c>
      <c r="X679" s="45">
        <v>350427</v>
      </c>
      <c r="Y679" s="45">
        <v>0</v>
      </c>
      <c r="Z679" s="45">
        <v>2</v>
      </c>
      <c r="AB679" s="45">
        <v>418303</v>
      </c>
      <c r="AC679" s="45">
        <v>0</v>
      </c>
      <c r="AD679" s="45">
        <v>2</v>
      </c>
      <c r="AE679" s="45">
        <v>420844</v>
      </c>
      <c r="AF679" s="45">
        <v>0</v>
      </c>
      <c r="AG679" s="45">
        <v>1</v>
      </c>
      <c r="AH679" s="45">
        <v>407798</v>
      </c>
      <c r="AI679" s="45">
        <v>0</v>
      </c>
      <c r="AJ679" s="45">
        <v>1</v>
      </c>
      <c r="AK679" s="45">
        <v>400113</v>
      </c>
      <c r="AL679" s="45">
        <v>0</v>
      </c>
      <c r="AM679" s="45">
        <v>1</v>
      </c>
      <c r="AO679" s="45">
        <v>320937</v>
      </c>
      <c r="AP679" s="45">
        <v>0</v>
      </c>
      <c r="AQ679" s="45">
        <v>3</v>
      </c>
      <c r="AR679" s="45">
        <v>325780</v>
      </c>
      <c r="AS679" s="45">
        <v>0</v>
      </c>
      <c r="AT679" s="45">
        <v>2</v>
      </c>
      <c r="AU679" s="45">
        <v>329320</v>
      </c>
      <c r="AV679" s="45">
        <v>0</v>
      </c>
      <c r="AW679" s="45">
        <v>2</v>
      </c>
      <c r="AX679" s="45">
        <v>346172</v>
      </c>
      <c r="AY679" s="45">
        <v>0</v>
      </c>
      <c r="AZ679" s="45">
        <v>2</v>
      </c>
    </row>
    <row r="680" spans="2:52">
      <c r="B680" s="45">
        <v>389734</v>
      </c>
      <c r="C680" s="45">
        <v>0</v>
      </c>
      <c r="D680" s="45">
        <v>2</v>
      </c>
      <c r="E680" s="45">
        <v>396629</v>
      </c>
      <c r="F680" s="45">
        <v>0</v>
      </c>
      <c r="G680" s="45">
        <v>1</v>
      </c>
      <c r="H680" s="45">
        <v>402316</v>
      </c>
      <c r="I680" s="45">
        <v>11</v>
      </c>
      <c r="J680" s="45">
        <v>2</v>
      </c>
      <c r="K680" s="45">
        <v>377554</v>
      </c>
      <c r="L680" s="45">
        <v>0</v>
      </c>
      <c r="M680" s="45">
        <v>1</v>
      </c>
      <c r="O680" s="45">
        <v>429103</v>
      </c>
      <c r="P680" s="45">
        <v>0</v>
      </c>
      <c r="Q680" s="45">
        <v>1</v>
      </c>
      <c r="R680" s="45">
        <v>425406</v>
      </c>
      <c r="S680" s="45">
        <v>0</v>
      </c>
      <c r="T680" s="45">
        <v>2</v>
      </c>
      <c r="U680" s="45">
        <v>425458</v>
      </c>
      <c r="V680" s="45">
        <v>0</v>
      </c>
      <c r="W680" s="45">
        <v>2</v>
      </c>
      <c r="X680" s="45">
        <v>411104</v>
      </c>
      <c r="Y680" s="45">
        <v>0</v>
      </c>
      <c r="Z680" s="45">
        <v>3</v>
      </c>
      <c r="AB680" s="45">
        <v>468682</v>
      </c>
      <c r="AC680" s="45">
        <v>0</v>
      </c>
      <c r="AD680" s="45">
        <v>1</v>
      </c>
      <c r="AE680" s="45">
        <v>466572</v>
      </c>
      <c r="AF680" s="45">
        <v>0</v>
      </c>
      <c r="AG680" s="45">
        <v>2</v>
      </c>
      <c r="AH680" s="45">
        <v>455802</v>
      </c>
      <c r="AI680" s="45">
        <v>0</v>
      </c>
      <c r="AJ680" s="45">
        <v>0</v>
      </c>
      <c r="AK680" s="45">
        <v>460401</v>
      </c>
      <c r="AL680" s="45">
        <v>0</v>
      </c>
      <c r="AM680" s="45">
        <v>1</v>
      </c>
      <c r="AO680" s="45">
        <v>376155</v>
      </c>
      <c r="AP680" s="45">
        <v>0</v>
      </c>
      <c r="AQ680" s="45">
        <v>2</v>
      </c>
      <c r="AR680" s="45">
        <v>386605</v>
      </c>
      <c r="AS680" s="45">
        <v>0</v>
      </c>
      <c r="AT680" s="45">
        <v>2</v>
      </c>
      <c r="AU680" s="45">
        <v>397196</v>
      </c>
      <c r="AV680" s="45">
        <v>0</v>
      </c>
      <c r="AW680" s="45">
        <v>1</v>
      </c>
      <c r="AX680" s="45">
        <v>368496</v>
      </c>
      <c r="AY680" s="45">
        <v>0</v>
      </c>
      <c r="AZ680" s="45">
        <v>3</v>
      </c>
    </row>
    <row r="681" spans="2:52">
      <c r="B681" s="45">
        <v>336058</v>
      </c>
      <c r="C681" s="45">
        <v>0</v>
      </c>
      <c r="D681" s="45">
        <v>1</v>
      </c>
      <c r="E681" s="45">
        <v>333307</v>
      </c>
      <c r="F681" s="45">
        <v>0</v>
      </c>
      <c r="G681" s="45">
        <v>2</v>
      </c>
      <c r="H681" s="45">
        <v>376802</v>
      </c>
      <c r="I681" s="45">
        <v>81</v>
      </c>
      <c r="J681" s="45">
        <v>3</v>
      </c>
      <c r="K681" s="45">
        <v>312868</v>
      </c>
      <c r="L681" s="45">
        <v>0</v>
      </c>
      <c r="M681" s="45">
        <v>1</v>
      </c>
      <c r="O681" s="45">
        <v>383804</v>
      </c>
      <c r="P681" s="45">
        <v>0</v>
      </c>
      <c r="Q681" s="45">
        <v>2</v>
      </c>
      <c r="R681" s="45">
        <v>350883</v>
      </c>
      <c r="S681" s="45">
        <v>0</v>
      </c>
      <c r="T681" s="45">
        <v>3</v>
      </c>
      <c r="U681" s="45">
        <v>402677</v>
      </c>
      <c r="V681" s="45">
        <v>34</v>
      </c>
      <c r="W681" s="45">
        <v>2</v>
      </c>
      <c r="X681" s="45">
        <v>345816</v>
      </c>
      <c r="Y681" s="45">
        <v>0</v>
      </c>
      <c r="Z681" s="45">
        <v>2</v>
      </c>
      <c r="AB681" s="45">
        <v>413823</v>
      </c>
      <c r="AC681" s="45">
        <v>0</v>
      </c>
      <c r="AD681" s="45">
        <v>2</v>
      </c>
      <c r="AE681" s="45">
        <v>415124</v>
      </c>
      <c r="AF681" s="45">
        <v>0</v>
      </c>
      <c r="AG681" s="45">
        <v>1</v>
      </c>
      <c r="AH681" s="45">
        <v>413221</v>
      </c>
      <c r="AI681" s="45">
        <v>0</v>
      </c>
      <c r="AJ681" s="45">
        <v>1</v>
      </c>
      <c r="AK681" s="45">
        <v>401779</v>
      </c>
      <c r="AL681" s="45">
        <v>0</v>
      </c>
      <c r="AM681" s="45">
        <v>1</v>
      </c>
      <c r="AO681" s="45">
        <v>324510</v>
      </c>
      <c r="AP681" s="45">
        <v>0</v>
      </c>
      <c r="AQ681" s="45">
        <v>1</v>
      </c>
      <c r="AR681" s="45">
        <v>330637</v>
      </c>
      <c r="AS681" s="45">
        <v>0</v>
      </c>
      <c r="AT681" s="45">
        <v>1</v>
      </c>
      <c r="AU681" s="45">
        <v>365136</v>
      </c>
      <c r="AV681" s="45">
        <v>27</v>
      </c>
      <c r="AW681" s="45">
        <v>2</v>
      </c>
      <c r="AX681" s="45">
        <v>328374</v>
      </c>
      <c r="AY681" s="45">
        <v>0</v>
      </c>
      <c r="AZ681" s="45">
        <v>2</v>
      </c>
    </row>
    <row r="682" spans="2:52">
      <c r="B682" s="45">
        <v>335797</v>
      </c>
      <c r="C682" s="45">
        <v>0</v>
      </c>
      <c r="D682" s="45">
        <v>3</v>
      </c>
      <c r="E682" s="45">
        <v>332693</v>
      </c>
      <c r="F682" s="45">
        <v>0</v>
      </c>
      <c r="G682" s="45">
        <v>2</v>
      </c>
      <c r="H682" s="45">
        <v>353474</v>
      </c>
      <c r="I682" s="45">
        <v>0</v>
      </c>
      <c r="J682" s="45">
        <v>1</v>
      </c>
      <c r="K682" s="45">
        <v>357712</v>
      </c>
      <c r="L682" s="45">
        <v>0</v>
      </c>
      <c r="M682" s="45">
        <v>1</v>
      </c>
      <c r="O682" s="45">
        <v>395342</v>
      </c>
      <c r="P682" s="45">
        <v>0</v>
      </c>
      <c r="Q682" s="45">
        <v>2</v>
      </c>
      <c r="R682" s="45">
        <v>375831</v>
      </c>
      <c r="S682" s="45">
        <v>0</v>
      </c>
      <c r="T682" s="45">
        <v>1</v>
      </c>
      <c r="U682" s="45">
        <v>387201</v>
      </c>
      <c r="V682" s="45">
        <v>0</v>
      </c>
      <c r="W682" s="45">
        <v>2</v>
      </c>
      <c r="X682" s="45">
        <v>370281</v>
      </c>
      <c r="Y682" s="45">
        <v>0</v>
      </c>
      <c r="Z682" s="45">
        <v>3</v>
      </c>
      <c r="AB682" s="45">
        <v>433945</v>
      </c>
      <c r="AC682" s="45">
        <v>0</v>
      </c>
      <c r="AD682" s="45">
        <v>1</v>
      </c>
      <c r="AE682" s="45">
        <v>431516</v>
      </c>
      <c r="AF682" s="45">
        <v>0</v>
      </c>
      <c r="AG682" s="45">
        <v>1</v>
      </c>
      <c r="AH682" s="45">
        <v>445382</v>
      </c>
      <c r="AI682" s="45">
        <v>0</v>
      </c>
      <c r="AJ682" s="45">
        <v>1</v>
      </c>
      <c r="AK682" s="45">
        <v>426666</v>
      </c>
      <c r="AL682" s="45">
        <v>0</v>
      </c>
      <c r="AM682" s="45">
        <v>1</v>
      </c>
      <c r="AO682" s="45">
        <v>355445</v>
      </c>
      <c r="AP682" s="45">
        <v>0</v>
      </c>
      <c r="AQ682" s="45">
        <v>1</v>
      </c>
      <c r="AR682" s="45">
        <v>355544</v>
      </c>
      <c r="AS682" s="45">
        <v>0</v>
      </c>
      <c r="AT682" s="45">
        <v>2</v>
      </c>
      <c r="AU682" s="45">
        <v>364184</v>
      </c>
      <c r="AV682" s="45">
        <v>0</v>
      </c>
      <c r="AW682" s="45">
        <v>2</v>
      </c>
      <c r="AX682" s="45">
        <v>342058</v>
      </c>
      <c r="AY682" s="45">
        <v>0</v>
      </c>
      <c r="AZ682" s="45">
        <v>2</v>
      </c>
    </row>
    <row r="683" spans="2:52">
      <c r="B683" s="45">
        <v>322499</v>
      </c>
      <c r="C683" s="45">
        <v>0</v>
      </c>
      <c r="D683" s="45">
        <v>4</v>
      </c>
      <c r="E683" s="45">
        <v>349202</v>
      </c>
      <c r="F683" s="45">
        <v>0</v>
      </c>
      <c r="G683" s="45">
        <v>2</v>
      </c>
      <c r="H683" s="45">
        <v>341238</v>
      </c>
      <c r="I683" s="45">
        <v>0</v>
      </c>
      <c r="J683" s="45">
        <v>1</v>
      </c>
      <c r="K683" s="45">
        <v>332113</v>
      </c>
      <c r="L683" s="45">
        <v>0</v>
      </c>
      <c r="M683" s="45">
        <v>2</v>
      </c>
      <c r="O683" s="45">
        <v>390335</v>
      </c>
      <c r="P683" s="45">
        <v>0</v>
      </c>
      <c r="Q683" s="45">
        <v>2</v>
      </c>
      <c r="R683" s="45">
        <v>371118</v>
      </c>
      <c r="S683" s="45">
        <v>0</v>
      </c>
      <c r="T683" s="45">
        <v>2</v>
      </c>
      <c r="U683" s="45">
        <v>368639</v>
      </c>
      <c r="V683" s="45">
        <v>0</v>
      </c>
      <c r="W683" s="45">
        <v>1</v>
      </c>
      <c r="X683" s="45">
        <v>351866</v>
      </c>
      <c r="Y683" s="45">
        <v>0</v>
      </c>
      <c r="Z683" s="45">
        <v>3</v>
      </c>
      <c r="AB683" s="45">
        <v>425735</v>
      </c>
      <c r="AC683" s="45">
        <v>0</v>
      </c>
      <c r="AD683" s="45">
        <v>1</v>
      </c>
      <c r="AE683" s="45">
        <v>402303</v>
      </c>
      <c r="AF683" s="45">
        <v>0</v>
      </c>
      <c r="AG683" s="45">
        <v>1</v>
      </c>
      <c r="AH683" s="45">
        <v>393939</v>
      </c>
      <c r="AI683" s="45">
        <v>0</v>
      </c>
      <c r="AJ683" s="45">
        <v>1</v>
      </c>
      <c r="AK683" s="45">
        <v>401653</v>
      </c>
      <c r="AL683" s="45">
        <v>0</v>
      </c>
      <c r="AM683" s="45">
        <v>1</v>
      </c>
      <c r="AO683" s="45">
        <v>326538</v>
      </c>
      <c r="AP683" s="45">
        <v>0</v>
      </c>
      <c r="AQ683" s="45">
        <v>2</v>
      </c>
      <c r="AR683" s="45">
        <v>347962</v>
      </c>
      <c r="AS683" s="45">
        <v>0</v>
      </c>
      <c r="AT683" s="45">
        <v>2</v>
      </c>
      <c r="AU683" s="45">
        <v>341388</v>
      </c>
      <c r="AV683" s="45">
        <v>0</v>
      </c>
      <c r="AW683" s="45">
        <v>2</v>
      </c>
      <c r="AX683" s="45">
        <v>358944</v>
      </c>
      <c r="AY683" s="45">
        <v>0</v>
      </c>
      <c r="AZ683" s="45">
        <v>1</v>
      </c>
    </row>
    <row r="684" spans="2:52">
      <c r="B684" s="45">
        <v>392355</v>
      </c>
      <c r="C684" s="45">
        <v>0</v>
      </c>
      <c r="D684" s="45">
        <v>2</v>
      </c>
      <c r="E684" s="45">
        <v>414121</v>
      </c>
      <c r="F684" s="45">
        <v>0</v>
      </c>
      <c r="G684" s="45">
        <v>1</v>
      </c>
      <c r="H684" s="45">
        <v>392167</v>
      </c>
      <c r="I684" s="45">
        <v>0</v>
      </c>
      <c r="J684" s="45">
        <v>1</v>
      </c>
      <c r="K684" s="45">
        <v>395168</v>
      </c>
      <c r="L684" s="45">
        <v>0</v>
      </c>
      <c r="M684" s="45">
        <v>1</v>
      </c>
      <c r="O684" s="45">
        <v>432548</v>
      </c>
      <c r="P684" s="45">
        <v>0</v>
      </c>
      <c r="Q684" s="45">
        <v>2</v>
      </c>
      <c r="R684" s="45">
        <v>424204</v>
      </c>
      <c r="S684" s="45">
        <v>0</v>
      </c>
      <c r="T684" s="45">
        <v>2</v>
      </c>
      <c r="U684" s="45">
        <v>410617</v>
      </c>
      <c r="V684" s="45">
        <v>0</v>
      </c>
      <c r="W684" s="45">
        <v>3</v>
      </c>
      <c r="X684" s="45">
        <v>444006</v>
      </c>
      <c r="Y684" s="45">
        <v>0</v>
      </c>
      <c r="Z684" s="45">
        <v>2</v>
      </c>
      <c r="AB684" s="45">
        <v>472525</v>
      </c>
      <c r="AC684" s="45">
        <v>0</v>
      </c>
      <c r="AD684" s="45">
        <v>1</v>
      </c>
      <c r="AE684" s="45">
        <v>501507</v>
      </c>
      <c r="AF684" s="45">
        <v>0</v>
      </c>
      <c r="AG684" s="45">
        <v>1</v>
      </c>
      <c r="AH684" s="45">
        <v>468621</v>
      </c>
      <c r="AI684" s="45">
        <v>0</v>
      </c>
      <c r="AJ684" s="45">
        <v>1</v>
      </c>
      <c r="AK684" s="45">
        <v>448933</v>
      </c>
      <c r="AL684" s="45">
        <v>0</v>
      </c>
      <c r="AM684" s="45">
        <v>1</v>
      </c>
      <c r="AO684" s="45">
        <v>412823</v>
      </c>
      <c r="AP684" s="45">
        <v>8</v>
      </c>
      <c r="AQ684" s="45">
        <v>4</v>
      </c>
      <c r="AR684" s="45">
        <v>400327</v>
      </c>
      <c r="AS684" s="45">
        <v>0</v>
      </c>
      <c r="AT684" s="45">
        <v>3</v>
      </c>
      <c r="AU684" s="45">
        <v>408819</v>
      </c>
      <c r="AV684" s="45">
        <v>0</v>
      </c>
      <c r="AW684" s="45">
        <v>2</v>
      </c>
      <c r="AX684" s="45">
        <v>393588</v>
      </c>
      <c r="AY684" s="45">
        <v>0</v>
      </c>
      <c r="AZ684" s="45">
        <v>1</v>
      </c>
    </row>
    <row r="685" spans="2:52">
      <c r="B685" s="45">
        <v>377586</v>
      </c>
      <c r="C685" s="45">
        <v>0</v>
      </c>
      <c r="D685" s="45">
        <v>2</v>
      </c>
      <c r="E685" s="45">
        <v>401223</v>
      </c>
      <c r="F685" s="45">
        <v>0</v>
      </c>
      <c r="G685" s="45">
        <v>1</v>
      </c>
      <c r="H685" s="45">
        <v>385753</v>
      </c>
      <c r="I685" s="45">
        <v>0</v>
      </c>
      <c r="J685" s="45">
        <v>2</v>
      </c>
      <c r="K685" s="45">
        <v>394305</v>
      </c>
      <c r="L685" s="45">
        <v>0</v>
      </c>
      <c r="M685" s="45">
        <v>2</v>
      </c>
      <c r="O685" s="45">
        <v>429579</v>
      </c>
      <c r="P685" s="45">
        <v>0</v>
      </c>
      <c r="Q685" s="45">
        <v>2</v>
      </c>
      <c r="R685" s="45">
        <v>424742</v>
      </c>
      <c r="S685" s="45">
        <v>0</v>
      </c>
      <c r="T685" s="45">
        <v>2</v>
      </c>
      <c r="U685" s="45">
        <v>415639</v>
      </c>
      <c r="V685" s="45">
        <v>0</v>
      </c>
      <c r="W685" s="45">
        <v>2</v>
      </c>
      <c r="X685" s="45">
        <v>399873</v>
      </c>
      <c r="Y685" s="45">
        <v>0</v>
      </c>
      <c r="Z685" s="45">
        <v>2</v>
      </c>
      <c r="AB685" s="45">
        <v>453189</v>
      </c>
      <c r="AC685" s="45">
        <v>0</v>
      </c>
      <c r="AD685" s="45">
        <v>1</v>
      </c>
      <c r="AE685" s="45">
        <v>450262</v>
      </c>
      <c r="AF685" s="45">
        <v>0</v>
      </c>
      <c r="AG685" s="45">
        <v>0</v>
      </c>
      <c r="AH685" s="45">
        <v>457133</v>
      </c>
      <c r="AI685" s="45">
        <v>0</v>
      </c>
      <c r="AJ685" s="45">
        <v>1</v>
      </c>
      <c r="AK685" s="45">
        <v>465926</v>
      </c>
      <c r="AL685" s="45">
        <v>0</v>
      </c>
      <c r="AM685" s="45">
        <v>1</v>
      </c>
      <c r="AO685" s="45">
        <v>385004</v>
      </c>
      <c r="AP685" s="45">
        <v>0</v>
      </c>
      <c r="AQ685" s="45">
        <v>2</v>
      </c>
      <c r="AR685" s="45">
        <v>389863</v>
      </c>
      <c r="AS685" s="45">
        <v>0</v>
      </c>
      <c r="AT685" s="45">
        <v>1</v>
      </c>
      <c r="AU685" s="45">
        <v>399877</v>
      </c>
      <c r="AV685" s="45">
        <v>0</v>
      </c>
      <c r="AW685" s="45">
        <v>1</v>
      </c>
      <c r="AX685" s="45">
        <v>373133</v>
      </c>
      <c r="AY685" s="45">
        <v>0</v>
      </c>
      <c r="AZ685" s="45">
        <v>4</v>
      </c>
    </row>
    <row r="686" spans="2:52">
      <c r="B686" s="45">
        <v>372833</v>
      </c>
      <c r="C686" s="45">
        <v>0</v>
      </c>
      <c r="D686" s="45">
        <v>2</v>
      </c>
      <c r="E686" s="45">
        <v>365612</v>
      </c>
      <c r="F686" s="45">
        <v>1</v>
      </c>
      <c r="G686" s="45">
        <v>3</v>
      </c>
      <c r="H686" s="45">
        <v>363371</v>
      </c>
      <c r="I686" s="45">
        <v>0</v>
      </c>
      <c r="J686" s="45">
        <v>2</v>
      </c>
      <c r="K686" s="45">
        <v>367516</v>
      </c>
      <c r="L686" s="45">
        <v>0</v>
      </c>
      <c r="M686" s="45">
        <v>1</v>
      </c>
      <c r="O686" s="45">
        <v>409487</v>
      </c>
      <c r="P686" s="45">
        <v>0</v>
      </c>
      <c r="Q686" s="45">
        <v>2</v>
      </c>
      <c r="R686" s="45">
        <v>376066</v>
      </c>
      <c r="S686" s="45">
        <v>0</v>
      </c>
      <c r="T686" s="45">
        <v>1</v>
      </c>
      <c r="U686" s="45">
        <v>383560</v>
      </c>
      <c r="V686" s="45">
        <v>0</v>
      </c>
      <c r="W686" s="45">
        <v>4</v>
      </c>
      <c r="X686" s="45">
        <v>379453</v>
      </c>
      <c r="Y686" s="45">
        <v>0</v>
      </c>
      <c r="Z686" s="45">
        <v>3</v>
      </c>
      <c r="AB686" s="45">
        <v>430274</v>
      </c>
      <c r="AC686" s="45">
        <v>0</v>
      </c>
      <c r="AD686" s="45">
        <v>2</v>
      </c>
      <c r="AE686" s="45">
        <v>427316</v>
      </c>
      <c r="AF686" s="45">
        <v>0</v>
      </c>
      <c r="AG686" s="45">
        <v>0</v>
      </c>
      <c r="AH686" s="45">
        <v>424575</v>
      </c>
      <c r="AI686" s="45">
        <v>0</v>
      </c>
      <c r="AJ686" s="45">
        <v>2</v>
      </c>
      <c r="AK686" s="45">
        <v>436135</v>
      </c>
      <c r="AL686" s="45">
        <v>0</v>
      </c>
      <c r="AM686" s="45">
        <v>0</v>
      </c>
      <c r="AO686" s="45">
        <v>384945</v>
      </c>
      <c r="AP686" s="45">
        <v>0</v>
      </c>
      <c r="AQ686" s="45">
        <v>4</v>
      </c>
      <c r="AR686" s="45">
        <v>373932</v>
      </c>
      <c r="AS686" s="45">
        <v>0</v>
      </c>
      <c r="AT686" s="45">
        <v>1</v>
      </c>
      <c r="AU686" s="45">
        <v>372589</v>
      </c>
      <c r="AV686" s="45">
        <v>0</v>
      </c>
      <c r="AW686" s="45">
        <v>2</v>
      </c>
      <c r="AX686" s="45">
        <v>380590</v>
      </c>
      <c r="AY686" s="45">
        <v>0</v>
      </c>
      <c r="AZ686" s="45">
        <v>1</v>
      </c>
    </row>
    <row r="687" spans="2:52">
      <c r="B687" s="45">
        <v>385876</v>
      </c>
      <c r="C687" s="45">
        <v>0</v>
      </c>
      <c r="D687" s="45">
        <v>2</v>
      </c>
      <c r="E687" s="45">
        <v>375512</v>
      </c>
      <c r="F687" s="45">
        <v>0</v>
      </c>
      <c r="G687" s="45">
        <v>2</v>
      </c>
      <c r="H687" s="45">
        <v>379125</v>
      </c>
      <c r="I687" s="45">
        <v>0</v>
      </c>
      <c r="J687" s="45">
        <v>1</v>
      </c>
      <c r="K687" s="45">
        <v>390200</v>
      </c>
      <c r="L687" s="45">
        <v>0</v>
      </c>
      <c r="M687" s="45">
        <v>1</v>
      </c>
      <c r="O687" s="45">
        <v>397866</v>
      </c>
      <c r="P687" s="45">
        <v>0</v>
      </c>
      <c r="Q687" s="45">
        <v>2</v>
      </c>
      <c r="R687" s="45">
        <v>414146</v>
      </c>
      <c r="S687" s="45">
        <v>0</v>
      </c>
      <c r="T687" s="45">
        <v>2</v>
      </c>
      <c r="U687" s="45">
        <v>397308</v>
      </c>
      <c r="V687" s="45">
        <v>0</v>
      </c>
      <c r="W687" s="45">
        <v>2</v>
      </c>
      <c r="X687" s="45">
        <v>400178</v>
      </c>
      <c r="Y687" s="45">
        <v>28</v>
      </c>
      <c r="Z687" s="45">
        <v>4</v>
      </c>
      <c r="AB687" s="45">
        <v>433416</v>
      </c>
      <c r="AC687" s="45">
        <v>0</v>
      </c>
      <c r="AD687" s="45">
        <v>1</v>
      </c>
      <c r="AE687" s="45">
        <v>448460</v>
      </c>
      <c r="AF687" s="45">
        <v>0</v>
      </c>
      <c r="AG687" s="45">
        <v>1</v>
      </c>
      <c r="AH687" s="45">
        <v>457397</v>
      </c>
      <c r="AI687" s="45">
        <v>0</v>
      </c>
      <c r="AJ687" s="45">
        <v>1</v>
      </c>
      <c r="AK687" s="45">
        <v>433430</v>
      </c>
      <c r="AL687" s="45">
        <v>0</v>
      </c>
      <c r="AM687" s="45">
        <v>1</v>
      </c>
      <c r="AO687" s="45">
        <v>365428</v>
      </c>
      <c r="AP687" s="45">
        <v>0</v>
      </c>
      <c r="AQ687" s="45">
        <v>4</v>
      </c>
      <c r="AR687" s="45">
        <v>372295</v>
      </c>
      <c r="AS687" s="45">
        <v>0</v>
      </c>
      <c r="AT687" s="45">
        <v>1</v>
      </c>
      <c r="AU687" s="45">
        <v>410613</v>
      </c>
      <c r="AV687" s="45">
        <v>26</v>
      </c>
      <c r="AW687" s="45">
        <v>4</v>
      </c>
      <c r="AX687" s="45">
        <v>357421</v>
      </c>
      <c r="AY687" s="45">
        <v>0</v>
      </c>
      <c r="AZ687" s="45">
        <v>2</v>
      </c>
    </row>
    <row r="688" spans="2:52">
      <c r="B688" s="45">
        <v>352097</v>
      </c>
      <c r="C688" s="45">
        <v>0</v>
      </c>
      <c r="D688" s="45">
        <v>2</v>
      </c>
      <c r="E688" s="45">
        <v>371160</v>
      </c>
      <c r="F688" s="45">
        <v>0</v>
      </c>
      <c r="G688" s="45">
        <v>1</v>
      </c>
      <c r="H688" s="45">
        <v>333919</v>
      </c>
      <c r="I688" s="45">
        <v>0</v>
      </c>
      <c r="J688" s="45">
        <v>1</v>
      </c>
      <c r="K688" s="45">
        <v>358112</v>
      </c>
      <c r="L688" s="45">
        <v>0</v>
      </c>
      <c r="M688" s="45">
        <v>2</v>
      </c>
      <c r="O688" s="45">
        <v>368153</v>
      </c>
      <c r="P688" s="45">
        <v>0</v>
      </c>
      <c r="Q688" s="45">
        <v>3</v>
      </c>
      <c r="R688" s="45">
        <v>381953</v>
      </c>
      <c r="S688" s="45">
        <v>0</v>
      </c>
      <c r="T688" s="45">
        <v>2</v>
      </c>
      <c r="U688" s="45">
        <v>382781</v>
      </c>
      <c r="V688" s="45">
        <v>0</v>
      </c>
      <c r="W688" s="45">
        <v>2</v>
      </c>
      <c r="X688" s="45">
        <v>366787</v>
      </c>
      <c r="Y688" s="45">
        <v>0</v>
      </c>
      <c r="Z688" s="45">
        <v>3</v>
      </c>
      <c r="AB688" s="45">
        <v>398574</v>
      </c>
      <c r="AC688" s="45">
        <v>0</v>
      </c>
      <c r="AD688" s="45">
        <v>1</v>
      </c>
      <c r="AE688" s="45">
        <v>407895</v>
      </c>
      <c r="AF688" s="45">
        <v>0</v>
      </c>
      <c r="AG688" s="45">
        <v>1</v>
      </c>
      <c r="AH688" s="45">
        <v>420654</v>
      </c>
      <c r="AI688" s="45">
        <v>0</v>
      </c>
      <c r="AJ688" s="45">
        <v>1</v>
      </c>
      <c r="AK688" s="45">
        <v>408537</v>
      </c>
      <c r="AL688" s="45">
        <v>0</v>
      </c>
      <c r="AM688" s="45">
        <v>1</v>
      </c>
      <c r="AO688" s="45">
        <v>365885</v>
      </c>
      <c r="AP688" s="45">
        <v>0</v>
      </c>
      <c r="AQ688" s="45">
        <v>3</v>
      </c>
      <c r="AR688" s="45">
        <v>348642</v>
      </c>
      <c r="AS688" s="45">
        <v>0</v>
      </c>
      <c r="AT688" s="45">
        <v>1</v>
      </c>
      <c r="AU688" s="45">
        <v>341836</v>
      </c>
      <c r="AV688" s="45">
        <v>0</v>
      </c>
      <c r="AW688" s="45">
        <v>1</v>
      </c>
      <c r="AX688" s="45">
        <v>358918</v>
      </c>
      <c r="AY688" s="45">
        <v>0</v>
      </c>
      <c r="AZ688" s="45">
        <v>2</v>
      </c>
    </row>
    <row r="689" spans="2:52">
      <c r="B689" s="45">
        <v>302296</v>
      </c>
      <c r="C689" s="45">
        <v>0</v>
      </c>
      <c r="D689" s="45">
        <v>5</v>
      </c>
      <c r="E689" s="45">
        <v>322314</v>
      </c>
      <c r="F689" s="45">
        <v>0</v>
      </c>
      <c r="G689" s="45">
        <v>1</v>
      </c>
      <c r="H689" s="45">
        <v>319401</v>
      </c>
      <c r="I689" s="45">
        <v>0</v>
      </c>
      <c r="J689" s="45">
        <v>1</v>
      </c>
      <c r="K689" s="45">
        <v>309423</v>
      </c>
      <c r="L689" s="45">
        <v>0</v>
      </c>
      <c r="M689" s="45">
        <v>2</v>
      </c>
      <c r="O689" s="45">
        <v>350871</v>
      </c>
      <c r="P689" s="45">
        <v>0</v>
      </c>
      <c r="Q689" s="45">
        <v>2</v>
      </c>
      <c r="R689" s="45">
        <v>347888</v>
      </c>
      <c r="S689" s="45">
        <v>0</v>
      </c>
      <c r="T689" s="45">
        <v>2</v>
      </c>
      <c r="U689" s="45">
        <v>349443</v>
      </c>
      <c r="V689" s="45">
        <v>0</v>
      </c>
      <c r="W689" s="45">
        <v>2</v>
      </c>
      <c r="X689" s="45">
        <v>347585</v>
      </c>
      <c r="Y689" s="45">
        <v>4</v>
      </c>
      <c r="Z689" s="45">
        <v>3</v>
      </c>
      <c r="AB689" s="45">
        <v>381530</v>
      </c>
      <c r="AC689" s="45">
        <v>0</v>
      </c>
      <c r="AD689" s="45">
        <v>1</v>
      </c>
      <c r="AE689" s="45">
        <v>382889</v>
      </c>
      <c r="AF689" s="45">
        <v>0</v>
      </c>
      <c r="AG689" s="45">
        <v>1</v>
      </c>
      <c r="AH689" s="45">
        <v>378674</v>
      </c>
      <c r="AI689" s="45">
        <v>0</v>
      </c>
      <c r="AJ689" s="45">
        <v>1</v>
      </c>
      <c r="AK689" s="45">
        <v>389470</v>
      </c>
      <c r="AL689" s="45">
        <v>0</v>
      </c>
      <c r="AM689" s="45">
        <v>1</v>
      </c>
      <c r="AO689" s="45">
        <v>369057</v>
      </c>
      <c r="AP689" s="45">
        <v>44</v>
      </c>
      <c r="AQ689" s="45">
        <v>6</v>
      </c>
      <c r="AR689" s="45">
        <v>330328</v>
      </c>
      <c r="AS689" s="45">
        <v>0</v>
      </c>
      <c r="AT689" s="45">
        <v>1</v>
      </c>
      <c r="AU689" s="45">
        <v>317825</v>
      </c>
      <c r="AV689" s="45">
        <v>0</v>
      </c>
      <c r="AW689" s="45">
        <v>1</v>
      </c>
      <c r="AX689" s="45">
        <v>325989</v>
      </c>
      <c r="AY689" s="45">
        <v>0</v>
      </c>
      <c r="AZ689" s="45">
        <v>2</v>
      </c>
    </row>
    <row r="690" spans="2:52">
      <c r="B690" s="45">
        <v>345945</v>
      </c>
      <c r="C690" s="45">
        <v>0</v>
      </c>
      <c r="D690" s="45">
        <v>1</v>
      </c>
      <c r="E690" s="45">
        <v>373072</v>
      </c>
      <c r="F690" s="45">
        <v>0</v>
      </c>
      <c r="G690" s="45">
        <v>2</v>
      </c>
      <c r="H690" s="45">
        <v>369178</v>
      </c>
      <c r="I690" s="45">
        <v>0</v>
      </c>
      <c r="J690" s="45">
        <v>1</v>
      </c>
      <c r="K690" s="45">
        <v>351035</v>
      </c>
      <c r="L690" s="45">
        <v>0</v>
      </c>
      <c r="M690" s="45">
        <v>1</v>
      </c>
      <c r="O690" s="45">
        <v>389233</v>
      </c>
      <c r="P690" s="45">
        <v>0</v>
      </c>
      <c r="Q690" s="45">
        <v>3</v>
      </c>
      <c r="R690" s="45">
        <v>387561</v>
      </c>
      <c r="S690" s="45">
        <v>0</v>
      </c>
      <c r="T690" s="45">
        <v>2</v>
      </c>
      <c r="U690" s="45">
        <v>386159</v>
      </c>
      <c r="V690" s="45">
        <v>0</v>
      </c>
      <c r="W690" s="45">
        <v>2</v>
      </c>
      <c r="X690" s="45">
        <v>377202</v>
      </c>
      <c r="Y690" s="45">
        <v>0</v>
      </c>
      <c r="Z690" s="45">
        <v>3</v>
      </c>
      <c r="AB690" s="45">
        <v>455800</v>
      </c>
      <c r="AC690" s="45">
        <v>0</v>
      </c>
      <c r="AD690" s="45">
        <v>1</v>
      </c>
      <c r="AE690" s="45">
        <v>431787</v>
      </c>
      <c r="AF690" s="45">
        <v>0</v>
      </c>
      <c r="AG690" s="45">
        <v>1</v>
      </c>
      <c r="AH690" s="45">
        <v>440847</v>
      </c>
      <c r="AI690" s="45">
        <v>0</v>
      </c>
      <c r="AJ690" s="45">
        <v>1</v>
      </c>
      <c r="AK690" s="45">
        <v>418289</v>
      </c>
      <c r="AL690" s="45">
        <v>0</v>
      </c>
      <c r="AM690" s="45">
        <v>1</v>
      </c>
      <c r="AO690" s="45">
        <v>368314</v>
      </c>
      <c r="AP690" s="45">
        <v>0</v>
      </c>
      <c r="AQ690" s="45">
        <v>4</v>
      </c>
      <c r="AR690" s="45">
        <v>363898</v>
      </c>
      <c r="AS690" s="45">
        <v>0</v>
      </c>
      <c r="AT690" s="45">
        <v>1</v>
      </c>
      <c r="AU690" s="45">
        <v>368798</v>
      </c>
      <c r="AV690" s="45">
        <v>0</v>
      </c>
      <c r="AW690" s="45">
        <v>2</v>
      </c>
      <c r="AX690" s="45">
        <v>350016</v>
      </c>
      <c r="AY690" s="45">
        <v>0</v>
      </c>
      <c r="AZ690" s="45">
        <v>1</v>
      </c>
    </row>
    <row r="691" spans="2:52">
      <c r="B691" s="45">
        <v>326848</v>
      </c>
      <c r="C691" s="45">
        <v>0</v>
      </c>
      <c r="D691" s="45">
        <v>1</v>
      </c>
      <c r="E691" s="45">
        <v>308440</v>
      </c>
      <c r="F691" s="45">
        <v>0</v>
      </c>
      <c r="G691" s="45">
        <v>1</v>
      </c>
      <c r="H691" s="45">
        <v>320712</v>
      </c>
      <c r="I691" s="45">
        <v>0</v>
      </c>
      <c r="J691" s="45">
        <v>2</v>
      </c>
      <c r="K691" s="45">
        <v>302740</v>
      </c>
      <c r="L691" s="45">
        <v>0</v>
      </c>
      <c r="M691" s="45">
        <v>1</v>
      </c>
      <c r="O691" s="45">
        <v>417939</v>
      </c>
      <c r="P691" s="45">
        <v>72</v>
      </c>
      <c r="Q691" s="45">
        <v>4</v>
      </c>
      <c r="R691" s="45">
        <v>333567</v>
      </c>
      <c r="S691" s="45">
        <v>0</v>
      </c>
      <c r="T691" s="45">
        <v>2</v>
      </c>
      <c r="U691" s="45">
        <v>350678</v>
      </c>
      <c r="V691" s="45">
        <v>12</v>
      </c>
      <c r="W691" s="45">
        <v>3</v>
      </c>
      <c r="X691" s="45">
        <v>348706</v>
      </c>
      <c r="Y691" s="45">
        <v>42</v>
      </c>
      <c r="Z691" s="45">
        <v>3</v>
      </c>
      <c r="AB691" s="45">
        <v>378946</v>
      </c>
      <c r="AC691" s="45">
        <v>0</v>
      </c>
      <c r="AD691" s="45">
        <v>1</v>
      </c>
      <c r="AE691" s="45">
        <v>388371</v>
      </c>
      <c r="AF691" s="45">
        <v>0</v>
      </c>
      <c r="AG691" s="45">
        <v>1</v>
      </c>
      <c r="AH691" s="45">
        <v>371729</v>
      </c>
      <c r="AI691" s="45">
        <v>0</v>
      </c>
      <c r="AJ691" s="45">
        <v>1</v>
      </c>
      <c r="AK691" s="45">
        <v>377342</v>
      </c>
      <c r="AL691" s="45">
        <v>0</v>
      </c>
      <c r="AM691" s="45">
        <v>1</v>
      </c>
      <c r="AO691" s="45">
        <v>314832</v>
      </c>
      <c r="AP691" s="45">
        <v>0</v>
      </c>
      <c r="AQ691" s="45">
        <v>2</v>
      </c>
      <c r="AR691" s="45">
        <v>397382</v>
      </c>
      <c r="AS691" s="45">
        <v>93</v>
      </c>
      <c r="AT691" s="45">
        <v>3</v>
      </c>
      <c r="AU691" s="45">
        <v>307160</v>
      </c>
      <c r="AV691" s="45">
        <v>0</v>
      </c>
      <c r="AW691" s="45">
        <v>3</v>
      </c>
      <c r="AX691" s="45">
        <v>318640</v>
      </c>
      <c r="AY691" s="45">
        <v>0</v>
      </c>
      <c r="AZ691" s="45">
        <v>1</v>
      </c>
    </row>
    <row r="692" spans="2:52">
      <c r="B692" s="45">
        <v>398327</v>
      </c>
      <c r="C692" s="45">
        <v>0</v>
      </c>
      <c r="D692" s="45">
        <v>2</v>
      </c>
      <c r="E692" s="45">
        <v>390420</v>
      </c>
      <c r="F692" s="45">
        <v>0</v>
      </c>
      <c r="G692" s="45">
        <v>2</v>
      </c>
      <c r="H692" s="45">
        <v>394749</v>
      </c>
      <c r="I692" s="45">
        <v>0</v>
      </c>
      <c r="J692" s="45">
        <v>0</v>
      </c>
      <c r="K692" s="45">
        <v>377113</v>
      </c>
      <c r="L692" s="45">
        <v>0</v>
      </c>
      <c r="M692" s="45">
        <v>2</v>
      </c>
      <c r="O692" s="45">
        <v>387744</v>
      </c>
      <c r="P692" s="45">
        <v>0</v>
      </c>
      <c r="Q692" s="45">
        <v>3</v>
      </c>
      <c r="R692" s="45">
        <v>432487</v>
      </c>
      <c r="S692" s="45">
        <v>21</v>
      </c>
      <c r="T692" s="45">
        <v>3</v>
      </c>
      <c r="U692" s="45">
        <v>391478</v>
      </c>
      <c r="V692" s="45">
        <v>0</v>
      </c>
      <c r="W692" s="45">
        <v>2</v>
      </c>
      <c r="X692" s="45">
        <v>406557</v>
      </c>
      <c r="Y692" s="45">
        <v>0</v>
      </c>
      <c r="Z692" s="45">
        <v>2</v>
      </c>
      <c r="AB692" s="45">
        <v>458581</v>
      </c>
      <c r="AC692" s="45">
        <v>0</v>
      </c>
      <c r="AD692" s="45">
        <v>1</v>
      </c>
      <c r="AE692" s="45">
        <v>456851</v>
      </c>
      <c r="AF692" s="45">
        <v>0</v>
      </c>
      <c r="AG692" s="45">
        <v>1</v>
      </c>
      <c r="AH692" s="45">
        <v>447087</v>
      </c>
      <c r="AI692" s="45">
        <v>0</v>
      </c>
      <c r="AJ692" s="45">
        <v>1</v>
      </c>
      <c r="AK692" s="45">
        <v>440057</v>
      </c>
      <c r="AL692" s="45">
        <v>0</v>
      </c>
      <c r="AM692" s="45">
        <v>1</v>
      </c>
      <c r="AO692" s="45">
        <v>403724</v>
      </c>
      <c r="AP692" s="45">
        <v>0</v>
      </c>
      <c r="AQ692" s="45">
        <v>1</v>
      </c>
      <c r="AR692" s="45">
        <v>365011</v>
      </c>
      <c r="AS692" s="45">
        <v>0</v>
      </c>
      <c r="AT692" s="45">
        <v>1</v>
      </c>
      <c r="AU692" s="45">
        <v>361026</v>
      </c>
      <c r="AV692" s="45">
        <v>0</v>
      </c>
      <c r="AW692" s="45">
        <v>2</v>
      </c>
      <c r="AX692" s="45">
        <v>370642</v>
      </c>
      <c r="AY692" s="45">
        <v>0</v>
      </c>
      <c r="AZ692" s="45">
        <v>1</v>
      </c>
    </row>
    <row r="693" spans="2:52">
      <c r="B693" s="45">
        <v>306238</v>
      </c>
      <c r="C693" s="45">
        <v>0</v>
      </c>
      <c r="D693" s="45">
        <v>2</v>
      </c>
      <c r="E693" s="45">
        <v>312597</v>
      </c>
      <c r="F693" s="45">
        <v>0</v>
      </c>
      <c r="G693" s="45">
        <v>1</v>
      </c>
      <c r="H693" s="45">
        <v>322699</v>
      </c>
      <c r="I693" s="45">
        <v>9</v>
      </c>
      <c r="J693" s="45">
        <v>2</v>
      </c>
      <c r="K693" s="45">
        <v>331920</v>
      </c>
      <c r="L693" s="45">
        <v>25</v>
      </c>
      <c r="M693" s="45">
        <v>2</v>
      </c>
      <c r="O693" s="45">
        <v>355216</v>
      </c>
      <c r="P693" s="45">
        <v>0</v>
      </c>
      <c r="Q693" s="45">
        <v>2</v>
      </c>
      <c r="R693" s="45">
        <v>324850</v>
      </c>
      <c r="S693" s="45">
        <v>0</v>
      </c>
      <c r="T693" s="45">
        <v>2</v>
      </c>
      <c r="U693" s="45">
        <v>348209</v>
      </c>
      <c r="V693" s="45">
        <v>0</v>
      </c>
      <c r="W693" s="45">
        <v>2</v>
      </c>
      <c r="X693" s="45">
        <v>338104</v>
      </c>
      <c r="Y693" s="45">
        <v>0</v>
      </c>
      <c r="Z693" s="45">
        <v>2</v>
      </c>
      <c r="AB693" s="45">
        <v>365306</v>
      </c>
      <c r="AC693" s="45">
        <v>0</v>
      </c>
      <c r="AD693" s="45">
        <v>1</v>
      </c>
      <c r="AE693" s="45">
        <v>374377</v>
      </c>
      <c r="AF693" s="45">
        <v>0</v>
      </c>
      <c r="AG693" s="45">
        <v>1</v>
      </c>
      <c r="AH693" s="45">
        <v>372958</v>
      </c>
      <c r="AI693" s="45">
        <v>0</v>
      </c>
      <c r="AJ693" s="45">
        <v>1</v>
      </c>
      <c r="AK693" s="45">
        <v>364198</v>
      </c>
      <c r="AL693" s="45">
        <v>0</v>
      </c>
      <c r="AM693" s="45">
        <v>1</v>
      </c>
      <c r="AO693" s="45">
        <v>305099</v>
      </c>
      <c r="AP693" s="45">
        <v>0</v>
      </c>
      <c r="AQ693" s="45">
        <v>3</v>
      </c>
      <c r="AR693" s="45">
        <v>295650</v>
      </c>
      <c r="AS693" s="45">
        <v>0</v>
      </c>
      <c r="AT693" s="45">
        <v>1</v>
      </c>
      <c r="AU693" s="45">
        <v>317296</v>
      </c>
      <c r="AV693" s="45">
        <v>0</v>
      </c>
      <c r="AW693" s="45">
        <v>2</v>
      </c>
      <c r="AX693" s="45">
        <v>294023</v>
      </c>
      <c r="AY693" s="45">
        <v>0</v>
      </c>
      <c r="AZ693" s="45">
        <v>3</v>
      </c>
    </row>
    <row r="694" spans="2:52">
      <c r="B694" s="45">
        <v>292129</v>
      </c>
      <c r="C694" s="45">
        <v>0</v>
      </c>
      <c r="D694" s="45">
        <v>1</v>
      </c>
      <c r="E694" s="45">
        <v>295534</v>
      </c>
      <c r="F694" s="45">
        <v>0</v>
      </c>
      <c r="G694" s="45">
        <v>1</v>
      </c>
      <c r="H694" s="45">
        <v>355772</v>
      </c>
      <c r="I694" s="45">
        <v>74</v>
      </c>
      <c r="J694" s="45">
        <v>4</v>
      </c>
      <c r="K694" s="45">
        <v>287600</v>
      </c>
      <c r="L694" s="45">
        <v>0</v>
      </c>
      <c r="M694" s="45">
        <v>2</v>
      </c>
      <c r="O694" s="45">
        <v>285854</v>
      </c>
      <c r="P694" s="45">
        <v>0</v>
      </c>
      <c r="Q694" s="45">
        <v>3</v>
      </c>
      <c r="R694" s="45">
        <v>319588</v>
      </c>
      <c r="S694" s="45">
        <v>0</v>
      </c>
      <c r="T694" s="45">
        <v>2</v>
      </c>
      <c r="U694" s="45">
        <v>303027</v>
      </c>
      <c r="V694" s="45">
        <v>0</v>
      </c>
      <c r="W694" s="45">
        <v>2</v>
      </c>
      <c r="X694" s="45">
        <v>311637</v>
      </c>
      <c r="Y694" s="45">
        <v>0</v>
      </c>
      <c r="Z694" s="45">
        <v>3</v>
      </c>
      <c r="AB694" s="45">
        <v>357184</v>
      </c>
      <c r="AC694" s="45">
        <v>0</v>
      </c>
      <c r="AD694" s="45">
        <v>1</v>
      </c>
      <c r="AE694" s="45">
        <v>339688</v>
      </c>
      <c r="AF694" s="45">
        <v>0</v>
      </c>
      <c r="AG694" s="45">
        <v>1</v>
      </c>
      <c r="AH694" s="45">
        <v>338787</v>
      </c>
      <c r="AI694" s="45">
        <v>0</v>
      </c>
      <c r="AJ694" s="45">
        <v>1</v>
      </c>
      <c r="AK694" s="45">
        <v>338825</v>
      </c>
      <c r="AL694" s="45">
        <v>0</v>
      </c>
      <c r="AM694" s="45">
        <v>1</v>
      </c>
      <c r="AO694" s="45">
        <v>285810</v>
      </c>
      <c r="AP694" s="45">
        <v>0</v>
      </c>
      <c r="AQ694" s="45">
        <v>3</v>
      </c>
      <c r="AR694" s="45">
        <v>283938</v>
      </c>
      <c r="AS694" s="45">
        <v>0</v>
      </c>
      <c r="AT694" s="45">
        <v>2</v>
      </c>
      <c r="AU694" s="45">
        <v>268230</v>
      </c>
      <c r="AV694" s="45">
        <v>0</v>
      </c>
      <c r="AW694" s="45">
        <v>2</v>
      </c>
      <c r="AX694" s="45">
        <v>272012</v>
      </c>
      <c r="AY694" s="45">
        <v>0</v>
      </c>
      <c r="AZ694" s="45">
        <v>2</v>
      </c>
    </row>
    <row r="695" spans="2:52">
      <c r="B695" s="45">
        <v>311129</v>
      </c>
      <c r="C695" s="45">
        <v>0</v>
      </c>
      <c r="D695" s="45">
        <v>1</v>
      </c>
      <c r="E695" s="45">
        <v>311778</v>
      </c>
      <c r="F695" s="45">
        <v>0</v>
      </c>
      <c r="G695" s="45">
        <v>1</v>
      </c>
      <c r="H695" s="45">
        <v>312274</v>
      </c>
      <c r="I695" s="45">
        <v>7</v>
      </c>
      <c r="J695" s="45">
        <v>2</v>
      </c>
      <c r="K695" s="45">
        <v>303052</v>
      </c>
      <c r="L695" s="45">
        <v>0</v>
      </c>
      <c r="M695" s="45">
        <v>2</v>
      </c>
      <c r="O695" s="45">
        <v>337902</v>
      </c>
      <c r="P695" s="45">
        <v>0</v>
      </c>
      <c r="Q695" s="45">
        <v>2</v>
      </c>
      <c r="R695" s="45">
        <v>360116</v>
      </c>
      <c r="S695" s="45">
        <v>0</v>
      </c>
      <c r="T695" s="45">
        <v>2</v>
      </c>
      <c r="U695" s="45">
        <v>347067</v>
      </c>
      <c r="V695" s="45">
        <v>12</v>
      </c>
      <c r="W695" s="45">
        <v>2</v>
      </c>
      <c r="X695" s="45">
        <v>320192</v>
      </c>
      <c r="Y695" s="45">
        <v>0</v>
      </c>
      <c r="Z695" s="45">
        <v>3</v>
      </c>
      <c r="AB695" s="45">
        <v>382882</v>
      </c>
      <c r="AC695" s="45">
        <v>0</v>
      </c>
      <c r="AD695" s="45">
        <v>1</v>
      </c>
      <c r="AE695" s="45">
        <v>376462</v>
      </c>
      <c r="AF695" s="45">
        <v>0</v>
      </c>
      <c r="AG695" s="45">
        <v>1</v>
      </c>
      <c r="AH695" s="45">
        <v>382586</v>
      </c>
      <c r="AI695" s="45">
        <v>0</v>
      </c>
      <c r="AJ695" s="45">
        <v>1</v>
      </c>
      <c r="AK695" s="45">
        <v>393137</v>
      </c>
      <c r="AL695" s="45">
        <v>0</v>
      </c>
      <c r="AM695" s="45">
        <v>1</v>
      </c>
      <c r="AO695" s="45">
        <v>336578</v>
      </c>
      <c r="AP695" s="45">
        <v>0</v>
      </c>
      <c r="AQ695" s="45">
        <v>1</v>
      </c>
      <c r="AR695" s="45">
        <v>329806</v>
      </c>
      <c r="AS695" s="45">
        <v>0</v>
      </c>
      <c r="AT695" s="45">
        <v>2</v>
      </c>
      <c r="AU695" s="45">
        <v>316462</v>
      </c>
      <c r="AV695" s="45">
        <v>0</v>
      </c>
      <c r="AW695" s="45">
        <v>1</v>
      </c>
      <c r="AX695" s="45">
        <v>304405</v>
      </c>
      <c r="AY695" s="45">
        <v>0</v>
      </c>
      <c r="AZ695" s="45">
        <v>4</v>
      </c>
    </row>
    <row r="696" spans="2:52">
      <c r="B696" s="45">
        <v>420658</v>
      </c>
      <c r="C696" s="45">
        <v>102</v>
      </c>
      <c r="D696" s="45">
        <v>3</v>
      </c>
      <c r="E696" s="45">
        <v>324419</v>
      </c>
      <c r="F696" s="45">
        <v>11</v>
      </c>
      <c r="G696" s="45">
        <v>2</v>
      </c>
      <c r="H696" s="45">
        <v>307211</v>
      </c>
      <c r="I696" s="45">
        <v>0</v>
      </c>
      <c r="J696" s="45">
        <v>2</v>
      </c>
      <c r="K696" s="45">
        <v>307357</v>
      </c>
      <c r="L696" s="45">
        <v>0</v>
      </c>
      <c r="M696" s="45">
        <v>2</v>
      </c>
      <c r="O696" s="45">
        <v>355664</v>
      </c>
      <c r="P696" s="45">
        <v>0</v>
      </c>
      <c r="Q696" s="45">
        <v>2</v>
      </c>
      <c r="R696" s="45">
        <v>341257</v>
      </c>
      <c r="S696" s="45">
        <v>0</v>
      </c>
      <c r="T696" s="45">
        <v>2</v>
      </c>
      <c r="U696" s="45">
        <v>332890</v>
      </c>
      <c r="V696" s="45">
        <v>0</v>
      </c>
      <c r="W696" s="45">
        <v>2</v>
      </c>
      <c r="X696" s="45">
        <v>332634</v>
      </c>
      <c r="Y696" s="45">
        <v>0</v>
      </c>
      <c r="Z696" s="45">
        <v>3</v>
      </c>
      <c r="AB696" s="45">
        <v>400667</v>
      </c>
      <c r="AC696" s="45">
        <v>0</v>
      </c>
      <c r="AD696" s="45">
        <v>1</v>
      </c>
      <c r="AE696" s="45">
        <v>366694</v>
      </c>
      <c r="AF696" s="45">
        <v>0</v>
      </c>
      <c r="AG696" s="45">
        <v>1</v>
      </c>
      <c r="AH696" s="45">
        <v>374711</v>
      </c>
      <c r="AI696" s="45">
        <v>0</v>
      </c>
      <c r="AJ696" s="45">
        <v>1</v>
      </c>
      <c r="AK696" s="45">
        <v>391120</v>
      </c>
      <c r="AL696" s="45">
        <v>0</v>
      </c>
      <c r="AM696" s="45">
        <v>1</v>
      </c>
      <c r="AO696" s="45">
        <v>305657</v>
      </c>
      <c r="AP696" s="45">
        <v>0</v>
      </c>
      <c r="AQ696" s="45">
        <v>2</v>
      </c>
      <c r="AR696" s="45">
        <v>306106</v>
      </c>
      <c r="AS696" s="45">
        <v>0</v>
      </c>
      <c r="AT696" s="45">
        <v>2</v>
      </c>
      <c r="AU696" s="45">
        <v>328704</v>
      </c>
      <c r="AV696" s="45">
        <v>7</v>
      </c>
      <c r="AW696" s="45">
        <v>1</v>
      </c>
      <c r="AX696" s="45">
        <v>322973</v>
      </c>
      <c r="AY696" s="45">
        <v>24</v>
      </c>
      <c r="AZ696" s="45">
        <v>2</v>
      </c>
    </row>
    <row r="697" spans="2:52">
      <c r="B697" s="45">
        <v>295599</v>
      </c>
      <c r="C697" s="45">
        <v>0</v>
      </c>
      <c r="D697" s="45">
        <v>2</v>
      </c>
      <c r="E697" s="45">
        <v>306479</v>
      </c>
      <c r="F697" s="45">
        <v>0</v>
      </c>
      <c r="G697" s="45">
        <v>1</v>
      </c>
      <c r="H697" s="45">
        <v>307107</v>
      </c>
      <c r="I697" s="45">
        <v>19</v>
      </c>
      <c r="J697" s="45">
        <v>3</v>
      </c>
      <c r="K697" s="45">
        <v>291483</v>
      </c>
      <c r="L697" s="45">
        <v>0</v>
      </c>
      <c r="M697" s="45">
        <v>1</v>
      </c>
      <c r="O697" s="45">
        <v>330279</v>
      </c>
      <c r="P697" s="45">
        <v>0</v>
      </c>
      <c r="Q697" s="45">
        <v>3</v>
      </c>
      <c r="R697" s="45">
        <v>340317</v>
      </c>
      <c r="S697" s="45">
        <v>0</v>
      </c>
      <c r="T697" s="45">
        <v>2</v>
      </c>
      <c r="U697" s="45">
        <v>336114</v>
      </c>
      <c r="V697" s="45">
        <v>0</v>
      </c>
      <c r="W697" s="45">
        <v>2</v>
      </c>
      <c r="X697" s="45">
        <v>324087</v>
      </c>
      <c r="Y697" s="45">
        <v>0</v>
      </c>
      <c r="Z697" s="45">
        <v>4</v>
      </c>
      <c r="AB697" s="45">
        <v>373275</v>
      </c>
      <c r="AC697" s="45">
        <v>0</v>
      </c>
      <c r="AD697" s="45">
        <v>1</v>
      </c>
      <c r="AE697" s="45">
        <v>363014</v>
      </c>
      <c r="AF697" s="45">
        <v>0</v>
      </c>
      <c r="AG697" s="45">
        <v>0</v>
      </c>
      <c r="AH697" s="45">
        <v>384346</v>
      </c>
      <c r="AI697" s="45">
        <v>0</v>
      </c>
      <c r="AJ697" s="45">
        <v>1</v>
      </c>
      <c r="AK697" s="45">
        <v>373188</v>
      </c>
      <c r="AL697" s="45">
        <v>0</v>
      </c>
      <c r="AM697" s="45">
        <v>1</v>
      </c>
      <c r="AO697" s="45">
        <v>295593</v>
      </c>
      <c r="AP697" s="45">
        <v>0</v>
      </c>
      <c r="AQ697" s="45">
        <v>4</v>
      </c>
      <c r="AR697" s="45">
        <v>296814</v>
      </c>
      <c r="AS697" s="45">
        <v>0</v>
      </c>
      <c r="AT697" s="45">
        <v>2</v>
      </c>
      <c r="AU697" s="45">
        <v>295216</v>
      </c>
      <c r="AV697" s="45">
        <v>0</v>
      </c>
      <c r="AW697" s="45">
        <v>2</v>
      </c>
      <c r="AX697" s="45">
        <v>292439</v>
      </c>
      <c r="AY697" s="45">
        <v>0</v>
      </c>
      <c r="AZ697" s="45">
        <v>1</v>
      </c>
    </row>
    <row r="698" spans="2:52">
      <c r="B698" s="45">
        <v>341915</v>
      </c>
      <c r="C698" s="45">
        <v>0</v>
      </c>
      <c r="D698" s="45">
        <v>1</v>
      </c>
      <c r="E698" s="45">
        <v>336031</v>
      </c>
      <c r="F698" s="45">
        <v>0</v>
      </c>
      <c r="G698" s="45">
        <v>2</v>
      </c>
      <c r="H698" s="45">
        <v>339147</v>
      </c>
      <c r="I698" s="45">
        <v>0</v>
      </c>
      <c r="J698" s="45">
        <v>1</v>
      </c>
      <c r="K698" s="45">
        <v>338129</v>
      </c>
      <c r="L698" s="45">
        <v>0</v>
      </c>
      <c r="M698" s="45">
        <v>2</v>
      </c>
      <c r="O698" s="45">
        <v>361627</v>
      </c>
      <c r="P698" s="45">
        <v>0</v>
      </c>
      <c r="Q698" s="45">
        <v>3</v>
      </c>
      <c r="R698" s="45">
        <v>362763</v>
      </c>
      <c r="S698" s="45">
        <v>0</v>
      </c>
      <c r="T698" s="45">
        <v>2</v>
      </c>
      <c r="U698" s="45">
        <v>362212</v>
      </c>
      <c r="V698" s="45">
        <v>0</v>
      </c>
      <c r="W698" s="45">
        <v>2</v>
      </c>
      <c r="X698" s="45">
        <v>369757</v>
      </c>
      <c r="Y698" s="45">
        <v>0</v>
      </c>
      <c r="Z698" s="45">
        <v>2</v>
      </c>
      <c r="AB698" s="45">
        <v>432311</v>
      </c>
      <c r="AC698" s="45">
        <v>0</v>
      </c>
      <c r="AD698" s="45">
        <v>1</v>
      </c>
      <c r="AE698" s="45">
        <v>411066</v>
      </c>
      <c r="AF698" s="45">
        <v>0</v>
      </c>
      <c r="AG698" s="45">
        <v>1</v>
      </c>
      <c r="AH698" s="45">
        <v>417264</v>
      </c>
      <c r="AI698" s="45">
        <v>0</v>
      </c>
      <c r="AJ698" s="45">
        <v>1</v>
      </c>
      <c r="AK698" s="45">
        <v>396300</v>
      </c>
      <c r="AL698" s="45">
        <v>0</v>
      </c>
      <c r="AM698" s="45">
        <v>1</v>
      </c>
      <c r="AO698" s="45">
        <v>343246</v>
      </c>
      <c r="AP698" s="45">
        <v>0</v>
      </c>
      <c r="AQ698" s="45">
        <v>3</v>
      </c>
      <c r="AR698" s="45">
        <v>349332</v>
      </c>
      <c r="AS698" s="45">
        <v>0</v>
      </c>
      <c r="AT698" s="45">
        <v>2</v>
      </c>
      <c r="AU698" s="45">
        <v>338507</v>
      </c>
      <c r="AV698" s="45">
        <v>0</v>
      </c>
      <c r="AW698" s="45">
        <v>2</v>
      </c>
      <c r="AX698" s="45">
        <v>326553</v>
      </c>
      <c r="AY698" s="45">
        <v>0</v>
      </c>
      <c r="AZ698" s="45">
        <v>2</v>
      </c>
    </row>
    <row r="699" spans="2:52">
      <c r="B699" s="45">
        <v>341158</v>
      </c>
      <c r="C699" s="45">
        <v>18</v>
      </c>
      <c r="D699" s="45">
        <v>2</v>
      </c>
      <c r="E699" s="45">
        <v>330198</v>
      </c>
      <c r="F699" s="45">
        <v>0</v>
      </c>
      <c r="G699" s="45">
        <v>1</v>
      </c>
      <c r="H699" s="45">
        <v>384112</v>
      </c>
      <c r="I699" s="45">
        <v>49</v>
      </c>
      <c r="J699" s="45">
        <v>2</v>
      </c>
      <c r="K699" s="45">
        <v>324410</v>
      </c>
      <c r="L699" s="45">
        <v>0</v>
      </c>
      <c r="M699" s="45">
        <v>1</v>
      </c>
      <c r="O699" s="45">
        <v>341940</v>
      </c>
      <c r="P699" s="45">
        <v>0</v>
      </c>
      <c r="Q699" s="45">
        <v>3</v>
      </c>
      <c r="R699" s="45">
        <v>359808</v>
      </c>
      <c r="S699" s="45">
        <v>0</v>
      </c>
      <c r="T699" s="45">
        <v>3</v>
      </c>
      <c r="U699" s="45">
        <v>347181</v>
      </c>
      <c r="V699" s="45">
        <v>2</v>
      </c>
      <c r="W699" s="45">
        <v>2</v>
      </c>
      <c r="X699" s="45">
        <v>344279</v>
      </c>
      <c r="Y699" s="45">
        <v>0</v>
      </c>
      <c r="Z699" s="45">
        <v>3</v>
      </c>
      <c r="AB699" s="45">
        <v>388701</v>
      </c>
      <c r="AC699" s="45">
        <v>0</v>
      </c>
      <c r="AD699" s="45">
        <v>1</v>
      </c>
      <c r="AE699" s="45">
        <v>382475</v>
      </c>
      <c r="AF699" s="45">
        <v>0</v>
      </c>
      <c r="AG699" s="45">
        <v>1</v>
      </c>
      <c r="AH699" s="45">
        <v>380432</v>
      </c>
      <c r="AI699" s="45">
        <v>0</v>
      </c>
      <c r="AJ699" s="45">
        <v>1</v>
      </c>
      <c r="AK699" s="45">
        <v>386845</v>
      </c>
      <c r="AL699" s="45">
        <v>0</v>
      </c>
      <c r="AM699" s="45">
        <v>1</v>
      </c>
      <c r="AO699" s="45">
        <v>324277</v>
      </c>
      <c r="AP699" s="45">
        <v>0</v>
      </c>
      <c r="AQ699" s="45">
        <v>2</v>
      </c>
      <c r="AR699" s="45">
        <v>320596</v>
      </c>
      <c r="AS699" s="45">
        <v>0</v>
      </c>
      <c r="AT699" s="45">
        <v>1</v>
      </c>
      <c r="AU699" s="45">
        <v>309933</v>
      </c>
      <c r="AV699" s="45">
        <v>0</v>
      </c>
      <c r="AW699" s="45">
        <v>2</v>
      </c>
      <c r="AX699" s="45">
        <v>318208</v>
      </c>
      <c r="AY699" s="45">
        <v>0</v>
      </c>
      <c r="AZ699" s="45">
        <v>2</v>
      </c>
    </row>
    <row r="700" spans="2:52">
      <c r="B700" s="45">
        <v>312493</v>
      </c>
      <c r="C700" s="45">
        <v>0</v>
      </c>
      <c r="D700" s="45">
        <v>2</v>
      </c>
      <c r="E700" s="45">
        <v>297241</v>
      </c>
      <c r="F700" s="45">
        <v>0</v>
      </c>
      <c r="G700" s="45">
        <v>1</v>
      </c>
      <c r="H700" s="45">
        <v>322632</v>
      </c>
      <c r="I700" s="45">
        <v>31</v>
      </c>
      <c r="J700" s="45">
        <v>2</v>
      </c>
      <c r="K700" s="45">
        <v>297992</v>
      </c>
      <c r="L700" s="45">
        <v>0</v>
      </c>
      <c r="M700" s="45">
        <v>2</v>
      </c>
      <c r="O700" s="45">
        <v>320751</v>
      </c>
      <c r="P700" s="45">
        <v>0</v>
      </c>
      <c r="Q700" s="45">
        <v>2</v>
      </c>
      <c r="R700" s="45">
        <v>321767</v>
      </c>
      <c r="S700" s="45">
        <v>0</v>
      </c>
      <c r="T700" s="45">
        <v>3</v>
      </c>
      <c r="U700" s="45">
        <v>337305</v>
      </c>
      <c r="V700" s="45">
        <v>0</v>
      </c>
      <c r="W700" s="45">
        <v>2</v>
      </c>
      <c r="X700" s="45">
        <v>310046</v>
      </c>
      <c r="Y700" s="45">
        <v>0</v>
      </c>
      <c r="Z700" s="45">
        <v>2</v>
      </c>
      <c r="AB700" s="45">
        <v>371077</v>
      </c>
      <c r="AC700" s="45">
        <v>0</v>
      </c>
      <c r="AD700" s="45">
        <v>1</v>
      </c>
      <c r="AE700" s="45">
        <v>368137</v>
      </c>
      <c r="AF700" s="45">
        <v>0</v>
      </c>
      <c r="AG700" s="45">
        <v>1</v>
      </c>
      <c r="AH700" s="45">
        <v>367022</v>
      </c>
      <c r="AI700" s="45">
        <v>0</v>
      </c>
      <c r="AJ700" s="45">
        <v>1</v>
      </c>
      <c r="AK700" s="45">
        <v>369294</v>
      </c>
      <c r="AL700" s="45">
        <v>0</v>
      </c>
      <c r="AM700" s="45">
        <v>1</v>
      </c>
      <c r="AO700" s="45">
        <v>301062</v>
      </c>
      <c r="AP700" s="45">
        <v>0</v>
      </c>
      <c r="AQ700" s="45">
        <v>2</v>
      </c>
      <c r="AR700" s="45">
        <v>289988</v>
      </c>
      <c r="AS700" s="45">
        <v>0</v>
      </c>
      <c r="AT700" s="45">
        <v>4</v>
      </c>
      <c r="AU700" s="45">
        <v>280100</v>
      </c>
      <c r="AV700" s="45">
        <v>0</v>
      </c>
      <c r="AW700" s="45">
        <v>2</v>
      </c>
      <c r="AX700" s="45">
        <v>292772</v>
      </c>
      <c r="AY700" s="45">
        <v>3</v>
      </c>
      <c r="AZ700" s="45">
        <v>2</v>
      </c>
    </row>
    <row r="701" spans="2:52">
      <c r="B701" s="45">
        <v>310715</v>
      </c>
      <c r="C701" s="45">
        <v>0</v>
      </c>
      <c r="D701" s="45">
        <v>2</v>
      </c>
      <c r="E701" s="45">
        <v>333014</v>
      </c>
      <c r="F701" s="45">
        <v>0</v>
      </c>
      <c r="G701" s="45">
        <v>1</v>
      </c>
      <c r="H701" s="45">
        <v>313719</v>
      </c>
      <c r="I701" s="45">
        <v>0</v>
      </c>
      <c r="J701" s="45">
        <v>2</v>
      </c>
      <c r="K701" s="45">
        <v>328656</v>
      </c>
      <c r="L701" s="45">
        <v>0</v>
      </c>
      <c r="M701" s="45">
        <v>1</v>
      </c>
      <c r="O701" s="45">
        <v>354740</v>
      </c>
      <c r="P701" s="45">
        <v>0</v>
      </c>
      <c r="Q701" s="45">
        <v>2</v>
      </c>
      <c r="R701" s="45">
        <v>359276</v>
      </c>
      <c r="S701" s="45">
        <v>0</v>
      </c>
      <c r="T701" s="45">
        <v>2</v>
      </c>
      <c r="U701" s="45">
        <v>348469</v>
      </c>
      <c r="V701" s="45">
        <v>0</v>
      </c>
      <c r="W701" s="45">
        <v>2</v>
      </c>
      <c r="X701" s="45">
        <v>332606</v>
      </c>
      <c r="Y701" s="45">
        <v>4</v>
      </c>
      <c r="Z701" s="45">
        <v>4</v>
      </c>
      <c r="AB701" s="45">
        <v>382110</v>
      </c>
      <c r="AC701" s="45">
        <v>0</v>
      </c>
      <c r="AD701" s="45">
        <v>1</v>
      </c>
      <c r="AE701" s="45">
        <v>382796</v>
      </c>
      <c r="AF701" s="45">
        <v>0</v>
      </c>
      <c r="AG701" s="45">
        <v>1</v>
      </c>
      <c r="AH701" s="45">
        <v>391480</v>
      </c>
      <c r="AI701" s="45">
        <v>0</v>
      </c>
      <c r="AJ701" s="45">
        <v>0</v>
      </c>
      <c r="AK701" s="45">
        <v>386993</v>
      </c>
      <c r="AL701" s="45">
        <v>0</v>
      </c>
      <c r="AM701" s="45">
        <v>1</v>
      </c>
      <c r="AO701" s="45">
        <v>323431</v>
      </c>
      <c r="AP701" s="45">
        <v>3</v>
      </c>
      <c r="AQ701" s="45">
        <v>3</v>
      </c>
      <c r="AR701" s="45">
        <v>341884</v>
      </c>
      <c r="AS701" s="45">
        <v>0</v>
      </c>
      <c r="AT701" s="45">
        <v>1</v>
      </c>
      <c r="AU701" s="45">
        <v>302152</v>
      </c>
      <c r="AV701" s="45">
        <v>0</v>
      </c>
      <c r="AW701" s="45">
        <v>2</v>
      </c>
      <c r="AX701" s="45">
        <v>324462</v>
      </c>
      <c r="AY701" s="45">
        <v>0</v>
      </c>
      <c r="AZ701" s="45">
        <v>1</v>
      </c>
    </row>
    <row r="702" spans="2:52">
      <c r="B702" s="45">
        <v>365434</v>
      </c>
      <c r="C702" s="45">
        <v>0</v>
      </c>
      <c r="D702" s="45">
        <v>2</v>
      </c>
      <c r="E702" s="45">
        <v>350529</v>
      </c>
      <c r="F702" s="45">
        <v>0</v>
      </c>
      <c r="G702" s="45">
        <v>2</v>
      </c>
      <c r="H702" s="45">
        <v>355916</v>
      </c>
      <c r="I702" s="45">
        <v>0</v>
      </c>
      <c r="J702" s="45">
        <v>1</v>
      </c>
      <c r="K702" s="45">
        <v>339095</v>
      </c>
      <c r="L702" s="45">
        <v>2</v>
      </c>
      <c r="M702" s="45">
        <v>2</v>
      </c>
      <c r="O702" s="45">
        <v>388480</v>
      </c>
      <c r="P702" s="45">
        <v>0</v>
      </c>
      <c r="Q702" s="45">
        <v>2</v>
      </c>
      <c r="R702" s="45">
        <v>389110</v>
      </c>
      <c r="S702" s="45">
        <v>0</v>
      </c>
      <c r="T702" s="45">
        <v>2</v>
      </c>
      <c r="U702" s="45">
        <v>384478</v>
      </c>
      <c r="V702" s="45">
        <v>0</v>
      </c>
      <c r="W702" s="45">
        <v>2</v>
      </c>
      <c r="X702" s="45">
        <v>366696</v>
      </c>
      <c r="Y702" s="45">
        <v>0</v>
      </c>
      <c r="Z702" s="45">
        <v>2</v>
      </c>
      <c r="AB702" s="45">
        <v>450110</v>
      </c>
      <c r="AC702" s="45">
        <v>0</v>
      </c>
      <c r="AD702" s="45">
        <v>1</v>
      </c>
      <c r="AE702" s="45">
        <v>424259</v>
      </c>
      <c r="AF702" s="45">
        <v>0</v>
      </c>
      <c r="AG702" s="45">
        <v>1</v>
      </c>
      <c r="AH702" s="45">
        <v>448295</v>
      </c>
      <c r="AI702" s="45">
        <v>0</v>
      </c>
      <c r="AJ702" s="45">
        <v>1</v>
      </c>
      <c r="AK702" s="45">
        <v>417215</v>
      </c>
      <c r="AL702" s="45">
        <v>0</v>
      </c>
      <c r="AM702" s="45">
        <v>1</v>
      </c>
      <c r="AO702" s="45">
        <v>340184</v>
      </c>
      <c r="AP702" s="45">
        <v>0</v>
      </c>
      <c r="AQ702" s="45">
        <v>3</v>
      </c>
      <c r="AR702" s="45">
        <v>352797</v>
      </c>
      <c r="AS702" s="45">
        <v>0</v>
      </c>
      <c r="AT702" s="45">
        <v>1</v>
      </c>
      <c r="AU702" s="45">
        <v>355974</v>
      </c>
      <c r="AV702" s="45">
        <v>0</v>
      </c>
      <c r="AW702" s="45">
        <v>1</v>
      </c>
      <c r="AX702" s="45">
        <v>345101</v>
      </c>
      <c r="AY702" s="45">
        <v>0</v>
      </c>
      <c r="AZ702" s="45">
        <v>2</v>
      </c>
    </row>
    <row r="703" spans="2:52">
      <c r="B703" s="45">
        <v>308420</v>
      </c>
      <c r="C703" s="45">
        <v>0</v>
      </c>
      <c r="D703" s="45">
        <v>2</v>
      </c>
      <c r="E703" s="45">
        <v>311158</v>
      </c>
      <c r="F703" s="45">
        <v>0</v>
      </c>
      <c r="G703" s="45">
        <v>1</v>
      </c>
      <c r="H703" s="45">
        <v>309211</v>
      </c>
      <c r="I703" s="45">
        <v>0</v>
      </c>
      <c r="J703" s="45">
        <v>2</v>
      </c>
      <c r="K703" s="45">
        <v>290077</v>
      </c>
      <c r="L703" s="45">
        <v>0</v>
      </c>
      <c r="M703" s="45">
        <v>2</v>
      </c>
      <c r="O703" s="45">
        <v>332496</v>
      </c>
      <c r="P703" s="45">
        <v>0</v>
      </c>
      <c r="Q703" s="45">
        <v>2</v>
      </c>
      <c r="R703" s="45">
        <v>318514</v>
      </c>
      <c r="S703" s="45">
        <v>0</v>
      </c>
      <c r="T703" s="45">
        <v>2</v>
      </c>
      <c r="U703" s="45">
        <v>311571</v>
      </c>
      <c r="V703" s="45">
        <v>0</v>
      </c>
      <c r="W703" s="45">
        <v>2</v>
      </c>
      <c r="X703" s="45">
        <v>324538</v>
      </c>
      <c r="Y703" s="45">
        <v>0</v>
      </c>
      <c r="Z703" s="45">
        <v>3</v>
      </c>
      <c r="AB703" s="45">
        <v>349150</v>
      </c>
      <c r="AC703" s="45">
        <v>0</v>
      </c>
      <c r="AD703" s="45">
        <v>1</v>
      </c>
      <c r="AE703" s="45">
        <v>358574</v>
      </c>
      <c r="AF703" s="45">
        <v>0</v>
      </c>
      <c r="AG703" s="45">
        <v>1</v>
      </c>
      <c r="AH703" s="45">
        <v>378327</v>
      </c>
      <c r="AI703" s="45">
        <v>0</v>
      </c>
      <c r="AJ703" s="45">
        <v>1</v>
      </c>
      <c r="AK703" s="45">
        <v>369400</v>
      </c>
      <c r="AL703" s="45">
        <v>0</v>
      </c>
      <c r="AM703" s="45">
        <v>1</v>
      </c>
      <c r="AO703" s="45">
        <v>293597</v>
      </c>
      <c r="AP703" s="45">
        <v>0</v>
      </c>
      <c r="AQ703" s="45">
        <v>3</v>
      </c>
      <c r="AR703" s="45">
        <v>299403</v>
      </c>
      <c r="AS703" s="45">
        <v>0</v>
      </c>
      <c r="AT703" s="45">
        <v>2</v>
      </c>
      <c r="AU703" s="45">
        <v>301781</v>
      </c>
      <c r="AV703" s="45">
        <v>0</v>
      </c>
      <c r="AW703" s="45">
        <v>2</v>
      </c>
      <c r="AX703" s="45">
        <v>300565</v>
      </c>
      <c r="AY703" s="45">
        <v>0</v>
      </c>
      <c r="AZ703" s="45">
        <v>2</v>
      </c>
    </row>
    <row r="704" spans="2:52">
      <c r="B704" s="45">
        <v>341970</v>
      </c>
      <c r="C704" s="45">
        <v>19</v>
      </c>
      <c r="D704" s="45">
        <v>2</v>
      </c>
      <c r="E704" s="45">
        <v>323498</v>
      </c>
      <c r="F704" s="45">
        <v>14</v>
      </c>
      <c r="G704" s="45">
        <v>1</v>
      </c>
      <c r="H704" s="45">
        <v>330869</v>
      </c>
      <c r="I704" s="45">
        <v>0</v>
      </c>
      <c r="J704" s="45">
        <v>2</v>
      </c>
      <c r="K704" s="45">
        <v>314277</v>
      </c>
      <c r="L704" s="45">
        <v>0</v>
      </c>
      <c r="M704" s="45">
        <v>2</v>
      </c>
      <c r="O704" s="45">
        <v>362689</v>
      </c>
      <c r="P704" s="45">
        <v>0</v>
      </c>
      <c r="Q704" s="45">
        <v>2</v>
      </c>
      <c r="R704" s="45">
        <v>367716</v>
      </c>
      <c r="S704" s="45">
        <v>17</v>
      </c>
      <c r="T704" s="45">
        <v>3</v>
      </c>
      <c r="U704" s="45">
        <v>345229</v>
      </c>
      <c r="V704" s="45">
        <v>0</v>
      </c>
      <c r="W704" s="45">
        <v>2</v>
      </c>
      <c r="X704" s="45">
        <v>343105</v>
      </c>
      <c r="Y704" s="45">
        <v>0</v>
      </c>
      <c r="Z704" s="45">
        <v>2</v>
      </c>
      <c r="AB704" s="45">
        <v>379534</v>
      </c>
      <c r="AC704" s="45">
        <v>0</v>
      </c>
      <c r="AD704" s="45">
        <v>2</v>
      </c>
      <c r="AE704" s="45">
        <v>387235</v>
      </c>
      <c r="AF704" s="45">
        <v>0</v>
      </c>
      <c r="AG704" s="45">
        <v>0</v>
      </c>
      <c r="AH704" s="45">
        <v>378623</v>
      </c>
      <c r="AI704" s="45">
        <v>0</v>
      </c>
      <c r="AJ704" s="45">
        <v>1</v>
      </c>
      <c r="AK704" s="45">
        <v>369005</v>
      </c>
      <c r="AL704" s="45">
        <v>0</v>
      </c>
      <c r="AM704" s="45">
        <v>1</v>
      </c>
      <c r="AO704" s="45">
        <v>316957</v>
      </c>
      <c r="AP704" s="45">
        <v>0</v>
      </c>
      <c r="AQ704" s="45">
        <v>3</v>
      </c>
      <c r="AR704" s="45">
        <v>349682</v>
      </c>
      <c r="AS704" s="45">
        <v>35</v>
      </c>
      <c r="AT704" s="45">
        <v>4</v>
      </c>
      <c r="AU704" s="45">
        <v>323978</v>
      </c>
      <c r="AV704" s="45">
        <v>9</v>
      </c>
      <c r="AW704" s="45">
        <v>2</v>
      </c>
      <c r="AX704" s="45">
        <v>329379</v>
      </c>
      <c r="AY704" s="45">
        <v>0</v>
      </c>
      <c r="AZ704" s="45">
        <v>2</v>
      </c>
    </row>
    <row r="705" spans="2:52">
      <c r="B705" s="45">
        <v>278489</v>
      </c>
      <c r="C705" s="45">
        <v>0</v>
      </c>
      <c r="D705" s="45">
        <v>1</v>
      </c>
      <c r="E705" s="45">
        <v>287071</v>
      </c>
      <c r="F705" s="45">
        <v>0</v>
      </c>
      <c r="G705" s="45">
        <v>2</v>
      </c>
      <c r="H705" s="45">
        <v>282860</v>
      </c>
      <c r="I705" s="45">
        <v>0</v>
      </c>
      <c r="J705" s="45">
        <v>2</v>
      </c>
      <c r="K705" s="45">
        <v>278088</v>
      </c>
      <c r="L705" s="45">
        <v>0</v>
      </c>
      <c r="M705" s="45">
        <v>1</v>
      </c>
      <c r="O705" s="45">
        <v>320379</v>
      </c>
      <c r="P705" s="45">
        <v>0</v>
      </c>
      <c r="Q705" s="45">
        <v>2</v>
      </c>
      <c r="R705" s="45">
        <v>310928</v>
      </c>
      <c r="S705" s="45">
        <v>0</v>
      </c>
      <c r="T705" s="45">
        <v>2</v>
      </c>
      <c r="U705" s="45">
        <v>332091</v>
      </c>
      <c r="V705" s="45">
        <v>0</v>
      </c>
      <c r="W705" s="45">
        <v>2</v>
      </c>
      <c r="X705" s="45">
        <v>299624</v>
      </c>
      <c r="Y705" s="45">
        <v>0</v>
      </c>
      <c r="Z705" s="45">
        <v>2</v>
      </c>
      <c r="AB705" s="45">
        <v>357001</v>
      </c>
      <c r="AC705" s="45">
        <v>0</v>
      </c>
      <c r="AD705" s="45">
        <v>1</v>
      </c>
      <c r="AE705" s="45">
        <v>364885</v>
      </c>
      <c r="AF705" s="45">
        <v>0</v>
      </c>
      <c r="AG705" s="45">
        <v>1</v>
      </c>
      <c r="AH705" s="45">
        <v>357152</v>
      </c>
      <c r="AI705" s="45">
        <v>0</v>
      </c>
      <c r="AJ705" s="45">
        <v>1</v>
      </c>
      <c r="AK705" s="45">
        <v>351910</v>
      </c>
      <c r="AL705" s="45">
        <v>0</v>
      </c>
      <c r="AM705" s="45">
        <v>1</v>
      </c>
      <c r="AO705" s="45">
        <v>299923</v>
      </c>
      <c r="AP705" s="45">
        <v>0</v>
      </c>
      <c r="AQ705" s="45">
        <v>2</v>
      </c>
      <c r="AR705" s="45">
        <v>293556</v>
      </c>
      <c r="AS705" s="45">
        <v>0</v>
      </c>
      <c r="AT705" s="45">
        <v>1</v>
      </c>
      <c r="AU705" s="45">
        <v>296572</v>
      </c>
      <c r="AV705" s="45">
        <v>9</v>
      </c>
      <c r="AW705" s="45">
        <v>2</v>
      </c>
      <c r="AX705" s="45">
        <v>278893</v>
      </c>
      <c r="AY705" s="45">
        <v>0</v>
      </c>
      <c r="AZ705" s="45">
        <v>2</v>
      </c>
    </row>
    <row r="706" spans="2:52">
      <c r="B706" s="45">
        <v>317659</v>
      </c>
      <c r="C706" s="45">
        <v>0</v>
      </c>
      <c r="D706" s="45">
        <v>2</v>
      </c>
      <c r="E706" s="45">
        <v>330129</v>
      </c>
      <c r="F706" s="45">
        <v>0</v>
      </c>
      <c r="G706" s="45">
        <v>2</v>
      </c>
      <c r="H706" s="45">
        <v>325404</v>
      </c>
      <c r="I706" s="45">
        <v>14</v>
      </c>
      <c r="J706" s="45">
        <v>2</v>
      </c>
      <c r="K706" s="45">
        <v>323484</v>
      </c>
      <c r="L706" s="45">
        <v>6</v>
      </c>
      <c r="M706" s="45">
        <v>2</v>
      </c>
      <c r="O706" s="45">
        <v>342538</v>
      </c>
      <c r="P706" s="45">
        <v>0</v>
      </c>
      <c r="Q706" s="45">
        <v>3</v>
      </c>
      <c r="R706" s="45">
        <v>329793</v>
      </c>
      <c r="S706" s="45">
        <v>0</v>
      </c>
      <c r="T706" s="45">
        <v>2</v>
      </c>
      <c r="U706" s="45">
        <v>334234</v>
      </c>
      <c r="V706" s="45">
        <v>0</v>
      </c>
      <c r="W706" s="45">
        <v>2</v>
      </c>
      <c r="X706" s="45">
        <v>331687</v>
      </c>
      <c r="Y706" s="45">
        <v>0</v>
      </c>
      <c r="Z706" s="45">
        <v>6</v>
      </c>
      <c r="AB706" s="45">
        <v>366193</v>
      </c>
      <c r="AC706" s="45">
        <v>0</v>
      </c>
      <c r="AD706" s="45">
        <v>1</v>
      </c>
      <c r="AE706" s="45">
        <v>392348</v>
      </c>
      <c r="AF706" s="45">
        <v>0</v>
      </c>
      <c r="AG706" s="45">
        <v>1</v>
      </c>
      <c r="AH706" s="45">
        <v>378136</v>
      </c>
      <c r="AI706" s="45">
        <v>0</v>
      </c>
      <c r="AJ706" s="45">
        <v>1</v>
      </c>
      <c r="AK706" s="45">
        <v>397665</v>
      </c>
      <c r="AL706" s="45">
        <v>0</v>
      </c>
      <c r="AM706" s="45">
        <v>1</v>
      </c>
      <c r="AO706" s="45">
        <v>314542</v>
      </c>
      <c r="AP706" s="45">
        <v>0</v>
      </c>
      <c r="AQ706" s="45">
        <v>2</v>
      </c>
      <c r="AR706" s="45">
        <v>327768</v>
      </c>
      <c r="AS706" s="45">
        <v>0</v>
      </c>
      <c r="AT706" s="45">
        <v>1</v>
      </c>
      <c r="AU706" s="45">
        <v>318546</v>
      </c>
      <c r="AV706" s="45">
        <v>0</v>
      </c>
      <c r="AW706" s="45">
        <v>2</v>
      </c>
      <c r="AX706" s="45">
        <v>310993</v>
      </c>
      <c r="AY706" s="45">
        <v>0</v>
      </c>
      <c r="AZ706" s="45">
        <v>2</v>
      </c>
    </row>
    <row r="707" spans="2:52">
      <c r="B707" s="45">
        <v>323919</v>
      </c>
      <c r="C707" s="45">
        <v>0</v>
      </c>
      <c r="D707" s="45">
        <v>3</v>
      </c>
      <c r="E707" s="45">
        <v>342330</v>
      </c>
      <c r="F707" s="45">
        <v>0</v>
      </c>
      <c r="G707" s="45">
        <v>1</v>
      </c>
      <c r="H707" s="45">
        <v>331820</v>
      </c>
      <c r="I707" s="45">
        <v>0</v>
      </c>
      <c r="J707" s="45">
        <v>2</v>
      </c>
      <c r="K707" s="45">
        <v>334426</v>
      </c>
      <c r="L707" s="45">
        <v>0</v>
      </c>
      <c r="M707" s="45">
        <v>1</v>
      </c>
      <c r="O707" s="45">
        <v>345907</v>
      </c>
      <c r="P707" s="45">
        <v>0</v>
      </c>
      <c r="Q707" s="45">
        <v>2</v>
      </c>
      <c r="R707" s="45">
        <v>343208</v>
      </c>
      <c r="S707" s="45">
        <v>0</v>
      </c>
      <c r="T707" s="45">
        <v>2</v>
      </c>
      <c r="U707" s="45">
        <v>365109</v>
      </c>
      <c r="V707" s="45">
        <v>0</v>
      </c>
      <c r="W707" s="45">
        <v>2</v>
      </c>
      <c r="X707" s="45">
        <v>348325</v>
      </c>
      <c r="Y707" s="45">
        <v>0</v>
      </c>
      <c r="Z707" s="45">
        <v>3</v>
      </c>
      <c r="AB707" s="45">
        <v>385093</v>
      </c>
      <c r="AC707" s="45">
        <v>0</v>
      </c>
      <c r="AD707" s="45">
        <v>1</v>
      </c>
      <c r="AE707" s="45">
        <v>402938</v>
      </c>
      <c r="AF707" s="45">
        <v>0</v>
      </c>
      <c r="AG707" s="45">
        <v>2</v>
      </c>
      <c r="AH707" s="45">
        <v>402667</v>
      </c>
      <c r="AI707" s="45">
        <v>0</v>
      </c>
      <c r="AJ707" s="45">
        <v>1</v>
      </c>
      <c r="AK707" s="45">
        <v>385873</v>
      </c>
      <c r="AL707" s="45">
        <v>0</v>
      </c>
      <c r="AM707" s="45">
        <v>1</v>
      </c>
      <c r="AO707" s="45">
        <v>343951</v>
      </c>
      <c r="AP707" s="45">
        <v>0</v>
      </c>
      <c r="AQ707" s="45">
        <v>2</v>
      </c>
      <c r="AR707" s="45">
        <v>320862</v>
      </c>
      <c r="AS707" s="45">
        <v>0</v>
      </c>
      <c r="AT707" s="45">
        <v>3</v>
      </c>
      <c r="AU707" s="45">
        <v>333093</v>
      </c>
      <c r="AV707" s="45">
        <v>11</v>
      </c>
      <c r="AW707" s="45">
        <v>1</v>
      </c>
      <c r="AX707" s="45">
        <v>325458</v>
      </c>
      <c r="AY707" s="45">
        <v>0</v>
      </c>
      <c r="AZ707" s="45">
        <v>2</v>
      </c>
    </row>
    <row r="708" spans="2:52">
      <c r="B708" s="45">
        <v>311501</v>
      </c>
      <c r="C708" s="45">
        <v>0</v>
      </c>
      <c r="D708" s="45">
        <v>2</v>
      </c>
      <c r="E708" s="45">
        <v>313002</v>
      </c>
      <c r="F708" s="45">
        <v>0</v>
      </c>
      <c r="G708" s="45">
        <v>2</v>
      </c>
      <c r="H708" s="45">
        <v>313361</v>
      </c>
      <c r="I708" s="45">
        <v>0</v>
      </c>
      <c r="J708" s="45">
        <v>1</v>
      </c>
      <c r="K708" s="45">
        <v>302542</v>
      </c>
      <c r="L708" s="45">
        <v>0</v>
      </c>
      <c r="M708" s="45">
        <v>2</v>
      </c>
      <c r="O708" s="45">
        <v>333012</v>
      </c>
      <c r="P708" s="45">
        <v>0</v>
      </c>
      <c r="Q708" s="45">
        <v>2</v>
      </c>
      <c r="R708" s="45">
        <v>331150</v>
      </c>
      <c r="S708" s="45">
        <v>0</v>
      </c>
      <c r="T708" s="45">
        <v>2</v>
      </c>
      <c r="U708" s="45">
        <v>333522</v>
      </c>
      <c r="V708" s="45">
        <v>0</v>
      </c>
      <c r="W708" s="45">
        <v>2</v>
      </c>
      <c r="X708" s="45">
        <v>345468</v>
      </c>
      <c r="Y708" s="45">
        <v>0</v>
      </c>
      <c r="Z708" s="45">
        <v>2</v>
      </c>
      <c r="AB708" s="45">
        <v>393292</v>
      </c>
      <c r="AC708" s="45">
        <v>0</v>
      </c>
      <c r="AD708" s="45">
        <v>1</v>
      </c>
      <c r="AE708" s="45">
        <v>392079</v>
      </c>
      <c r="AF708" s="45">
        <v>0</v>
      </c>
      <c r="AG708" s="45">
        <v>0</v>
      </c>
      <c r="AH708" s="45">
        <v>375403</v>
      </c>
      <c r="AI708" s="45">
        <v>0</v>
      </c>
      <c r="AJ708" s="45">
        <v>1</v>
      </c>
      <c r="AK708" s="45">
        <v>382882</v>
      </c>
      <c r="AL708" s="45">
        <v>0</v>
      </c>
      <c r="AM708" s="45">
        <v>1</v>
      </c>
      <c r="AO708" s="45">
        <v>308181</v>
      </c>
      <c r="AP708" s="45">
        <v>0</v>
      </c>
      <c r="AQ708" s="45">
        <v>3</v>
      </c>
      <c r="AR708" s="45">
        <v>307007</v>
      </c>
      <c r="AS708" s="45">
        <v>0</v>
      </c>
      <c r="AT708" s="45">
        <v>2</v>
      </c>
      <c r="AU708" s="45">
        <v>318280</v>
      </c>
      <c r="AV708" s="45">
        <v>0</v>
      </c>
      <c r="AW708" s="45">
        <v>2</v>
      </c>
      <c r="AX708" s="45">
        <v>299393</v>
      </c>
      <c r="AY708" s="45">
        <v>0</v>
      </c>
      <c r="AZ708" s="45">
        <v>2</v>
      </c>
    </row>
    <row r="709" spans="2:52">
      <c r="B709" s="45">
        <v>328338</v>
      </c>
      <c r="C709" s="45">
        <v>0</v>
      </c>
      <c r="D709" s="45">
        <v>2</v>
      </c>
      <c r="E709" s="45">
        <v>323114</v>
      </c>
      <c r="F709" s="45">
        <v>0</v>
      </c>
      <c r="G709" s="45">
        <v>1</v>
      </c>
      <c r="H709" s="45">
        <v>316323</v>
      </c>
      <c r="I709" s="45">
        <v>0</v>
      </c>
      <c r="J709" s="45">
        <v>2</v>
      </c>
      <c r="K709" s="45">
        <v>318124</v>
      </c>
      <c r="L709" s="45">
        <v>0</v>
      </c>
      <c r="M709" s="45">
        <v>2</v>
      </c>
      <c r="O709" s="45">
        <v>356963</v>
      </c>
      <c r="P709" s="45">
        <v>0</v>
      </c>
      <c r="Q709" s="45">
        <v>2</v>
      </c>
      <c r="R709" s="45">
        <v>355879</v>
      </c>
      <c r="S709" s="45">
        <v>0</v>
      </c>
      <c r="T709" s="45">
        <v>2</v>
      </c>
      <c r="U709" s="45">
        <v>372363</v>
      </c>
      <c r="V709" s="45">
        <v>0</v>
      </c>
      <c r="W709" s="45">
        <v>2</v>
      </c>
      <c r="X709" s="45">
        <v>345182</v>
      </c>
      <c r="Y709" s="45">
        <v>0</v>
      </c>
      <c r="Z709" s="45">
        <v>3</v>
      </c>
      <c r="AB709" s="45">
        <v>386095</v>
      </c>
      <c r="AC709" s="45">
        <v>0</v>
      </c>
      <c r="AD709" s="45">
        <v>2</v>
      </c>
      <c r="AE709" s="45">
        <v>393591</v>
      </c>
      <c r="AF709" s="45">
        <v>0</v>
      </c>
      <c r="AG709" s="45">
        <v>0</v>
      </c>
      <c r="AH709" s="45">
        <v>390845</v>
      </c>
      <c r="AI709" s="45">
        <v>0</v>
      </c>
      <c r="AJ709" s="45">
        <v>1</v>
      </c>
      <c r="AK709" s="45">
        <v>397029</v>
      </c>
      <c r="AL709" s="45">
        <v>0</v>
      </c>
      <c r="AM709" s="45">
        <v>1</v>
      </c>
      <c r="AO709" s="45">
        <v>339934</v>
      </c>
      <c r="AP709" s="45">
        <v>0</v>
      </c>
      <c r="AQ709" s="45">
        <v>1</v>
      </c>
      <c r="AR709" s="45">
        <v>325256</v>
      </c>
      <c r="AS709" s="45">
        <v>0</v>
      </c>
      <c r="AT709" s="45">
        <v>2</v>
      </c>
      <c r="AU709" s="45">
        <v>332743</v>
      </c>
      <c r="AV709" s="45">
        <v>0</v>
      </c>
      <c r="AW709" s="45">
        <v>1</v>
      </c>
      <c r="AX709" s="45">
        <v>388443</v>
      </c>
      <c r="AY709" s="45">
        <v>45</v>
      </c>
      <c r="AZ709" s="45">
        <v>2</v>
      </c>
    </row>
    <row r="710" spans="2:52">
      <c r="B710" s="45">
        <v>329599</v>
      </c>
      <c r="C710" s="45">
        <v>0</v>
      </c>
      <c r="D710" s="45">
        <v>2</v>
      </c>
      <c r="E710" s="45">
        <v>321925</v>
      </c>
      <c r="F710" s="45">
        <v>0</v>
      </c>
      <c r="G710" s="45">
        <v>1</v>
      </c>
      <c r="H710" s="45">
        <v>312095</v>
      </c>
      <c r="I710" s="45">
        <v>0</v>
      </c>
      <c r="J710" s="45">
        <v>1</v>
      </c>
      <c r="K710" s="45">
        <v>322463</v>
      </c>
      <c r="L710" s="45">
        <v>0</v>
      </c>
      <c r="M710" s="45">
        <v>2</v>
      </c>
      <c r="O710" s="45">
        <v>367708</v>
      </c>
      <c r="P710" s="45">
        <v>0</v>
      </c>
      <c r="Q710" s="45">
        <v>1</v>
      </c>
      <c r="R710" s="45">
        <v>353286</v>
      </c>
      <c r="S710" s="45">
        <v>0</v>
      </c>
      <c r="T710" s="45">
        <v>2</v>
      </c>
      <c r="U710" s="45">
        <v>351810</v>
      </c>
      <c r="V710" s="45">
        <v>0</v>
      </c>
      <c r="W710" s="45">
        <v>2</v>
      </c>
      <c r="X710" s="45">
        <v>336249</v>
      </c>
      <c r="Y710" s="45">
        <v>0</v>
      </c>
      <c r="Z710" s="45">
        <v>2</v>
      </c>
      <c r="AB710" s="45">
        <v>358716</v>
      </c>
      <c r="AC710" s="45">
        <v>0</v>
      </c>
      <c r="AD710" s="45">
        <v>2</v>
      </c>
      <c r="AE710" s="45">
        <v>393334</v>
      </c>
      <c r="AF710" s="45">
        <v>0</v>
      </c>
      <c r="AG710" s="45">
        <v>0</v>
      </c>
      <c r="AH710" s="45">
        <v>385926</v>
      </c>
      <c r="AI710" s="45">
        <v>0</v>
      </c>
      <c r="AJ710" s="45">
        <v>1</v>
      </c>
      <c r="AK710" s="45">
        <v>383426</v>
      </c>
      <c r="AL710" s="45">
        <v>0</v>
      </c>
      <c r="AM710" s="45">
        <v>1</v>
      </c>
      <c r="AO710" s="45">
        <v>333589</v>
      </c>
      <c r="AP710" s="45">
        <v>0</v>
      </c>
      <c r="AQ710" s="45">
        <v>3</v>
      </c>
      <c r="AR710" s="45">
        <v>327685</v>
      </c>
      <c r="AS710" s="45">
        <v>0</v>
      </c>
      <c r="AT710" s="45">
        <v>3</v>
      </c>
      <c r="AU710" s="45">
        <v>332451</v>
      </c>
      <c r="AV710" s="45">
        <v>0</v>
      </c>
      <c r="AW710" s="45">
        <v>2</v>
      </c>
      <c r="AX710" s="45">
        <v>336094</v>
      </c>
      <c r="AY710" s="45">
        <v>0</v>
      </c>
      <c r="AZ710" s="45">
        <v>1</v>
      </c>
    </row>
    <row r="711" spans="2:52">
      <c r="B711" s="45">
        <v>348330</v>
      </c>
      <c r="C711" s="45">
        <v>0</v>
      </c>
      <c r="D711" s="45">
        <v>2</v>
      </c>
      <c r="E711" s="45">
        <v>347583</v>
      </c>
      <c r="F711" s="45">
        <v>0</v>
      </c>
      <c r="G711" s="45">
        <v>2</v>
      </c>
      <c r="H711" s="45">
        <v>357691</v>
      </c>
      <c r="I711" s="45">
        <v>0</v>
      </c>
      <c r="J711" s="45">
        <v>1</v>
      </c>
      <c r="K711" s="45">
        <v>368229</v>
      </c>
      <c r="L711" s="45">
        <v>0</v>
      </c>
      <c r="M711" s="45">
        <v>3</v>
      </c>
      <c r="O711" s="45">
        <v>403634</v>
      </c>
      <c r="P711" s="45">
        <v>0</v>
      </c>
      <c r="Q711" s="45">
        <v>1</v>
      </c>
      <c r="R711" s="45">
        <v>359014</v>
      </c>
      <c r="S711" s="45">
        <v>0</v>
      </c>
      <c r="T711" s="45">
        <v>2</v>
      </c>
      <c r="U711" s="45">
        <v>393152</v>
      </c>
      <c r="V711" s="45">
        <v>0</v>
      </c>
      <c r="W711" s="45">
        <v>2</v>
      </c>
      <c r="X711" s="45">
        <v>395191</v>
      </c>
      <c r="Y711" s="45">
        <v>0</v>
      </c>
      <c r="Z711" s="45">
        <v>2</v>
      </c>
      <c r="AB711" s="45">
        <v>425985</v>
      </c>
      <c r="AC711" s="45">
        <v>0</v>
      </c>
      <c r="AD711" s="45">
        <v>1</v>
      </c>
      <c r="AE711" s="45">
        <v>443831</v>
      </c>
      <c r="AF711" s="45">
        <v>0</v>
      </c>
      <c r="AG711" s="45">
        <v>1</v>
      </c>
      <c r="AH711" s="45">
        <v>444937</v>
      </c>
      <c r="AI711" s="45">
        <v>0</v>
      </c>
      <c r="AJ711" s="45">
        <v>1</v>
      </c>
      <c r="AK711" s="45">
        <v>422256</v>
      </c>
      <c r="AL711" s="45">
        <v>0</v>
      </c>
      <c r="AM711" s="45">
        <v>1</v>
      </c>
      <c r="AO711" s="45">
        <v>375707</v>
      </c>
      <c r="AP711" s="45">
        <v>0</v>
      </c>
      <c r="AQ711" s="45">
        <v>3</v>
      </c>
      <c r="AR711" s="45">
        <v>368099</v>
      </c>
      <c r="AS711" s="45">
        <v>0</v>
      </c>
      <c r="AT711" s="45">
        <v>2</v>
      </c>
      <c r="AU711" s="45">
        <v>342773</v>
      </c>
      <c r="AV711" s="45">
        <v>0</v>
      </c>
      <c r="AW711" s="45">
        <v>3</v>
      </c>
      <c r="AX711" s="45">
        <v>360619</v>
      </c>
      <c r="AY711" s="45">
        <v>0</v>
      </c>
      <c r="AZ711" s="45">
        <v>2</v>
      </c>
    </row>
    <row r="712" spans="2:52">
      <c r="B712" s="45">
        <v>386134</v>
      </c>
      <c r="C712" s="45">
        <v>32</v>
      </c>
      <c r="D712" s="45">
        <v>1</v>
      </c>
      <c r="E712" s="45">
        <v>328854</v>
      </c>
      <c r="F712" s="45">
        <v>0</v>
      </c>
      <c r="G712" s="45">
        <v>3</v>
      </c>
      <c r="H712" s="45">
        <v>333839</v>
      </c>
      <c r="I712" s="45">
        <v>8</v>
      </c>
      <c r="J712" s="45">
        <v>2</v>
      </c>
      <c r="K712" s="45">
        <v>331930</v>
      </c>
      <c r="L712" s="45">
        <v>0</v>
      </c>
      <c r="M712" s="45">
        <v>1</v>
      </c>
      <c r="O712" s="45">
        <v>363328</v>
      </c>
      <c r="P712" s="45">
        <v>0</v>
      </c>
      <c r="Q712" s="45">
        <v>2</v>
      </c>
      <c r="R712" s="45">
        <v>349473</v>
      </c>
      <c r="S712" s="45">
        <v>0</v>
      </c>
      <c r="T712" s="45">
        <v>2</v>
      </c>
      <c r="U712" s="45">
        <v>361756</v>
      </c>
      <c r="V712" s="45">
        <v>0</v>
      </c>
      <c r="W712" s="45">
        <v>2</v>
      </c>
      <c r="X712" s="45">
        <v>361543</v>
      </c>
      <c r="Y712" s="45">
        <v>20</v>
      </c>
      <c r="Z712" s="45">
        <v>3</v>
      </c>
      <c r="AB712" s="45">
        <v>416870</v>
      </c>
      <c r="AC712" s="45">
        <v>0</v>
      </c>
      <c r="AD712" s="45">
        <v>1</v>
      </c>
      <c r="AE712" s="45">
        <v>412286</v>
      </c>
      <c r="AF712" s="45">
        <v>0</v>
      </c>
      <c r="AG712" s="45">
        <v>1</v>
      </c>
      <c r="AH712" s="45">
        <v>400761</v>
      </c>
      <c r="AI712" s="45">
        <v>0</v>
      </c>
      <c r="AJ712" s="45">
        <v>1</v>
      </c>
      <c r="AK712" s="45">
        <v>409571</v>
      </c>
      <c r="AL712" s="45">
        <v>0</v>
      </c>
      <c r="AM712" s="45">
        <v>1</v>
      </c>
      <c r="AO712" s="45">
        <v>337592</v>
      </c>
      <c r="AP712" s="45">
        <v>0</v>
      </c>
      <c r="AQ712" s="45">
        <v>2</v>
      </c>
      <c r="AR712" s="45">
        <v>332609</v>
      </c>
      <c r="AS712" s="45">
        <v>0</v>
      </c>
      <c r="AT712" s="45">
        <v>2</v>
      </c>
      <c r="AU712" s="45">
        <v>323905</v>
      </c>
      <c r="AV712" s="45">
        <v>0</v>
      </c>
      <c r="AW712" s="45">
        <v>1</v>
      </c>
      <c r="AX712" s="45">
        <v>330225</v>
      </c>
      <c r="AY712" s="45">
        <v>0</v>
      </c>
      <c r="AZ712" s="45">
        <v>2</v>
      </c>
    </row>
    <row r="713" spans="2:52">
      <c r="B713" s="45">
        <v>315997</v>
      </c>
      <c r="C713" s="45">
        <v>0</v>
      </c>
      <c r="D713" s="45">
        <v>3</v>
      </c>
      <c r="E713" s="45">
        <v>310797</v>
      </c>
      <c r="F713" s="45">
        <v>0</v>
      </c>
      <c r="G713" s="45">
        <v>2</v>
      </c>
      <c r="H713" s="45">
        <v>332686</v>
      </c>
      <c r="I713" s="45">
        <v>0</v>
      </c>
      <c r="J713" s="45">
        <v>1</v>
      </c>
      <c r="K713" s="45">
        <v>325268</v>
      </c>
      <c r="L713" s="45">
        <v>11</v>
      </c>
      <c r="M713" s="45">
        <v>2</v>
      </c>
      <c r="O713" s="45">
        <v>366668</v>
      </c>
      <c r="P713" s="45">
        <v>0</v>
      </c>
      <c r="Q713" s="45">
        <v>2</v>
      </c>
      <c r="R713" s="45">
        <v>387779</v>
      </c>
      <c r="S713" s="45">
        <v>36</v>
      </c>
      <c r="T713" s="45">
        <v>3</v>
      </c>
      <c r="U713" s="45">
        <v>320605</v>
      </c>
      <c r="V713" s="45">
        <v>0</v>
      </c>
      <c r="W713" s="45">
        <v>4</v>
      </c>
      <c r="X713" s="45">
        <v>350558</v>
      </c>
      <c r="Y713" s="45">
        <v>0</v>
      </c>
      <c r="Z713" s="45">
        <v>4</v>
      </c>
      <c r="AB713" s="45">
        <v>377720</v>
      </c>
      <c r="AC713" s="45">
        <v>0</v>
      </c>
      <c r="AD713" s="45">
        <v>1</v>
      </c>
      <c r="AE713" s="45">
        <v>373443</v>
      </c>
      <c r="AF713" s="45">
        <v>0</v>
      </c>
      <c r="AG713" s="45">
        <v>1</v>
      </c>
      <c r="AH713" s="45">
        <v>383559</v>
      </c>
      <c r="AI713" s="45">
        <v>0</v>
      </c>
      <c r="AJ713" s="45">
        <v>1</v>
      </c>
      <c r="AK713" s="45">
        <v>385336</v>
      </c>
      <c r="AL713" s="45">
        <v>0</v>
      </c>
      <c r="AM713" s="45">
        <v>1</v>
      </c>
      <c r="AO713" s="45">
        <v>317647</v>
      </c>
      <c r="AP713" s="45">
        <v>0</v>
      </c>
      <c r="AQ713" s="45">
        <v>3</v>
      </c>
      <c r="AR713" s="45">
        <v>318177</v>
      </c>
      <c r="AS713" s="45">
        <v>0</v>
      </c>
      <c r="AT713" s="45">
        <v>2</v>
      </c>
      <c r="AU713" s="45">
        <v>325343</v>
      </c>
      <c r="AV713" s="45">
        <v>0</v>
      </c>
      <c r="AW713" s="45">
        <v>2</v>
      </c>
      <c r="AX713" s="45">
        <v>356496</v>
      </c>
      <c r="AY713" s="45">
        <v>46</v>
      </c>
      <c r="AZ713" s="45">
        <v>2</v>
      </c>
    </row>
    <row r="714" spans="2:52">
      <c r="B714" s="45">
        <v>331061</v>
      </c>
      <c r="C714" s="45">
        <v>0</v>
      </c>
      <c r="D714" s="45">
        <v>1</v>
      </c>
      <c r="E714" s="45">
        <v>314412</v>
      </c>
      <c r="F714" s="45">
        <v>0</v>
      </c>
      <c r="G714" s="45">
        <v>2</v>
      </c>
      <c r="H714" s="45">
        <v>331167</v>
      </c>
      <c r="I714" s="45">
        <v>0</v>
      </c>
      <c r="J714" s="45">
        <v>1</v>
      </c>
      <c r="K714" s="45">
        <v>313155</v>
      </c>
      <c r="L714" s="45">
        <v>0</v>
      </c>
      <c r="M714" s="45">
        <v>1</v>
      </c>
      <c r="O714" s="45">
        <v>345124</v>
      </c>
      <c r="P714" s="45">
        <v>0</v>
      </c>
      <c r="Q714" s="45">
        <v>1</v>
      </c>
      <c r="R714" s="45">
        <v>332497</v>
      </c>
      <c r="S714" s="45">
        <v>0</v>
      </c>
      <c r="T714" s="45">
        <v>3</v>
      </c>
      <c r="U714" s="45">
        <v>354426</v>
      </c>
      <c r="V714" s="45">
        <v>0</v>
      </c>
      <c r="W714" s="45">
        <v>2</v>
      </c>
      <c r="X714" s="45">
        <v>340073</v>
      </c>
      <c r="Y714" s="45">
        <v>0</v>
      </c>
      <c r="Z714" s="45">
        <v>2</v>
      </c>
      <c r="AB714" s="45">
        <v>384411</v>
      </c>
      <c r="AC714" s="45">
        <v>0</v>
      </c>
      <c r="AD714" s="45">
        <v>1</v>
      </c>
      <c r="AE714" s="45">
        <v>375726</v>
      </c>
      <c r="AF714" s="45">
        <v>0</v>
      </c>
      <c r="AG714" s="45">
        <v>1</v>
      </c>
      <c r="AH714" s="45">
        <v>370803</v>
      </c>
      <c r="AI714" s="45">
        <v>0</v>
      </c>
      <c r="AJ714" s="45">
        <v>1</v>
      </c>
      <c r="AK714" s="45">
        <v>366344</v>
      </c>
      <c r="AL714" s="45">
        <v>0</v>
      </c>
      <c r="AM714" s="45">
        <v>2</v>
      </c>
      <c r="AO714" s="45">
        <v>316811</v>
      </c>
      <c r="AP714" s="45">
        <v>0</v>
      </c>
      <c r="AQ714" s="45">
        <v>5</v>
      </c>
      <c r="AR714" s="45">
        <v>318956</v>
      </c>
      <c r="AS714" s="45">
        <v>0</v>
      </c>
      <c r="AT714" s="45">
        <v>2</v>
      </c>
      <c r="AU714" s="45">
        <v>319407</v>
      </c>
      <c r="AV714" s="45">
        <v>0</v>
      </c>
      <c r="AW714" s="45">
        <v>2</v>
      </c>
      <c r="AX714" s="45">
        <v>308054</v>
      </c>
      <c r="AY714" s="45">
        <v>0</v>
      </c>
      <c r="AZ714" s="45">
        <v>2</v>
      </c>
    </row>
    <row r="715" spans="2:52">
      <c r="B715" s="45">
        <v>313603</v>
      </c>
      <c r="C715" s="45">
        <v>0</v>
      </c>
      <c r="D715" s="45">
        <v>3</v>
      </c>
      <c r="E715" s="45">
        <v>298792</v>
      </c>
      <c r="F715" s="45">
        <v>0</v>
      </c>
      <c r="G715" s="45">
        <v>2</v>
      </c>
      <c r="H715" s="45">
        <v>365768</v>
      </c>
      <c r="I715" s="45">
        <v>47</v>
      </c>
      <c r="J715" s="45">
        <v>2</v>
      </c>
      <c r="K715" s="45">
        <v>307801</v>
      </c>
      <c r="L715" s="45">
        <v>0</v>
      </c>
      <c r="M715" s="45">
        <v>1</v>
      </c>
      <c r="O715" s="45">
        <v>328971</v>
      </c>
      <c r="P715" s="45">
        <v>0</v>
      </c>
      <c r="Q715" s="45">
        <v>3</v>
      </c>
      <c r="R715" s="45">
        <v>341743</v>
      </c>
      <c r="S715" s="45">
        <v>8</v>
      </c>
      <c r="T715" s="45">
        <v>4</v>
      </c>
      <c r="U715" s="45">
        <v>336552</v>
      </c>
      <c r="V715" s="45">
        <v>0</v>
      </c>
      <c r="W715" s="45">
        <v>1</v>
      </c>
      <c r="X715" s="45">
        <v>329449</v>
      </c>
      <c r="Y715" s="45">
        <v>0</v>
      </c>
      <c r="Z715" s="45">
        <v>2</v>
      </c>
      <c r="AB715" s="45">
        <v>354576</v>
      </c>
      <c r="AC715" s="45">
        <v>0</v>
      </c>
      <c r="AD715" s="45">
        <v>1</v>
      </c>
      <c r="AE715" s="45">
        <v>369916</v>
      </c>
      <c r="AF715" s="45">
        <v>0</v>
      </c>
      <c r="AG715" s="45">
        <v>1</v>
      </c>
      <c r="AH715" s="45">
        <v>357138</v>
      </c>
      <c r="AI715" s="45">
        <v>0</v>
      </c>
      <c r="AJ715" s="45">
        <v>1</v>
      </c>
      <c r="AK715" s="45">
        <v>371470</v>
      </c>
      <c r="AL715" s="45">
        <v>0</v>
      </c>
      <c r="AM715" s="45">
        <v>1</v>
      </c>
      <c r="AO715" s="45">
        <v>300966</v>
      </c>
      <c r="AP715" s="45">
        <v>0</v>
      </c>
      <c r="AQ715" s="45">
        <v>4</v>
      </c>
      <c r="AR715" s="45">
        <v>306422</v>
      </c>
      <c r="AS715" s="45">
        <v>0</v>
      </c>
      <c r="AT715" s="45">
        <v>2</v>
      </c>
      <c r="AU715" s="45">
        <v>299073</v>
      </c>
      <c r="AV715" s="45">
        <v>0</v>
      </c>
      <c r="AW715" s="45">
        <v>3</v>
      </c>
      <c r="AX715" s="45">
        <v>301961</v>
      </c>
      <c r="AY715" s="45">
        <v>0</v>
      </c>
      <c r="AZ715" s="45">
        <v>2</v>
      </c>
    </row>
    <row r="716" spans="2:52">
      <c r="B716" s="45">
        <v>398521</v>
      </c>
      <c r="C716" s="45">
        <v>0</v>
      </c>
      <c r="D716" s="45">
        <v>1</v>
      </c>
      <c r="E716" s="45">
        <v>374080</v>
      </c>
      <c r="F716" s="45">
        <v>0</v>
      </c>
      <c r="G716" s="45">
        <v>2</v>
      </c>
      <c r="H716" s="45">
        <v>398341</v>
      </c>
      <c r="I716" s="45">
        <v>0</v>
      </c>
      <c r="J716" s="45">
        <v>1</v>
      </c>
      <c r="K716" s="45">
        <v>409297</v>
      </c>
      <c r="L716" s="45">
        <v>0</v>
      </c>
      <c r="M716" s="45">
        <v>1</v>
      </c>
      <c r="O716" s="45">
        <v>424897</v>
      </c>
      <c r="P716" s="45">
        <v>0</v>
      </c>
      <c r="Q716" s="45">
        <v>2</v>
      </c>
      <c r="R716" s="45">
        <v>450746</v>
      </c>
      <c r="S716" s="45">
        <v>3</v>
      </c>
      <c r="T716" s="45">
        <v>3</v>
      </c>
      <c r="U716" s="45">
        <v>420448</v>
      </c>
      <c r="V716" s="45">
        <v>0</v>
      </c>
      <c r="W716" s="45">
        <v>1</v>
      </c>
      <c r="X716" s="45">
        <v>419515</v>
      </c>
      <c r="Y716" s="45">
        <v>0</v>
      </c>
      <c r="Z716" s="45">
        <v>2</v>
      </c>
      <c r="AB716" s="45">
        <v>457427</v>
      </c>
      <c r="AC716" s="45">
        <v>0</v>
      </c>
      <c r="AD716" s="45">
        <v>1</v>
      </c>
      <c r="AE716" s="45">
        <v>469927</v>
      </c>
      <c r="AF716" s="45">
        <v>0</v>
      </c>
      <c r="AG716" s="45">
        <v>1</v>
      </c>
      <c r="AH716" s="45">
        <v>461421</v>
      </c>
      <c r="AI716" s="45">
        <v>0</v>
      </c>
      <c r="AJ716" s="45">
        <v>1</v>
      </c>
      <c r="AK716" s="45">
        <v>455533</v>
      </c>
      <c r="AL716" s="45">
        <v>0</v>
      </c>
      <c r="AM716" s="45">
        <v>1</v>
      </c>
      <c r="AO716" s="45">
        <v>373351</v>
      </c>
      <c r="AP716" s="45">
        <v>0</v>
      </c>
      <c r="AQ716" s="45">
        <v>2</v>
      </c>
      <c r="AR716" s="45">
        <v>418864</v>
      </c>
      <c r="AS716" s="45">
        <v>27</v>
      </c>
      <c r="AT716" s="45">
        <v>3</v>
      </c>
      <c r="AU716" s="45">
        <v>390939</v>
      </c>
      <c r="AV716" s="45">
        <v>0</v>
      </c>
      <c r="AW716" s="45">
        <v>2</v>
      </c>
      <c r="AX716" s="45">
        <v>407284</v>
      </c>
      <c r="AY716" s="45">
        <v>0</v>
      </c>
      <c r="AZ716" s="45">
        <v>2</v>
      </c>
    </row>
    <row r="717" spans="2:52">
      <c r="B717" s="45">
        <v>359631</v>
      </c>
      <c r="C717" s="45">
        <v>0</v>
      </c>
      <c r="D717" s="45">
        <v>3</v>
      </c>
      <c r="E717" s="45">
        <v>367874</v>
      </c>
      <c r="F717" s="45">
        <v>0</v>
      </c>
      <c r="G717" s="45">
        <v>2</v>
      </c>
      <c r="H717" s="45">
        <v>358479</v>
      </c>
      <c r="I717" s="45">
        <v>0</v>
      </c>
      <c r="J717" s="45">
        <v>2</v>
      </c>
      <c r="K717" s="45">
        <v>371069</v>
      </c>
      <c r="L717" s="45">
        <v>21</v>
      </c>
      <c r="M717" s="45">
        <v>2</v>
      </c>
      <c r="O717" s="45">
        <v>386349</v>
      </c>
      <c r="P717" s="45">
        <v>0</v>
      </c>
      <c r="Q717" s="45">
        <v>2</v>
      </c>
      <c r="R717" s="45">
        <v>397211</v>
      </c>
      <c r="S717" s="45">
        <v>0</v>
      </c>
      <c r="T717" s="45">
        <v>3</v>
      </c>
      <c r="U717" s="45">
        <v>395206</v>
      </c>
      <c r="V717" s="45">
        <v>19</v>
      </c>
      <c r="W717" s="45">
        <v>5</v>
      </c>
      <c r="X717" s="45">
        <v>394735</v>
      </c>
      <c r="Y717" s="45">
        <v>0</v>
      </c>
      <c r="Z717" s="45">
        <v>2</v>
      </c>
      <c r="AB717" s="45">
        <v>436294</v>
      </c>
      <c r="AC717" s="45">
        <v>0</v>
      </c>
      <c r="AD717" s="45">
        <v>1</v>
      </c>
      <c r="AE717" s="45">
        <v>447968</v>
      </c>
      <c r="AF717" s="45">
        <v>0</v>
      </c>
      <c r="AG717" s="45">
        <v>1</v>
      </c>
      <c r="AH717" s="45">
        <v>442563</v>
      </c>
      <c r="AI717" s="45">
        <v>0</v>
      </c>
      <c r="AJ717" s="45">
        <v>1</v>
      </c>
      <c r="AK717" s="45">
        <v>427254</v>
      </c>
      <c r="AL717" s="45">
        <v>0</v>
      </c>
      <c r="AM717" s="45">
        <v>1</v>
      </c>
      <c r="AO717" s="45">
        <v>368730</v>
      </c>
      <c r="AP717" s="45">
        <v>0</v>
      </c>
      <c r="AQ717" s="45">
        <v>2</v>
      </c>
      <c r="AR717" s="45">
        <v>364323</v>
      </c>
      <c r="AS717" s="45">
        <v>0</v>
      </c>
      <c r="AT717" s="45">
        <v>2</v>
      </c>
      <c r="AU717" s="45">
        <v>360758</v>
      </c>
      <c r="AV717" s="45">
        <v>0</v>
      </c>
      <c r="AW717" s="45">
        <v>2</v>
      </c>
      <c r="AX717" s="45">
        <v>360394</v>
      </c>
      <c r="AY717" s="45">
        <v>0</v>
      </c>
      <c r="AZ717" s="45">
        <v>2</v>
      </c>
    </row>
    <row r="718" spans="2:52">
      <c r="B718" s="45">
        <v>316753</v>
      </c>
      <c r="C718" s="45">
        <v>0</v>
      </c>
      <c r="D718" s="45">
        <v>2</v>
      </c>
      <c r="E718" s="45">
        <v>382500</v>
      </c>
      <c r="F718" s="45">
        <v>53</v>
      </c>
      <c r="G718" s="45">
        <v>2</v>
      </c>
      <c r="H718" s="45">
        <v>325315</v>
      </c>
      <c r="I718" s="45">
        <v>0</v>
      </c>
      <c r="J718" s="45">
        <v>2</v>
      </c>
      <c r="K718" s="45">
        <v>326392</v>
      </c>
      <c r="L718" s="45">
        <v>0</v>
      </c>
      <c r="M718" s="45">
        <v>1</v>
      </c>
      <c r="O718" s="45">
        <v>362364</v>
      </c>
      <c r="P718" s="45">
        <v>0</v>
      </c>
      <c r="Q718" s="45">
        <v>2</v>
      </c>
      <c r="R718" s="45">
        <v>357442</v>
      </c>
      <c r="S718" s="45">
        <v>0</v>
      </c>
      <c r="T718" s="45">
        <v>2</v>
      </c>
      <c r="U718" s="45">
        <v>365425</v>
      </c>
      <c r="V718" s="45">
        <v>0</v>
      </c>
      <c r="W718" s="45">
        <v>1</v>
      </c>
      <c r="X718" s="45">
        <v>343705</v>
      </c>
      <c r="Y718" s="45">
        <v>0</v>
      </c>
      <c r="Z718" s="45">
        <v>3</v>
      </c>
      <c r="AB718" s="45">
        <v>402298</v>
      </c>
      <c r="AC718" s="45">
        <v>0</v>
      </c>
      <c r="AD718" s="45">
        <v>1</v>
      </c>
      <c r="AE718" s="45">
        <v>411126</v>
      </c>
      <c r="AF718" s="45">
        <v>0</v>
      </c>
      <c r="AG718" s="45">
        <v>1</v>
      </c>
      <c r="AH718" s="45">
        <v>382301</v>
      </c>
      <c r="AI718" s="45">
        <v>0</v>
      </c>
      <c r="AJ718" s="45">
        <v>1</v>
      </c>
      <c r="AK718" s="45">
        <v>387034</v>
      </c>
      <c r="AL718" s="45">
        <v>0</v>
      </c>
      <c r="AM718" s="45">
        <v>1</v>
      </c>
      <c r="AO718" s="45">
        <v>326306</v>
      </c>
      <c r="AP718" s="45">
        <v>0</v>
      </c>
      <c r="AQ718" s="45">
        <v>3</v>
      </c>
      <c r="AR718" s="45">
        <v>392642</v>
      </c>
      <c r="AS718" s="45">
        <v>52</v>
      </c>
      <c r="AT718" s="45">
        <v>4</v>
      </c>
      <c r="AU718" s="45">
        <v>326621</v>
      </c>
      <c r="AV718" s="45">
        <v>0</v>
      </c>
      <c r="AW718" s="45">
        <v>2</v>
      </c>
      <c r="AX718" s="45">
        <v>338170</v>
      </c>
      <c r="AY718" s="45">
        <v>0</v>
      </c>
      <c r="AZ718" s="45">
        <v>1</v>
      </c>
    </row>
    <row r="719" spans="2:52">
      <c r="B719" s="45">
        <v>310090</v>
      </c>
      <c r="C719" s="45">
        <v>0</v>
      </c>
      <c r="D719" s="45">
        <v>2</v>
      </c>
      <c r="E719" s="45">
        <v>305842</v>
      </c>
      <c r="F719" s="45">
        <v>0</v>
      </c>
      <c r="G719" s="45">
        <v>1</v>
      </c>
      <c r="H719" s="45">
        <v>309438</v>
      </c>
      <c r="I719" s="45">
        <v>15</v>
      </c>
      <c r="J719" s="45">
        <v>2</v>
      </c>
      <c r="K719" s="45">
        <v>299560</v>
      </c>
      <c r="L719" s="45">
        <v>0</v>
      </c>
      <c r="M719" s="45">
        <v>1</v>
      </c>
      <c r="O719" s="45">
        <v>309692</v>
      </c>
      <c r="P719" s="45">
        <v>0</v>
      </c>
      <c r="Q719" s="45">
        <v>2</v>
      </c>
      <c r="R719" s="45">
        <v>319193</v>
      </c>
      <c r="S719" s="45">
        <v>0</v>
      </c>
      <c r="T719" s="45">
        <v>2</v>
      </c>
      <c r="U719" s="45">
        <v>318512</v>
      </c>
      <c r="V719" s="45">
        <v>0</v>
      </c>
      <c r="W719" s="45">
        <v>2</v>
      </c>
      <c r="X719" s="45">
        <v>311070</v>
      </c>
      <c r="Y719" s="45">
        <v>0</v>
      </c>
      <c r="Z719" s="45">
        <v>2</v>
      </c>
      <c r="AB719" s="45">
        <v>360495</v>
      </c>
      <c r="AC719" s="45">
        <v>0</v>
      </c>
      <c r="AD719" s="45">
        <v>1</v>
      </c>
      <c r="AE719" s="45">
        <v>362056</v>
      </c>
      <c r="AF719" s="45">
        <v>0</v>
      </c>
      <c r="AG719" s="45">
        <v>1</v>
      </c>
      <c r="AH719" s="45">
        <v>360950</v>
      </c>
      <c r="AI719" s="45">
        <v>0</v>
      </c>
      <c r="AJ719" s="45">
        <v>0</v>
      </c>
      <c r="AK719" s="45">
        <v>361407</v>
      </c>
      <c r="AL719" s="45">
        <v>0</v>
      </c>
      <c r="AM719" s="45">
        <v>2</v>
      </c>
      <c r="AO719" s="45">
        <v>307783</v>
      </c>
      <c r="AP719" s="45">
        <v>0</v>
      </c>
      <c r="AQ719" s="45">
        <v>3</v>
      </c>
      <c r="AR719" s="45">
        <v>302810</v>
      </c>
      <c r="AS719" s="45">
        <v>0</v>
      </c>
      <c r="AT719" s="45">
        <v>3</v>
      </c>
      <c r="AU719" s="45">
        <v>306355</v>
      </c>
      <c r="AV719" s="45">
        <v>0</v>
      </c>
      <c r="AW719" s="45">
        <v>3</v>
      </c>
      <c r="AX719" s="45">
        <v>301132</v>
      </c>
      <c r="AY719" s="45">
        <v>0</v>
      </c>
      <c r="AZ719" s="45">
        <v>2</v>
      </c>
    </row>
    <row r="720" spans="2:52">
      <c r="B720" s="45">
        <v>314796</v>
      </c>
      <c r="C720" s="45">
        <v>0</v>
      </c>
      <c r="D720" s="45">
        <v>3</v>
      </c>
      <c r="E720" s="45">
        <v>334945</v>
      </c>
      <c r="F720" s="45">
        <v>0</v>
      </c>
      <c r="G720" s="45">
        <v>1</v>
      </c>
      <c r="H720" s="45">
        <v>305984</v>
      </c>
      <c r="I720" s="45">
        <v>0</v>
      </c>
      <c r="J720" s="45">
        <v>1</v>
      </c>
      <c r="K720" s="45">
        <v>310155</v>
      </c>
      <c r="L720" s="45">
        <v>0</v>
      </c>
      <c r="M720" s="45">
        <v>2</v>
      </c>
      <c r="O720" s="45">
        <v>353744</v>
      </c>
      <c r="P720" s="45">
        <v>0</v>
      </c>
      <c r="Q720" s="45">
        <v>2</v>
      </c>
      <c r="R720" s="45">
        <v>359568</v>
      </c>
      <c r="S720" s="45">
        <v>0</v>
      </c>
      <c r="T720" s="45">
        <v>2</v>
      </c>
      <c r="U720" s="45">
        <v>341434</v>
      </c>
      <c r="V720" s="45">
        <v>0</v>
      </c>
      <c r="W720" s="45">
        <v>2</v>
      </c>
      <c r="X720" s="45">
        <v>334648</v>
      </c>
      <c r="Y720" s="45">
        <v>0</v>
      </c>
      <c r="Z720" s="45">
        <v>2</v>
      </c>
      <c r="AB720" s="45">
        <v>377062</v>
      </c>
      <c r="AC720" s="45">
        <v>0</v>
      </c>
      <c r="AD720" s="45">
        <v>1</v>
      </c>
      <c r="AE720" s="45">
        <v>370441</v>
      </c>
      <c r="AF720" s="45">
        <v>0</v>
      </c>
      <c r="AG720" s="45">
        <v>1</v>
      </c>
      <c r="AH720" s="45">
        <v>385489</v>
      </c>
      <c r="AI720" s="45">
        <v>0</v>
      </c>
      <c r="AJ720" s="45">
        <v>0</v>
      </c>
      <c r="AK720" s="45">
        <v>407161</v>
      </c>
      <c r="AL720" s="45">
        <v>0</v>
      </c>
      <c r="AM720" s="45">
        <v>2</v>
      </c>
      <c r="AO720" s="45">
        <v>331230</v>
      </c>
      <c r="AP720" s="45">
        <v>0</v>
      </c>
      <c r="AQ720" s="45">
        <v>3</v>
      </c>
      <c r="AR720" s="45">
        <v>324717</v>
      </c>
      <c r="AS720" s="45">
        <v>0</v>
      </c>
      <c r="AT720" s="45">
        <v>3</v>
      </c>
      <c r="AU720" s="45">
        <v>320397</v>
      </c>
      <c r="AV720" s="45">
        <v>0</v>
      </c>
      <c r="AW720" s="45">
        <v>2</v>
      </c>
      <c r="AX720" s="45">
        <v>305763</v>
      </c>
      <c r="AY720" s="45">
        <v>0</v>
      </c>
      <c r="AZ720" s="45">
        <v>2</v>
      </c>
    </row>
    <row r="721" spans="2:52">
      <c r="B721" s="45">
        <v>340470</v>
      </c>
      <c r="C721" s="45">
        <v>0</v>
      </c>
      <c r="D721" s="45">
        <v>1</v>
      </c>
      <c r="E721" s="45">
        <v>327043</v>
      </c>
      <c r="F721" s="45">
        <v>0</v>
      </c>
      <c r="G721" s="45">
        <v>2</v>
      </c>
      <c r="H721" s="45">
        <v>304633</v>
      </c>
      <c r="I721" s="45">
        <v>0</v>
      </c>
      <c r="J721" s="45">
        <v>1</v>
      </c>
      <c r="K721" s="45">
        <v>309198</v>
      </c>
      <c r="L721" s="45">
        <v>0</v>
      </c>
      <c r="M721" s="45">
        <v>3</v>
      </c>
      <c r="O721" s="45">
        <v>343370</v>
      </c>
      <c r="P721" s="45">
        <v>0</v>
      </c>
      <c r="Q721" s="45">
        <v>2</v>
      </c>
      <c r="R721" s="45">
        <v>331116</v>
      </c>
      <c r="S721" s="45">
        <v>0</v>
      </c>
      <c r="T721" s="45">
        <v>2</v>
      </c>
      <c r="U721" s="45">
        <v>330736</v>
      </c>
      <c r="V721" s="45">
        <v>0</v>
      </c>
      <c r="W721" s="45">
        <v>2</v>
      </c>
      <c r="X721" s="45">
        <v>320927</v>
      </c>
      <c r="Y721" s="45">
        <v>8</v>
      </c>
      <c r="Z721" s="45">
        <v>3</v>
      </c>
      <c r="AB721" s="45">
        <v>378698</v>
      </c>
      <c r="AC721" s="45">
        <v>0</v>
      </c>
      <c r="AD721" s="45">
        <v>1</v>
      </c>
      <c r="AE721" s="45">
        <v>376842</v>
      </c>
      <c r="AF721" s="45">
        <v>0</v>
      </c>
      <c r="AG721" s="45">
        <v>1</v>
      </c>
      <c r="AH721" s="45">
        <v>377780</v>
      </c>
      <c r="AI721" s="45">
        <v>0</v>
      </c>
      <c r="AJ721" s="45">
        <v>1</v>
      </c>
      <c r="AK721" s="45">
        <v>374266</v>
      </c>
      <c r="AL721" s="45">
        <v>0</v>
      </c>
      <c r="AM721" s="45">
        <v>1</v>
      </c>
      <c r="AO721" s="45">
        <v>392223</v>
      </c>
      <c r="AP721" s="45">
        <v>54</v>
      </c>
      <c r="AQ721" s="45">
        <v>2</v>
      </c>
      <c r="AR721" s="45">
        <v>316861</v>
      </c>
      <c r="AS721" s="45">
        <v>0</v>
      </c>
      <c r="AT721" s="45">
        <v>2</v>
      </c>
      <c r="AU721" s="45">
        <v>321728</v>
      </c>
      <c r="AV721" s="45">
        <v>0</v>
      </c>
      <c r="AW721" s="45">
        <v>2</v>
      </c>
      <c r="AX721" s="45">
        <v>315558</v>
      </c>
      <c r="AY721" s="45">
        <v>0</v>
      </c>
      <c r="AZ721" s="45">
        <v>3</v>
      </c>
    </row>
    <row r="722" spans="2:52">
      <c r="B722" s="45">
        <v>369438</v>
      </c>
      <c r="C722" s="45">
        <v>0</v>
      </c>
      <c r="D722" s="45">
        <v>3</v>
      </c>
      <c r="E722" s="45">
        <v>367400</v>
      </c>
      <c r="F722" s="45">
        <v>0</v>
      </c>
      <c r="G722" s="45">
        <v>1</v>
      </c>
      <c r="H722" s="45">
        <v>360490</v>
      </c>
      <c r="I722" s="45">
        <v>0</v>
      </c>
      <c r="J722" s="45">
        <v>2</v>
      </c>
      <c r="K722" s="45">
        <v>365746</v>
      </c>
      <c r="L722" s="45">
        <v>0</v>
      </c>
      <c r="M722" s="45">
        <v>1</v>
      </c>
      <c r="O722" s="45">
        <v>402962</v>
      </c>
      <c r="P722" s="45">
        <v>0</v>
      </c>
      <c r="Q722" s="45">
        <v>3</v>
      </c>
      <c r="R722" s="45">
        <v>385107</v>
      </c>
      <c r="S722" s="45">
        <v>0</v>
      </c>
      <c r="T722" s="45">
        <v>2</v>
      </c>
      <c r="U722" s="45">
        <v>381014</v>
      </c>
      <c r="V722" s="45">
        <v>0</v>
      </c>
      <c r="W722" s="45">
        <v>2</v>
      </c>
      <c r="X722" s="45">
        <v>394491</v>
      </c>
      <c r="Y722" s="45">
        <v>0</v>
      </c>
      <c r="Z722" s="45">
        <v>2</v>
      </c>
      <c r="AB722" s="45">
        <v>435880</v>
      </c>
      <c r="AC722" s="45">
        <v>0</v>
      </c>
      <c r="AD722" s="45">
        <v>1</v>
      </c>
      <c r="AE722" s="45">
        <v>422371</v>
      </c>
      <c r="AF722" s="45">
        <v>0</v>
      </c>
      <c r="AG722" s="45">
        <v>1</v>
      </c>
      <c r="AH722" s="45">
        <v>432658</v>
      </c>
      <c r="AI722" s="45">
        <v>0</v>
      </c>
      <c r="AJ722" s="45">
        <v>1</v>
      </c>
      <c r="AK722" s="45">
        <v>447088</v>
      </c>
      <c r="AL722" s="45">
        <v>0</v>
      </c>
      <c r="AM722" s="45">
        <v>1</v>
      </c>
      <c r="AO722" s="45">
        <v>366973</v>
      </c>
      <c r="AP722" s="45">
        <v>0</v>
      </c>
      <c r="AQ722" s="45">
        <v>3</v>
      </c>
      <c r="AR722" s="45">
        <v>355793</v>
      </c>
      <c r="AS722" s="45">
        <v>0</v>
      </c>
      <c r="AT722" s="45">
        <v>2</v>
      </c>
      <c r="AU722" s="45">
        <v>362337</v>
      </c>
      <c r="AV722" s="45">
        <v>0</v>
      </c>
      <c r="AW722" s="45">
        <v>4</v>
      </c>
      <c r="AX722" s="45">
        <v>349992</v>
      </c>
      <c r="AY722" s="45">
        <v>0</v>
      </c>
      <c r="AZ722" s="45">
        <v>1</v>
      </c>
    </row>
    <row r="723" spans="2:52">
      <c r="B723" s="45">
        <v>333590</v>
      </c>
      <c r="C723" s="45">
        <v>0</v>
      </c>
      <c r="D723" s="45">
        <v>2</v>
      </c>
      <c r="E723" s="45">
        <v>333260</v>
      </c>
      <c r="F723" s="45">
        <v>0</v>
      </c>
      <c r="G723" s="45">
        <v>1</v>
      </c>
      <c r="H723" s="45">
        <v>370979</v>
      </c>
      <c r="I723" s="45">
        <v>36</v>
      </c>
      <c r="J723" s="45">
        <v>2</v>
      </c>
      <c r="K723" s="45">
        <v>327794</v>
      </c>
      <c r="L723" s="45">
        <v>0</v>
      </c>
      <c r="M723" s="45">
        <v>1</v>
      </c>
      <c r="O723" s="45">
        <v>362397</v>
      </c>
      <c r="P723" s="45">
        <v>0</v>
      </c>
      <c r="Q723" s="45">
        <v>2</v>
      </c>
      <c r="R723" s="45">
        <v>351258</v>
      </c>
      <c r="S723" s="45">
        <v>0</v>
      </c>
      <c r="T723" s="45">
        <v>2</v>
      </c>
      <c r="U723" s="45">
        <v>344498</v>
      </c>
      <c r="V723" s="45">
        <v>0</v>
      </c>
      <c r="W723" s="45">
        <v>2</v>
      </c>
      <c r="X723" s="45">
        <v>338199</v>
      </c>
      <c r="Y723" s="45">
        <v>0</v>
      </c>
      <c r="Z723" s="45">
        <v>3</v>
      </c>
      <c r="AB723" s="45">
        <v>390715</v>
      </c>
      <c r="AC723" s="45">
        <v>0</v>
      </c>
      <c r="AD723" s="45">
        <v>1</v>
      </c>
      <c r="AE723" s="45">
        <v>383856</v>
      </c>
      <c r="AF723" s="45">
        <v>0</v>
      </c>
      <c r="AG723" s="45">
        <v>1</v>
      </c>
      <c r="AH723" s="45">
        <v>381417</v>
      </c>
      <c r="AI723" s="45">
        <v>0</v>
      </c>
      <c r="AJ723" s="45">
        <v>1</v>
      </c>
      <c r="AK723" s="45">
        <v>395724</v>
      </c>
      <c r="AL723" s="45">
        <v>0</v>
      </c>
      <c r="AM723" s="45">
        <v>1</v>
      </c>
      <c r="AO723" s="45">
        <v>322071</v>
      </c>
      <c r="AP723" s="45">
        <v>0</v>
      </c>
      <c r="AQ723" s="45">
        <v>3</v>
      </c>
      <c r="AR723" s="45">
        <v>325942</v>
      </c>
      <c r="AS723" s="45">
        <v>0</v>
      </c>
      <c r="AT723" s="45">
        <v>4</v>
      </c>
      <c r="AU723" s="45">
        <v>319461</v>
      </c>
      <c r="AV723" s="45">
        <v>0</v>
      </c>
      <c r="AW723" s="45">
        <v>2</v>
      </c>
      <c r="AX723" s="45">
        <v>318945</v>
      </c>
      <c r="AY723" s="45">
        <v>0</v>
      </c>
      <c r="AZ723" s="45">
        <v>3</v>
      </c>
    </row>
    <row r="724" spans="2:52">
      <c r="B724" s="45">
        <v>373434</v>
      </c>
      <c r="C724" s="45">
        <v>0</v>
      </c>
      <c r="D724" s="45">
        <v>2</v>
      </c>
      <c r="E724" s="45">
        <v>452132</v>
      </c>
      <c r="F724" s="45">
        <v>71</v>
      </c>
      <c r="G724" s="45">
        <v>3</v>
      </c>
      <c r="H724" s="45">
        <v>395882</v>
      </c>
      <c r="I724" s="45">
        <v>18</v>
      </c>
      <c r="J724" s="45">
        <v>2</v>
      </c>
      <c r="K724" s="45">
        <v>373703</v>
      </c>
      <c r="L724" s="45">
        <v>0</v>
      </c>
      <c r="M724" s="45">
        <v>1</v>
      </c>
      <c r="O724" s="45">
        <v>399021</v>
      </c>
      <c r="P724" s="45">
        <v>0</v>
      </c>
      <c r="Q724" s="45">
        <v>2</v>
      </c>
      <c r="R724" s="45">
        <v>398404</v>
      </c>
      <c r="S724" s="45">
        <v>0</v>
      </c>
      <c r="T724" s="45">
        <v>1</v>
      </c>
      <c r="U724" s="45">
        <v>401248</v>
      </c>
      <c r="V724" s="45">
        <v>0</v>
      </c>
      <c r="W724" s="45">
        <v>2</v>
      </c>
      <c r="X724" s="45">
        <v>398200</v>
      </c>
      <c r="Y724" s="45">
        <v>0</v>
      </c>
      <c r="Z724" s="45">
        <v>3</v>
      </c>
      <c r="AB724" s="45">
        <v>450570</v>
      </c>
      <c r="AC724" s="45">
        <v>0</v>
      </c>
      <c r="AD724" s="45">
        <v>1</v>
      </c>
      <c r="AE724" s="45">
        <v>427379</v>
      </c>
      <c r="AF724" s="45">
        <v>0</v>
      </c>
      <c r="AG724" s="45">
        <v>0</v>
      </c>
      <c r="AH724" s="45">
        <v>431908</v>
      </c>
      <c r="AI724" s="45">
        <v>0</v>
      </c>
      <c r="AJ724" s="45">
        <v>1</v>
      </c>
      <c r="AK724" s="45">
        <v>426795</v>
      </c>
      <c r="AL724" s="45">
        <v>0</v>
      </c>
      <c r="AM724" s="45">
        <v>1</v>
      </c>
      <c r="AO724" s="45">
        <v>382081</v>
      </c>
      <c r="AP724" s="45">
        <v>0</v>
      </c>
      <c r="AQ724" s="45">
        <v>2</v>
      </c>
      <c r="AR724" s="45">
        <v>364168</v>
      </c>
      <c r="AS724" s="45">
        <v>0</v>
      </c>
      <c r="AT724" s="45">
        <v>2</v>
      </c>
      <c r="AU724" s="45">
        <v>364362</v>
      </c>
      <c r="AV724" s="45">
        <v>0</v>
      </c>
      <c r="AW724" s="45">
        <v>2</v>
      </c>
      <c r="AX724" s="45">
        <v>382846</v>
      </c>
      <c r="AY724" s="45">
        <v>0</v>
      </c>
      <c r="AZ724" s="45">
        <v>2</v>
      </c>
    </row>
    <row r="725" spans="2:52">
      <c r="B725" s="45">
        <v>323959</v>
      </c>
      <c r="C725" s="45">
        <v>0</v>
      </c>
      <c r="D725" s="45">
        <v>2</v>
      </c>
      <c r="E725" s="45">
        <v>327079</v>
      </c>
      <c r="F725" s="45">
        <v>0</v>
      </c>
      <c r="G725" s="45">
        <v>2</v>
      </c>
      <c r="H725" s="45">
        <v>333117</v>
      </c>
      <c r="I725" s="45">
        <v>0</v>
      </c>
      <c r="J725" s="45">
        <v>2</v>
      </c>
      <c r="K725" s="45">
        <v>338530</v>
      </c>
      <c r="L725" s="45">
        <v>0</v>
      </c>
      <c r="M725" s="45">
        <v>0</v>
      </c>
      <c r="O725" s="45">
        <v>336204</v>
      </c>
      <c r="P725" s="45">
        <v>0</v>
      </c>
      <c r="Q725" s="45">
        <v>1</v>
      </c>
      <c r="R725" s="45">
        <v>362467</v>
      </c>
      <c r="S725" s="45">
        <v>0</v>
      </c>
      <c r="T725" s="45">
        <v>2</v>
      </c>
      <c r="U725" s="45">
        <v>359557</v>
      </c>
      <c r="V725" s="45">
        <v>0</v>
      </c>
      <c r="W725" s="45">
        <v>2</v>
      </c>
      <c r="X725" s="45">
        <v>320878</v>
      </c>
      <c r="Y725" s="45">
        <v>0</v>
      </c>
      <c r="Z725" s="45">
        <v>3</v>
      </c>
      <c r="AB725" s="45">
        <v>390508</v>
      </c>
      <c r="AC725" s="45">
        <v>0</v>
      </c>
      <c r="AD725" s="45">
        <v>1</v>
      </c>
      <c r="AE725" s="45">
        <v>375517</v>
      </c>
      <c r="AF725" s="45">
        <v>0</v>
      </c>
      <c r="AG725" s="45">
        <v>1</v>
      </c>
      <c r="AH725" s="45">
        <v>379403</v>
      </c>
      <c r="AI725" s="45">
        <v>0</v>
      </c>
      <c r="AJ725" s="45">
        <v>1</v>
      </c>
      <c r="AK725" s="45">
        <v>379407</v>
      </c>
      <c r="AL725" s="45">
        <v>0</v>
      </c>
      <c r="AM725" s="45">
        <v>1</v>
      </c>
      <c r="AO725" s="45">
        <v>332622</v>
      </c>
      <c r="AP725" s="45">
        <v>0</v>
      </c>
      <c r="AQ725" s="45">
        <v>2</v>
      </c>
      <c r="AR725" s="45">
        <v>339773</v>
      </c>
      <c r="AS725" s="45">
        <v>0</v>
      </c>
      <c r="AT725" s="45">
        <v>2</v>
      </c>
      <c r="AU725" s="45">
        <v>327391</v>
      </c>
      <c r="AV725" s="45">
        <v>0</v>
      </c>
      <c r="AW725" s="45">
        <v>1</v>
      </c>
      <c r="AX725" s="45">
        <v>323263</v>
      </c>
      <c r="AY725" s="45">
        <v>0</v>
      </c>
      <c r="AZ725" s="45">
        <v>2</v>
      </c>
    </row>
    <row r="726" spans="2:52">
      <c r="B726" s="45">
        <v>326233</v>
      </c>
      <c r="C726" s="45">
        <v>0</v>
      </c>
      <c r="D726" s="45">
        <v>2</v>
      </c>
      <c r="E726" s="45">
        <v>339302</v>
      </c>
      <c r="F726" s="45">
        <v>0</v>
      </c>
      <c r="G726" s="45">
        <v>2</v>
      </c>
      <c r="H726" s="45">
        <v>326092</v>
      </c>
      <c r="I726" s="45">
        <v>0</v>
      </c>
      <c r="J726" s="45">
        <v>2</v>
      </c>
      <c r="K726" s="45">
        <v>316139</v>
      </c>
      <c r="L726" s="45">
        <v>0</v>
      </c>
      <c r="M726" s="45">
        <v>2</v>
      </c>
      <c r="O726" s="45">
        <v>383992</v>
      </c>
      <c r="P726" s="45">
        <v>0</v>
      </c>
      <c r="Q726" s="45">
        <v>2</v>
      </c>
      <c r="R726" s="45">
        <v>363126</v>
      </c>
      <c r="S726" s="45">
        <v>0</v>
      </c>
      <c r="T726" s="45">
        <v>2</v>
      </c>
      <c r="U726" s="45">
        <v>350031</v>
      </c>
      <c r="V726" s="45">
        <v>0</v>
      </c>
      <c r="W726" s="45">
        <v>1</v>
      </c>
      <c r="X726" s="45">
        <v>351539</v>
      </c>
      <c r="Y726" s="45">
        <v>0</v>
      </c>
      <c r="Z726" s="45">
        <v>3</v>
      </c>
      <c r="AB726" s="45">
        <v>411969</v>
      </c>
      <c r="AC726" s="45">
        <v>0</v>
      </c>
      <c r="AD726" s="45">
        <v>1</v>
      </c>
      <c r="AE726" s="45">
        <v>396043</v>
      </c>
      <c r="AF726" s="45">
        <v>0</v>
      </c>
      <c r="AG726" s="45">
        <v>1</v>
      </c>
      <c r="AH726" s="45">
        <v>402091</v>
      </c>
      <c r="AI726" s="45">
        <v>0</v>
      </c>
      <c r="AJ726" s="45">
        <v>1</v>
      </c>
      <c r="AK726" s="45">
        <v>397754</v>
      </c>
      <c r="AL726" s="45">
        <v>0</v>
      </c>
      <c r="AM726" s="45">
        <v>1</v>
      </c>
      <c r="AO726" s="45">
        <v>328558</v>
      </c>
      <c r="AP726" s="45">
        <v>0</v>
      </c>
      <c r="AQ726" s="45">
        <v>2</v>
      </c>
      <c r="AR726" s="45">
        <v>343189</v>
      </c>
      <c r="AS726" s="45">
        <v>0</v>
      </c>
      <c r="AT726" s="45">
        <v>2</v>
      </c>
      <c r="AU726" s="45">
        <v>328852</v>
      </c>
      <c r="AV726" s="45">
        <v>0</v>
      </c>
      <c r="AW726" s="45">
        <v>2</v>
      </c>
      <c r="AX726" s="45">
        <v>336146</v>
      </c>
      <c r="AY726" s="45">
        <v>0</v>
      </c>
      <c r="AZ726" s="45">
        <v>1</v>
      </c>
    </row>
    <row r="727" spans="2:52">
      <c r="B727" s="45">
        <v>332809</v>
      </c>
      <c r="C727" s="45">
        <v>0</v>
      </c>
      <c r="D727" s="45">
        <v>2</v>
      </c>
      <c r="E727" s="45">
        <v>334648</v>
      </c>
      <c r="F727" s="45">
        <v>0</v>
      </c>
      <c r="G727" s="45">
        <v>2</v>
      </c>
      <c r="H727" s="45">
        <v>350593</v>
      </c>
      <c r="I727" s="45">
        <v>13</v>
      </c>
      <c r="J727" s="45">
        <v>3</v>
      </c>
      <c r="K727" s="45">
        <v>363710</v>
      </c>
      <c r="L727" s="45">
        <v>18</v>
      </c>
      <c r="M727" s="45">
        <v>5</v>
      </c>
      <c r="O727" s="45">
        <v>369851</v>
      </c>
      <c r="P727" s="45">
        <v>0</v>
      </c>
      <c r="Q727" s="45">
        <v>3</v>
      </c>
      <c r="R727" s="45">
        <v>383470</v>
      </c>
      <c r="S727" s="45">
        <v>0</v>
      </c>
      <c r="T727" s="45">
        <v>1</v>
      </c>
      <c r="U727" s="45">
        <v>362805</v>
      </c>
      <c r="V727" s="45">
        <v>0</v>
      </c>
      <c r="W727" s="45">
        <v>2</v>
      </c>
      <c r="X727" s="45">
        <v>383467</v>
      </c>
      <c r="Y727" s="45">
        <v>20</v>
      </c>
      <c r="Z727" s="45">
        <v>3</v>
      </c>
      <c r="AB727" s="45">
        <v>407690</v>
      </c>
      <c r="AC727" s="45">
        <v>0</v>
      </c>
      <c r="AD727" s="45">
        <v>1</v>
      </c>
      <c r="AE727" s="45">
        <v>417547</v>
      </c>
      <c r="AF727" s="45">
        <v>0</v>
      </c>
      <c r="AG727" s="45">
        <v>1</v>
      </c>
      <c r="AH727" s="45">
        <v>429890</v>
      </c>
      <c r="AI727" s="45">
        <v>0</v>
      </c>
      <c r="AJ727" s="45">
        <v>1</v>
      </c>
      <c r="AK727" s="45">
        <v>412553</v>
      </c>
      <c r="AL727" s="45">
        <v>0</v>
      </c>
      <c r="AM727" s="45">
        <v>1</v>
      </c>
      <c r="AO727" s="45">
        <v>351984</v>
      </c>
      <c r="AP727" s="45">
        <v>0</v>
      </c>
      <c r="AQ727" s="45">
        <v>2</v>
      </c>
      <c r="AR727" s="45">
        <v>335465</v>
      </c>
      <c r="AS727" s="45">
        <v>0</v>
      </c>
      <c r="AT727" s="45">
        <v>3</v>
      </c>
      <c r="AU727" s="45">
        <v>351452</v>
      </c>
      <c r="AV727" s="45">
        <v>0</v>
      </c>
      <c r="AW727" s="45">
        <v>1</v>
      </c>
      <c r="AX727" s="45">
        <v>341338</v>
      </c>
      <c r="AY727" s="45">
        <v>0</v>
      </c>
      <c r="AZ727" s="45">
        <v>2</v>
      </c>
    </row>
    <row r="728" spans="2:52">
      <c r="B728" s="45">
        <v>344359</v>
      </c>
      <c r="C728" s="45">
        <v>0</v>
      </c>
      <c r="D728" s="45">
        <v>2</v>
      </c>
      <c r="E728" s="45">
        <v>348366</v>
      </c>
      <c r="F728" s="45">
        <v>0</v>
      </c>
      <c r="G728" s="45">
        <v>4</v>
      </c>
      <c r="H728" s="45">
        <v>347726</v>
      </c>
      <c r="I728" s="45">
        <v>0</v>
      </c>
      <c r="J728" s="45">
        <v>2</v>
      </c>
      <c r="K728" s="45">
        <v>331441</v>
      </c>
      <c r="L728" s="45">
        <v>0</v>
      </c>
      <c r="M728" s="45">
        <v>2</v>
      </c>
      <c r="O728" s="45">
        <v>367103</v>
      </c>
      <c r="P728" s="45">
        <v>0</v>
      </c>
      <c r="Q728" s="45">
        <v>2</v>
      </c>
      <c r="R728" s="45">
        <v>388048</v>
      </c>
      <c r="S728" s="45">
        <v>0</v>
      </c>
      <c r="T728" s="45">
        <v>1</v>
      </c>
      <c r="U728" s="45">
        <v>362578</v>
      </c>
      <c r="V728" s="45">
        <v>0</v>
      </c>
      <c r="W728" s="45">
        <v>3</v>
      </c>
      <c r="X728" s="45">
        <v>354134</v>
      </c>
      <c r="Y728" s="45">
        <v>0</v>
      </c>
      <c r="Z728" s="45">
        <v>2</v>
      </c>
      <c r="AB728" s="45">
        <v>413849</v>
      </c>
      <c r="AC728" s="45">
        <v>0</v>
      </c>
      <c r="AD728" s="45">
        <v>2</v>
      </c>
      <c r="AE728" s="45">
        <v>407401</v>
      </c>
      <c r="AF728" s="45">
        <v>0</v>
      </c>
      <c r="AG728" s="45">
        <v>0</v>
      </c>
      <c r="AH728" s="45">
        <v>395996</v>
      </c>
      <c r="AI728" s="45">
        <v>0</v>
      </c>
      <c r="AJ728" s="45">
        <v>1</v>
      </c>
      <c r="AK728" s="45">
        <v>411807</v>
      </c>
      <c r="AL728" s="45">
        <v>0</v>
      </c>
      <c r="AM728" s="45">
        <v>1</v>
      </c>
      <c r="AO728" s="45">
        <v>342198</v>
      </c>
      <c r="AP728" s="45">
        <v>0</v>
      </c>
      <c r="AQ728" s="45">
        <v>3</v>
      </c>
      <c r="AR728" s="45">
        <v>346560</v>
      </c>
      <c r="AS728" s="45">
        <v>0</v>
      </c>
      <c r="AT728" s="45">
        <v>2</v>
      </c>
      <c r="AU728" s="45">
        <v>336340</v>
      </c>
      <c r="AV728" s="45">
        <v>0</v>
      </c>
      <c r="AW728" s="45">
        <v>1</v>
      </c>
      <c r="AX728" s="45">
        <v>325333</v>
      </c>
      <c r="AY728" s="45">
        <v>0</v>
      </c>
      <c r="AZ728" s="45">
        <v>2</v>
      </c>
    </row>
    <row r="729" spans="2:52">
      <c r="B729" s="45">
        <v>346700</v>
      </c>
      <c r="C729" s="45">
        <v>0</v>
      </c>
      <c r="D729" s="45">
        <v>1</v>
      </c>
      <c r="E729" s="45">
        <v>338776</v>
      </c>
      <c r="F729" s="45">
        <v>0</v>
      </c>
      <c r="G729" s="45">
        <v>2</v>
      </c>
      <c r="H729" s="45">
        <v>337073</v>
      </c>
      <c r="I729" s="45">
        <v>0</v>
      </c>
      <c r="J729" s="45">
        <v>2</v>
      </c>
      <c r="K729" s="45">
        <v>327438</v>
      </c>
      <c r="L729" s="45">
        <v>0</v>
      </c>
      <c r="M729" s="45">
        <v>1</v>
      </c>
      <c r="O729" s="45">
        <v>362182</v>
      </c>
      <c r="P729" s="45">
        <v>0</v>
      </c>
      <c r="Q729" s="45">
        <v>2</v>
      </c>
      <c r="R729" s="45">
        <v>339419</v>
      </c>
      <c r="S729" s="45">
        <v>0</v>
      </c>
      <c r="T729" s="45">
        <v>2</v>
      </c>
      <c r="U729" s="45">
        <v>351986</v>
      </c>
      <c r="V729" s="45">
        <v>0</v>
      </c>
      <c r="W729" s="45">
        <v>2</v>
      </c>
      <c r="X729" s="45">
        <v>347642</v>
      </c>
      <c r="Y729" s="45">
        <v>0</v>
      </c>
      <c r="Z729" s="45">
        <v>2</v>
      </c>
      <c r="AB729" s="45">
        <v>392333</v>
      </c>
      <c r="AC729" s="45">
        <v>0</v>
      </c>
      <c r="AD729" s="45">
        <v>1</v>
      </c>
      <c r="AE729" s="45">
        <v>384358</v>
      </c>
      <c r="AF729" s="45">
        <v>0</v>
      </c>
      <c r="AG729" s="45">
        <v>1</v>
      </c>
      <c r="AH729" s="45">
        <v>393301</v>
      </c>
      <c r="AI729" s="45">
        <v>0</v>
      </c>
      <c r="AJ729" s="45">
        <v>1</v>
      </c>
      <c r="AK729" s="45">
        <v>389142</v>
      </c>
      <c r="AL729" s="45">
        <v>0</v>
      </c>
      <c r="AM729" s="45">
        <v>1</v>
      </c>
      <c r="AO729" s="45">
        <v>328428</v>
      </c>
      <c r="AP729" s="45">
        <v>0</v>
      </c>
      <c r="AQ729" s="45">
        <v>2</v>
      </c>
      <c r="AR729" s="45">
        <v>338075</v>
      </c>
      <c r="AS729" s="45">
        <v>0</v>
      </c>
      <c r="AT729" s="45">
        <v>1</v>
      </c>
      <c r="AU729" s="45">
        <v>327498</v>
      </c>
      <c r="AV729" s="45">
        <v>0</v>
      </c>
      <c r="AW729" s="45">
        <v>2</v>
      </c>
      <c r="AX729" s="45">
        <v>348297</v>
      </c>
      <c r="AY729" s="45">
        <v>0</v>
      </c>
      <c r="AZ729" s="45">
        <v>2</v>
      </c>
    </row>
    <row r="730" spans="2:52">
      <c r="B730" s="45">
        <v>361104</v>
      </c>
      <c r="C730" s="45">
        <v>0</v>
      </c>
      <c r="D730" s="45">
        <v>1</v>
      </c>
      <c r="E730" s="45">
        <v>356583</v>
      </c>
      <c r="F730" s="45">
        <v>0</v>
      </c>
      <c r="G730" s="45">
        <v>2</v>
      </c>
      <c r="H730" s="45">
        <v>355132</v>
      </c>
      <c r="I730" s="45">
        <v>0</v>
      </c>
      <c r="J730" s="45">
        <v>1</v>
      </c>
      <c r="K730" s="45">
        <v>346255</v>
      </c>
      <c r="L730" s="45">
        <v>0</v>
      </c>
      <c r="M730" s="45">
        <v>2</v>
      </c>
      <c r="O730" s="45">
        <v>381796</v>
      </c>
      <c r="P730" s="45">
        <v>1</v>
      </c>
      <c r="Q730" s="45">
        <v>5</v>
      </c>
      <c r="R730" s="45">
        <v>366330</v>
      </c>
      <c r="S730" s="45">
        <v>0</v>
      </c>
      <c r="T730" s="45">
        <v>2</v>
      </c>
      <c r="U730" s="45">
        <v>369727</v>
      </c>
      <c r="V730" s="45">
        <v>0</v>
      </c>
      <c r="W730" s="45">
        <v>2</v>
      </c>
      <c r="X730" s="45">
        <v>365135</v>
      </c>
      <c r="Y730" s="45">
        <v>0</v>
      </c>
      <c r="Z730" s="45">
        <v>2</v>
      </c>
      <c r="AB730" s="45">
        <v>409606</v>
      </c>
      <c r="AC730" s="45">
        <v>0</v>
      </c>
      <c r="AD730" s="45">
        <v>1</v>
      </c>
      <c r="AE730" s="45">
        <v>422619</v>
      </c>
      <c r="AF730" s="45">
        <v>0</v>
      </c>
      <c r="AG730" s="45">
        <v>1</v>
      </c>
      <c r="AH730" s="45">
        <v>416035</v>
      </c>
      <c r="AI730" s="45">
        <v>0</v>
      </c>
      <c r="AJ730" s="45">
        <v>1</v>
      </c>
      <c r="AK730" s="45">
        <v>427752</v>
      </c>
      <c r="AL730" s="45">
        <v>0</v>
      </c>
      <c r="AM730" s="45">
        <v>1</v>
      </c>
      <c r="AO730" s="45">
        <v>364146</v>
      </c>
      <c r="AP730" s="45">
        <v>0</v>
      </c>
      <c r="AQ730" s="45">
        <v>2</v>
      </c>
      <c r="AR730" s="45">
        <v>347580</v>
      </c>
      <c r="AS730" s="45">
        <v>0</v>
      </c>
      <c r="AT730" s="45">
        <v>2</v>
      </c>
      <c r="AU730" s="45">
        <v>354711</v>
      </c>
      <c r="AV730" s="45">
        <v>0</v>
      </c>
      <c r="AW730" s="45">
        <v>4</v>
      </c>
      <c r="AX730" s="45">
        <v>341807</v>
      </c>
      <c r="AY730" s="45">
        <v>0</v>
      </c>
      <c r="AZ730" s="45">
        <v>3</v>
      </c>
    </row>
    <row r="731" spans="2:52">
      <c r="B731" s="45">
        <v>326682</v>
      </c>
      <c r="C731" s="45">
        <v>0</v>
      </c>
      <c r="D731" s="45">
        <v>2</v>
      </c>
      <c r="E731" s="45">
        <v>343533</v>
      </c>
      <c r="F731" s="45">
        <v>0</v>
      </c>
      <c r="G731" s="45">
        <v>1</v>
      </c>
      <c r="H731" s="45">
        <v>383839</v>
      </c>
      <c r="I731" s="45">
        <v>43</v>
      </c>
      <c r="J731" s="45">
        <v>4</v>
      </c>
      <c r="K731" s="45">
        <v>333837</v>
      </c>
      <c r="L731" s="45">
        <v>0</v>
      </c>
      <c r="M731" s="45">
        <v>1</v>
      </c>
      <c r="O731" s="45">
        <v>375467</v>
      </c>
      <c r="P731" s="45">
        <v>0</v>
      </c>
      <c r="Q731" s="45">
        <v>2</v>
      </c>
      <c r="R731" s="45">
        <v>364582</v>
      </c>
      <c r="S731" s="45">
        <v>0</v>
      </c>
      <c r="T731" s="45">
        <v>2</v>
      </c>
      <c r="U731" s="45">
        <v>361610</v>
      </c>
      <c r="V731" s="45">
        <v>0</v>
      </c>
      <c r="W731" s="45">
        <v>2</v>
      </c>
      <c r="X731" s="45">
        <v>374929</v>
      </c>
      <c r="Y731" s="45">
        <v>0</v>
      </c>
      <c r="Z731" s="45">
        <v>2</v>
      </c>
      <c r="AB731" s="45">
        <v>411229</v>
      </c>
      <c r="AC731" s="45">
        <v>0</v>
      </c>
      <c r="AD731" s="45">
        <v>1</v>
      </c>
      <c r="AE731" s="45">
        <v>421319</v>
      </c>
      <c r="AF731" s="45">
        <v>0</v>
      </c>
      <c r="AG731" s="45">
        <v>2</v>
      </c>
      <c r="AH731" s="45">
        <v>415939</v>
      </c>
      <c r="AI731" s="45">
        <v>0</v>
      </c>
      <c r="AJ731" s="45">
        <v>0</v>
      </c>
      <c r="AK731" s="45">
        <v>404106</v>
      </c>
      <c r="AL731" s="45">
        <v>0</v>
      </c>
      <c r="AM731" s="45">
        <v>1</v>
      </c>
      <c r="AO731" s="45">
        <v>354752</v>
      </c>
      <c r="AP731" s="45">
        <v>10</v>
      </c>
      <c r="AQ731" s="45">
        <v>4</v>
      </c>
      <c r="AR731" s="45">
        <v>321564</v>
      </c>
      <c r="AS731" s="45">
        <v>3</v>
      </c>
      <c r="AT731" s="45">
        <v>4</v>
      </c>
      <c r="AU731" s="45">
        <v>334852</v>
      </c>
      <c r="AV731" s="45">
        <v>0</v>
      </c>
      <c r="AW731" s="45">
        <v>2</v>
      </c>
      <c r="AX731" s="45">
        <v>446519</v>
      </c>
      <c r="AY731" s="45">
        <v>121</v>
      </c>
      <c r="AZ731" s="45">
        <v>4</v>
      </c>
    </row>
    <row r="732" spans="2:52">
      <c r="B732" s="45">
        <v>291915</v>
      </c>
      <c r="C732" s="45">
        <v>0</v>
      </c>
      <c r="D732" s="45">
        <v>1</v>
      </c>
      <c r="E732" s="45">
        <v>294060</v>
      </c>
      <c r="F732" s="45">
        <v>0</v>
      </c>
      <c r="G732" s="45">
        <v>1</v>
      </c>
      <c r="H732" s="45">
        <v>299352</v>
      </c>
      <c r="I732" s="45">
        <v>0</v>
      </c>
      <c r="J732" s="45">
        <v>3</v>
      </c>
      <c r="K732" s="45">
        <v>287832</v>
      </c>
      <c r="L732" s="45">
        <v>0</v>
      </c>
      <c r="M732" s="45">
        <v>1</v>
      </c>
      <c r="O732" s="45">
        <v>313106</v>
      </c>
      <c r="P732" s="45">
        <v>0</v>
      </c>
      <c r="Q732" s="45">
        <v>3</v>
      </c>
      <c r="R732" s="45">
        <v>315129</v>
      </c>
      <c r="S732" s="45">
        <v>0</v>
      </c>
      <c r="T732" s="45">
        <v>1</v>
      </c>
      <c r="U732" s="45">
        <v>314942</v>
      </c>
      <c r="V732" s="45">
        <v>0</v>
      </c>
      <c r="W732" s="45">
        <v>3</v>
      </c>
      <c r="X732" s="45">
        <v>323970</v>
      </c>
      <c r="Y732" s="45">
        <v>0</v>
      </c>
      <c r="Z732" s="45">
        <v>3</v>
      </c>
      <c r="AB732" s="45">
        <v>354676</v>
      </c>
      <c r="AC732" s="45">
        <v>0</v>
      </c>
      <c r="AD732" s="45">
        <v>2</v>
      </c>
      <c r="AE732" s="45">
        <v>350224</v>
      </c>
      <c r="AF732" s="45">
        <v>0</v>
      </c>
      <c r="AG732" s="45">
        <v>1</v>
      </c>
      <c r="AH732" s="45">
        <v>357808</v>
      </c>
      <c r="AI732" s="45">
        <v>0</v>
      </c>
      <c r="AJ732" s="45">
        <v>1</v>
      </c>
      <c r="AK732" s="45">
        <v>373590</v>
      </c>
      <c r="AL732" s="45">
        <v>0</v>
      </c>
      <c r="AM732" s="45">
        <v>1</v>
      </c>
      <c r="AO732" s="45">
        <v>296261</v>
      </c>
      <c r="AP732" s="45">
        <v>0</v>
      </c>
      <c r="AQ732" s="45">
        <v>2</v>
      </c>
      <c r="AR732" s="45">
        <v>292922</v>
      </c>
      <c r="AS732" s="45">
        <v>0</v>
      </c>
      <c r="AT732" s="45">
        <v>1</v>
      </c>
      <c r="AU732" s="45">
        <v>290967</v>
      </c>
      <c r="AV732" s="45">
        <v>0</v>
      </c>
      <c r="AW732" s="45">
        <v>2</v>
      </c>
      <c r="AX732" s="45">
        <v>294336</v>
      </c>
      <c r="AY732" s="45">
        <v>0</v>
      </c>
      <c r="AZ732" s="45">
        <v>1</v>
      </c>
    </row>
    <row r="733" spans="2:52">
      <c r="B733" s="45">
        <v>355061</v>
      </c>
      <c r="C733" s="45">
        <v>0</v>
      </c>
      <c r="D733" s="45">
        <v>1</v>
      </c>
      <c r="E733" s="45">
        <v>335998</v>
      </c>
      <c r="F733" s="45">
        <v>0</v>
      </c>
      <c r="G733" s="45">
        <v>2</v>
      </c>
      <c r="H733" s="45">
        <v>362173</v>
      </c>
      <c r="I733" s="45">
        <v>0</v>
      </c>
      <c r="J733" s="45">
        <v>1</v>
      </c>
      <c r="K733" s="45">
        <v>346206</v>
      </c>
      <c r="L733" s="45">
        <v>0</v>
      </c>
      <c r="M733" s="45">
        <v>2</v>
      </c>
      <c r="O733" s="45">
        <v>370148</v>
      </c>
      <c r="P733" s="45">
        <v>0</v>
      </c>
      <c r="Q733" s="45">
        <v>2</v>
      </c>
      <c r="R733" s="45">
        <v>383009</v>
      </c>
      <c r="S733" s="45">
        <v>0</v>
      </c>
      <c r="T733" s="45">
        <v>2</v>
      </c>
      <c r="U733" s="45">
        <v>383480</v>
      </c>
      <c r="V733" s="45">
        <v>0</v>
      </c>
      <c r="W733" s="45">
        <v>2</v>
      </c>
      <c r="X733" s="45">
        <v>373389</v>
      </c>
      <c r="Y733" s="45">
        <v>0</v>
      </c>
      <c r="Z733" s="45">
        <v>2</v>
      </c>
      <c r="AB733" s="45">
        <v>429927</v>
      </c>
      <c r="AC733" s="45">
        <v>0</v>
      </c>
      <c r="AD733" s="45">
        <v>1</v>
      </c>
      <c r="AE733" s="45">
        <v>410484</v>
      </c>
      <c r="AF733" s="45">
        <v>0</v>
      </c>
      <c r="AG733" s="45">
        <v>1</v>
      </c>
      <c r="AH733" s="45">
        <v>423293</v>
      </c>
      <c r="AI733" s="45">
        <v>0</v>
      </c>
      <c r="AJ733" s="45">
        <v>1</v>
      </c>
      <c r="AK733" s="45">
        <v>421266</v>
      </c>
      <c r="AL733" s="45">
        <v>0</v>
      </c>
      <c r="AM733" s="45">
        <v>1</v>
      </c>
      <c r="AO733" s="45">
        <v>358672</v>
      </c>
      <c r="AP733" s="45">
        <v>0</v>
      </c>
      <c r="AQ733" s="45">
        <v>2</v>
      </c>
      <c r="AR733" s="45">
        <v>345352</v>
      </c>
      <c r="AS733" s="45">
        <v>0</v>
      </c>
      <c r="AT733" s="45">
        <v>3</v>
      </c>
      <c r="AU733" s="45">
        <v>351574</v>
      </c>
      <c r="AV733" s="45">
        <v>0</v>
      </c>
      <c r="AW733" s="45">
        <v>1</v>
      </c>
      <c r="AX733" s="45">
        <v>343833</v>
      </c>
      <c r="AY733" s="45">
        <v>0</v>
      </c>
      <c r="AZ733" s="45">
        <v>2</v>
      </c>
    </row>
    <row r="734" spans="2:52">
      <c r="B734" s="45">
        <v>334539</v>
      </c>
      <c r="C734" s="45">
        <v>0</v>
      </c>
      <c r="D734" s="45">
        <v>2</v>
      </c>
      <c r="E734" s="45">
        <v>331197</v>
      </c>
      <c r="F734" s="45">
        <v>0</v>
      </c>
      <c r="G734" s="45">
        <v>1</v>
      </c>
      <c r="H734" s="45">
        <v>335224</v>
      </c>
      <c r="I734" s="45">
        <v>0</v>
      </c>
      <c r="J734" s="45">
        <v>2</v>
      </c>
      <c r="K734" s="45">
        <v>340886</v>
      </c>
      <c r="L734" s="45">
        <v>0</v>
      </c>
      <c r="M734" s="45">
        <v>1</v>
      </c>
      <c r="O734" s="45">
        <v>402860</v>
      </c>
      <c r="P734" s="45">
        <v>0</v>
      </c>
      <c r="Q734" s="45">
        <v>3</v>
      </c>
      <c r="R734" s="45">
        <v>388439</v>
      </c>
      <c r="S734" s="45">
        <v>0</v>
      </c>
      <c r="T734" s="45">
        <v>1</v>
      </c>
      <c r="U734" s="45">
        <v>371553</v>
      </c>
      <c r="V734" s="45">
        <v>0</v>
      </c>
      <c r="W734" s="45">
        <v>2</v>
      </c>
      <c r="X734" s="45">
        <v>349438</v>
      </c>
      <c r="Y734" s="45">
        <v>0</v>
      </c>
      <c r="Z734" s="45">
        <v>2</v>
      </c>
      <c r="AB734" s="45">
        <v>410471</v>
      </c>
      <c r="AC734" s="45">
        <v>0</v>
      </c>
      <c r="AD734" s="45">
        <v>1</v>
      </c>
      <c r="AE734" s="45">
        <v>410323</v>
      </c>
      <c r="AF734" s="45">
        <v>0</v>
      </c>
      <c r="AG734" s="45">
        <v>1</v>
      </c>
      <c r="AH734" s="45">
        <v>418497</v>
      </c>
      <c r="AI734" s="45">
        <v>0</v>
      </c>
      <c r="AJ734" s="45">
        <v>1</v>
      </c>
      <c r="AK734" s="45">
        <v>405422</v>
      </c>
      <c r="AL734" s="45">
        <v>0</v>
      </c>
      <c r="AM734" s="45">
        <v>1</v>
      </c>
      <c r="AO734" s="45">
        <v>346454</v>
      </c>
      <c r="AP734" s="45">
        <v>0</v>
      </c>
      <c r="AQ734" s="45">
        <v>2</v>
      </c>
      <c r="AR734" s="45">
        <v>323850</v>
      </c>
      <c r="AS734" s="45">
        <v>0</v>
      </c>
      <c r="AT734" s="45">
        <v>3</v>
      </c>
      <c r="AU734" s="45">
        <v>330684</v>
      </c>
      <c r="AV734" s="45">
        <v>0</v>
      </c>
      <c r="AW734" s="45">
        <v>2</v>
      </c>
      <c r="AX734" s="45">
        <v>320499</v>
      </c>
      <c r="AY734" s="45">
        <v>0</v>
      </c>
      <c r="AZ734" s="45">
        <v>2</v>
      </c>
    </row>
    <row r="735" spans="2:52">
      <c r="B735" s="45">
        <v>345249</v>
      </c>
      <c r="C735" s="45">
        <v>0</v>
      </c>
      <c r="D735" s="45">
        <v>4</v>
      </c>
      <c r="E735" s="45">
        <v>354921</v>
      </c>
      <c r="F735" s="45">
        <v>18</v>
      </c>
      <c r="G735" s="45">
        <v>4</v>
      </c>
      <c r="H735" s="45">
        <v>391287</v>
      </c>
      <c r="I735" s="45">
        <v>47</v>
      </c>
      <c r="J735" s="45">
        <v>4</v>
      </c>
      <c r="K735" s="45">
        <v>344320</v>
      </c>
      <c r="L735" s="45">
        <v>0</v>
      </c>
      <c r="M735" s="45">
        <v>2</v>
      </c>
      <c r="O735" s="45">
        <v>387269</v>
      </c>
      <c r="P735" s="45">
        <v>0</v>
      </c>
      <c r="Q735" s="45">
        <v>2</v>
      </c>
      <c r="R735" s="45">
        <v>416403</v>
      </c>
      <c r="S735" s="45">
        <v>53</v>
      </c>
      <c r="T735" s="45">
        <v>3</v>
      </c>
      <c r="U735" s="45">
        <v>370237</v>
      </c>
      <c r="V735" s="45">
        <v>0</v>
      </c>
      <c r="W735" s="45">
        <v>2</v>
      </c>
      <c r="X735" s="45">
        <v>368141</v>
      </c>
      <c r="Y735" s="45">
        <v>0</v>
      </c>
      <c r="Z735" s="45">
        <v>3</v>
      </c>
      <c r="AB735" s="45">
        <v>426313</v>
      </c>
      <c r="AC735" s="45">
        <v>0</v>
      </c>
      <c r="AD735" s="45">
        <v>1</v>
      </c>
      <c r="AE735" s="45">
        <v>412360</v>
      </c>
      <c r="AF735" s="45">
        <v>0</v>
      </c>
      <c r="AG735" s="45">
        <v>1</v>
      </c>
      <c r="AH735" s="45">
        <v>413801</v>
      </c>
      <c r="AI735" s="45">
        <v>0</v>
      </c>
      <c r="AJ735" s="45">
        <v>1</v>
      </c>
      <c r="AK735" s="45">
        <v>407391</v>
      </c>
      <c r="AL735" s="45">
        <v>0</v>
      </c>
      <c r="AM735" s="45">
        <v>1</v>
      </c>
      <c r="AO735" s="45">
        <v>344663</v>
      </c>
      <c r="AP735" s="45">
        <v>0</v>
      </c>
      <c r="AQ735" s="45">
        <v>4</v>
      </c>
      <c r="AR735" s="45">
        <v>382319</v>
      </c>
      <c r="AS735" s="45">
        <v>37</v>
      </c>
      <c r="AT735" s="45">
        <v>2</v>
      </c>
      <c r="AU735" s="45">
        <v>362189</v>
      </c>
      <c r="AV735" s="45">
        <v>0</v>
      </c>
      <c r="AW735" s="45">
        <v>2</v>
      </c>
      <c r="AX735" s="45">
        <v>337533</v>
      </c>
      <c r="AY735" s="45">
        <v>0</v>
      </c>
      <c r="AZ735" s="45">
        <v>2</v>
      </c>
    </row>
    <row r="736" spans="2:52">
      <c r="B736" s="45">
        <v>334924</v>
      </c>
      <c r="C736" s="45">
        <v>0</v>
      </c>
      <c r="D736" s="45">
        <v>2</v>
      </c>
      <c r="E736" s="45">
        <v>334539</v>
      </c>
      <c r="F736" s="45">
        <v>0</v>
      </c>
      <c r="G736" s="45">
        <v>2</v>
      </c>
      <c r="H736" s="45">
        <v>338230</v>
      </c>
      <c r="I736" s="45">
        <v>0</v>
      </c>
      <c r="J736" s="45">
        <v>2</v>
      </c>
      <c r="K736" s="45">
        <v>366419</v>
      </c>
      <c r="L736" s="45">
        <v>22</v>
      </c>
      <c r="M736" s="45">
        <v>2</v>
      </c>
      <c r="O736" s="45">
        <v>375164</v>
      </c>
      <c r="P736" s="45">
        <v>0</v>
      </c>
      <c r="Q736" s="45">
        <v>2</v>
      </c>
      <c r="R736" s="45">
        <v>373762</v>
      </c>
      <c r="S736" s="45">
        <v>0</v>
      </c>
      <c r="T736" s="45">
        <v>2</v>
      </c>
      <c r="U736" s="45">
        <v>365978</v>
      </c>
      <c r="V736" s="45">
        <v>0</v>
      </c>
      <c r="W736" s="45">
        <v>2</v>
      </c>
      <c r="X736" s="45">
        <v>369731</v>
      </c>
      <c r="Y736" s="45">
        <v>0</v>
      </c>
      <c r="Z736" s="45">
        <v>2</v>
      </c>
      <c r="AB736" s="45">
        <v>391250</v>
      </c>
      <c r="AC736" s="45">
        <v>0</v>
      </c>
      <c r="AD736" s="45">
        <v>1</v>
      </c>
      <c r="AE736" s="45">
        <v>405247</v>
      </c>
      <c r="AF736" s="45">
        <v>0</v>
      </c>
      <c r="AG736" s="45">
        <v>1</v>
      </c>
      <c r="AH736" s="45">
        <v>410864</v>
      </c>
      <c r="AI736" s="45">
        <v>0</v>
      </c>
      <c r="AJ736" s="45">
        <v>1</v>
      </c>
      <c r="AK736" s="45">
        <v>403000</v>
      </c>
      <c r="AL736" s="45">
        <v>0</v>
      </c>
      <c r="AM736" s="45">
        <v>1</v>
      </c>
      <c r="AO736" s="45">
        <v>341328</v>
      </c>
      <c r="AP736" s="45">
        <v>0</v>
      </c>
      <c r="AQ736" s="45">
        <v>2</v>
      </c>
      <c r="AR736" s="45">
        <v>338446</v>
      </c>
      <c r="AS736" s="45">
        <v>0</v>
      </c>
      <c r="AT736" s="45">
        <v>2</v>
      </c>
      <c r="AU736" s="45">
        <v>346132</v>
      </c>
      <c r="AV736" s="45">
        <v>0</v>
      </c>
      <c r="AW736" s="45">
        <v>2</v>
      </c>
      <c r="AX736" s="45">
        <v>342683</v>
      </c>
      <c r="AY736" s="45">
        <v>0</v>
      </c>
      <c r="AZ736" s="45">
        <v>1</v>
      </c>
    </row>
    <row r="737" spans="2:52">
      <c r="B737" s="45">
        <v>302146</v>
      </c>
      <c r="C737" s="45">
        <v>0</v>
      </c>
      <c r="D737" s="45">
        <v>2</v>
      </c>
      <c r="E737" s="45">
        <v>316168</v>
      </c>
      <c r="F737" s="45">
        <v>24</v>
      </c>
      <c r="G737" s="45">
        <v>4</v>
      </c>
      <c r="H737" s="45">
        <v>267307</v>
      </c>
      <c r="I737" s="45">
        <v>0</v>
      </c>
      <c r="J737" s="45">
        <v>3</v>
      </c>
      <c r="K737" s="45">
        <v>288223</v>
      </c>
      <c r="L737" s="45">
        <v>0</v>
      </c>
      <c r="M737" s="45">
        <v>2</v>
      </c>
      <c r="O737" s="45">
        <v>325761</v>
      </c>
      <c r="P737" s="45">
        <v>0</v>
      </c>
      <c r="Q737" s="45">
        <v>2</v>
      </c>
      <c r="R737" s="45">
        <v>309798</v>
      </c>
      <c r="S737" s="45">
        <v>0</v>
      </c>
      <c r="T737" s="45">
        <v>2</v>
      </c>
      <c r="U737" s="45">
        <v>317441</v>
      </c>
      <c r="V737" s="45">
        <v>0</v>
      </c>
      <c r="W737" s="45">
        <v>2</v>
      </c>
      <c r="X737" s="45">
        <v>300537</v>
      </c>
      <c r="Y737" s="45">
        <v>0</v>
      </c>
      <c r="Z737" s="45">
        <v>2</v>
      </c>
      <c r="AB737" s="45">
        <v>366169</v>
      </c>
      <c r="AC737" s="45">
        <v>0</v>
      </c>
      <c r="AD737" s="45">
        <v>1</v>
      </c>
      <c r="AE737" s="45">
        <v>363130</v>
      </c>
      <c r="AF737" s="45">
        <v>0</v>
      </c>
      <c r="AG737" s="45">
        <v>1</v>
      </c>
      <c r="AH737" s="45">
        <v>362093</v>
      </c>
      <c r="AI737" s="45">
        <v>0</v>
      </c>
      <c r="AJ737" s="45">
        <v>1</v>
      </c>
      <c r="AK737" s="45">
        <v>371374</v>
      </c>
      <c r="AL737" s="45">
        <v>0</v>
      </c>
      <c r="AM737" s="45">
        <v>1</v>
      </c>
      <c r="AO737" s="45">
        <v>290272</v>
      </c>
      <c r="AP737" s="45">
        <v>0</v>
      </c>
      <c r="AQ737" s="45">
        <v>2</v>
      </c>
      <c r="AR737" s="45">
        <v>303162</v>
      </c>
      <c r="AS737" s="45">
        <v>0</v>
      </c>
      <c r="AT737" s="45">
        <v>2</v>
      </c>
      <c r="AU737" s="45">
        <v>288922</v>
      </c>
      <c r="AV737" s="45">
        <v>0</v>
      </c>
      <c r="AW737" s="45">
        <v>2</v>
      </c>
      <c r="AX737" s="45">
        <v>322072</v>
      </c>
      <c r="AY737" s="45">
        <v>33</v>
      </c>
      <c r="AZ737" s="45">
        <v>5</v>
      </c>
    </row>
    <row r="738" spans="2:52">
      <c r="B738" s="45">
        <v>289723</v>
      </c>
      <c r="C738" s="45">
        <v>12</v>
      </c>
      <c r="D738" s="45">
        <v>5</v>
      </c>
      <c r="E738" s="45">
        <v>292899</v>
      </c>
      <c r="F738" s="45">
        <v>0</v>
      </c>
      <c r="G738" s="45">
        <v>2</v>
      </c>
      <c r="H738" s="45">
        <v>284879</v>
      </c>
      <c r="I738" s="45">
        <v>0</v>
      </c>
      <c r="J738" s="45">
        <v>2</v>
      </c>
      <c r="K738" s="45">
        <v>296507</v>
      </c>
      <c r="L738" s="45">
        <v>0</v>
      </c>
      <c r="M738" s="45">
        <v>2</v>
      </c>
      <c r="O738" s="45">
        <v>324174</v>
      </c>
      <c r="P738" s="45">
        <v>0</v>
      </c>
      <c r="Q738" s="45">
        <v>2</v>
      </c>
      <c r="R738" s="45">
        <v>342389</v>
      </c>
      <c r="S738" s="45">
        <v>0</v>
      </c>
      <c r="T738" s="45">
        <v>2</v>
      </c>
      <c r="U738" s="45">
        <v>318863</v>
      </c>
      <c r="V738" s="45">
        <v>0</v>
      </c>
      <c r="W738" s="45">
        <v>2</v>
      </c>
      <c r="X738" s="45">
        <v>310100</v>
      </c>
      <c r="Y738" s="45">
        <v>16</v>
      </c>
      <c r="Z738" s="45">
        <v>3</v>
      </c>
      <c r="AB738" s="45">
        <v>381486</v>
      </c>
      <c r="AC738" s="45">
        <v>0</v>
      </c>
      <c r="AD738" s="45">
        <v>1</v>
      </c>
      <c r="AE738" s="45">
        <v>366362</v>
      </c>
      <c r="AF738" s="45">
        <v>0</v>
      </c>
      <c r="AG738" s="45">
        <v>1</v>
      </c>
      <c r="AH738" s="45">
        <v>360584</v>
      </c>
      <c r="AI738" s="45">
        <v>0</v>
      </c>
      <c r="AJ738" s="45">
        <v>0</v>
      </c>
      <c r="AK738" s="45">
        <v>370467</v>
      </c>
      <c r="AL738" s="45">
        <v>0</v>
      </c>
      <c r="AM738" s="45">
        <v>1</v>
      </c>
      <c r="AO738" s="45">
        <v>339556</v>
      </c>
      <c r="AP738" s="45">
        <v>64</v>
      </c>
      <c r="AQ738" s="45">
        <v>3</v>
      </c>
      <c r="AR738" s="45">
        <v>286869</v>
      </c>
      <c r="AS738" s="45">
        <v>0</v>
      </c>
      <c r="AT738" s="45">
        <v>1</v>
      </c>
      <c r="AU738" s="45">
        <v>308711</v>
      </c>
      <c r="AV738" s="45">
        <v>0</v>
      </c>
      <c r="AW738" s="45">
        <v>1</v>
      </c>
      <c r="AX738" s="45">
        <v>278608</v>
      </c>
      <c r="AY738" s="45">
        <v>0</v>
      </c>
      <c r="AZ738" s="45">
        <v>2</v>
      </c>
    </row>
    <row r="739" spans="2:52">
      <c r="B739" s="45">
        <v>305159</v>
      </c>
      <c r="C739" s="45">
        <v>0</v>
      </c>
      <c r="D739" s="45">
        <v>2</v>
      </c>
      <c r="E739" s="45">
        <v>318418</v>
      </c>
      <c r="F739" s="45">
        <v>0</v>
      </c>
      <c r="G739" s="45">
        <v>3</v>
      </c>
      <c r="H739" s="45">
        <v>304735</v>
      </c>
      <c r="I739" s="45">
        <v>0</v>
      </c>
      <c r="J739" s="45">
        <v>1</v>
      </c>
      <c r="K739" s="45">
        <v>315117</v>
      </c>
      <c r="L739" s="45">
        <v>0</v>
      </c>
      <c r="M739" s="45">
        <v>2</v>
      </c>
      <c r="O739" s="45">
        <v>334250</v>
      </c>
      <c r="P739" s="45">
        <v>6</v>
      </c>
      <c r="Q739" s="45">
        <v>3</v>
      </c>
      <c r="R739" s="45">
        <v>345049</v>
      </c>
      <c r="S739" s="45">
        <v>0</v>
      </c>
      <c r="T739" s="45">
        <v>1</v>
      </c>
      <c r="U739" s="45">
        <v>352236</v>
      </c>
      <c r="V739" s="45">
        <v>0</v>
      </c>
      <c r="W739" s="45">
        <v>2</v>
      </c>
      <c r="X739" s="45">
        <v>330433</v>
      </c>
      <c r="Y739" s="45">
        <v>0</v>
      </c>
      <c r="Z739" s="45">
        <v>2</v>
      </c>
      <c r="AB739" s="45">
        <v>371718</v>
      </c>
      <c r="AC739" s="45">
        <v>0</v>
      </c>
      <c r="AD739" s="45">
        <v>2</v>
      </c>
      <c r="AE739" s="45">
        <v>373560</v>
      </c>
      <c r="AF739" s="45">
        <v>0</v>
      </c>
      <c r="AG739" s="45">
        <v>1</v>
      </c>
      <c r="AH739" s="45">
        <v>365494</v>
      </c>
      <c r="AI739" s="45">
        <v>0</v>
      </c>
      <c r="AJ739" s="45">
        <v>2</v>
      </c>
      <c r="AK739" s="45">
        <v>365154</v>
      </c>
      <c r="AL739" s="45">
        <v>0</v>
      </c>
      <c r="AM739" s="45">
        <v>0</v>
      </c>
      <c r="AO739" s="45">
        <v>314671</v>
      </c>
      <c r="AP739" s="45">
        <v>0</v>
      </c>
      <c r="AQ739" s="45">
        <v>4</v>
      </c>
      <c r="AR739" s="45">
        <v>307176</v>
      </c>
      <c r="AS739" s="45">
        <v>0</v>
      </c>
      <c r="AT739" s="45">
        <v>2</v>
      </c>
      <c r="AU739" s="45">
        <v>319171</v>
      </c>
      <c r="AV739" s="45">
        <v>0</v>
      </c>
      <c r="AW739" s="45">
        <v>1</v>
      </c>
      <c r="AX739" s="45">
        <v>317789</v>
      </c>
      <c r="AY739" s="45">
        <v>4</v>
      </c>
      <c r="AZ739" s="45">
        <v>2</v>
      </c>
    </row>
    <row r="740" spans="2:52">
      <c r="B740" s="45">
        <v>312234</v>
      </c>
      <c r="C740" s="45">
        <v>0</v>
      </c>
      <c r="D740" s="45">
        <v>2</v>
      </c>
      <c r="E740" s="45">
        <v>287178</v>
      </c>
      <c r="F740" s="45">
        <v>0</v>
      </c>
      <c r="G740" s="45">
        <v>2</v>
      </c>
      <c r="H740" s="45">
        <v>289916</v>
      </c>
      <c r="I740" s="45">
        <v>0</v>
      </c>
      <c r="J740" s="45">
        <v>3</v>
      </c>
      <c r="K740" s="45">
        <v>298277</v>
      </c>
      <c r="L740" s="45">
        <v>0</v>
      </c>
      <c r="M740" s="45">
        <v>1</v>
      </c>
      <c r="O740" s="45">
        <v>292540</v>
      </c>
      <c r="P740" s="45">
        <v>0</v>
      </c>
      <c r="Q740" s="45">
        <v>3</v>
      </c>
      <c r="R740" s="45">
        <v>308429</v>
      </c>
      <c r="S740" s="45">
        <v>0</v>
      </c>
      <c r="T740" s="45">
        <v>2</v>
      </c>
      <c r="U740" s="45">
        <v>308517</v>
      </c>
      <c r="V740" s="45">
        <v>0</v>
      </c>
      <c r="W740" s="45">
        <v>3</v>
      </c>
      <c r="X740" s="45">
        <v>315326</v>
      </c>
      <c r="Y740" s="45">
        <v>0</v>
      </c>
      <c r="Z740" s="45">
        <v>2</v>
      </c>
      <c r="AB740" s="45">
        <v>366608</v>
      </c>
      <c r="AC740" s="45">
        <v>0</v>
      </c>
      <c r="AD740" s="45">
        <v>1</v>
      </c>
      <c r="AE740" s="45">
        <v>344146</v>
      </c>
      <c r="AF740" s="45">
        <v>0</v>
      </c>
      <c r="AG740" s="45">
        <v>1</v>
      </c>
      <c r="AH740" s="45">
        <v>351368</v>
      </c>
      <c r="AI740" s="45">
        <v>0</v>
      </c>
      <c r="AJ740" s="45">
        <v>1</v>
      </c>
      <c r="AK740" s="45">
        <v>372752</v>
      </c>
      <c r="AL740" s="45">
        <v>0</v>
      </c>
      <c r="AM740" s="45">
        <v>1</v>
      </c>
      <c r="AO740" s="45">
        <v>306727</v>
      </c>
      <c r="AP740" s="45">
        <v>32</v>
      </c>
      <c r="AQ740" s="45">
        <v>4</v>
      </c>
      <c r="AR740" s="45">
        <v>287692</v>
      </c>
      <c r="AS740" s="45">
        <v>0</v>
      </c>
      <c r="AT740" s="45">
        <v>1</v>
      </c>
      <c r="AU740" s="45">
        <v>312233</v>
      </c>
      <c r="AV740" s="45">
        <v>22</v>
      </c>
      <c r="AW740" s="45">
        <v>3</v>
      </c>
      <c r="AX740" s="45">
        <v>290827</v>
      </c>
      <c r="AY740" s="45">
        <v>0</v>
      </c>
      <c r="AZ740" s="45">
        <v>3</v>
      </c>
    </row>
    <row r="741" spans="2:52">
      <c r="B741" s="45">
        <v>349130</v>
      </c>
      <c r="C741" s="45">
        <v>0</v>
      </c>
      <c r="D741" s="45">
        <v>4</v>
      </c>
      <c r="E741" s="45">
        <v>361948</v>
      </c>
      <c r="F741" s="45">
        <v>0</v>
      </c>
      <c r="G741" s="45">
        <v>3</v>
      </c>
      <c r="H741" s="45">
        <v>343128</v>
      </c>
      <c r="I741" s="45">
        <v>0</v>
      </c>
      <c r="J741" s="45">
        <v>1</v>
      </c>
      <c r="K741" s="45">
        <v>363587</v>
      </c>
      <c r="L741" s="45">
        <v>0</v>
      </c>
      <c r="M741" s="45">
        <v>2</v>
      </c>
      <c r="O741" s="45">
        <v>405802</v>
      </c>
      <c r="P741" s="45">
        <v>0</v>
      </c>
      <c r="Q741" s="45">
        <v>2</v>
      </c>
      <c r="R741" s="45">
        <v>388417</v>
      </c>
      <c r="S741" s="45">
        <v>0</v>
      </c>
      <c r="T741" s="45">
        <v>1</v>
      </c>
      <c r="U741" s="45">
        <v>385075</v>
      </c>
      <c r="V741" s="45">
        <v>0</v>
      </c>
      <c r="W741" s="45">
        <v>3</v>
      </c>
      <c r="X741" s="45">
        <v>373556</v>
      </c>
      <c r="Y741" s="45">
        <v>0</v>
      </c>
      <c r="Z741" s="45">
        <v>2</v>
      </c>
      <c r="AB741" s="45">
        <v>435078</v>
      </c>
      <c r="AC741" s="45">
        <v>0</v>
      </c>
      <c r="AD741" s="45">
        <v>1</v>
      </c>
      <c r="AE741" s="45">
        <v>445827</v>
      </c>
      <c r="AF741" s="45">
        <v>0</v>
      </c>
      <c r="AG741" s="45">
        <v>1</v>
      </c>
      <c r="AH741" s="45">
        <v>442309</v>
      </c>
      <c r="AI741" s="45">
        <v>0</v>
      </c>
      <c r="AJ741" s="45">
        <v>1</v>
      </c>
      <c r="AK741" s="45">
        <v>451667</v>
      </c>
      <c r="AL741" s="45">
        <v>0</v>
      </c>
      <c r="AM741" s="45">
        <v>1</v>
      </c>
      <c r="AO741" s="45">
        <v>357531</v>
      </c>
      <c r="AP741" s="45">
        <v>0</v>
      </c>
      <c r="AQ741" s="45">
        <v>3</v>
      </c>
      <c r="AR741" s="45">
        <v>357784</v>
      </c>
      <c r="AS741" s="45">
        <v>0</v>
      </c>
      <c r="AT741" s="45">
        <v>1</v>
      </c>
      <c r="AU741" s="45">
        <v>357383</v>
      </c>
      <c r="AV741" s="45">
        <v>0</v>
      </c>
      <c r="AW741" s="45">
        <v>3</v>
      </c>
      <c r="AX741" s="45">
        <v>360280</v>
      </c>
      <c r="AY741" s="45">
        <v>0</v>
      </c>
      <c r="AZ741" s="45">
        <v>2</v>
      </c>
    </row>
    <row r="742" spans="2:52">
      <c r="B742" s="45">
        <v>322071</v>
      </c>
      <c r="C742" s="45">
        <v>0</v>
      </c>
      <c r="D742" s="45">
        <v>1</v>
      </c>
      <c r="E742" s="45">
        <v>304694</v>
      </c>
      <c r="F742" s="45">
        <v>0</v>
      </c>
      <c r="G742" s="45">
        <v>4</v>
      </c>
      <c r="H742" s="45">
        <v>313644</v>
      </c>
      <c r="I742" s="45">
        <v>0</v>
      </c>
      <c r="J742" s="45">
        <v>2</v>
      </c>
      <c r="K742" s="45">
        <v>304180</v>
      </c>
      <c r="L742" s="45">
        <v>0</v>
      </c>
      <c r="M742" s="45">
        <v>3</v>
      </c>
      <c r="O742" s="45">
        <v>329294</v>
      </c>
      <c r="P742" s="45">
        <v>0</v>
      </c>
      <c r="Q742" s="45">
        <v>3</v>
      </c>
      <c r="R742" s="45">
        <v>363090</v>
      </c>
      <c r="S742" s="45">
        <v>0</v>
      </c>
      <c r="T742" s="45">
        <v>2</v>
      </c>
      <c r="U742" s="45">
        <v>347402</v>
      </c>
      <c r="V742" s="45">
        <v>0</v>
      </c>
      <c r="W742" s="45">
        <v>2</v>
      </c>
      <c r="X742" s="45">
        <v>324064</v>
      </c>
      <c r="Y742" s="45">
        <v>0</v>
      </c>
      <c r="Z742" s="45">
        <v>2</v>
      </c>
      <c r="AB742" s="45">
        <v>388694</v>
      </c>
      <c r="AC742" s="45">
        <v>0</v>
      </c>
      <c r="AD742" s="45">
        <v>1</v>
      </c>
      <c r="AE742" s="45">
        <v>389817</v>
      </c>
      <c r="AF742" s="45">
        <v>0</v>
      </c>
      <c r="AG742" s="45">
        <v>1</v>
      </c>
      <c r="AH742" s="45">
        <v>388048</v>
      </c>
      <c r="AI742" s="45">
        <v>0</v>
      </c>
      <c r="AJ742" s="45">
        <v>1</v>
      </c>
      <c r="AK742" s="45">
        <v>367336</v>
      </c>
      <c r="AL742" s="45">
        <v>0</v>
      </c>
      <c r="AM742" s="45">
        <v>2</v>
      </c>
      <c r="AO742" s="45">
        <v>303878</v>
      </c>
      <c r="AP742" s="45">
        <v>0</v>
      </c>
      <c r="AQ742" s="45">
        <v>3</v>
      </c>
      <c r="AR742" s="45">
        <v>304311</v>
      </c>
      <c r="AS742" s="45">
        <v>0</v>
      </c>
      <c r="AT742" s="45">
        <v>1</v>
      </c>
      <c r="AU742" s="45">
        <v>311766</v>
      </c>
      <c r="AV742" s="45">
        <v>0</v>
      </c>
      <c r="AW742" s="45">
        <v>2</v>
      </c>
      <c r="AX742" s="45">
        <v>302862</v>
      </c>
      <c r="AY742" s="45">
        <v>0</v>
      </c>
      <c r="AZ742" s="45">
        <v>1</v>
      </c>
    </row>
    <row r="743" spans="2:52">
      <c r="B743" s="45">
        <v>282494</v>
      </c>
      <c r="C743" s="45">
        <v>0</v>
      </c>
      <c r="D743" s="45">
        <v>4</v>
      </c>
      <c r="E743" s="45">
        <v>299464</v>
      </c>
      <c r="F743" s="45">
        <v>25</v>
      </c>
      <c r="G743" s="45">
        <v>4</v>
      </c>
      <c r="H743" s="45">
        <v>285068</v>
      </c>
      <c r="I743" s="45">
        <v>0</v>
      </c>
      <c r="J743" s="45">
        <v>2</v>
      </c>
      <c r="K743" s="45">
        <v>290209</v>
      </c>
      <c r="L743" s="45">
        <v>0</v>
      </c>
      <c r="M743" s="45">
        <v>2</v>
      </c>
      <c r="O743" s="45">
        <v>299974</v>
      </c>
      <c r="P743" s="45">
        <v>0</v>
      </c>
      <c r="Q743" s="45">
        <v>2</v>
      </c>
      <c r="R743" s="45">
        <v>332859</v>
      </c>
      <c r="S743" s="45">
        <v>32</v>
      </c>
      <c r="T743" s="45">
        <v>4</v>
      </c>
      <c r="U743" s="45">
        <v>333288</v>
      </c>
      <c r="V743" s="45">
        <v>0</v>
      </c>
      <c r="W743" s="45">
        <v>2</v>
      </c>
      <c r="X743" s="45">
        <v>309101</v>
      </c>
      <c r="Y743" s="45">
        <v>0</v>
      </c>
      <c r="Z743" s="45">
        <v>2</v>
      </c>
      <c r="AB743" s="45">
        <v>351289</v>
      </c>
      <c r="AC743" s="45">
        <v>0</v>
      </c>
      <c r="AD743" s="45">
        <v>1</v>
      </c>
      <c r="AE743" s="45">
        <v>358071</v>
      </c>
      <c r="AF743" s="45">
        <v>0</v>
      </c>
      <c r="AG743" s="45">
        <v>1</v>
      </c>
      <c r="AH743" s="45">
        <v>356498</v>
      </c>
      <c r="AI743" s="45">
        <v>0</v>
      </c>
      <c r="AJ743" s="45">
        <v>1</v>
      </c>
      <c r="AK743" s="45">
        <v>360977</v>
      </c>
      <c r="AL743" s="45">
        <v>0</v>
      </c>
      <c r="AM743" s="45">
        <v>1</v>
      </c>
      <c r="AO743" s="45">
        <v>354815</v>
      </c>
      <c r="AP743" s="45">
        <v>53</v>
      </c>
      <c r="AQ743" s="45">
        <v>5</v>
      </c>
      <c r="AR743" s="45">
        <v>300433</v>
      </c>
      <c r="AS743" s="45">
        <v>0</v>
      </c>
      <c r="AT743" s="45">
        <v>1</v>
      </c>
      <c r="AU743" s="45">
        <v>290653</v>
      </c>
      <c r="AV743" s="45">
        <v>0</v>
      </c>
      <c r="AW743" s="45">
        <v>1</v>
      </c>
      <c r="AX743" s="45">
        <v>290412</v>
      </c>
      <c r="AY743" s="45">
        <v>0</v>
      </c>
      <c r="AZ743" s="45">
        <v>2</v>
      </c>
    </row>
    <row r="744" spans="2:52">
      <c r="B744" s="45">
        <v>386482</v>
      </c>
      <c r="C744" s="45">
        <v>52</v>
      </c>
      <c r="D744" s="45">
        <v>8</v>
      </c>
      <c r="E744" s="45">
        <v>353063</v>
      </c>
      <c r="F744" s="45">
        <v>20</v>
      </c>
      <c r="G744" s="45">
        <v>3</v>
      </c>
      <c r="H744" s="45">
        <v>322584</v>
      </c>
      <c r="I744" s="45">
        <v>0</v>
      </c>
      <c r="J744" s="45">
        <v>2</v>
      </c>
      <c r="K744" s="45">
        <v>327517</v>
      </c>
      <c r="L744" s="45">
        <v>0</v>
      </c>
      <c r="M744" s="45">
        <v>1</v>
      </c>
      <c r="O744" s="45">
        <v>363076</v>
      </c>
      <c r="P744" s="45">
        <v>0</v>
      </c>
      <c r="Q744" s="45">
        <v>2</v>
      </c>
      <c r="R744" s="45">
        <v>351323</v>
      </c>
      <c r="S744" s="45">
        <v>0</v>
      </c>
      <c r="T744" s="45">
        <v>2</v>
      </c>
      <c r="U744" s="45">
        <v>355167</v>
      </c>
      <c r="V744" s="45">
        <v>0</v>
      </c>
      <c r="W744" s="45">
        <v>2</v>
      </c>
      <c r="X744" s="45">
        <v>354661</v>
      </c>
      <c r="Y744" s="45">
        <v>0</v>
      </c>
      <c r="Z744" s="45">
        <v>3</v>
      </c>
      <c r="AB744" s="45">
        <v>397180</v>
      </c>
      <c r="AC744" s="45">
        <v>0</v>
      </c>
      <c r="AD744" s="45">
        <v>0</v>
      </c>
      <c r="AE744" s="45">
        <v>403138</v>
      </c>
      <c r="AF744" s="45">
        <v>0</v>
      </c>
      <c r="AG744" s="45">
        <v>1</v>
      </c>
      <c r="AH744" s="45">
        <v>389764</v>
      </c>
      <c r="AI744" s="45">
        <v>0</v>
      </c>
      <c r="AJ744" s="45">
        <v>1</v>
      </c>
      <c r="AK744" s="45">
        <v>398138</v>
      </c>
      <c r="AL744" s="45">
        <v>0</v>
      </c>
      <c r="AM744" s="45">
        <v>1</v>
      </c>
      <c r="AO744" s="45">
        <v>336861</v>
      </c>
      <c r="AP744" s="45">
        <v>0</v>
      </c>
      <c r="AQ744" s="45">
        <v>2</v>
      </c>
      <c r="AR744" s="45">
        <v>336143</v>
      </c>
      <c r="AS744" s="45">
        <v>0</v>
      </c>
      <c r="AT744" s="45">
        <v>2</v>
      </c>
      <c r="AU744" s="45">
        <v>313029</v>
      </c>
      <c r="AV744" s="45">
        <v>0</v>
      </c>
      <c r="AW744" s="45">
        <v>3</v>
      </c>
      <c r="AX744" s="45">
        <v>340383</v>
      </c>
      <c r="AY744" s="45">
        <v>0</v>
      </c>
      <c r="AZ744" s="45">
        <v>1</v>
      </c>
    </row>
    <row r="745" spans="2:52">
      <c r="B745" s="45">
        <v>306852</v>
      </c>
      <c r="C745" s="45">
        <v>2</v>
      </c>
      <c r="D745" s="45">
        <v>5</v>
      </c>
      <c r="E745" s="45">
        <v>283060</v>
      </c>
      <c r="F745" s="45">
        <v>0</v>
      </c>
      <c r="G745" s="45">
        <v>3</v>
      </c>
      <c r="H745" s="45">
        <v>331776</v>
      </c>
      <c r="I745" s="45">
        <v>24</v>
      </c>
      <c r="J745" s="45">
        <v>3</v>
      </c>
      <c r="K745" s="45">
        <v>292674</v>
      </c>
      <c r="L745" s="45">
        <v>0</v>
      </c>
      <c r="M745" s="45">
        <v>1</v>
      </c>
      <c r="O745" s="45">
        <v>329196</v>
      </c>
      <c r="P745" s="45">
        <v>0</v>
      </c>
      <c r="Q745" s="45">
        <v>3</v>
      </c>
      <c r="R745" s="45">
        <v>313063</v>
      </c>
      <c r="S745" s="45">
        <v>0</v>
      </c>
      <c r="T745" s="45">
        <v>2</v>
      </c>
      <c r="U745" s="45">
        <v>322258</v>
      </c>
      <c r="V745" s="45">
        <v>0</v>
      </c>
      <c r="W745" s="45">
        <v>2</v>
      </c>
      <c r="X745" s="45">
        <v>319622</v>
      </c>
      <c r="Y745" s="45">
        <v>16</v>
      </c>
      <c r="Z745" s="45">
        <v>4</v>
      </c>
      <c r="AB745" s="45">
        <v>362092</v>
      </c>
      <c r="AC745" s="45">
        <v>0</v>
      </c>
      <c r="AD745" s="45">
        <v>1</v>
      </c>
      <c r="AE745" s="45">
        <v>358213</v>
      </c>
      <c r="AF745" s="45">
        <v>0</v>
      </c>
      <c r="AG745" s="45">
        <v>1</v>
      </c>
      <c r="AH745" s="45">
        <v>341741</v>
      </c>
      <c r="AI745" s="45">
        <v>0</v>
      </c>
      <c r="AJ745" s="45">
        <v>1</v>
      </c>
      <c r="AK745" s="45">
        <v>351754</v>
      </c>
      <c r="AL745" s="45">
        <v>0</v>
      </c>
      <c r="AM745" s="45">
        <v>1</v>
      </c>
      <c r="AO745" s="45">
        <v>304520</v>
      </c>
      <c r="AP745" s="45">
        <v>0</v>
      </c>
      <c r="AQ745" s="45">
        <v>2</v>
      </c>
      <c r="AR745" s="45">
        <v>311114</v>
      </c>
      <c r="AS745" s="45">
        <v>22</v>
      </c>
      <c r="AT745" s="45">
        <v>4</v>
      </c>
      <c r="AU745" s="45">
        <v>301149</v>
      </c>
      <c r="AV745" s="45">
        <v>0</v>
      </c>
      <c r="AW745" s="45">
        <v>2</v>
      </c>
      <c r="AX745" s="45">
        <v>288413</v>
      </c>
      <c r="AY745" s="45">
        <v>0</v>
      </c>
      <c r="AZ745" s="45">
        <v>2</v>
      </c>
    </row>
    <row r="746" spans="2:52">
      <c r="B746" s="45">
        <v>282140</v>
      </c>
      <c r="C746" s="45">
        <v>0</v>
      </c>
      <c r="D746" s="45">
        <v>3</v>
      </c>
      <c r="E746" s="45">
        <v>296034</v>
      </c>
      <c r="F746" s="45">
        <v>0</v>
      </c>
      <c r="G746" s="45">
        <v>2</v>
      </c>
      <c r="H746" s="45">
        <v>284478</v>
      </c>
      <c r="I746" s="45">
        <v>0</v>
      </c>
      <c r="J746" s="45">
        <v>1</v>
      </c>
      <c r="K746" s="45">
        <v>288062</v>
      </c>
      <c r="L746" s="45">
        <v>0</v>
      </c>
      <c r="M746" s="45">
        <v>2</v>
      </c>
      <c r="O746" s="45">
        <v>321685</v>
      </c>
      <c r="P746" s="45">
        <v>0</v>
      </c>
      <c r="Q746" s="45">
        <v>1</v>
      </c>
      <c r="R746" s="45">
        <v>323548</v>
      </c>
      <c r="S746" s="45">
        <v>0</v>
      </c>
      <c r="T746" s="45">
        <v>2</v>
      </c>
      <c r="U746" s="45">
        <v>320796</v>
      </c>
      <c r="V746" s="45">
        <v>0</v>
      </c>
      <c r="W746" s="45">
        <v>3</v>
      </c>
      <c r="X746" s="45">
        <v>307341</v>
      </c>
      <c r="Y746" s="45">
        <v>0</v>
      </c>
      <c r="Z746" s="45">
        <v>2</v>
      </c>
      <c r="AB746" s="45">
        <v>369015</v>
      </c>
      <c r="AC746" s="45">
        <v>0</v>
      </c>
      <c r="AD746" s="45">
        <v>1</v>
      </c>
      <c r="AE746" s="45">
        <v>360926</v>
      </c>
      <c r="AF746" s="45">
        <v>0</v>
      </c>
      <c r="AG746" s="45">
        <v>1</v>
      </c>
      <c r="AH746" s="45">
        <v>377281</v>
      </c>
      <c r="AI746" s="45">
        <v>0</v>
      </c>
      <c r="AJ746" s="45">
        <v>1</v>
      </c>
      <c r="AK746" s="45">
        <v>376065</v>
      </c>
      <c r="AL746" s="45">
        <v>0</v>
      </c>
      <c r="AM746" s="45">
        <v>1</v>
      </c>
      <c r="AO746" s="45">
        <v>309790</v>
      </c>
      <c r="AP746" s="45">
        <v>9</v>
      </c>
      <c r="AQ746" s="45">
        <v>2</v>
      </c>
      <c r="AR746" s="45">
        <v>293384</v>
      </c>
      <c r="AS746" s="45">
        <v>0</v>
      </c>
      <c r="AT746" s="45">
        <v>1</v>
      </c>
      <c r="AU746" s="45">
        <v>342799</v>
      </c>
      <c r="AV746" s="45">
        <v>55</v>
      </c>
      <c r="AW746" s="45">
        <v>3</v>
      </c>
      <c r="AX746" s="45">
        <v>330799</v>
      </c>
      <c r="AY746" s="45">
        <v>60</v>
      </c>
      <c r="AZ746" s="45">
        <v>4</v>
      </c>
    </row>
    <row r="747" spans="2:52">
      <c r="B747" s="45">
        <v>341410</v>
      </c>
      <c r="C747" s="45">
        <v>0</v>
      </c>
      <c r="D747" s="45">
        <v>3</v>
      </c>
      <c r="E747" s="45">
        <v>356155</v>
      </c>
      <c r="F747" s="45">
        <v>0</v>
      </c>
      <c r="G747" s="45">
        <v>1</v>
      </c>
      <c r="H747" s="45">
        <v>413660</v>
      </c>
      <c r="I747" s="45">
        <v>94</v>
      </c>
      <c r="J747" s="45">
        <v>4</v>
      </c>
      <c r="K747" s="45">
        <v>376161</v>
      </c>
      <c r="L747" s="45">
        <v>19</v>
      </c>
      <c r="M747" s="45">
        <v>2</v>
      </c>
      <c r="O747" s="45">
        <v>349457</v>
      </c>
      <c r="P747" s="45">
        <v>0</v>
      </c>
      <c r="Q747" s="45">
        <v>2</v>
      </c>
      <c r="R747" s="45">
        <v>370053</v>
      </c>
      <c r="S747" s="45">
        <v>0</v>
      </c>
      <c r="T747" s="45">
        <v>2</v>
      </c>
      <c r="U747" s="45">
        <v>362784</v>
      </c>
      <c r="V747" s="45">
        <v>0</v>
      </c>
      <c r="W747" s="45">
        <v>2</v>
      </c>
      <c r="X747" s="45">
        <v>361606</v>
      </c>
      <c r="Y747" s="45">
        <v>0</v>
      </c>
      <c r="Z747" s="45">
        <v>2</v>
      </c>
      <c r="AB747" s="45">
        <v>398085</v>
      </c>
      <c r="AC747" s="45">
        <v>0</v>
      </c>
      <c r="AD747" s="45">
        <v>1</v>
      </c>
      <c r="AE747" s="45">
        <v>421785</v>
      </c>
      <c r="AF747" s="45">
        <v>0</v>
      </c>
      <c r="AG747" s="45">
        <v>1</v>
      </c>
      <c r="AH747" s="45">
        <v>402456</v>
      </c>
      <c r="AI747" s="45">
        <v>0</v>
      </c>
      <c r="AJ747" s="45">
        <v>1</v>
      </c>
      <c r="AK747" s="45">
        <v>408615</v>
      </c>
      <c r="AL747" s="45">
        <v>0</v>
      </c>
      <c r="AM747" s="45">
        <v>1</v>
      </c>
      <c r="AO747" s="45">
        <v>329674</v>
      </c>
      <c r="AP747" s="45">
        <v>0</v>
      </c>
      <c r="AQ747" s="45">
        <v>2</v>
      </c>
      <c r="AR747" s="45">
        <v>324822</v>
      </c>
      <c r="AS747" s="45">
        <v>0</v>
      </c>
      <c r="AT747" s="45">
        <v>3</v>
      </c>
      <c r="AU747" s="45">
        <v>335628</v>
      </c>
      <c r="AV747" s="45">
        <v>0</v>
      </c>
      <c r="AW747" s="45">
        <v>1</v>
      </c>
      <c r="AX747" s="45">
        <v>322024</v>
      </c>
      <c r="AY747" s="45">
        <v>0</v>
      </c>
      <c r="AZ747" s="45">
        <v>2</v>
      </c>
    </row>
    <row r="748" spans="2:52">
      <c r="B748" s="45">
        <v>344941</v>
      </c>
      <c r="C748" s="45">
        <v>0</v>
      </c>
      <c r="D748" s="45">
        <v>2</v>
      </c>
      <c r="E748" s="45">
        <v>342104</v>
      </c>
      <c r="F748" s="45">
        <v>0</v>
      </c>
      <c r="G748" s="45">
        <v>3</v>
      </c>
      <c r="H748" s="45">
        <v>342839</v>
      </c>
      <c r="I748" s="45">
        <v>0</v>
      </c>
      <c r="J748" s="45">
        <v>2</v>
      </c>
      <c r="K748" s="45">
        <v>333823</v>
      </c>
      <c r="L748" s="45">
        <v>0</v>
      </c>
      <c r="M748" s="45">
        <v>2</v>
      </c>
      <c r="O748" s="45">
        <v>375404</v>
      </c>
      <c r="P748" s="45">
        <v>0</v>
      </c>
      <c r="Q748" s="45">
        <v>3</v>
      </c>
      <c r="R748" s="45">
        <v>393345</v>
      </c>
      <c r="S748" s="45">
        <v>0</v>
      </c>
      <c r="T748" s="45">
        <v>1</v>
      </c>
      <c r="U748" s="45">
        <v>384742</v>
      </c>
      <c r="V748" s="45">
        <v>15</v>
      </c>
      <c r="W748" s="45">
        <v>3</v>
      </c>
      <c r="X748" s="45">
        <v>379979</v>
      </c>
      <c r="Y748" s="45">
        <v>0</v>
      </c>
      <c r="Z748" s="45">
        <v>4</v>
      </c>
      <c r="AB748" s="45">
        <v>416011</v>
      </c>
      <c r="AC748" s="45">
        <v>0</v>
      </c>
      <c r="AD748" s="45">
        <v>1</v>
      </c>
      <c r="AE748" s="45">
        <v>417265</v>
      </c>
      <c r="AF748" s="45">
        <v>0</v>
      </c>
      <c r="AG748" s="45">
        <v>1</v>
      </c>
      <c r="AH748" s="45">
        <v>422828</v>
      </c>
      <c r="AI748" s="45">
        <v>0</v>
      </c>
      <c r="AJ748" s="45">
        <v>1</v>
      </c>
      <c r="AK748" s="45">
        <v>425755</v>
      </c>
      <c r="AL748" s="45">
        <v>0</v>
      </c>
      <c r="AM748" s="45">
        <v>1</v>
      </c>
      <c r="AO748" s="45">
        <v>400905</v>
      </c>
      <c r="AP748" s="45">
        <v>62</v>
      </c>
      <c r="AQ748" s="45">
        <v>5</v>
      </c>
      <c r="AR748" s="45">
        <v>347509</v>
      </c>
      <c r="AS748" s="45">
        <v>11</v>
      </c>
      <c r="AT748" s="45">
        <v>4</v>
      </c>
      <c r="AU748" s="45">
        <v>341441</v>
      </c>
      <c r="AV748" s="45">
        <v>0</v>
      </c>
      <c r="AW748" s="45">
        <v>1</v>
      </c>
      <c r="AX748" s="45">
        <v>340783</v>
      </c>
      <c r="AY748" s="45">
        <v>0</v>
      </c>
      <c r="AZ748" s="45">
        <v>2</v>
      </c>
    </row>
    <row r="749" spans="2:52">
      <c r="B749" s="45">
        <v>343994</v>
      </c>
      <c r="C749" s="45">
        <v>0</v>
      </c>
      <c r="D749" s="45">
        <v>3</v>
      </c>
      <c r="E749" s="45">
        <v>452072</v>
      </c>
      <c r="F749" s="45">
        <v>126</v>
      </c>
      <c r="G749" s="45">
        <v>2</v>
      </c>
      <c r="H749" s="45">
        <v>325706</v>
      </c>
      <c r="I749" s="45">
        <v>0</v>
      </c>
      <c r="J749" s="45">
        <v>2</v>
      </c>
      <c r="K749" s="45">
        <v>335951</v>
      </c>
      <c r="L749" s="45">
        <v>0</v>
      </c>
      <c r="M749" s="45">
        <v>2</v>
      </c>
      <c r="O749" s="45">
        <v>357056</v>
      </c>
      <c r="P749" s="45">
        <v>0</v>
      </c>
      <c r="Q749" s="45">
        <v>3</v>
      </c>
      <c r="R749" s="45">
        <v>380690</v>
      </c>
      <c r="S749" s="45">
        <v>16</v>
      </c>
      <c r="T749" s="45">
        <v>2</v>
      </c>
      <c r="U749" s="45">
        <v>362707</v>
      </c>
      <c r="V749" s="45">
        <v>0</v>
      </c>
      <c r="W749" s="45">
        <v>2</v>
      </c>
      <c r="X749" s="45">
        <v>341454</v>
      </c>
      <c r="Y749" s="45">
        <v>0</v>
      </c>
      <c r="Z749" s="45">
        <v>3</v>
      </c>
      <c r="AB749" s="45">
        <v>403067</v>
      </c>
      <c r="AC749" s="45">
        <v>0</v>
      </c>
      <c r="AD749" s="45">
        <v>1</v>
      </c>
      <c r="AE749" s="45">
        <v>414869</v>
      </c>
      <c r="AF749" s="45">
        <v>0</v>
      </c>
      <c r="AG749" s="45">
        <v>1</v>
      </c>
      <c r="AH749" s="45">
        <v>397559</v>
      </c>
      <c r="AI749" s="45">
        <v>0</v>
      </c>
      <c r="AJ749" s="45">
        <v>1</v>
      </c>
      <c r="AK749" s="45">
        <v>402963</v>
      </c>
      <c r="AL749" s="45">
        <v>0</v>
      </c>
      <c r="AM749" s="45">
        <v>1</v>
      </c>
      <c r="AO749" s="45">
        <v>328973</v>
      </c>
      <c r="AP749" s="45">
        <v>0</v>
      </c>
      <c r="AQ749" s="45">
        <v>2</v>
      </c>
      <c r="AR749" s="45">
        <v>358072</v>
      </c>
      <c r="AS749" s="45">
        <v>41</v>
      </c>
      <c r="AT749" s="45">
        <v>3</v>
      </c>
      <c r="AU749" s="45">
        <v>321630</v>
      </c>
      <c r="AV749" s="45">
        <v>0</v>
      </c>
      <c r="AW749" s="45">
        <v>2</v>
      </c>
      <c r="AX749" s="45">
        <v>381419</v>
      </c>
      <c r="AY749" s="45">
        <v>51</v>
      </c>
      <c r="AZ749" s="45">
        <v>2</v>
      </c>
    </row>
    <row r="750" spans="2:52">
      <c r="B750" s="45">
        <v>305094</v>
      </c>
      <c r="C750" s="45">
        <v>0</v>
      </c>
      <c r="D750" s="45">
        <v>4</v>
      </c>
      <c r="E750" s="45">
        <v>308425</v>
      </c>
      <c r="F750" s="45">
        <v>0</v>
      </c>
      <c r="G750" s="45">
        <v>2</v>
      </c>
      <c r="H750" s="45">
        <v>317740</v>
      </c>
      <c r="I750" s="45">
        <v>0</v>
      </c>
      <c r="J750" s="45">
        <v>1</v>
      </c>
      <c r="K750" s="45">
        <v>307280</v>
      </c>
      <c r="L750" s="45">
        <v>0</v>
      </c>
      <c r="M750" s="45">
        <v>2</v>
      </c>
      <c r="O750" s="45">
        <v>325262</v>
      </c>
      <c r="P750" s="45">
        <v>0</v>
      </c>
      <c r="Q750" s="45">
        <v>2</v>
      </c>
      <c r="R750" s="45">
        <v>339885</v>
      </c>
      <c r="S750" s="45">
        <v>9</v>
      </c>
      <c r="T750" s="45">
        <v>2</v>
      </c>
      <c r="U750" s="45">
        <v>334575</v>
      </c>
      <c r="V750" s="45">
        <v>0</v>
      </c>
      <c r="W750" s="45">
        <v>2</v>
      </c>
      <c r="X750" s="45">
        <v>323966</v>
      </c>
      <c r="Y750" s="45">
        <v>0</v>
      </c>
      <c r="Z750" s="45">
        <v>3</v>
      </c>
      <c r="AB750" s="45">
        <v>369963</v>
      </c>
      <c r="AC750" s="45">
        <v>0</v>
      </c>
      <c r="AD750" s="45">
        <v>1</v>
      </c>
      <c r="AE750" s="45">
        <v>378724</v>
      </c>
      <c r="AF750" s="45">
        <v>0</v>
      </c>
      <c r="AG750" s="45">
        <v>1</v>
      </c>
      <c r="AH750" s="45">
        <v>363066</v>
      </c>
      <c r="AI750" s="45">
        <v>0</v>
      </c>
      <c r="AJ750" s="45">
        <v>1</v>
      </c>
      <c r="AK750" s="45">
        <v>363129</v>
      </c>
      <c r="AL750" s="45">
        <v>0</v>
      </c>
      <c r="AM750" s="45">
        <v>1</v>
      </c>
      <c r="AO750" s="45">
        <v>339088</v>
      </c>
      <c r="AP750" s="45">
        <v>0</v>
      </c>
      <c r="AQ750" s="45">
        <v>1</v>
      </c>
      <c r="AR750" s="45">
        <v>304614</v>
      </c>
      <c r="AS750" s="45">
        <v>0</v>
      </c>
      <c r="AT750" s="45">
        <v>2</v>
      </c>
      <c r="AU750" s="45">
        <v>298952</v>
      </c>
      <c r="AV750" s="45">
        <v>0</v>
      </c>
      <c r="AW750" s="45">
        <v>2</v>
      </c>
      <c r="AX750" s="45">
        <v>305816</v>
      </c>
      <c r="AY750" s="45">
        <v>0</v>
      </c>
      <c r="AZ750" s="45">
        <v>2</v>
      </c>
    </row>
    <row r="751" spans="2:52">
      <c r="B751" s="45">
        <v>325299</v>
      </c>
      <c r="C751" s="45">
        <v>26</v>
      </c>
      <c r="D751" s="45">
        <v>4</v>
      </c>
      <c r="E751" s="45">
        <v>372186</v>
      </c>
      <c r="F751" s="45">
        <v>56</v>
      </c>
      <c r="G751" s="45">
        <v>3</v>
      </c>
      <c r="H751" s="45">
        <v>344572</v>
      </c>
      <c r="I751" s="45">
        <v>14</v>
      </c>
      <c r="J751" s="45">
        <v>3</v>
      </c>
      <c r="K751" s="45">
        <v>307109</v>
      </c>
      <c r="L751" s="45">
        <v>0</v>
      </c>
      <c r="M751" s="45">
        <v>3</v>
      </c>
      <c r="O751" s="45">
        <v>329349</v>
      </c>
      <c r="P751" s="45">
        <v>0</v>
      </c>
      <c r="Q751" s="45">
        <v>2</v>
      </c>
      <c r="R751" s="45">
        <v>349188</v>
      </c>
      <c r="S751" s="45">
        <v>0</v>
      </c>
      <c r="T751" s="45">
        <v>2</v>
      </c>
      <c r="U751" s="45">
        <v>337482</v>
      </c>
      <c r="V751" s="45">
        <v>0</v>
      </c>
      <c r="W751" s="45">
        <v>2</v>
      </c>
      <c r="X751" s="45">
        <v>326990</v>
      </c>
      <c r="Y751" s="45">
        <v>0</v>
      </c>
      <c r="Z751" s="45">
        <v>4</v>
      </c>
      <c r="AB751" s="45">
        <v>374668</v>
      </c>
      <c r="AC751" s="45">
        <v>0</v>
      </c>
      <c r="AD751" s="45">
        <v>1</v>
      </c>
      <c r="AE751" s="45">
        <v>369495</v>
      </c>
      <c r="AF751" s="45">
        <v>0</v>
      </c>
      <c r="AG751" s="45">
        <v>1</v>
      </c>
      <c r="AH751" s="45">
        <v>385758</v>
      </c>
      <c r="AI751" s="45">
        <v>0</v>
      </c>
      <c r="AJ751" s="45">
        <v>1</v>
      </c>
      <c r="AK751" s="45">
        <v>385764</v>
      </c>
      <c r="AL751" s="45">
        <v>0</v>
      </c>
      <c r="AM751" s="45">
        <v>1</v>
      </c>
      <c r="AO751" s="45">
        <v>311043</v>
      </c>
      <c r="AP751" s="45">
        <v>0</v>
      </c>
      <c r="AQ751" s="45">
        <v>2</v>
      </c>
      <c r="AR751" s="45">
        <v>305514</v>
      </c>
      <c r="AS751" s="45">
        <v>0</v>
      </c>
      <c r="AT751" s="45">
        <v>2</v>
      </c>
      <c r="AU751" s="45">
        <v>306733</v>
      </c>
      <c r="AV751" s="45">
        <v>0</v>
      </c>
      <c r="AW751" s="45">
        <v>2</v>
      </c>
      <c r="AX751" s="45">
        <v>305940</v>
      </c>
      <c r="AY751" s="45">
        <v>0</v>
      </c>
      <c r="AZ751" s="45">
        <v>3</v>
      </c>
    </row>
    <row r="752" spans="2:52">
      <c r="B752" s="45">
        <v>317371</v>
      </c>
      <c r="C752" s="45">
        <v>0</v>
      </c>
      <c r="D752" s="45">
        <v>3</v>
      </c>
      <c r="E752" s="45">
        <v>303089</v>
      </c>
      <c r="F752" s="45">
        <v>0</v>
      </c>
      <c r="G752" s="45">
        <v>2</v>
      </c>
      <c r="H752" s="45">
        <v>309833</v>
      </c>
      <c r="I752" s="45">
        <v>0</v>
      </c>
      <c r="J752" s="45">
        <v>2</v>
      </c>
      <c r="K752" s="45">
        <v>306129</v>
      </c>
      <c r="L752" s="45">
        <v>0</v>
      </c>
      <c r="M752" s="45">
        <v>1</v>
      </c>
      <c r="O752" s="45">
        <v>339401</v>
      </c>
      <c r="P752" s="45">
        <v>0</v>
      </c>
      <c r="Q752" s="45">
        <v>2</v>
      </c>
      <c r="R752" s="45">
        <v>346540</v>
      </c>
      <c r="S752" s="45">
        <v>0</v>
      </c>
      <c r="T752" s="45">
        <v>2</v>
      </c>
      <c r="U752" s="45">
        <v>328646</v>
      </c>
      <c r="V752" s="45">
        <v>0</v>
      </c>
      <c r="W752" s="45">
        <v>2</v>
      </c>
      <c r="X752" s="45">
        <v>323024</v>
      </c>
      <c r="Y752" s="45">
        <v>0</v>
      </c>
      <c r="Z752" s="45">
        <v>2</v>
      </c>
      <c r="AB752" s="45">
        <v>399135</v>
      </c>
      <c r="AC752" s="45">
        <v>0</v>
      </c>
      <c r="AD752" s="45">
        <v>1</v>
      </c>
      <c r="AE752" s="45">
        <v>391287</v>
      </c>
      <c r="AF752" s="45">
        <v>0</v>
      </c>
      <c r="AG752" s="45">
        <v>1</v>
      </c>
      <c r="AH752" s="45">
        <v>372417</v>
      </c>
      <c r="AI752" s="45">
        <v>0</v>
      </c>
      <c r="AJ752" s="45">
        <v>1</v>
      </c>
      <c r="AK752" s="45">
        <v>386491</v>
      </c>
      <c r="AL752" s="45">
        <v>0</v>
      </c>
      <c r="AM752" s="45">
        <v>1</v>
      </c>
      <c r="AO752" s="45">
        <v>299926</v>
      </c>
      <c r="AP752" s="45">
        <v>0</v>
      </c>
      <c r="AQ752" s="45">
        <v>3</v>
      </c>
      <c r="AR752" s="45">
        <v>307210</v>
      </c>
      <c r="AS752" s="45">
        <v>0</v>
      </c>
      <c r="AT752" s="45">
        <v>2</v>
      </c>
      <c r="AU752" s="45">
        <v>295448</v>
      </c>
      <c r="AV752" s="45">
        <v>0</v>
      </c>
      <c r="AW752" s="45">
        <v>3</v>
      </c>
      <c r="AX752" s="45">
        <v>304168</v>
      </c>
      <c r="AY752" s="45">
        <v>0</v>
      </c>
      <c r="AZ752" s="45">
        <v>2</v>
      </c>
    </row>
    <row r="753" spans="2:52">
      <c r="B753" s="45">
        <v>325656</v>
      </c>
      <c r="C753" s="45">
        <v>0</v>
      </c>
      <c r="D753" s="45">
        <v>2</v>
      </c>
      <c r="E753" s="45">
        <v>325511</v>
      </c>
      <c r="F753" s="45">
        <v>0</v>
      </c>
      <c r="G753" s="45">
        <v>2</v>
      </c>
      <c r="H753" s="45">
        <v>321000</v>
      </c>
      <c r="I753" s="45">
        <v>0</v>
      </c>
      <c r="J753" s="45">
        <v>2</v>
      </c>
      <c r="K753" s="45">
        <v>306859</v>
      </c>
      <c r="L753" s="45">
        <v>0</v>
      </c>
      <c r="M753" s="45">
        <v>2</v>
      </c>
      <c r="O753" s="45">
        <v>347289</v>
      </c>
      <c r="P753" s="45">
        <v>0</v>
      </c>
      <c r="Q753" s="45">
        <v>2</v>
      </c>
      <c r="R753" s="45">
        <v>362632</v>
      </c>
      <c r="S753" s="45">
        <v>0</v>
      </c>
      <c r="T753" s="45">
        <v>3</v>
      </c>
      <c r="U753" s="45">
        <v>346068</v>
      </c>
      <c r="V753" s="45">
        <v>0</v>
      </c>
      <c r="W753" s="45">
        <v>1</v>
      </c>
      <c r="X753" s="45">
        <v>360210</v>
      </c>
      <c r="Y753" s="45">
        <v>0</v>
      </c>
      <c r="Z753" s="45">
        <v>3</v>
      </c>
      <c r="AB753" s="45">
        <v>389428</v>
      </c>
      <c r="AC753" s="45">
        <v>0</v>
      </c>
      <c r="AD753" s="45">
        <v>2</v>
      </c>
      <c r="AE753" s="45">
        <v>410433</v>
      </c>
      <c r="AF753" s="45">
        <v>0</v>
      </c>
      <c r="AG753" s="45">
        <v>2</v>
      </c>
      <c r="AH753" s="45">
        <v>391387</v>
      </c>
      <c r="AI753" s="45">
        <v>0</v>
      </c>
      <c r="AJ753" s="45">
        <v>0</v>
      </c>
      <c r="AK753" s="45">
        <v>363675</v>
      </c>
      <c r="AL753" s="45">
        <v>0</v>
      </c>
      <c r="AM753" s="45">
        <v>1</v>
      </c>
      <c r="AO753" s="45">
        <v>328736</v>
      </c>
      <c r="AP753" s="45">
        <v>7</v>
      </c>
      <c r="AQ753" s="45">
        <v>3</v>
      </c>
      <c r="AR753" s="45">
        <v>328536</v>
      </c>
      <c r="AS753" s="45">
        <v>0</v>
      </c>
      <c r="AT753" s="45">
        <v>1</v>
      </c>
      <c r="AU753" s="45">
        <v>328165</v>
      </c>
      <c r="AV753" s="45">
        <v>1</v>
      </c>
      <c r="AW753" s="45">
        <v>2</v>
      </c>
      <c r="AX753" s="45">
        <v>371778</v>
      </c>
      <c r="AY753" s="45">
        <v>45</v>
      </c>
      <c r="AZ753" s="45">
        <v>2</v>
      </c>
    </row>
    <row r="754" spans="2:52">
      <c r="B754" s="45">
        <v>309286</v>
      </c>
      <c r="C754" s="45">
        <v>0</v>
      </c>
      <c r="D754" s="45">
        <v>4</v>
      </c>
      <c r="E754" s="45">
        <v>326426</v>
      </c>
      <c r="F754" s="45">
        <v>0</v>
      </c>
      <c r="G754" s="45">
        <v>1</v>
      </c>
      <c r="H754" s="45">
        <v>289894</v>
      </c>
      <c r="I754" s="45">
        <v>0</v>
      </c>
      <c r="J754" s="45">
        <v>2</v>
      </c>
      <c r="K754" s="45">
        <v>305062</v>
      </c>
      <c r="L754" s="45">
        <v>0</v>
      </c>
      <c r="M754" s="45">
        <v>2</v>
      </c>
      <c r="O754" s="45">
        <v>337607</v>
      </c>
      <c r="P754" s="45">
        <v>0</v>
      </c>
      <c r="Q754" s="45">
        <v>2</v>
      </c>
      <c r="R754" s="45">
        <v>341882</v>
      </c>
      <c r="S754" s="45">
        <v>0</v>
      </c>
      <c r="T754" s="45">
        <v>3</v>
      </c>
      <c r="U754" s="45">
        <v>340129</v>
      </c>
      <c r="V754" s="45">
        <v>0</v>
      </c>
      <c r="W754" s="45">
        <v>2</v>
      </c>
      <c r="X754" s="45">
        <v>303159</v>
      </c>
      <c r="Y754" s="45">
        <v>0</v>
      </c>
      <c r="Z754" s="45">
        <v>2</v>
      </c>
      <c r="AB754" s="45">
        <v>381436</v>
      </c>
      <c r="AC754" s="45">
        <v>0</v>
      </c>
      <c r="AD754" s="45">
        <v>2</v>
      </c>
      <c r="AE754" s="45">
        <v>389314</v>
      </c>
      <c r="AF754" s="45">
        <v>0</v>
      </c>
      <c r="AG754" s="45">
        <v>0</v>
      </c>
      <c r="AH754" s="45">
        <v>380476</v>
      </c>
      <c r="AI754" s="45">
        <v>0</v>
      </c>
      <c r="AJ754" s="45">
        <v>1</v>
      </c>
      <c r="AK754" s="45">
        <v>365878</v>
      </c>
      <c r="AL754" s="45">
        <v>0</v>
      </c>
      <c r="AM754" s="45">
        <v>1</v>
      </c>
      <c r="AO754" s="45">
        <v>296647</v>
      </c>
      <c r="AP754" s="45">
        <v>0</v>
      </c>
      <c r="AQ754" s="45">
        <v>5</v>
      </c>
      <c r="AR754" s="45">
        <v>297717</v>
      </c>
      <c r="AS754" s="45">
        <v>0</v>
      </c>
      <c r="AT754" s="45">
        <v>1</v>
      </c>
      <c r="AU754" s="45">
        <v>309774</v>
      </c>
      <c r="AV754" s="45">
        <v>0</v>
      </c>
      <c r="AW754" s="45">
        <v>2</v>
      </c>
      <c r="AX754" s="45">
        <v>302638</v>
      </c>
      <c r="AY754" s="45">
        <v>0</v>
      </c>
      <c r="AZ754" s="45">
        <v>2</v>
      </c>
    </row>
    <row r="755" spans="2:52">
      <c r="B755" s="45">
        <v>331129</v>
      </c>
      <c r="C755" s="45">
        <v>0</v>
      </c>
      <c r="D755" s="45">
        <v>3</v>
      </c>
      <c r="E755" s="45">
        <v>321338</v>
      </c>
      <c r="F755" s="45">
        <v>0</v>
      </c>
      <c r="G755" s="45">
        <v>2</v>
      </c>
      <c r="H755" s="45">
        <v>324687</v>
      </c>
      <c r="I755" s="45">
        <v>0</v>
      </c>
      <c r="J755" s="45">
        <v>2</v>
      </c>
      <c r="K755" s="45">
        <v>312299</v>
      </c>
      <c r="L755" s="45">
        <v>0</v>
      </c>
      <c r="M755" s="45">
        <v>2</v>
      </c>
      <c r="O755" s="45">
        <v>341818</v>
      </c>
      <c r="P755" s="45">
        <v>0</v>
      </c>
      <c r="Q755" s="45">
        <v>3</v>
      </c>
      <c r="R755" s="45">
        <v>340710</v>
      </c>
      <c r="S755" s="45">
        <v>0</v>
      </c>
      <c r="T755" s="45">
        <v>2</v>
      </c>
      <c r="U755" s="45">
        <v>340390</v>
      </c>
      <c r="V755" s="45">
        <v>0</v>
      </c>
      <c r="W755" s="45">
        <v>2</v>
      </c>
      <c r="X755" s="45">
        <v>351388</v>
      </c>
      <c r="Y755" s="45">
        <v>0</v>
      </c>
      <c r="Z755" s="45">
        <v>3</v>
      </c>
      <c r="AB755" s="45">
        <v>401539</v>
      </c>
      <c r="AC755" s="45">
        <v>0</v>
      </c>
      <c r="AD755" s="45">
        <v>1</v>
      </c>
      <c r="AE755" s="45">
        <v>385201</v>
      </c>
      <c r="AF755" s="45">
        <v>0</v>
      </c>
      <c r="AG755" s="45">
        <v>1</v>
      </c>
      <c r="AH755" s="45">
        <v>389176</v>
      </c>
      <c r="AI755" s="45">
        <v>0</v>
      </c>
      <c r="AJ755" s="45">
        <v>1</v>
      </c>
      <c r="AK755" s="45">
        <v>402808</v>
      </c>
      <c r="AL755" s="45">
        <v>0</v>
      </c>
      <c r="AM755" s="45">
        <v>1</v>
      </c>
      <c r="AO755" s="45">
        <v>318806</v>
      </c>
      <c r="AP755" s="45">
        <v>0</v>
      </c>
      <c r="AQ755" s="45">
        <v>2</v>
      </c>
      <c r="AR755" s="45">
        <v>323836</v>
      </c>
      <c r="AS755" s="45">
        <v>0</v>
      </c>
      <c r="AT755" s="45">
        <v>2</v>
      </c>
      <c r="AU755" s="45">
        <v>330432</v>
      </c>
      <c r="AV755" s="45">
        <v>0</v>
      </c>
      <c r="AW755" s="45">
        <v>1</v>
      </c>
      <c r="AX755" s="45">
        <v>353287</v>
      </c>
      <c r="AY755" s="45">
        <v>32</v>
      </c>
      <c r="AZ755" s="45">
        <v>2</v>
      </c>
    </row>
    <row r="756" spans="2:52">
      <c r="B756" s="45">
        <v>338678</v>
      </c>
      <c r="C756" s="45">
        <v>0</v>
      </c>
      <c r="D756" s="45">
        <v>2</v>
      </c>
      <c r="E756" s="45">
        <v>327268</v>
      </c>
      <c r="F756" s="45">
        <v>0</v>
      </c>
      <c r="G756" s="45">
        <v>2</v>
      </c>
      <c r="H756" s="45">
        <v>365309</v>
      </c>
      <c r="I756" s="45">
        <v>50</v>
      </c>
      <c r="J756" s="45">
        <v>5</v>
      </c>
      <c r="K756" s="45">
        <v>322548</v>
      </c>
      <c r="L756" s="45">
        <v>0</v>
      </c>
      <c r="M756" s="45">
        <v>2</v>
      </c>
      <c r="O756" s="45">
        <v>345028</v>
      </c>
      <c r="P756" s="45">
        <v>0</v>
      </c>
      <c r="Q756" s="45">
        <v>2</v>
      </c>
      <c r="R756" s="45">
        <v>353105</v>
      </c>
      <c r="S756" s="45">
        <v>0</v>
      </c>
      <c r="T756" s="45">
        <v>2</v>
      </c>
      <c r="U756" s="45">
        <v>336917</v>
      </c>
      <c r="V756" s="45">
        <v>0</v>
      </c>
      <c r="W756" s="45">
        <v>4</v>
      </c>
      <c r="X756" s="45">
        <v>339828</v>
      </c>
      <c r="Y756" s="45">
        <v>0</v>
      </c>
      <c r="Z756" s="45">
        <v>2</v>
      </c>
      <c r="AB756" s="45">
        <v>378862</v>
      </c>
      <c r="AC756" s="45">
        <v>0</v>
      </c>
      <c r="AD756" s="45">
        <v>1</v>
      </c>
      <c r="AE756" s="45">
        <v>400519</v>
      </c>
      <c r="AF756" s="45">
        <v>0</v>
      </c>
      <c r="AG756" s="45">
        <v>1</v>
      </c>
      <c r="AH756" s="45">
        <v>411834</v>
      </c>
      <c r="AI756" s="45">
        <v>0</v>
      </c>
      <c r="AJ756" s="45">
        <v>1</v>
      </c>
      <c r="AK756" s="45">
        <v>387974</v>
      </c>
      <c r="AL756" s="45">
        <v>0</v>
      </c>
      <c r="AM756" s="45">
        <v>1</v>
      </c>
      <c r="AO756" s="45">
        <v>320598</v>
      </c>
      <c r="AP756" s="45">
        <v>0</v>
      </c>
      <c r="AQ756" s="45">
        <v>3</v>
      </c>
      <c r="AR756" s="45">
        <v>308262</v>
      </c>
      <c r="AS756" s="45">
        <v>0</v>
      </c>
      <c r="AT756" s="45">
        <v>2</v>
      </c>
      <c r="AU756" s="45">
        <v>315611</v>
      </c>
      <c r="AV756" s="45">
        <v>0</v>
      </c>
      <c r="AW756" s="45">
        <v>2</v>
      </c>
      <c r="AX756" s="45">
        <v>312028</v>
      </c>
      <c r="AY756" s="45">
        <v>0</v>
      </c>
      <c r="AZ756" s="45">
        <v>1</v>
      </c>
    </row>
    <row r="757" spans="2:52">
      <c r="B757" s="45">
        <v>320850</v>
      </c>
      <c r="C757" s="45">
        <v>0</v>
      </c>
      <c r="D757" s="45">
        <v>3</v>
      </c>
      <c r="E757" s="45">
        <v>343745</v>
      </c>
      <c r="F757" s="45">
        <v>0</v>
      </c>
      <c r="G757" s="45">
        <v>2</v>
      </c>
      <c r="H757" s="45">
        <v>330131</v>
      </c>
      <c r="I757" s="45">
        <v>0</v>
      </c>
      <c r="J757" s="45">
        <v>1</v>
      </c>
      <c r="K757" s="45">
        <v>318976</v>
      </c>
      <c r="L757" s="45">
        <v>0</v>
      </c>
      <c r="M757" s="45">
        <v>2</v>
      </c>
      <c r="O757" s="45">
        <v>370371</v>
      </c>
      <c r="P757" s="45">
        <v>0</v>
      </c>
      <c r="Q757" s="45">
        <v>2</v>
      </c>
      <c r="R757" s="45">
        <v>356208</v>
      </c>
      <c r="S757" s="45">
        <v>0</v>
      </c>
      <c r="T757" s="45">
        <v>2</v>
      </c>
      <c r="U757" s="45">
        <v>362837</v>
      </c>
      <c r="V757" s="45">
        <v>21</v>
      </c>
      <c r="W757" s="45">
        <v>4</v>
      </c>
      <c r="X757" s="45">
        <v>325097</v>
      </c>
      <c r="Y757" s="45">
        <v>0</v>
      </c>
      <c r="Z757" s="45">
        <v>3</v>
      </c>
      <c r="AB757" s="45">
        <v>380870</v>
      </c>
      <c r="AC757" s="45">
        <v>0</v>
      </c>
      <c r="AD757" s="45">
        <v>1</v>
      </c>
      <c r="AE757" s="45">
        <v>400422</v>
      </c>
      <c r="AF757" s="45">
        <v>0</v>
      </c>
      <c r="AG757" s="45">
        <v>1</v>
      </c>
      <c r="AH757" s="45">
        <v>400738</v>
      </c>
      <c r="AI757" s="45">
        <v>0</v>
      </c>
      <c r="AJ757" s="45">
        <v>2</v>
      </c>
      <c r="AK757" s="45">
        <v>388639</v>
      </c>
      <c r="AL757" s="45">
        <v>0</v>
      </c>
      <c r="AM757" s="45">
        <v>0</v>
      </c>
      <c r="AO757" s="45">
        <v>338478</v>
      </c>
      <c r="AP757" s="45">
        <v>0</v>
      </c>
      <c r="AQ757" s="45">
        <v>2</v>
      </c>
      <c r="AR757" s="45">
        <v>329116</v>
      </c>
      <c r="AS757" s="45">
        <v>0</v>
      </c>
      <c r="AT757" s="45">
        <v>2</v>
      </c>
      <c r="AU757" s="45">
        <v>332830</v>
      </c>
      <c r="AV757" s="45">
        <v>0</v>
      </c>
      <c r="AW757" s="45">
        <v>1</v>
      </c>
      <c r="AX757" s="45">
        <v>330292</v>
      </c>
      <c r="AY757" s="45">
        <v>1</v>
      </c>
      <c r="AZ757" s="45">
        <v>1</v>
      </c>
    </row>
    <row r="758" spans="2:52">
      <c r="B758" s="45">
        <v>329616</v>
      </c>
      <c r="C758" s="45">
        <v>0</v>
      </c>
      <c r="D758" s="45">
        <v>3</v>
      </c>
      <c r="E758" s="45">
        <v>326672</v>
      </c>
      <c r="F758" s="45">
        <v>0</v>
      </c>
      <c r="G758" s="45">
        <v>1</v>
      </c>
      <c r="H758" s="45">
        <v>316849</v>
      </c>
      <c r="I758" s="45">
        <v>0</v>
      </c>
      <c r="J758" s="45">
        <v>2</v>
      </c>
      <c r="K758" s="45">
        <v>323511</v>
      </c>
      <c r="L758" s="45">
        <v>0</v>
      </c>
      <c r="M758" s="45">
        <v>2</v>
      </c>
      <c r="O758" s="45">
        <v>367267</v>
      </c>
      <c r="P758" s="45">
        <v>0</v>
      </c>
      <c r="Q758" s="45">
        <v>2</v>
      </c>
      <c r="R758" s="45">
        <v>364449</v>
      </c>
      <c r="S758" s="45">
        <v>0</v>
      </c>
      <c r="T758" s="45">
        <v>2</v>
      </c>
      <c r="U758" s="45">
        <v>354606</v>
      </c>
      <c r="V758" s="45">
        <v>0</v>
      </c>
      <c r="W758" s="45">
        <v>2</v>
      </c>
      <c r="X758" s="45">
        <v>338608</v>
      </c>
      <c r="Y758" s="45">
        <v>0</v>
      </c>
      <c r="Z758" s="45">
        <v>3</v>
      </c>
      <c r="AB758" s="45">
        <v>386830</v>
      </c>
      <c r="AC758" s="45">
        <v>0</v>
      </c>
      <c r="AD758" s="45">
        <v>1</v>
      </c>
      <c r="AE758" s="45">
        <v>397748</v>
      </c>
      <c r="AF758" s="45">
        <v>0</v>
      </c>
      <c r="AG758" s="45">
        <v>1</v>
      </c>
      <c r="AH758" s="45">
        <v>407862</v>
      </c>
      <c r="AI758" s="45">
        <v>0</v>
      </c>
      <c r="AJ758" s="45">
        <v>1</v>
      </c>
      <c r="AK758" s="45">
        <v>389611</v>
      </c>
      <c r="AL758" s="45">
        <v>0</v>
      </c>
      <c r="AM758" s="45">
        <v>1</v>
      </c>
      <c r="AO758" s="45">
        <v>342474</v>
      </c>
      <c r="AP758" s="45">
        <v>31</v>
      </c>
      <c r="AQ758" s="45">
        <v>8</v>
      </c>
      <c r="AR758" s="45">
        <v>326078</v>
      </c>
      <c r="AS758" s="45">
        <v>0</v>
      </c>
      <c r="AT758" s="45">
        <v>4</v>
      </c>
      <c r="AU758" s="45">
        <v>325518</v>
      </c>
      <c r="AV758" s="45">
        <v>0</v>
      </c>
      <c r="AW758" s="45">
        <v>2</v>
      </c>
      <c r="AX758" s="45">
        <v>325443</v>
      </c>
      <c r="AY758" s="45">
        <v>0</v>
      </c>
      <c r="AZ758" s="45">
        <v>1</v>
      </c>
    </row>
    <row r="759" spans="2:52">
      <c r="B759" s="45">
        <v>308002</v>
      </c>
      <c r="C759" s="45">
        <v>0</v>
      </c>
      <c r="D759" s="45">
        <v>4</v>
      </c>
      <c r="E759" s="45">
        <v>309618</v>
      </c>
      <c r="F759" s="45">
        <v>0</v>
      </c>
      <c r="G759" s="45">
        <v>2</v>
      </c>
      <c r="H759" s="45">
        <v>333078</v>
      </c>
      <c r="I759" s="45">
        <v>0</v>
      </c>
      <c r="J759" s="45">
        <v>1</v>
      </c>
      <c r="K759" s="45">
        <v>296318</v>
      </c>
      <c r="L759" s="45">
        <v>0</v>
      </c>
      <c r="M759" s="45">
        <v>2</v>
      </c>
      <c r="O759" s="45">
        <v>342927</v>
      </c>
      <c r="P759" s="45">
        <v>0</v>
      </c>
      <c r="Q759" s="45">
        <v>2</v>
      </c>
      <c r="R759" s="45">
        <v>353574</v>
      </c>
      <c r="S759" s="45">
        <v>0</v>
      </c>
      <c r="T759" s="45">
        <v>2</v>
      </c>
      <c r="U759" s="45">
        <v>340108</v>
      </c>
      <c r="V759" s="45">
        <v>0</v>
      </c>
      <c r="W759" s="45">
        <v>2</v>
      </c>
      <c r="X759" s="45">
        <v>340233</v>
      </c>
      <c r="Y759" s="45">
        <v>0</v>
      </c>
      <c r="Z759" s="45">
        <v>3</v>
      </c>
      <c r="AB759" s="45">
        <v>390331</v>
      </c>
      <c r="AC759" s="45">
        <v>0</v>
      </c>
      <c r="AD759" s="45">
        <v>1</v>
      </c>
      <c r="AE759" s="45">
        <v>372084</v>
      </c>
      <c r="AF759" s="45">
        <v>0</v>
      </c>
      <c r="AG759" s="45">
        <v>1</v>
      </c>
      <c r="AH759" s="45">
        <v>388559</v>
      </c>
      <c r="AI759" s="45">
        <v>0</v>
      </c>
      <c r="AJ759" s="45">
        <v>1</v>
      </c>
      <c r="AK759" s="45">
        <v>371708</v>
      </c>
      <c r="AL759" s="45">
        <v>0</v>
      </c>
      <c r="AM759" s="45">
        <v>2</v>
      </c>
      <c r="AO759" s="45">
        <v>315053</v>
      </c>
      <c r="AP759" s="45">
        <v>0</v>
      </c>
      <c r="AQ759" s="45">
        <v>5</v>
      </c>
      <c r="AR759" s="45">
        <v>302746</v>
      </c>
      <c r="AS759" s="45">
        <v>0</v>
      </c>
      <c r="AT759" s="45">
        <v>3</v>
      </c>
      <c r="AU759" s="45">
        <v>313880</v>
      </c>
      <c r="AV759" s="45">
        <v>0</v>
      </c>
      <c r="AW759" s="45">
        <v>2</v>
      </c>
      <c r="AX759" s="45">
        <v>314733</v>
      </c>
      <c r="AY759" s="45">
        <v>0</v>
      </c>
      <c r="AZ759" s="45">
        <v>1</v>
      </c>
    </row>
    <row r="760" spans="2:52">
      <c r="B760" s="45">
        <v>296278</v>
      </c>
      <c r="C760" s="45">
        <v>0</v>
      </c>
      <c r="D760" s="45">
        <v>2</v>
      </c>
      <c r="E760" s="45">
        <v>290566</v>
      </c>
      <c r="F760" s="45">
        <v>0</v>
      </c>
      <c r="G760" s="45">
        <v>3</v>
      </c>
      <c r="H760" s="45">
        <v>281116</v>
      </c>
      <c r="I760" s="45">
        <v>0</v>
      </c>
      <c r="J760" s="45">
        <v>2</v>
      </c>
      <c r="K760" s="45">
        <v>299916</v>
      </c>
      <c r="L760" s="45">
        <v>13</v>
      </c>
      <c r="M760" s="45">
        <v>1</v>
      </c>
      <c r="O760" s="45">
        <v>324351</v>
      </c>
      <c r="P760" s="45">
        <v>0</v>
      </c>
      <c r="Q760" s="45">
        <v>2</v>
      </c>
      <c r="R760" s="45">
        <v>301583</v>
      </c>
      <c r="S760" s="45">
        <v>0</v>
      </c>
      <c r="T760" s="45">
        <v>1</v>
      </c>
      <c r="U760" s="45">
        <v>304710</v>
      </c>
      <c r="V760" s="45">
        <v>0</v>
      </c>
      <c r="W760" s="45">
        <v>2</v>
      </c>
      <c r="X760" s="45">
        <v>284161</v>
      </c>
      <c r="Y760" s="45">
        <v>0</v>
      </c>
      <c r="Z760" s="45">
        <v>5</v>
      </c>
      <c r="AB760" s="45">
        <v>358175</v>
      </c>
      <c r="AC760" s="45">
        <v>0</v>
      </c>
      <c r="AD760" s="45">
        <v>1</v>
      </c>
      <c r="AE760" s="45">
        <v>342199</v>
      </c>
      <c r="AF760" s="45">
        <v>0</v>
      </c>
      <c r="AG760" s="45">
        <v>1</v>
      </c>
      <c r="AH760" s="45">
        <v>340837</v>
      </c>
      <c r="AI760" s="45">
        <v>0</v>
      </c>
      <c r="AJ760" s="45">
        <v>1</v>
      </c>
      <c r="AK760" s="45">
        <v>351254</v>
      </c>
      <c r="AL760" s="45">
        <v>0</v>
      </c>
      <c r="AM760" s="45">
        <v>1</v>
      </c>
      <c r="AO760" s="45">
        <v>289383</v>
      </c>
      <c r="AP760" s="45">
        <v>0</v>
      </c>
      <c r="AQ760" s="45">
        <v>4</v>
      </c>
      <c r="AR760" s="45">
        <v>298821</v>
      </c>
      <c r="AS760" s="45">
        <v>0</v>
      </c>
      <c r="AT760" s="45">
        <v>2</v>
      </c>
      <c r="AU760" s="45">
        <v>303473</v>
      </c>
      <c r="AV760" s="45">
        <v>8</v>
      </c>
      <c r="AW760" s="45">
        <v>2</v>
      </c>
      <c r="AX760" s="45">
        <v>273409</v>
      </c>
      <c r="AY760" s="45">
        <v>0</v>
      </c>
      <c r="AZ760" s="45">
        <v>1</v>
      </c>
    </row>
    <row r="761" spans="2:52">
      <c r="B761" s="45">
        <v>337516</v>
      </c>
      <c r="C761" s="45">
        <v>0</v>
      </c>
      <c r="D761" s="45">
        <v>3</v>
      </c>
      <c r="E761" s="45">
        <v>323141</v>
      </c>
      <c r="F761" s="45">
        <v>0</v>
      </c>
      <c r="G761" s="45">
        <v>2</v>
      </c>
      <c r="H761" s="45">
        <v>321488</v>
      </c>
      <c r="I761" s="45">
        <v>0</v>
      </c>
      <c r="J761" s="45">
        <v>2</v>
      </c>
      <c r="K761" s="45">
        <v>328168</v>
      </c>
      <c r="L761" s="45">
        <v>0</v>
      </c>
      <c r="M761" s="45">
        <v>2</v>
      </c>
      <c r="O761" s="45">
        <v>355271</v>
      </c>
      <c r="P761" s="45">
        <v>0</v>
      </c>
      <c r="Q761" s="45">
        <v>2</v>
      </c>
      <c r="R761" s="45">
        <v>355395</v>
      </c>
      <c r="S761" s="45">
        <v>0</v>
      </c>
      <c r="T761" s="45">
        <v>3</v>
      </c>
      <c r="U761" s="45">
        <v>336018</v>
      </c>
      <c r="V761" s="45">
        <v>0</v>
      </c>
      <c r="W761" s="45">
        <v>2</v>
      </c>
      <c r="X761" s="45">
        <v>353229</v>
      </c>
      <c r="Y761" s="45">
        <v>0</v>
      </c>
      <c r="Z761" s="45">
        <v>2</v>
      </c>
      <c r="AB761" s="45">
        <v>396862</v>
      </c>
      <c r="AC761" s="45">
        <v>0</v>
      </c>
      <c r="AD761" s="45">
        <v>1</v>
      </c>
      <c r="AE761" s="45">
        <v>387748</v>
      </c>
      <c r="AF761" s="45">
        <v>0</v>
      </c>
      <c r="AG761" s="45">
        <v>1</v>
      </c>
      <c r="AH761" s="45">
        <v>391326</v>
      </c>
      <c r="AI761" s="45">
        <v>0</v>
      </c>
      <c r="AJ761" s="45">
        <v>1</v>
      </c>
      <c r="AK761" s="45">
        <v>396835</v>
      </c>
      <c r="AL761" s="45">
        <v>0</v>
      </c>
      <c r="AM761" s="45">
        <v>1</v>
      </c>
      <c r="AO761" s="45">
        <v>330371</v>
      </c>
      <c r="AP761" s="45">
        <v>0</v>
      </c>
      <c r="AQ761" s="45">
        <v>2</v>
      </c>
      <c r="AR761" s="45">
        <v>326433</v>
      </c>
      <c r="AS761" s="45">
        <v>0</v>
      </c>
      <c r="AT761" s="45">
        <v>3</v>
      </c>
      <c r="AU761" s="45">
        <v>339883</v>
      </c>
      <c r="AV761" s="45">
        <v>0</v>
      </c>
      <c r="AW761" s="45">
        <v>2</v>
      </c>
      <c r="AX761" s="45">
        <v>331876</v>
      </c>
      <c r="AY761" s="45">
        <v>0</v>
      </c>
      <c r="AZ761" s="45">
        <v>1</v>
      </c>
    </row>
    <row r="762" spans="2:52">
      <c r="B762" s="45">
        <v>293121</v>
      </c>
      <c r="C762" s="45">
        <v>1</v>
      </c>
      <c r="D762" s="45">
        <v>3</v>
      </c>
      <c r="E762" s="45">
        <v>316027</v>
      </c>
      <c r="F762" s="45">
        <v>0</v>
      </c>
      <c r="G762" s="45">
        <v>1</v>
      </c>
      <c r="H762" s="45">
        <v>312727</v>
      </c>
      <c r="I762" s="45">
        <v>0</v>
      </c>
      <c r="J762" s="45">
        <v>2</v>
      </c>
      <c r="K762" s="45">
        <v>304654</v>
      </c>
      <c r="L762" s="45">
        <v>6</v>
      </c>
      <c r="M762" s="45">
        <v>2</v>
      </c>
      <c r="O762" s="45">
        <v>352990</v>
      </c>
      <c r="P762" s="45">
        <v>0</v>
      </c>
      <c r="Q762" s="45">
        <v>2</v>
      </c>
      <c r="R762" s="45">
        <v>341758</v>
      </c>
      <c r="S762" s="45">
        <v>0</v>
      </c>
      <c r="T762" s="45">
        <v>2</v>
      </c>
      <c r="U762" s="45">
        <v>337155</v>
      </c>
      <c r="V762" s="45">
        <v>0</v>
      </c>
      <c r="W762" s="45">
        <v>2</v>
      </c>
      <c r="X762" s="45">
        <v>336253</v>
      </c>
      <c r="Y762" s="45">
        <v>0</v>
      </c>
      <c r="Z762" s="45">
        <v>3</v>
      </c>
      <c r="AB762" s="45">
        <v>383972</v>
      </c>
      <c r="AC762" s="45">
        <v>0</v>
      </c>
      <c r="AD762" s="45">
        <v>0</v>
      </c>
      <c r="AE762" s="45">
        <v>363500</v>
      </c>
      <c r="AF762" s="45">
        <v>0</v>
      </c>
      <c r="AG762" s="45">
        <v>1</v>
      </c>
      <c r="AH762" s="45">
        <v>347940</v>
      </c>
      <c r="AI762" s="45">
        <v>0</v>
      </c>
      <c r="AJ762" s="45">
        <v>1</v>
      </c>
      <c r="AK762" s="45">
        <v>362801</v>
      </c>
      <c r="AL762" s="45">
        <v>0</v>
      </c>
      <c r="AM762" s="45">
        <v>1</v>
      </c>
      <c r="AO762" s="45">
        <v>341518</v>
      </c>
      <c r="AP762" s="45">
        <v>32</v>
      </c>
      <c r="AQ762" s="45">
        <v>2</v>
      </c>
      <c r="AR762" s="45">
        <v>311433</v>
      </c>
      <c r="AS762" s="45">
        <v>0</v>
      </c>
      <c r="AT762" s="45">
        <v>2</v>
      </c>
      <c r="AU762" s="45">
        <v>302838</v>
      </c>
      <c r="AV762" s="45">
        <v>0</v>
      </c>
      <c r="AW762" s="45">
        <v>1</v>
      </c>
      <c r="AX762" s="45">
        <v>340252</v>
      </c>
      <c r="AY762" s="45">
        <v>29</v>
      </c>
      <c r="AZ762" s="45">
        <v>3</v>
      </c>
    </row>
    <row r="763" spans="2:52">
      <c r="B763" s="45">
        <v>297626</v>
      </c>
      <c r="C763" s="45">
        <v>0</v>
      </c>
      <c r="D763" s="45">
        <v>3</v>
      </c>
      <c r="E763" s="45">
        <v>296497</v>
      </c>
      <c r="F763" s="45">
        <v>0</v>
      </c>
      <c r="G763" s="45">
        <v>1</v>
      </c>
      <c r="H763" s="45">
        <v>295004</v>
      </c>
      <c r="I763" s="45">
        <v>0</v>
      </c>
      <c r="J763" s="45">
        <v>2</v>
      </c>
      <c r="K763" s="45">
        <v>299321</v>
      </c>
      <c r="L763" s="45">
        <v>0</v>
      </c>
      <c r="M763" s="45">
        <v>2</v>
      </c>
      <c r="O763" s="45">
        <v>336378</v>
      </c>
      <c r="P763" s="45">
        <v>0</v>
      </c>
      <c r="Q763" s="45">
        <v>2</v>
      </c>
      <c r="R763" s="45">
        <v>335674</v>
      </c>
      <c r="S763" s="45">
        <v>0</v>
      </c>
      <c r="T763" s="45">
        <v>2</v>
      </c>
      <c r="U763" s="45">
        <v>345650</v>
      </c>
      <c r="V763" s="45">
        <v>0</v>
      </c>
      <c r="W763" s="45">
        <v>1</v>
      </c>
      <c r="X763" s="45">
        <v>320277</v>
      </c>
      <c r="Y763" s="45">
        <v>0</v>
      </c>
      <c r="Z763" s="45">
        <v>3</v>
      </c>
      <c r="AB763" s="45">
        <v>379947</v>
      </c>
      <c r="AC763" s="45">
        <v>0</v>
      </c>
      <c r="AD763" s="45">
        <v>1</v>
      </c>
      <c r="AE763" s="45">
        <v>364098</v>
      </c>
      <c r="AF763" s="45">
        <v>0</v>
      </c>
      <c r="AG763" s="45">
        <v>1</v>
      </c>
      <c r="AH763" s="45">
        <v>384899</v>
      </c>
      <c r="AI763" s="45">
        <v>0</v>
      </c>
      <c r="AJ763" s="45">
        <v>1</v>
      </c>
      <c r="AK763" s="45">
        <v>368964</v>
      </c>
      <c r="AL763" s="45">
        <v>0</v>
      </c>
      <c r="AM763" s="45">
        <v>1</v>
      </c>
      <c r="AO763" s="45">
        <v>336377</v>
      </c>
      <c r="AP763" s="45">
        <v>0</v>
      </c>
      <c r="AQ763" s="45">
        <v>2</v>
      </c>
      <c r="AR763" s="45">
        <v>287013</v>
      </c>
      <c r="AS763" s="45">
        <v>0</v>
      </c>
      <c r="AT763" s="45">
        <v>2</v>
      </c>
      <c r="AU763" s="45">
        <v>316219</v>
      </c>
      <c r="AV763" s="45">
        <v>0</v>
      </c>
      <c r="AW763" s="45">
        <v>2</v>
      </c>
      <c r="AX763" s="45">
        <v>288037</v>
      </c>
      <c r="AY763" s="45">
        <v>0</v>
      </c>
      <c r="AZ763" s="45">
        <v>2</v>
      </c>
    </row>
    <row r="764" spans="2:52">
      <c r="B764" s="45">
        <v>310356</v>
      </c>
      <c r="C764" s="45">
        <v>0</v>
      </c>
      <c r="D764" s="45">
        <v>2</v>
      </c>
      <c r="E764" s="45">
        <v>334927</v>
      </c>
      <c r="F764" s="45">
        <v>16</v>
      </c>
      <c r="G764" s="45">
        <v>2</v>
      </c>
      <c r="H764" s="45">
        <v>306742</v>
      </c>
      <c r="I764" s="45">
        <v>0</v>
      </c>
      <c r="J764" s="45">
        <v>2</v>
      </c>
      <c r="K764" s="45">
        <v>327212</v>
      </c>
      <c r="L764" s="45">
        <v>0</v>
      </c>
      <c r="M764" s="45">
        <v>1</v>
      </c>
      <c r="O764" s="45">
        <v>339254</v>
      </c>
      <c r="P764" s="45">
        <v>0</v>
      </c>
      <c r="Q764" s="45">
        <v>2</v>
      </c>
      <c r="R764" s="45">
        <v>316307</v>
      </c>
      <c r="S764" s="45">
        <v>0</v>
      </c>
      <c r="T764" s="45">
        <v>3</v>
      </c>
      <c r="U764" s="45">
        <v>314979</v>
      </c>
      <c r="V764" s="45">
        <v>0</v>
      </c>
      <c r="W764" s="45">
        <v>3</v>
      </c>
      <c r="X764" s="45">
        <v>318459</v>
      </c>
      <c r="Y764" s="45">
        <v>0</v>
      </c>
      <c r="Z764" s="45">
        <v>3</v>
      </c>
      <c r="AB764" s="45">
        <v>375673</v>
      </c>
      <c r="AC764" s="45">
        <v>0</v>
      </c>
      <c r="AD764" s="45">
        <v>0</v>
      </c>
      <c r="AE764" s="45">
        <v>372465</v>
      </c>
      <c r="AF764" s="45">
        <v>0</v>
      </c>
      <c r="AG764" s="45">
        <v>2</v>
      </c>
      <c r="AH764" s="45">
        <v>366963</v>
      </c>
      <c r="AI764" s="45">
        <v>0</v>
      </c>
      <c r="AJ764" s="45">
        <v>0</v>
      </c>
      <c r="AK764" s="45">
        <v>363361</v>
      </c>
      <c r="AL764" s="45">
        <v>0</v>
      </c>
      <c r="AM764" s="45">
        <v>1</v>
      </c>
      <c r="AO764" s="45">
        <v>322053</v>
      </c>
      <c r="AP764" s="45">
        <v>0</v>
      </c>
      <c r="AQ764" s="45">
        <v>2</v>
      </c>
      <c r="AR764" s="45">
        <v>308015</v>
      </c>
      <c r="AS764" s="45">
        <v>0</v>
      </c>
      <c r="AT764" s="45">
        <v>2</v>
      </c>
      <c r="AU764" s="45">
        <v>305887</v>
      </c>
      <c r="AV764" s="45">
        <v>0</v>
      </c>
      <c r="AW764" s="45">
        <v>2</v>
      </c>
      <c r="AX764" s="45">
        <v>304328</v>
      </c>
      <c r="AY764" s="45">
        <v>0</v>
      </c>
      <c r="AZ764" s="45">
        <v>1</v>
      </c>
    </row>
    <row r="765" spans="2:52">
      <c r="B765" s="45">
        <v>374502</v>
      </c>
      <c r="C765" s="45">
        <v>14</v>
      </c>
      <c r="D765" s="45">
        <v>5</v>
      </c>
      <c r="E765" s="45">
        <v>387477</v>
      </c>
      <c r="F765" s="45">
        <v>24</v>
      </c>
      <c r="G765" s="45">
        <v>3</v>
      </c>
      <c r="H765" s="45">
        <v>383267</v>
      </c>
      <c r="I765" s="45">
        <v>0</v>
      </c>
      <c r="J765" s="45">
        <v>1</v>
      </c>
      <c r="K765" s="45">
        <v>364881</v>
      </c>
      <c r="L765" s="45">
        <v>0</v>
      </c>
      <c r="M765" s="45">
        <v>2</v>
      </c>
      <c r="O765" s="45">
        <v>403137</v>
      </c>
      <c r="P765" s="45">
        <v>0</v>
      </c>
      <c r="Q765" s="45">
        <v>2</v>
      </c>
      <c r="R765" s="45">
        <v>375768</v>
      </c>
      <c r="S765" s="45">
        <v>0</v>
      </c>
      <c r="T765" s="45">
        <v>2</v>
      </c>
      <c r="U765" s="45">
        <v>393923</v>
      </c>
      <c r="V765" s="45">
        <v>0</v>
      </c>
      <c r="W765" s="45">
        <v>2</v>
      </c>
      <c r="X765" s="45">
        <v>387323</v>
      </c>
      <c r="Y765" s="45">
        <v>0</v>
      </c>
      <c r="Z765" s="45">
        <v>2</v>
      </c>
      <c r="AB765" s="45">
        <v>463611</v>
      </c>
      <c r="AC765" s="45">
        <v>0</v>
      </c>
      <c r="AD765" s="45">
        <v>1</v>
      </c>
      <c r="AE765" s="45">
        <v>432069</v>
      </c>
      <c r="AF765" s="45">
        <v>0</v>
      </c>
      <c r="AG765" s="45">
        <v>2</v>
      </c>
      <c r="AH765" s="45">
        <v>442780</v>
      </c>
      <c r="AI765" s="45">
        <v>0</v>
      </c>
      <c r="AJ765" s="45">
        <v>1</v>
      </c>
      <c r="AK765" s="45">
        <v>448669</v>
      </c>
      <c r="AL765" s="45">
        <v>0</v>
      </c>
      <c r="AM765" s="45">
        <v>0</v>
      </c>
      <c r="AO765" s="45">
        <v>379986</v>
      </c>
      <c r="AP765" s="45">
        <v>14</v>
      </c>
      <c r="AQ765" s="45">
        <v>3</v>
      </c>
      <c r="AR765" s="45">
        <v>367827</v>
      </c>
      <c r="AS765" s="45">
        <v>0</v>
      </c>
      <c r="AT765" s="45">
        <v>2</v>
      </c>
      <c r="AU765" s="45">
        <v>367863</v>
      </c>
      <c r="AV765" s="45">
        <v>0</v>
      </c>
      <c r="AW765" s="45">
        <v>1</v>
      </c>
      <c r="AX765" s="45">
        <v>369057</v>
      </c>
      <c r="AY765" s="45">
        <v>0</v>
      </c>
      <c r="AZ765" s="45">
        <v>2</v>
      </c>
    </row>
    <row r="766" spans="2:52">
      <c r="B766" s="45">
        <v>348034</v>
      </c>
      <c r="C766" s="45">
        <v>0</v>
      </c>
      <c r="D766" s="45">
        <v>3</v>
      </c>
      <c r="E766" s="45">
        <v>366492</v>
      </c>
      <c r="F766" s="45">
        <v>0</v>
      </c>
      <c r="G766" s="45">
        <v>1</v>
      </c>
      <c r="H766" s="45">
        <v>371724</v>
      </c>
      <c r="I766" s="45">
        <v>0</v>
      </c>
      <c r="J766" s="45">
        <v>2</v>
      </c>
      <c r="K766" s="45">
        <v>356962</v>
      </c>
      <c r="L766" s="45">
        <v>0</v>
      </c>
      <c r="M766" s="45">
        <v>2</v>
      </c>
      <c r="O766" s="45">
        <v>431538</v>
      </c>
      <c r="P766" s="45">
        <v>36</v>
      </c>
      <c r="Q766" s="45">
        <v>3</v>
      </c>
      <c r="R766" s="45">
        <v>396215</v>
      </c>
      <c r="S766" s="45">
        <v>0</v>
      </c>
      <c r="T766" s="45">
        <v>2</v>
      </c>
      <c r="U766" s="45">
        <v>403252</v>
      </c>
      <c r="V766" s="45">
        <v>0</v>
      </c>
      <c r="W766" s="45">
        <v>2</v>
      </c>
      <c r="X766" s="45">
        <v>385054</v>
      </c>
      <c r="Y766" s="45">
        <v>23</v>
      </c>
      <c r="Z766" s="45">
        <v>5</v>
      </c>
      <c r="AB766" s="45">
        <v>457072</v>
      </c>
      <c r="AC766" s="45">
        <v>0</v>
      </c>
      <c r="AD766" s="45">
        <v>2</v>
      </c>
      <c r="AE766" s="45">
        <v>451200</v>
      </c>
      <c r="AF766" s="45">
        <v>0</v>
      </c>
      <c r="AG766" s="45">
        <v>0</v>
      </c>
      <c r="AH766" s="45">
        <v>459217</v>
      </c>
      <c r="AI766" s="45">
        <v>0</v>
      </c>
      <c r="AJ766" s="45">
        <v>1</v>
      </c>
      <c r="AK766" s="45">
        <v>445914</v>
      </c>
      <c r="AL766" s="45">
        <v>0</v>
      </c>
      <c r="AM766" s="45">
        <v>1</v>
      </c>
      <c r="AO766" s="45">
        <v>358576</v>
      </c>
      <c r="AP766" s="45">
        <v>0</v>
      </c>
      <c r="AQ766" s="45">
        <v>2</v>
      </c>
      <c r="AR766" s="45">
        <v>359823</v>
      </c>
      <c r="AS766" s="45">
        <v>0</v>
      </c>
      <c r="AT766" s="45">
        <v>2</v>
      </c>
      <c r="AU766" s="45">
        <v>355406</v>
      </c>
      <c r="AV766" s="45">
        <v>0</v>
      </c>
      <c r="AW766" s="45">
        <v>1</v>
      </c>
      <c r="AX766" s="45">
        <v>371877</v>
      </c>
      <c r="AY766" s="45">
        <v>8</v>
      </c>
      <c r="AZ766" s="45">
        <v>4</v>
      </c>
    </row>
    <row r="767" spans="2:52">
      <c r="B767" s="45">
        <v>333447</v>
      </c>
      <c r="C767" s="45">
        <v>0</v>
      </c>
      <c r="D767" s="45">
        <v>2</v>
      </c>
      <c r="E767" s="45">
        <v>326535</v>
      </c>
      <c r="F767" s="45">
        <v>0</v>
      </c>
      <c r="G767" s="45">
        <v>1</v>
      </c>
      <c r="H767" s="45">
        <v>324027</v>
      </c>
      <c r="I767" s="45">
        <v>0</v>
      </c>
      <c r="J767" s="45">
        <v>2</v>
      </c>
      <c r="K767" s="45">
        <v>329748</v>
      </c>
      <c r="L767" s="45">
        <v>0</v>
      </c>
      <c r="M767" s="45">
        <v>1</v>
      </c>
      <c r="O767" s="45">
        <v>347387</v>
      </c>
      <c r="P767" s="45">
        <v>0</v>
      </c>
      <c r="Q767" s="45">
        <v>3</v>
      </c>
      <c r="R767" s="45">
        <v>340929</v>
      </c>
      <c r="S767" s="45">
        <v>0</v>
      </c>
      <c r="T767" s="45">
        <v>2</v>
      </c>
      <c r="U767" s="45">
        <v>344392</v>
      </c>
      <c r="V767" s="45">
        <v>0</v>
      </c>
      <c r="W767" s="45">
        <v>2</v>
      </c>
      <c r="X767" s="45">
        <v>356288</v>
      </c>
      <c r="Y767" s="45">
        <v>0</v>
      </c>
      <c r="Z767" s="45">
        <v>3</v>
      </c>
      <c r="AB767" s="45">
        <v>394285</v>
      </c>
      <c r="AC767" s="45">
        <v>0</v>
      </c>
      <c r="AD767" s="45">
        <v>1</v>
      </c>
      <c r="AE767" s="45">
        <v>380866</v>
      </c>
      <c r="AF767" s="45">
        <v>0</v>
      </c>
      <c r="AG767" s="45">
        <v>1</v>
      </c>
      <c r="AH767" s="45">
        <v>384304</v>
      </c>
      <c r="AI767" s="45">
        <v>0</v>
      </c>
      <c r="AJ767" s="45">
        <v>1</v>
      </c>
      <c r="AK767" s="45">
        <v>388782</v>
      </c>
      <c r="AL767" s="45">
        <v>0</v>
      </c>
      <c r="AM767" s="45">
        <v>1</v>
      </c>
      <c r="AO767" s="45">
        <v>322731</v>
      </c>
      <c r="AP767" s="45">
        <v>0</v>
      </c>
      <c r="AQ767" s="45">
        <v>1</v>
      </c>
      <c r="AR767" s="45">
        <v>323941</v>
      </c>
      <c r="AS767" s="45">
        <v>0</v>
      </c>
      <c r="AT767" s="45">
        <v>2</v>
      </c>
      <c r="AU767" s="45">
        <v>328701</v>
      </c>
      <c r="AV767" s="45">
        <v>0</v>
      </c>
      <c r="AW767" s="45">
        <v>2</v>
      </c>
      <c r="AX767" s="45">
        <v>327259</v>
      </c>
      <c r="AY767" s="45">
        <v>0</v>
      </c>
      <c r="AZ767" s="45">
        <v>1</v>
      </c>
    </row>
    <row r="768" spans="2:52">
      <c r="B768" s="45">
        <v>320626</v>
      </c>
      <c r="C768" s="45">
        <v>0</v>
      </c>
      <c r="D768" s="45">
        <v>2</v>
      </c>
      <c r="E768" s="45">
        <v>319600</v>
      </c>
      <c r="F768" s="45">
        <v>0</v>
      </c>
      <c r="G768" s="45">
        <v>2</v>
      </c>
      <c r="H768" s="45">
        <v>336021</v>
      </c>
      <c r="I768" s="45">
        <v>0</v>
      </c>
      <c r="J768" s="45">
        <v>2</v>
      </c>
      <c r="K768" s="45">
        <v>324239</v>
      </c>
      <c r="L768" s="45">
        <v>0</v>
      </c>
      <c r="M768" s="45">
        <v>1</v>
      </c>
      <c r="O768" s="45">
        <v>360100</v>
      </c>
      <c r="P768" s="45">
        <v>0</v>
      </c>
      <c r="Q768" s="45">
        <v>1</v>
      </c>
      <c r="R768" s="45">
        <v>347886</v>
      </c>
      <c r="S768" s="45">
        <v>0</v>
      </c>
      <c r="T768" s="45">
        <v>2</v>
      </c>
      <c r="U768" s="45">
        <v>327538</v>
      </c>
      <c r="V768" s="45">
        <v>0</v>
      </c>
      <c r="W768" s="45">
        <v>2</v>
      </c>
      <c r="X768" s="45">
        <v>330838</v>
      </c>
      <c r="Y768" s="45">
        <v>0</v>
      </c>
      <c r="Z768" s="45">
        <v>3</v>
      </c>
      <c r="AB768" s="45">
        <v>404540</v>
      </c>
      <c r="AC768" s="45">
        <v>0</v>
      </c>
      <c r="AD768" s="45">
        <v>1</v>
      </c>
      <c r="AE768" s="45">
        <v>397309</v>
      </c>
      <c r="AF768" s="45">
        <v>0</v>
      </c>
      <c r="AG768" s="45">
        <v>1</v>
      </c>
      <c r="AH768" s="45">
        <v>395948</v>
      </c>
      <c r="AI768" s="45">
        <v>0</v>
      </c>
      <c r="AJ768" s="45">
        <v>2</v>
      </c>
      <c r="AK768" s="45">
        <v>398196</v>
      </c>
      <c r="AL768" s="45">
        <v>0</v>
      </c>
      <c r="AM768" s="45">
        <v>1</v>
      </c>
      <c r="AO768" s="45">
        <v>322878</v>
      </c>
      <c r="AP768" s="45">
        <v>0</v>
      </c>
      <c r="AQ768" s="45">
        <v>2</v>
      </c>
      <c r="AR768" s="45">
        <v>326842</v>
      </c>
      <c r="AS768" s="45">
        <v>0</v>
      </c>
      <c r="AT768" s="45">
        <v>1</v>
      </c>
      <c r="AU768" s="45">
        <v>326019</v>
      </c>
      <c r="AV768" s="45">
        <v>0</v>
      </c>
      <c r="AW768" s="45">
        <v>2</v>
      </c>
      <c r="AX768" s="45">
        <v>317454</v>
      </c>
      <c r="AY768" s="45">
        <v>0</v>
      </c>
      <c r="AZ768" s="45">
        <v>2</v>
      </c>
    </row>
    <row r="769" spans="1:52">
      <c r="B769" s="45">
        <v>391454</v>
      </c>
      <c r="C769" s="45">
        <v>0</v>
      </c>
      <c r="D769" s="45">
        <v>3</v>
      </c>
      <c r="E769" s="45">
        <v>386610</v>
      </c>
      <c r="F769" s="45">
        <v>0</v>
      </c>
      <c r="G769" s="45">
        <v>3</v>
      </c>
      <c r="H769" s="45">
        <v>386820</v>
      </c>
      <c r="I769" s="45">
        <v>0</v>
      </c>
      <c r="J769" s="45">
        <v>3</v>
      </c>
      <c r="K769" s="45">
        <v>387595</v>
      </c>
      <c r="L769" s="45">
        <v>0</v>
      </c>
      <c r="M769" s="45">
        <v>2</v>
      </c>
      <c r="O769" s="45">
        <v>448954</v>
      </c>
      <c r="P769" s="45">
        <v>0</v>
      </c>
      <c r="Q769" s="45">
        <v>2</v>
      </c>
      <c r="R769" s="45">
        <v>397378</v>
      </c>
      <c r="S769" s="45">
        <v>0</v>
      </c>
      <c r="T769" s="45">
        <v>2</v>
      </c>
      <c r="U769" s="45">
        <v>434490</v>
      </c>
      <c r="V769" s="45">
        <v>0</v>
      </c>
      <c r="W769" s="45">
        <v>2</v>
      </c>
      <c r="X769" s="45">
        <v>432536</v>
      </c>
      <c r="Y769" s="45">
        <v>0</v>
      </c>
      <c r="Z769" s="45">
        <v>2</v>
      </c>
      <c r="AB769" s="45">
        <v>473862</v>
      </c>
      <c r="AC769" s="45">
        <v>0</v>
      </c>
      <c r="AD769" s="45">
        <v>1</v>
      </c>
      <c r="AE769" s="45">
        <v>475960</v>
      </c>
      <c r="AF769" s="45">
        <v>0</v>
      </c>
      <c r="AG769" s="45">
        <v>1</v>
      </c>
      <c r="AH769" s="45">
        <v>485537</v>
      </c>
      <c r="AI769" s="45">
        <v>0</v>
      </c>
      <c r="AJ769" s="45">
        <v>1</v>
      </c>
      <c r="AK769" s="45">
        <v>478180</v>
      </c>
      <c r="AL769" s="45">
        <v>0</v>
      </c>
      <c r="AM769" s="45">
        <v>1</v>
      </c>
      <c r="AO769" s="45">
        <v>404058</v>
      </c>
      <c r="AP769" s="45">
        <v>0</v>
      </c>
      <c r="AQ769" s="45">
        <v>2</v>
      </c>
      <c r="AR769" s="45">
        <v>402424</v>
      </c>
      <c r="AS769" s="45">
        <v>0</v>
      </c>
      <c r="AT769" s="45">
        <v>2</v>
      </c>
      <c r="AU769" s="45">
        <v>392217</v>
      </c>
      <c r="AV769" s="45">
        <v>0</v>
      </c>
      <c r="AW769" s="45">
        <v>2</v>
      </c>
      <c r="AX769" s="45">
        <v>414085</v>
      </c>
      <c r="AY769" s="45">
        <v>0</v>
      </c>
      <c r="AZ769" s="45">
        <v>1</v>
      </c>
    </row>
    <row r="770" spans="1:52">
      <c r="B770" s="45">
        <v>344209</v>
      </c>
      <c r="C770" s="45">
        <v>0</v>
      </c>
      <c r="D770" s="45">
        <v>2</v>
      </c>
      <c r="E770" s="45">
        <v>352281</v>
      </c>
      <c r="F770" s="45">
        <v>0</v>
      </c>
      <c r="G770" s="45">
        <v>1</v>
      </c>
      <c r="H770" s="45">
        <v>362728</v>
      </c>
      <c r="I770" s="45">
        <v>0</v>
      </c>
      <c r="J770" s="45">
        <v>2</v>
      </c>
      <c r="K770" s="45">
        <v>381930</v>
      </c>
      <c r="L770" s="45">
        <v>34</v>
      </c>
      <c r="M770" s="45">
        <v>4</v>
      </c>
      <c r="O770" s="45">
        <v>385851</v>
      </c>
      <c r="P770" s="45">
        <v>0</v>
      </c>
      <c r="Q770" s="45">
        <v>3</v>
      </c>
      <c r="R770" s="45">
        <v>377961</v>
      </c>
      <c r="S770" s="45">
        <v>0</v>
      </c>
      <c r="T770" s="45">
        <v>2</v>
      </c>
      <c r="U770" s="45">
        <v>380989</v>
      </c>
      <c r="V770" s="45">
        <v>0</v>
      </c>
      <c r="W770" s="45">
        <v>1</v>
      </c>
      <c r="X770" s="45">
        <v>369280</v>
      </c>
      <c r="Y770" s="45">
        <v>0</v>
      </c>
      <c r="Z770" s="45">
        <v>2</v>
      </c>
      <c r="AB770" s="45">
        <v>438858</v>
      </c>
      <c r="AC770" s="45">
        <v>0</v>
      </c>
      <c r="AD770" s="45">
        <v>1</v>
      </c>
      <c r="AE770" s="45">
        <v>426236</v>
      </c>
      <c r="AF770" s="45">
        <v>0</v>
      </c>
      <c r="AG770" s="45">
        <v>1</v>
      </c>
      <c r="AH770" s="45">
        <v>404924</v>
      </c>
      <c r="AI770" s="45">
        <v>0</v>
      </c>
      <c r="AJ770" s="45">
        <v>1</v>
      </c>
      <c r="AK770" s="45">
        <v>430746</v>
      </c>
      <c r="AL770" s="45">
        <v>0</v>
      </c>
      <c r="AM770" s="45">
        <v>1</v>
      </c>
      <c r="AO770" s="45">
        <v>351051</v>
      </c>
      <c r="AP770" s="45">
        <v>0</v>
      </c>
      <c r="AQ770" s="45">
        <v>2</v>
      </c>
      <c r="AR770" s="45">
        <v>353016</v>
      </c>
      <c r="AS770" s="45">
        <v>0</v>
      </c>
      <c r="AT770" s="45">
        <v>3</v>
      </c>
      <c r="AU770" s="45">
        <v>354352</v>
      </c>
      <c r="AV770" s="45">
        <v>0</v>
      </c>
      <c r="AW770" s="45">
        <v>2</v>
      </c>
      <c r="AX770" s="45">
        <v>354097</v>
      </c>
      <c r="AY770" s="45">
        <v>0</v>
      </c>
      <c r="AZ770" s="45">
        <v>2</v>
      </c>
    </row>
    <row r="771" spans="1:52">
      <c r="B771" s="45">
        <v>362814</v>
      </c>
      <c r="C771" s="45">
        <v>0</v>
      </c>
      <c r="D771" s="45">
        <v>1</v>
      </c>
      <c r="E771" s="45">
        <v>364440</v>
      </c>
      <c r="F771" s="45">
        <v>0</v>
      </c>
      <c r="G771" s="45">
        <v>2</v>
      </c>
      <c r="H771" s="45">
        <v>356899</v>
      </c>
      <c r="I771" s="45">
        <v>0</v>
      </c>
      <c r="J771" s="45">
        <v>2</v>
      </c>
      <c r="K771" s="45">
        <v>360579</v>
      </c>
      <c r="L771" s="45">
        <v>0</v>
      </c>
      <c r="M771" s="45">
        <v>2</v>
      </c>
      <c r="O771" s="45">
        <v>389591</v>
      </c>
      <c r="P771" s="45">
        <v>0</v>
      </c>
      <c r="Q771" s="45">
        <v>2</v>
      </c>
      <c r="R771" s="45">
        <v>422561</v>
      </c>
      <c r="S771" s="45">
        <v>43</v>
      </c>
      <c r="T771" s="45">
        <v>3</v>
      </c>
      <c r="U771" s="45">
        <v>390694</v>
      </c>
      <c r="V771" s="45">
        <v>0</v>
      </c>
      <c r="W771" s="45">
        <v>1</v>
      </c>
      <c r="X771" s="45">
        <v>357838</v>
      </c>
      <c r="Y771" s="45">
        <v>0</v>
      </c>
      <c r="Z771" s="45">
        <v>3</v>
      </c>
      <c r="AB771" s="45">
        <v>413136</v>
      </c>
      <c r="AC771" s="45">
        <v>0</v>
      </c>
      <c r="AD771" s="45">
        <v>1</v>
      </c>
      <c r="AE771" s="45">
        <v>426778</v>
      </c>
      <c r="AF771" s="45">
        <v>0</v>
      </c>
      <c r="AG771" s="45">
        <v>1</v>
      </c>
      <c r="AH771" s="45">
        <v>425236</v>
      </c>
      <c r="AI771" s="45">
        <v>0</v>
      </c>
      <c r="AJ771" s="45">
        <v>1</v>
      </c>
      <c r="AK771" s="45">
        <v>418184</v>
      </c>
      <c r="AL771" s="45">
        <v>0</v>
      </c>
      <c r="AM771" s="45">
        <v>1</v>
      </c>
      <c r="AO771" s="45">
        <v>354080</v>
      </c>
      <c r="AP771" s="45">
        <v>0</v>
      </c>
      <c r="AQ771" s="45">
        <v>3</v>
      </c>
      <c r="AR771" s="45">
        <v>361043</v>
      </c>
      <c r="AS771" s="45">
        <v>0</v>
      </c>
      <c r="AT771" s="45">
        <v>3</v>
      </c>
      <c r="AU771" s="45">
        <v>369200</v>
      </c>
      <c r="AV771" s="45">
        <v>0</v>
      </c>
      <c r="AW771" s="45">
        <v>1</v>
      </c>
      <c r="AX771" s="45">
        <v>359121</v>
      </c>
      <c r="AY771" s="45">
        <v>0</v>
      </c>
      <c r="AZ771" s="45">
        <v>3</v>
      </c>
    </row>
    <row r="772" spans="1:52">
      <c r="B772" s="45">
        <v>354137</v>
      </c>
      <c r="C772" s="45">
        <v>0</v>
      </c>
      <c r="D772" s="45">
        <v>2</v>
      </c>
      <c r="E772" s="45">
        <v>358372</v>
      </c>
      <c r="F772" s="45">
        <v>0</v>
      </c>
      <c r="G772" s="45">
        <v>1</v>
      </c>
      <c r="H772" s="45">
        <v>361399</v>
      </c>
      <c r="I772" s="45">
        <v>0</v>
      </c>
      <c r="J772" s="45">
        <v>2</v>
      </c>
      <c r="K772" s="45">
        <v>356737</v>
      </c>
      <c r="L772" s="45">
        <v>0</v>
      </c>
      <c r="M772" s="45">
        <v>1</v>
      </c>
      <c r="O772" s="45">
        <v>405968</v>
      </c>
      <c r="P772" s="45">
        <v>0</v>
      </c>
      <c r="Q772" s="45">
        <v>2</v>
      </c>
      <c r="R772" s="45">
        <v>386903</v>
      </c>
      <c r="S772" s="45">
        <v>0</v>
      </c>
      <c r="T772" s="45">
        <v>2</v>
      </c>
      <c r="U772" s="45">
        <v>380114</v>
      </c>
      <c r="V772" s="45">
        <v>0</v>
      </c>
      <c r="W772" s="45">
        <v>2</v>
      </c>
      <c r="X772" s="45">
        <v>382335</v>
      </c>
      <c r="Y772" s="45">
        <v>0</v>
      </c>
      <c r="Z772" s="45">
        <v>3</v>
      </c>
      <c r="AB772" s="45">
        <v>409625</v>
      </c>
      <c r="AC772" s="45">
        <v>0</v>
      </c>
      <c r="AD772" s="45">
        <v>1</v>
      </c>
      <c r="AE772" s="45">
        <v>434977</v>
      </c>
      <c r="AF772" s="45">
        <v>0</v>
      </c>
      <c r="AG772" s="45">
        <v>1</v>
      </c>
      <c r="AH772" s="45">
        <v>425502</v>
      </c>
      <c r="AI772" s="45">
        <v>0</v>
      </c>
      <c r="AJ772" s="45">
        <v>0</v>
      </c>
      <c r="AK772" s="45">
        <v>430661</v>
      </c>
      <c r="AL772" s="45">
        <v>0</v>
      </c>
      <c r="AM772" s="45">
        <v>2</v>
      </c>
      <c r="AO772" s="45">
        <v>358060</v>
      </c>
      <c r="AP772" s="45">
        <v>0</v>
      </c>
      <c r="AQ772" s="45">
        <v>3</v>
      </c>
      <c r="AR772" s="45">
        <v>364255</v>
      </c>
      <c r="AS772" s="45">
        <v>0</v>
      </c>
      <c r="AT772" s="45">
        <v>3</v>
      </c>
      <c r="AU772" s="45">
        <v>365863</v>
      </c>
      <c r="AV772" s="45">
        <v>0</v>
      </c>
      <c r="AW772" s="45">
        <v>1</v>
      </c>
      <c r="AX772" s="45">
        <v>363497</v>
      </c>
      <c r="AY772" s="45">
        <v>0</v>
      </c>
      <c r="AZ772" s="45">
        <v>1</v>
      </c>
    </row>
    <row r="773" spans="1:52">
      <c r="B773" s="45">
        <v>367893</v>
      </c>
      <c r="C773" s="45">
        <v>0</v>
      </c>
      <c r="D773" s="45">
        <v>3</v>
      </c>
      <c r="E773" s="45">
        <v>371650</v>
      </c>
      <c r="F773" s="45">
        <v>8</v>
      </c>
      <c r="G773" s="45">
        <v>2</v>
      </c>
      <c r="H773" s="45">
        <v>362978</v>
      </c>
      <c r="I773" s="45">
        <v>0</v>
      </c>
      <c r="J773" s="45">
        <v>2</v>
      </c>
      <c r="K773" s="45">
        <v>364606</v>
      </c>
      <c r="L773" s="45">
        <v>0</v>
      </c>
      <c r="M773" s="45">
        <v>2</v>
      </c>
      <c r="O773" s="45">
        <v>427318</v>
      </c>
      <c r="P773" s="45">
        <v>0</v>
      </c>
      <c r="Q773" s="45">
        <v>1</v>
      </c>
      <c r="R773" s="45">
        <v>411005</v>
      </c>
      <c r="S773" s="45">
        <v>0</v>
      </c>
      <c r="T773" s="45">
        <v>2</v>
      </c>
      <c r="U773" s="45">
        <v>397649</v>
      </c>
      <c r="V773" s="45">
        <v>0</v>
      </c>
      <c r="W773" s="45">
        <v>2</v>
      </c>
      <c r="X773" s="45">
        <v>386596</v>
      </c>
      <c r="Y773" s="45">
        <v>0</v>
      </c>
      <c r="Z773" s="45">
        <v>2</v>
      </c>
      <c r="AB773" s="45">
        <v>436322</v>
      </c>
      <c r="AC773" s="45">
        <v>0</v>
      </c>
      <c r="AD773" s="45">
        <v>1</v>
      </c>
      <c r="AE773" s="45">
        <v>422550</v>
      </c>
      <c r="AF773" s="45">
        <v>0</v>
      </c>
      <c r="AG773" s="45">
        <v>1</v>
      </c>
      <c r="AH773" s="45">
        <v>433468</v>
      </c>
      <c r="AI773" s="45">
        <v>0</v>
      </c>
      <c r="AJ773" s="45">
        <v>1</v>
      </c>
      <c r="AK773" s="45">
        <v>438042</v>
      </c>
      <c r="AL773" s="45">
        <v>0</v>
      </c>
      <c r="AM773" s="45">
        <v>1</v>
      </c>
      <c r="AO773" s="45">
        <v>371858</v>
      </c>
      <c r="AP773" s="45">
        <v>0</v>
      </c>
      <c r="AQ773" s="45">
        <v>4</v>
      </c>
      <c r="AR773" s="45">
        <v>381772</v>
      </c>
      <c r="AS773" s="45">
        <v>0</v>
      </c>
      <c r="AT773" s="45">
        <v>1</v>
      </c>
      <c r="AU773" s="45">
        <v>366869</v>
      </c>
      <c r="AV773" s="45">
        <v>0</v>
      </c>
      <c r="AW773" s="45">
        <v>2</v>
      </c>
      <c r="AX773" s="45">
        <v>377210</v>
      </c>
      <c r="AY773" s="45">
        <v>0</v>
      </c>
      <c r="AZ773" s="45">
        <v>2</v>
      </c>
    </row>
    <row r="774" spans="1:52">
      <c r="B774" s="45">
        <v>330285</v>
      </c>
      <c r="C774" s="45">
        <v>0</v>
      </c>
      <c r="D774" s="45">
        <v>3</v>
      </c>
      <c r="E774" s="45">
        <v>333195</v>
      </c>
      <c r="F774" s="45">
        <v>0</v>
      </c>
      <c r="G774" s="45">
        <v>2</v>
      </c>
      <c r="H774" s="45">
        <v>334972</v>
      </c>
      <c r="I774" s="45">
        <v>0</v>
      </c>
      <c r="J774" s="45">
        <v>2</v>
      </c>
      <c r="K774" s="45">
        <v>335949</v>
      </c>
      <c r="L774" s="45">
        <v>0</v>
      </c>
      <c r="M774" s="45">
        <v>2</v>
      </c>
      <c r="O774" s="45">
        <v>376450</v>
      </c>
      <c r="P774" s="45">
        <v>0</v>
      </c>
      <c r="Q774" s="45">
        <v>2</v>
      </c>
      <c r="R774" s="45">
        <v>363496</v>
      </c>
      <c r="S774" s="45">
        <v>0</v>
      </c>
      <c r="T774" s="45">
        <v>1</v>
      </c>
      <c r="U774" s="45">
        <v>424382</v>
      </c>
      <c r="V774" s="45">
        <v>59</v>
      </c>
      <c r="W774" s="45">
        <v>3</v>
      </c>
      <c r="X774" s="45">
        <v>361143</v>
      </c>
      <c r="Y774" s="45">
        <v>0</v>
      </c>
      <c r="Z774" s="45">
        <v>2</v>
      </c>
      <c r="AB774" s="45">
        <v>400902</v>
      </c>
      <c r="AC774" s="45">
        <v>0</v>
      </c>
      <c r="AD774" s="45">
        <v>1</v>
      </c>
      <c r="AE774" s="45">
        <v>405251</v>
      </c>
      <c r="AF774" s="45">
        <v>0</v>
      </c>
      <c r="AG774" s="45">
        <v>1</v>
      </c>
      <c r="AH774" s="45">
        <v>396421</v>
      </c>
      <c r="AI774" s="45">
        <v>0</v>
      </c>
      <c r="AJ774" s="45">
        <v>1</v>
      </c>
      <c r="AK774" s="45">
        <v>399667</v>
      </c>
      <c r="AL774" s="45">
        <v>0</v>
      </c>
      <c r="AM774" s="45">
        <v>0</v>
      </c>
      <c r="AO774" s="45">
        <v>348366</v>
      </c>
      <c r="AP774" s="45">
        <v>0</v>
      </c>
      <c r="AQ774" s="45">
        <v>2</v>
      </c>
      <c r="AR774" s="45">
        <v>332117</v>
      </c>
      <c r="AS774" s="45">
        <v>0</v>
      </c>
      <c r="AT774" s="45">
        <v>3</v>
      </c>
      <c r="AU774" s="45">
        <v>400366</v>
      </c>
      <c r="AV774" s="45">
        <v>57</v>
      </c>
      <c r="AW774" s="45">
        <v>3</v>
      </c>
      <c r="AX774" s="45">
        <v>333745</v>
      </c>
      <c r="AY774" s="45">
        <v>0</v>
      </c>
      <c r="AZ774" s="45">
        <v>2</v>
      </c>
    </row>
    <row r="775" spans="1:52">
      <c r="B775" s="45">
        <v>372951</v>
      </c>
      <c r="C775" s="45">
        <v>0</v>
      </c>
      <c r="D775" s="45">
        <v>1</v>
      </c>
      <c r="E775" s="45">
        <v>364095</v>
      </c>
      <c r="F775" s="45">
        <v>0</v>
      </c>
      <c r="G775" s="45">
        <v>3</v>
      </c>
      <c r="H775" s="45">
        <v>374194</v>
      </c>
      <c r="I775" s="45">
        <v>0</v>
      </c>
      <c r="J775" s="45">
        <v>1</v>
      </c>
      <c r="K775" s="45">
        <v>371390</v>
      </c>
      <c r="L775" s="45">
        <v>0</v>
      </c>
      <c r="M775" s="45">
        <v>2</v>
      </c>
      <c r="O775" s="45">
        <v>401642</v>
      </c>
      <c r="P775" s="45">
        <v>0</v>
      </c>
      <c r="Q775" s="45">
        <v>3</v>
      </c>
      <c r="R775" s="45">
        <v>399234</v>
      </c>
      <c r="S775" s="45">
        <v>0</v>
      </c>
      <c r="T775" s="45">
        <v>2</v>
      </c>
      <c r="U775" s="45">
        <v>392562</v>
      </c>
      <c r="V775" s="45">
        <v>0</v>
      </c>
      <c r="W775" s="45">
        <v>2</v>
      </c>
      <c r="X775" s="45">
        <v>374261</v>
      </c>
      <c r="Y775" s="45">
        <v>0</v>
      </c>
      <c r="Z775" s="45">
        <v>2</v>
      </c>
      <c r="AB775" s="45">
        <v>444562</v>
      </c>
      <c r="AC775" s="45">
        <v>0</v>
      </c>
      <c r="AD775" s="45">
        <v>1</v>
      </c>
      <c r="AE775" s="45">
        <v>443330</v>
      </c>
      <c r="AF775" s="45">
        <v>0</v>
      </c>
      <c r="AG775" s="45">
        <v>1</v>
      </c>
      <c r="AH775" s="45">
        <v>433753</v>
      </c>
      <c r="AI775" s="45">
        <v>0</v>
      </c>
      <c r="AJ775" s="45">
        <v>1</v>
      </c>
      <c r="AK775" s="45">
        <v>437520</v>
      </c>
      <c r="AL775" s="45">
        <v>0</v>
      </c>
      <c r="AM775" s="45">
        <v>1</v>
      </c>
      <c r="AO775" s="45">
        <v>374388</v>
      </c>
      <c r="AP775" s="45">
        <v>0</v>
      </c>
      <c r="AQ775" s="45">
        <v>2</v>
      </c>
      <c r="AR775" s="45">
        <v>391078</v>
      </c>
      <c r="AS775" s="45">
        <v>5</v>
      </c>
      <c r="AT775" s="45">
        <v>2</v>
      </c>
      <c r="AU775" s="45">
        <v>376136</v>
      </c>
      <c r="AV775" s="45">
        <v>0</v>
      </c>
      <c r="AW775" s="45">
        <v>1</v>
      </c>
      <c r="AX775" s="45">
        <v>380073</v>
      </c>
      <c r="AY775" s="45">
        <v>0</v>
      </c>
      <c r="AZ775" s="45">
        <v>2</v>
      </c>
    </row>
    <row r="776" spans="1:52">
      <c r="B776" s="45">
        <v>305285</v>
      </c>
      <c r="C776" s="45">
        <v>0</v>
      </c>
      <c r="D776" s="45">
        <v>2</v>
      </c>
      <c r="E776" s="45">
        <v>297573</v>
      </c>
      <c r="F776" s="45">
        <v>0</v>
      </c>
      <c r="G776" s="45">
        <v>2</v>
      </c>
      <c r="H776" s="45">
        <v>286501</v>
      </c>
      <c r="I776" s="45">
        <v>0</v>
      </c>
      <c r="J776" s="45">
        <v>2</v>
      </c>
      <c r="K776" s="45">
        <v>290387</v>
      </c>
      <c r="L776" s="45">
        <v>0</v>
      </c>
      <c r="M776" s="45">
        <v>2</v>
      </c>
      <c r="O776" s="45">
        <v>345775</v>
      </c>
      <c r="P776" s="45">
        <v>0</v>
      </c>
      <c r="Q776" s="45">
        <v>2</v>
      </c>
      <c r="R776" s="45">
        <v>349744</v>
      </c>
      <c r="S776" s="45">
        <v>0</v>
      </c>
      <c r="T776" s="45">
        <v>2</v>
      </c>
      <c r="U776" s="45">
        <v>314472</v>
      </c>
      <c r="V776" s="45">
        <v>0</v>
      </c>
      <c r="W776" s="45">
        <v>2</v>
      </c>
      <c r="X776" s="45">
        <v>312461</v>
      </c>
      <c r="Y776" s="45">
        <v>0</v>
      </c>
      <c r="Z776" s="45">
        <v>3</v>
      </c>
      <c r="AB776" s="45">
        <v>391137</v>
      </c>
      <c r="AC776" s="45">
        <v>0</v>
      </c>
      <c r="AD776" s="45">
        <v>1</v>
      </c>
      <c r="AE776" s="45">
        <v>368177</v>
      </c>
      <c r="AF776" s="45">
        <v>0</v>
      </c>
      <c r="AG776" s="45">
        <v>1</v>
      </c>
      <c r="AH776" s="45">
        <v>356573</v>
      </c>
      <c r="AI776" s="45">
        <v>0</v>
      </c>
      <c r="AJ776" s="45">
        <v>1</v>
      </c>
      <c r="AK776" s="45">
        <v>384798</v>
      </c>
      <c r="AL776" s="45">
        <v>0</v>
      </c>
      <c r="AM776" s="45">
        <v>1</v>
      </c>
      <c r="AO776" s="45">
        <v>331151</v>
      </c>
      <c r="AP776" s="45">
        <v>25</v>
      </c>
      <c r="AQ776" s="45">
        <v>4</v>
      </c>
      <c r="AR776" s="45">
        <v>299339</v>
      </c>
      <c r="AS776" s="45">
        <v>0</v>
      </c>
      <c r="AT776" s="45">
        <v>3</v>
      </c>
      <c r="AU776" s="45">
        <v>294825</v>
      </c>
      <c r="AV776" s="45">
        <v>0</v>
      </c>
      <c r="AW776" s="45">
        <v>2</v>
      </c>
      <c r="AX776" s="45">
        <v>295664</v>
      </c>
      <c r="AY776" s="45">
        <v>0</v>
      </c>
      <c r="AZ776" s="45">
        <v>2</v>
      </c>
    </row>
    <row r="777" spans="1:52">
      <c r="B777" s="45">
        <v>412178</v>
      </c>
      <c r="C777" s="45">
        <v>0</v>
      </c>
      <c r="D777" s="45">
        <v>2</v>
      </c>
      <c r="E777" s="45">
        <v>409466</v>
      </c>
      <c r="F777" s="45">
        <v>0</v>
      </c>
      <c r="G777" s="45">
        <v>2</v>
      </c>
      <c r="H777" s="45">
        <v>413895</v>
      </c>
      <c r="I777" s="45">
        <v>0</v>
      </c>
      <c r="J777" s="45">
        <v>1</v>
      </c>
      <c r="K777" s="45">
        <v>400955</v>
      </c>
      <c r="L777" s="45">
        <v>0</v>
      </c>
      <c r="M777" s="45">
        <v>2</v>
      </c>
      <c r="O777" s="45">
        <v>386855</v>
      </c>
      <c r="P777" s="45">
        <v>0</v>
      </c>
      <c r="Q777" s="45">
        <v>3</v>
      </c>
      <c r="R777" s="45">
        <v>432220</v>
      </c>
      <c r="S777" s="45">
        <v>0</v>
      </c>
      <c r="T777" s="45">
        <v>2</v>
      </c>
      <c r="U777" s="45">
        <v>427407</v>
      </c>
      <c r="V777" s="45">
        <v>0</v>
      </c>
      <c r="W777" s="45">
        <v>2</v>
      </c>
      <c r="X777" s="45">
        <v>403861</v>
      </c>
      <c r="Y777" s="45">
        <v>0</v>
      </c>
      <c r="Z777" s="45">
        <v>3</v>
      </c>
      <c r="AB777" s="45">
        <v>449226</v>
      </c>
      <c r="AC777" s="45">
        <v>0</v>
      </c>
      <c r="AD777" s="45">
        <v>2</v>
      </c>
      <c r="AE777" s="45">
        <v>493990</v>
      </c>
      <c r="AF777" s="45">
        <v>0</v>
      </c>
      <c r="AG777" s="45">
        <v>1</v>
      </c>
      <c r="AH777" s="45">
        <v>482710</v>
      </c>
      <c r="AI777" s="45">
        <v>0</v>
      </c>
      <c r="AJ777" s="45">
        <v>1</v>
      </c>
      <c r="AK777" s="45">
        <v>492955</v>
      </c>
      <c r="AL777" s="45">
        <v>0</v>
      </c>
      <c r="AM777" s="45">
        <v>1</v>
      </c>
      <c r="AO777" s="45">
        <v>417745</v>
      </c>
      <c r="AP777" s="45">
        <v>0</v>
      </c>
      <c r="AQ777" s="45">
        <v>2</v>
      </c>
      <c r="AR777" s="45">
        <v>418721</v>
      </c>
      <c r="AS777" s="45">
        <v>0</v>
      </c>
      <c r="AT777" s="45">
        <v>3</v>
      </c>
      <c r="AU777" s="45">
        <v>405133</v>
      </c>
      <c r="AV777" s="45">
        <v>0</v>
      </c>
      <c r="AW777" s="45">
        <v>1</v>
      </c>
      <c r="AX777" s="45">
        <v>418547</v>
      </c>
      <c r="AY777" s="45">
        <v>0</v>
      </c>
      <c r="AZ777" s="45">
        <v>2</v>
      </c>
    </row>
    <row r="778" spans="1:52">
      <c r="B778" s="45">
        <v>322196</v>
      </c>
      <c r="C778" s="45">
        <v>0</v>
      </c>
      <c r="D778" s="45">
        <v>2</v>
      </c>
      <c r="E778" s="45">
        <v>321180</v>
      </c>
      <c r="F778" s="45">
        <v>0</v>
      </c>
      <c r="G778" s="45">
        <v>1</v>
      </c>
      <c r="H778" s="45">
        <v>312811</v>
      </c>
      <c r="I778" s="45">
        <v>0</v>
      </c>
      <c r="J778" s="45">
        <v>2</v>
      </c>
      <c r="K778" s="45">
        <v>320792</v>
      </c>
      <c r="L778" s="45">
        <v>2</v>
      </c>
      <c r="M778" s="45">
        <v>2</v>
      </c>
      <c r="O778" s="45">
        <v>329779</v>
      </c>
      <c r="P778" s="45">
        <v>0</v>
      </c>
      <c r="Q778" s="45">
        <v>2</v>
      </c>
      <c r="R778" s="45">
        <v>347168</v>
      </c>
      <c r="S778" s="45">
        <v>0</v>
      </c>
      <c r="T778" s="45">
        <v>2</v>
      </c>
      <c r="U778" s="45">
        <v>321900</v>
      </c>
      <c r="V778" s="45">
        <v>0</v>
      </c>
      <c r="W778" s="45">
        <v>3</v>
      </c>
      <c r="X778" s="45">
        <v>328515</v>
      </c>
      <c r="Y778" s="45">
        <v>0</v>
      </c>
      <c r="Z778" s="45">
        <v>2</v>
      </c>
      <c r="AB778" s="45">
        <v>367246</v>
      </c>
      <c r="AC778" s="45">
        <v>0</v>
      </c>
      <c r="AD778" s="45">
        <v>0</v>
      </c>
      <c r="AE778" s="45">
        <v>371453</v>
      </c>
      <c r="AF778" s="45">
        <v>0</v>
      </c>
      <c r="AG778" s="45">
        <v>1</v>
      </c>
      <c r="AH778" s="45">
        <v>370122</v>
      </c>
      <c r="AI778" s="45">
        <v>0</v>
      </c>
      <c r="AJ778" s="45">
        <v>1</v>
      </c>
      <c r="AK778" s="45">
        <v>385392</v>
      </c>
      <c r="AL778" s="45">
        <v>0</v>
      </c>
      <c r="AM778" s="45">
        <v>1</v>
      </c>
      <c r="AO778" s="45">
        <v>336240</v>
      </c>
      <c r="AP778" s="45">
        <v>18</v>
      </c>
      <c r="AQ778" s="45">
        <v>4</v>
      </c>
      <c r="AR778" s="45">
        <v>312245</v>
      </c>
      <c r="AS778" s="45">
        <v>0</v>
      </c>
      <c r="AT778" s="45">
        <v>2</v>
      </c>
      <c r="AU778" s="45">
        <v>303408</v>
      </c>
      <c r="AV778" s="45">
        <v>0</v>
      </c>
      <c r="AW778" s="45">
        <v>4</v>
      </c>
      <c r="AX778" s="45">
        <v>317113</v>
      </c>
      <c r="AY778" s="45">
        <v>0</v>
      </c>
      <c r="AZ778" s="45">
        <v>2</v>
      </c>
    </row>
    <row r="779" spans="1:52">
      <c r="B779" s="45">
        <v>327089</v>
      </c>
      <c r="C779" s="45">
        <v>26</v>
      </c>
      <c r="D779" s="45">
        <v>4</v>
      </c>
      <c r="E779" s="45">
        <v>306267</v>
      </c>
      <c r="F779" s="45">
        <v>0</v>
      </c>
      <c r="G779" s="45">
        <v>1</v>
      </c>
      <c r="H779" s="45">
        <v>306754</v>
      </c>
      <c r="I779" s="45">
        <v>0</v>
      </c>
      <c r="J779" s="45">
        <v>2</v>
      </c>
      <c r="K779" s="45">
        <v>312418</v>
      </c>
      <c r="L779" s="45">
        <v>0</v>
      </c>
      <c r="M779" s="45">
        <v>2</v>
      </c>
      <c r="O779" s="45">
        <v>342024</v>
      </c>
      <c r="P779" s="45">
        <v>0</v>
      </c>
      <c r="Q779" s="45">
        <v>2</v>
      </c>
      <c r="R779" s="45">
        <v>349536</v>
      </c>
      <c r="S779" s="45">
        <v>0</v>
      </c>
      <c r="T779" s="45">
        <v>1</v>
      </c>
      <c r="U779" s="45">
        <v>333401</v>
      </c>
      <c r="V779" s="45">
        <v>0</v>
      </c>
      <c r="W779" s="45">
        <v>2</v>
      </c>
      <c r="X779" s="45">
        <v>336553</v>
      </c>
      <c r="Y779" s="45">
        <v>0</v>
      </c>
      <c r="Z779" s="45">
        <v>2</v>
      </c>
      <c r="AB779" s="45">
        <v>385282</v>
      </c>
      <c r="AC779" s="45">
        <v>0</v>
      </c>
      <c r="AD779" s="45">
        <v>2</v>
      </c>
      <c r="AE779" s="45">
        <v>402212</v>
      </c>
      <c r="AF779" s="45">
        <v>0</v>
      </c>
      <c r="AG779" s="45">
        <v>1</v>
      </c>
      <c r="AH779" s="45">
        <v>396827</v>
      </c>
      <c r="AI779" s="45">
        <v>0</v>
      </c>
      <c r="AJ779" s="45">
        <v>1</v>
      </c>
      <c r="AK779" s="45">
        <v>380916</v>
      </c>
      <c r="AL779" s="45">
        <v>0</v>
      </c>
      <c r="AM779" s="45">
        <v>1</v>
      </c>
      <c r="AO779" s="45">
        <v>295480</v>
      </c>
      <c r="AP779" s="45">
        <v>0</v>
      </c>
      <c r="AQ779" s="45">
        <v>2</v>
      </c>
      <c r="AR779" s="45">
        <v>316941</v>
      </c>
      <c r="AS779" s="45">
        <v>0</v>
      </c>
      <c r="AT779" s="45">
        <v>2</v>
      </c>
      <c r="AU779" s="45">
        <v>304755</v>
      </c>
      <c r="AV779" s="45">
        <v>0</v>
      </c>
      <c r="AW779" s="45">
        <v>1</v>
      </c>
      <c r="AX779" s="45">
        <v>330478</v>
      </c>
      <c r="AY779" s="45">
        <v>22</v>
      </c>
      <c r="AZ779" s="45">
        <v>3</v>
      </c>
    </row>
    <row r="780" spans="1:52">
      <c r="B780" s="45">
        <v>318742</v>
      </c>
      <c r="C780" s="45">
        <v>0</v>
      </c>
      <c r="D780" s="45">
        <v>1</v>
      </c>
      <c r="E780" s="45">
        <v>308940</v>
      </c>
      <c r="F780" s="45">
        <v>0</v>
      </c>
      <c r="G780" s="45">
        <v>2</v>
      </c>
      <c r="H780" s="45">
        <v>319344</v>
      </c>
      <c r="I780" s="45">
        <v>0</v>
      </c>
      <c r="J780" s="45">
        <v>2</v>
      </c>
      <c r="K780" s="45">
        <v>318560</v>
      </c>
      <c r="L780" s="45">
        <v>0</v>
      </c>
      <c r="M780" s="45">
        <v>1</v>
      </c>
      <c r="O780" s="45">
        <v>355211</v>
      </c>
      <c r="P780" s="45">
        <v>0</v>
      </c>
      <c r="Q780" s="45">
        <v>2</v>
      </c>
      <c r="R780" s="45">
        <v>340627</v>
      </c>
      <c r="S780" s="45">
        <v>0</v>
      </c>
      <c r="T780" s="45">
        <v>2</v>
      </c>
      <c r="U780" s="45">
        <v>337834</v>
      </c>
      <c r="V780" s="45">
        <v>0</v>
      </c>
      <c r="W780" s="45">
        <v>3</v>
      </c>
      <c r="X780" s="45">
        <v>342457</v>
      </c>
      <c r="Y780" s="45">
        <v>0</v>
      </c>
      <c r="Z780" s="45">
        <v>2</v>
      </c>
      <c r="AB780" s="45">
        <v>385196</v>
      </c>
      <c r="AC780" s="45">
        <v>0</v>
      </c>
      <c r="AD780" s="45">
        <v>1</v>
      </c>
      <c r="AE780" s="45">
        <v>394819</v>
      </c>
      <c r="AF780" s="45">
        <v>0</v>
      </c>
      <c r="AG780" s="45">
        <v>1</v>
      </c>
      <c r="AH780" s="45">
        <v>386191</v>
      </c>
      <c r="AI780" s="45">
        <v>0</v>
      </c>
      <c r="AJ780" s="45">
        <v>1</v>
      </c>
      <c r="AK780" s="45">
        <v>391499</v>
      </c>
      <c r="AL780" s="45">
        <v>0</v>
      </c>
      <c r="AM780" s="45">
        <v>1</v>
      </c>
      <c r="AO780" s="45">
        <v>306128</v>
      </c>
      <c r="AP780" s="45">
        <v>0</v>
      </c>
      <c r="AQ780" s="45">
        <v>3</v>
      </c>
      <c r="AR780" s="45">
        <v>311064</v>
      </c>
      <c r="AS780" s="45">
        <v>0</v>
      </c>
      <c r="AT780" s="45">
        <v>2</v>
      </c>
      <c r="AU780" s="45">
        <v>302042</v>
      </c>
      <c r="AV780" s="45">
        <v>0</v>
      </c>
      <c r="AW780" s="45">
        <v>2</v>
      </c>
      <c r="AX780" s="45">
        <v>387068</v>
      </c>
      <c r="AY780" s="45">
        <v>64</v>
      </c>
      <c r="AZ780" s="45">
        <v>3</v>
      </c>
    </row>
    <row r="781" spans="1:52">
      <c r="B781" s="45">
        <v>311381</v>
      </c>
      <c r="C781" s="45">
        <v>0</v>
      </c>
      <c r="D781" s="45">
        <v>3</v>
      </c>
      <c r="E781" s="45">
        <v>311225</v>
      </c>
      <c r="F781" s="45">
        <v>0</v>
      </c>
      <c r="G781" s="45">
        <v>2</v>
      </c>
      <c r="H781" s="45">
        <v>305202</v>
      </c>
      <c r="I781" s="45">
        <v>0</v>
      </c>
      <c r="J781" s="45">
        <v>2</v>
      </c>
      <c r="K781" s="45">
        <v>342596</v>
      </c>
      <c r="L781" s="45">
        <v>32</v>
      </c>
      <c r="M781" s="45">
        <v>3</v>
      </c>
      <c r="O781" s="45">
        <v>346558</v>
      </c>
      <c r="P781" s="45">
        <v>0</v>
      </c>
      <c r="Q781" s="45">
        <v>2</v>
      </c>
      <c r="R781" s="45">
        <v>337050</v>
      </c>
      <c r="S781" s="45">
        <v>0</v>
      </c>
      <c r="T781" s="45">
        <v>2</v>
      </c>
      <c r="U781" s="45">
        <v>365650</v>
      </c>
      <c r="V781" s="45">
        <v>31</v>
      </c>
      <c r="W781" s="45">
        <v>3</v>
      </c>
      <c r="X781" s="45">
        <v>330982</v>
      </c>
      <c r="Y781" s="45">
        <v>0</v>
      </c>
      <c r="Z781" s="45">
        <v>3</v>
      </c>
      <c r="AB781" s="45">
        <v>389189</v>
      </c>
      <c r="AC781" s="45">
        <v>0</v>
      </c>
      <c r="AD781" s="45">
        <v>1</v>
      </c>
      <c r="AE781" s="45">
        <v>384237</v>
      </c>
      <c r="AF781" s="45">
        <v>0</v>
      </c>
      <c r="AG781" s="45">
        <v>1</v>
      </c>
      <c r="AH781" s="45">
        <v>380402</v>
      </c>
      <c r="AI781" s="45">
        <v>0</v>
      </c>
      <c r="AJ781" s="45">
        <v>1</v>
      </c>
      <c r="AK781" s="45">
        <v>371284</v>
      </c>
      <c r="AL781" s="45">
        <v>0</v>
      </c>
      <c r="AM781" s="45">
        <v>1</v>
      </c>
      <c r="AO781" s="45">
        <v>317974</v>
      </c>
      <c r="AP781" s="45">
        <v>0</v>
      </c>
      <c r="AQ781" s="45">
        <v>2</v>
      </c>
      <c r="AR781" s="45">
        <v>285394</v>
      </c>
      <c r="AS781" s="45">
        <v>0</v>
      </c>
      <c r="AT781" s="45">
        <v>4</v>
      </c>
      <c r="AU781" s="45">
        <v>325085</v>
      </c>
      <c r="AV781" s="45">
        <v>0</v>
      </c>
      <c r="AW781" s="45">
        <v>1</v>
      </c>
      <c r="AX781" s="45">
        <v>308376</v>
      </c>
      <c r="AY781" s="45">
        <v>0</v>
      </c>
      <c r="AZ781" s="45">
        <v>2</v>
      </c>
    </row>
    <row r="782" spans="1:52">
      <c r="B782" s="45">
        <v>272342</v>
      </c>
      <c r="C782" s="45">
        <v>0</v>
      </c>
      <c r="D782" s="45">
        <v>2</v>
      </c>
      <c r="E782" s="45">
        <v>287252</v>
      </c>
      <c r="F782" s="45">
        <v>0</v>
      </c>
      <c r="G782" s="45">
        <v>1</v>
      </c>
      <c r="H782" s="45">
        <v>256352</v>
      </c>
      <c r="I782" s="45">
        <v>0</v>
      </c>
      <c r="J782" s="45">
        <v>2</v>
      </c>
      <c r="K782" s="45">
        <v>275385</v>
      </c>
      <c r="L782" s="45">
        <v>11</v>
      </c>
      <c r="M782" s="45">
        <v>2</v>
      </c>
      <c r="O782" s="45">
        <v>291640</v>
      </c>
      <c r="P782" s="45">
        <v>0</v>
      </c>
      <c r="Q782" s="45">
        <v>2</v>
      </c>
      <c r="R782" s="45">
        <v>304450</v>
      </c>
      <c r="S782" s="45">
        <v>0</v>
      </c>
      <c r="T782" s="45">
        <v>2</v>
      </c>
      <c r="U782" s="45">
        <v>287597</v>
      </c>
      <c r="V782" s="45">
        <v>0</v>
      </c>
      <c r="W782" s="45">
        <v>3</v>
      </c>
      <c r="X782" s="45">
        <v>297596</v>
      </c>
      <c r="Y782" s="45">
        <v>0</v>
      </c>
      <c r="Z782" s="45">
        <v>2</v>
      </c>
      <c r="AB782" s="45">
        <v>332067</v>
      </c>
      <c r="AC782" s="45">
        <v>0</v>
      </c>
      <c r="AD782" s="45">
        <v>1</v>
      </c>
      <c r="AE782" s="45">
        <v>349258</v>
      </c>
      <c r="AF782" s="45">
        <v>0</v>
      </c>
      <c r="AG782" s="45">
        <v>1</v>
      </c>
      <c r="AH782" s="45">
        <v>344903</v>
      </c>
      <c r="AI782" s="45">
        <v>0</v>
      </c>
      <c r="AJ782" s="45">
        <v>1</v>
      </c>
      <c r="AK782" s="45">
        <v>341236</v>
      </c>
      <c r="AL782" s="45">
        <v>0</v>
      </c>
      <c r="AM782" s="45">
        <v>2</v>
      </c>
      <c r="AO782" s="45">
        <v>269653</v>
      </c>
      <c r="AP782" s="45">
        <v>0</v>
      </c>
      <c r="AQ782" s="45">
        <v>2</v>
      </c>
      <c r="AR782" s="45">
        <v>268442</v>
      </c>
      <c r="AS782" s="45">
        <v>0</v>
      </c>
      <c r="AT782" s="45">
        <v>3</v>
      </c>
      <c r="AU782" s="45">
        <v>260155</v>
      </c>
      <c r="AV782" s="45">
        <v>0</v>
      </c>
      <c r="AW782" s="45">
        <v>2</v>
      </c>
      <c r="AX782" s="45">
        <v>275649</v>
      </c>
      <c r="AY782" s="45">
        <v>0</v>
      </c>
      <c r="AZ782" s="45">
        <v>2</v>
      </c>
    </row>
    <row r="783" spans="1:52">
      <c r="A783" s="50"/>
      <c r="B783" s="51">
        <v>1348800</v>
      </c>
      <c r="C783" s="50">
        <v>0</v>
      </c>
      <c r="D783" s="50">
        <v>7</v>
      </c>
      <c r="E783" s="51">
        <v>1253660</v>
      </c>
      <c r="F783" s="50">
        <v>0</v>
      </c>
      <c r="G783" s="50">
        <v>10</v>
      </c>
      <c r="H783" s="51">
        <v>1308230</v>
      </c>
      <c r="I783" s="50">
        <v>0</v>
      </c>
      <c r="J783" s="50">
        <v>12</v>
      </c>
      <c r="K783" s="51">
        <v>1315120</v>
      </c>
      <c r="L783" s="50">
        <v>70</v>
      </c>
      <c r="M783" s="50">
        <v>11</v>
      </c>
      <c r="N783" s="50"/>
      <c r="O783" s="51">
        <v>1454310</v>
      </c>
      <c r="P783" s="50">
        <v>97</v>
      </c>
      <c r="Q783" s="50">
        <v>18</v>
      </c>
      <c r="R783" s="51">
        <v>1412530</v>
      </c>
      <c r="S783" s="50">
        <v>0</v>
      </c>
      <c r="T783" s="50">
        <v>14</v>
      </c>
      <c r="U783" s="51">
        <v>1307830</v>
      </c>
      <c r="V783" s="50">
        <v>0</v>
      </c>
      <c r="W783" s="50">
        <v>11</v>
      </c>
      <c r="X783" s="51">
        <v>1315160</v>
      </c>
      <c r="Y783" s="50">
        <v>0</v>
      </c>
      <c r="Z783" s="50">
        <v>14</v>
      </c>
      <c r="AA783" s="50"/>
      <c r="AB783" s="51">
        <v>1467070</v>
      </c>
      <c r="AC783" s="50">
        <v>165</v>
      </c>
      <c r="AD783" s="50">
        <v>16</v>
      </c>
      <c r="AE783" s="51">
        <v>1251140</v>
      </c>
      <c r="AF783" s="50">
        <v>0</v>
      </c>
      <c r="AG783" s="50">
        <v>7</v>
      </c>
      <c r="AH783" s="51">
        <v>1318720</v>
      </c>
      <c r="AI783" s="50">
        <v>47</v>
      </c>
      <c r="AJ783" s="50">
        <v>8</v>
      </c>
      <c r="AK783" s="51">
        <v>1392640</v>
      </c>
      <c r="AL783" s="50">
        <v>113</v>
      </c>
      <c r="AM783" s="50">
        <v>8</v>
      </c>
      <c r="AN783" s="50"/>
      <c r="AO783" s="52">
        <v>1312730</v>
      </c>
      <c r="AP783" s="50">
        <v>0</v>
      </c>
      <c r="AQ783" s="50">
        <v>7</v>
      </c>
      <c r="AR783" s="51">
        <v>1276970</v>
      </c>
      <c r="AS783" s="50">
        <v>0</v>
      </c>
      <c r="AT783" s="50">
        <v>7</v>
      </c>
      <c r="AU783" s="51">
        <v>1291480</v>
      </c>
      <c r="AV783" s="50">
        <v>0</v>
      </c>
      <c r="AW783" s="50">
        <v>6</v>
      </c>
      <c r="AX783" s="51">
        <v>1339390</v>
      </c>
      <c r="AY783" s="50">
        <v>65</v>
      </c>
      <c r="AZ783" s="50">
        <v>10</v>
      </c>
    </row>
    <row r="784" spans="1:52">
      <c r="B784" s="46">
        <v>1280800</v>
      </c>
      <c r="C784" s="45">
        <v>0</v>
      </c>
      <c r="D784" s="45">
        <v>12</v>
      </c>
      <c r="E784" s="46">
        <v>1261970</v>
      </c>
      <c r="F784" s="45">
        <v>0</v>
      </c>
      <c r="G784" s="45">
        <v>7</v>
      </c>
      <c r="H784" s="46">
        <v>1235630</v>
      </c>
      <c r="I784" s="45">
        <v>0</v>
      </c>
      <c r="J784" s="45">
        <v>6</v>
      </c>
      <c r="K784" s="46">
        <v>1186120</v>
      </c>
      <c r="L784" s="45">
        <v>0</v>
      </c>
      <c r="M784" s="45">
        <v>11</v>
      </c>
      <c r="O784" s="46">
        <v>1377430</v>
      </c>
      <c r="P784" s="45">
        <v>24</v>
      </c>
      <c r="Q784" s="45">
        <v>15</v>
      </c>
      <c r="R784" s="46">
        <v>1273160</v>
      </c>
      <c r="S784" s="45">
        <v>0</v>
      </c>
      <c r="T784" s="45">
        <v>8</v>
      </c>
      <c r="U784" s="46">
        <v>1265940</v>
      </c>
      <c r="V784" s="45">
        <v>0</v>
      </c>
      <c r="W784" s="45">
        <v>10</v>
      </c>
      <c r="X784" s="46">
        <v>1301750</v>
      </c>
      <c r="Y784" s="45">
        <v>0</v>
      </c>
      <c r="Z784" s="45">
        <v>10</v>
      </c>
      <c r="AB784" s="46">
        <v>1449990</v>
      </c>
      <c r="AC784" s="45">
        <v>130</v>
      </c>
      <c r="AD784" s="45">
        <v>11</v>
      </c>
      <c r="AE784" s="46">
        <v>1324440</v>
      </c>
      <c r="AF784" s="45">
        <v>0</v>
      </c>
      <c r="AG784" s="45">
        <v>3</v>
      </c>
      <c r="AH784" s="46">
        <v>1254950</v>
      </c>
      <c r="AI784" s="45">
        <v>0</v>
      </c>
      <c r="AJ784" s="45">
        <v>5</v>
      </c>
      <c r="AK784" s="46">
        <v>1203280</v>
      </c>
      <c r="AL784" s="45">
        <v>42</v>
      </c>
      <c r="AM784" s="45">
        <v>9</v>
      </c>
      <c r="AO784" s="46">
        <v>1310660</v>
      </c>
      <c r="AP784" s="45">
        <v>0</v>
      </c>
      <c r="AQ784" s="45">
        <v>5</v>
      </c>
      <c r="AR784" s="46">
        <v>1291200</v>
      </c>
      <c r="AS784" s="45">
        <v>0</v>
      </c>
      <c r="AT784" s="45">
        <v>3</v>
      </c>
      <c r="AU784" s="46">
        <v>1283760</v>
      </c>
      <c r="AV784" s="45">
        <v>0</v>
      </c>
      <c r="AW784" s="45">
        <v>5</v>
      </c>
      <c r="AX784" s="46">
        <v>1223470</v>
      </c>
      <c r="AY784" s="45">
        <v>0</v>
      </c>
      <c r="AZ784" s="45">
        <v>7</v>
      </c>
    </row>
    <row r="785" spans="2:52">
      <c r="B785" s="46">
        <v>1557660</v>
      </c>
      <c r="C785" s="45">
        <v>69</v>
      </c>
      <c r="D785" s="45">
        <v>14</v>
      </c>
      <c r="E785" s="46">
        <v>1576970</v>
      </c>
      <c r="F785" s="45">
        <v>129</v>
      </c>
      <c r="G785" s="45">
        <v>19</v>
      </c>
      <c r="H785" s="46">
        <v>1442420</v>
      </c>
      <c r="I785" s="45">
        <v>0</v>
      </c>
      <c r="J785" s="45">
        <v>13</v>
      </c>
      <c r="K785" s="46">
        <v>1695810</v>
      </c>
      <c r="L785" s="45">
        <v>103</v>
      </c>
      <c r="M785" s="45">
        <v>5</v>
      </c>
      <c r="O785" s="46">
        <v>1555090</v>
      </c>
      <c r="P785" s="45">
        <v>55</v>
      </c>
      <c r="Q785" s="45">
        <v>36</v>
      </c>
      <c r="R785" s="46">
        <v>1681950</v>
      </c>
      <c r="S785" s="45">
        <v>81</v>
      </c>
      <c r="T785" s="45">
        <v>17</v>
      </c>
      <c r="U785" s="46">
        <v>1581480</v>
      </c>
      <c r="V785" s="45">
        <v>0</v>
      </c>
      <c r="W785" s="45">
        <v>9</v>
      </c>
      <c r="X785" s="46">
        <v>1547170</v>
      </c>
      <c r="Y785" s="45">
        <v>0</v>
      </c>
      <c r="Z785" s="45">
        <v>7</v>
      </c>
      <c r="AB785" s="46">
        <v>1815360</v>
      </c>
      <c r="AC785" s="45">
        <v>48</v>
      </c>
      <c r="AD785" s="45">
        <v>5</v>
      </c>
      <c r="AE785" s="46">
        <v>1509520</v>
      </c>
      <c r="AF785" s="45">
        <v>0</v>
      </c>
      <c r="AG785" s="45">
        <v>7</v>
      </c>
      <c r="AH785" s="46">
        <v>1551460</v>
      </c>
      <c r="AI785" s="45">
        <v>120</v>
      </c>
      <c r="AJ785" s="45">
        <v>11</v>
      </c>
      <c r="AK785" s="46">
        <v>1533840</v>
      </c>
      <c r="AL785" s="45">
        <v>0</v>
      </c>
      <c r="AM785" s="45">
        <v>6</v>
      </c>
      <c r="AO785" s="46">
        <v>1727130</v>
      </c>
      <c r="AP785" s="45">
        <v>103</v>
      </c>
      <c r="AQ785" s="45">
        <v>10</v>
      </c>
      <c r="AR785" s="46">
        <v>1635510</v>
      </c>
      <c r="AS785" s="45">
        <v>94</v>
      </c>
      <c r="AT785" s="45">
        <v>8</v>
      </c>
      <c r="AU785" s="46">
        <v>1408380</v>
      </c>
      <c r="AV785" s="45">
        <v>0</v>
      </c>
      <c r="AW785" s="45">
        <v>6</v>
      </c>
      <c r="AX785" s="46">
        <v>1658910</v>
      </c>
      <c r="AY785" s="45">
        <v>89</v>
      </c>
      <c r="AZ785" s="45">
        <v>9</v>
      </c>
    </row>
    <row r="786" spans="2:52">
      <c r="B786" s="46">
        <v>1573210</v>
      </c>
      <c r="C786" s="45">
        <v>3</v>
      </c>
      <c r="D786" s="45">
        <v>10</v>
      </c>
      <c r="E786" s="46">
        <v>1433950</v>
      </c>
      <c r="F786" s="45">
        <v>0</v>
      </c>
      <c r="G786" s="45">
        <v>22</v>
      </c>
      <c r="H786" s="46">
        <v>1590570</v>
      </c>
      <c r="I786" s="45">
        <v>101</v>
      </c>
      <c r="J786" s="45">
        <v>23</v>
      </c>
      <c r="K786" s="46">
        <v>1516560</v>
      </c>
      <c r="L786" s="45">
        <v>4</v>
      </c>
      <c r="M786" s="45">
        <v>22</v>
      </c>
      <c r="O786" s="46">
        <v>1589710</v>
      </c>
      <c r="P786" s="45">
        <v>0</v>
      </c>
      <c r="Q786" s="45">
        <v>13</v>
      </c>
      <c r="R786" s="46">
        <v>1496590</v>
      </c>
      <c r="S786" s="45">
        <v>0</v>
      </c>
      <c r="T786" s="45">
        <v>18</v>
      </c>
      <c r="U786" s="46">
        <v>1558860</v>
      </c>
      <c r="V786" s="45">
        <v>0</v>
      </c>
      <c r="W786" s="45">
        <v>10</v>
      </c>
      <c r="X786" s="46">
        <v>1460590</v>
      </c>
      <c r="Y786" s="45">
        <v>0</v>
      </c>
      <c r="Z786" s="45">
        <v>16</v>
      </c>
      <c r="AB786" s="46">
        <v>1605920</v>
      </c>
      <c r="AC786" s="45">
        <v>0</v>
      </c>
      <c r="AD786" s="45">
        <v>6</v>
      </c>
      <c r="AE786" s="46">
        <v>1492740</v>
      </c>
      <c r="AF786" s="45">
        <v>0</v>
      </c>
      <c r="AG786" s="45">
        <v>6</v>
      </c>
      <c r="AH786" s="46">
        <v>1516520</v>
      </c>
      <c r="AI786" s="45">
        <v>12</v>
      </c>
      <c r="AJ786" s="45">
        <v>6</v>
      </c>
      <c r="AK786" s="46">
        <v>1457710</v>
      </c>
      <c r="AL786" s="45">
        <v>0</v>
      </c>
      <c r="AM786" s="45">
        <v>4</v>
      </c>
      <c r="AO786" s="46">
        <v>1444950</v>
      </c>
      <c r="AP786" s="45">
        <v>0</v>
      </c>
      <c r="AQ786" s="45">
        <v>10</v>
      </c>
      <c r="AR786" s="46">
        <v>1502960</v>
      </c>
      <c r="AS786" s="45">
        <v>0</v>
      </c>
      <c r="AT786" s="45">
        <v>8</v>
      </c>
      <c r="AU786" s="46">
        <v>1419060</v>
      </c>
      <c r="AV786" s="45">
        <v>0</v>
      </c>
      <c r="AW786" s="45">
        <v>8</v>
      </c>
      <c r="AX786" s="46">
        <v>1496910</v>
      </c>
      <c r="AY786" s="45">
        <v>0</v>
      </c>
      <c r="AZ786" s="45">
        <v>6</v>
      </c>
    </row>
    <row r="787" spans="2:52">
      <c r="B787" s="46">
        <v>1417910</v>
      </c>
      <c r="C787" s="45">
        <v>0</v>
      </c>
      <c r="D787" s="45">
        <v>31</v>
      </c>
      <c r="E787" s="46">
        <v>1565840</v>
      </c>
      <c r="F787" s="45">
        <v>110</v>
      </c>
      <c r="G787" s="45">
        <v>31</v>
      </c>
      <c r="H787" s="46">
        <v>1459180</v>
      </c>
      <c r="I787" s="45">
        <v>26</v>
      </c>
      <c r="J787" s="45">
        <v>18</v>
      </c>
      <c r="K787" s="46">
        <v>1412150</v>
      </c>
      <c r="L787" s="45">
        <v>40</v>
      </c>
      <c r="M787" s="45">
        <v>20</v>
      </c>
      <c r="O787" s="46">
        <v>1488950</v>
      </c>
      <c r="P787" s="45">
        <v>0</v>
      </c>
      <c r="Q787" s="45">
        <v>16</v>
      </c>
      <c r="R787" s="46">
        <v>1470340</v>
      </c>
      <c r="S787" s="45">
        <v>0</v>
      </c>
      <c r="T787" s="45">
        <v>7</v>
      </c>
      <c r="U787" s="46">
        <v>1457190</v>
      </c>
      <c r="V787" s="45">
        <v>4</v>
      </c>
      <c r="W787" s="45">
        <v>11</v>
      </c>
      <c r="X787" s="46">
        <v>1469820</v>
      </c>
      <c r="Y787" s="45">
        <v>0</v>
      </c>
      <c r="Z787" s="45">
        <v>14</v>
      </c>
      <c r="AB787" s="46">
        <v>1583940</v>
      </c>
      <c r="AC787" s="45">
        <v>44</v>
      </c>
      <c r="AD787" s="45">
        <v>6</v>
      </c>
      <c r="AE787" s="46">
        <v>1425940</v>
      </c>
      <c r="AF787" s="45">
        <v>11</v>
      </c>
      <c r="AG787" s="45">
        <v>15</v>
      </c>
      <c r="AH787" s="46">
        <v>1397860</v>
      </c>
      <c r="AI787" s="45">
        <v>68</v>
      </c>
      <c r="AJ787" s="45">
        <v>16</v>
      </c>
      <c r="AK787" s="46">
        <v>1439270</v>
      </c>
      <c r="AL787" s="45">
        <v>0</v>
      </c>
      <c r="AM787" s="45">
        <v>6</v>
      </c>
      <c r="AO787" s="46">
        <v>1537700</v>
      </c>
      <c r="AP787" s="45">
        <v>0</v>
      </c>
      <c r="AQ787" s="45">
        <v>5</v>
      </c>
      <c r="AR787" s="46">
        <v>1475180</v>
      </c>
      <c r="AS787" s="45">
        <v>21</v>
      </c>
      <c r="AT787" s="45">
        <v>12</v>
      </c>
      <c r="AU787" s="46">
        <v>1456750</v>
      </c>
      <c r="AV787" s="45">
        <v>0</v>
      </c>
      <c r="AW787" s="45">
        <v>14</v>
      </c>
      <c r="AX787" s="46">
        <v>1460760</v>
      </c>
      <c r="AY787" s="45">
        <v>100</v>
      </c>
      <c r="AZ787" s="45">
        <v>11</v>
      </c>
    </row>
    <row r="788" spans="2:52">
      <c r="B788" s="46">
        <v>1272400</v>
      </c>
      <c r="C788" s="45">
        <v>0</v>
      </c>
      <c r="D788" s="45">
        <v>20</v>
      </c>
      <c r="E788" s="46">
        <v>1267160</v>
      </c>
      <c r="F788" s="45">
        <v>0</v>
      </c>
      <c r="G788" s="45">
        <v>15</v>
      </c>
      <c r="H788" s="46">
        <v>1370380</v>
      </c>
      <c r="I788" s="45">
        <v>25</v>
      </c>
      <c r="J788" s="45">
        <v>22</v>
      </c>
      <c r="K788" s="46">
        <v>1352440</v>
      </c>
      <c r="L788" s="45">
        <v>0</v>
      </c>
      <c r="M788" s="45">
        <v>11</v>
      </c>
      <c r="O788" s="46">
        <v>1466320</v>
      </c>
      <c r="P788" s="45">
        <v>87</v>
      </c>
      <c r="Q788" s="45">
        <v>15</v>
      </c>
      <c r="R788" s="46">
        <v>1359300</v>
      </c>
      <c r="S788" s="45">
        <v>0</v>
      </c>
      <c r="T788" s="45">
        <v>10</v>
      </c>
      <c r="U788" s="46">
        <v>1359640</v>
      </c>
      <c r="V788" s="45">
        <v>6</v>
      </c>
      <c r="W788" s="45">
        <v>8</v>
      </c>
      <c r="X788" s="46">
        <v>1357010</v>
      </c>
      <c r="Y788" s="45">
        <v>0</v>
      </c>
      <c r="Z788" s="45">
        <v>5</v>
      </c>
      <c r="AB788" s="46">
        <v>1354020</v>
      </c>
      <c r="AC788" s="45">
        <v>0</v>
      </c>
      <c r="AD788" s="45">
        <v>7</v>
      </c>
      <c r="AE788" s="46">
        <v>1390000</v>
      </c>
      <c r="AF788" s="45">
        <v>0</v>
      </c>
      <c r="AG788" s="45">
        <v>4</v>
      </c>
      <c r="AH788" s="46">
        <v>1263750</v>
      </c>
      <c r="AI788" s="45">
        <v>0</v>
      </c>
      <c r="AJ788" s="45">
        <v>8</v>
      </c>
      <c r="AK788" s="46">
        <v>1277600</v>
      </c>
      <c r="AL788" s="45">
        <v>0</v>
      </c>
      <c r="AM788" s="45">
        <v>9</v>
      </c>
      <c r="AO788" s="46">
        <v>1373950</v>
      </c>
      <c r="AP788" s="45">
        <v>0</v>
      </c>
      <c r="AQ788" s="45">
        <v>12</v>
      </c>
      <c r="AR788" s="46">
        <v>1362890</v>
      </c>
      <c r="AS788" s="45">
        <v>0</v>
      </c>
      <c r="AT788" s="45">
        <v>6</v>
      </c>
      <c r="AU788" s="46">
        <v>1401200</v>
      </c>
      <c r="AV788" s="45">
        <v>88</v>
      </c>
      <c r="AW788" s="45">
        <v>17</v>
      </c>
      <c r="AX788" s="46">
        <v>1294130</v>
      </c>
      <c r="AY788" s="45">
        <v>0</v>
      </c>
      <c r="AZ788" s="45">
        <v>5</v>
      </c>
    </row>
    <row r="789" spans="2:52">
      <c r="B789" s="46">
        <v>1424030</v>
      </c>
      <c r="C789" s="45">
        <v>0</v>
      </c>
      <c r="D789" s="45">
        <v>22</v>
      </c>
      <c r="E789" s="46">
        <v>1400420</v>
      </c>
      <c r="F789" s="45">
        <v>51</v>
      </c>
      <c r="G789" s="45">
        <v>37</v>
      </c>
      <c r="H789" s="46">
        <v>1352680</v>
      </c>
      <c r="I789" s="45">
        <v>0</v>
      </c>
      <c r="J789" s="45">
        <v>5</v>
      </c>
      <c r="K789" s="46">
        <v>1348650</v>
      </c>
      <c r="L789" s="45">
        <v>0</v>
      </c>
      <c r="M789" s="45">
        <v>6</v>
      </c>
      <c r="O789" s="46">
        <v>1402480</v>
      </c>
      <c r="P789" s="45">
        <v>28</v>
      </c>
      <c r="Q789" s="45">
        <v>12</v>
      </c>
      <c r="R789" s="46">
        <v>1397840</v>
      </c>
      <c r="S789" s="45">
        <v>0</v>
      </c>
      <c r="T789" s="45">
        <v>5</v>
      </c>
      <c r="U789" s="46">
        <v>1360040</v>
      </c>
      <c r="V789" s="45">
        <v>0</v>
      </c>
      <c r="W789" s="45">
        <v>6</v>
      </c>
      <c r="X789" s="46">
        <v>1392470</v>
      </c>
      <c r="Y789" s="45">
        <v>0</v>
      </c>
      <c r="Z789" s="45">
        <v>8</v>
      </c>
      <c r="AB789" s="46">
        <v>1383940</v>
      </c>
      <c r="AC789" s="45">
        <v>0</v>
      </c>
      <c r="AD789" s="45">
        <v>12</v>
      </c>
      <c r="AE789" s="46">
        <v>1366320</v>
      </c>
      <c r="AF789" s="45">
        <v>0</v>
      </c>
      <c r="AG789" s="45">
        <v>5</v>
      </c>
      <c r="AH789" s="46">
        <v>1318740</v>
      </c>
      <c r="AI789" s="45">
        <v>22</v>
      </c>
      <c r="AJ789" s="45">
        <v>11</v>
      </c>
      <c r="AK789" s="46">
        <v>1445970</v>
      </c>
      <c r="AL789" s="45">
        <v>52</v>
      </c>
      <c r="AM789" s="45">
        <v>9</v>
      </c>
      <c r="AO789" s="46">
        <v>1326990</v>
      </c>
      <c r="AP789" s="45">
        <v>0</v>
      </c>
      <c r="AQ789" s="45">
        <v>15</v>
      </c>
      <c r="AR789" s="46">
        <v>1360520</v>
      </c>
      <c r="AS789" s="45">
        <v>0</v>
      </c>
      <c r="AT789" s="45">
        <v>11</v>
      </c>
      <c r="AU789" s="46">
        <v>1365750</v>
      </c>
      <c r="AV789" s="45">
        <v>55</v>
      </c>
      <c r="AW789" s="45">
        <v>21</v>
      </c>
      <c r="AX789" s="46">
        <v>1394200</v>
      </c>
      <c r="AY789" s="45">
        <v>49</v>
      </c>
      <c r="AZ789" s="45">
        <v>7</v>
      </c>
    </row>
    <row r="790" spans="2:52">
      <c r="B790" s="46">
        <v>1310830</v>
      </c>
      <c r="C790" s="45">
        <v>0</v>
      </c>
      <c r="D790" s="45">
        <v>8</v>
      </c>
      <c r="E790" s="46">
        <v>1355720</v>
      </c>
      <c r="F790" s="45">
        <v>0</v>
      </c>
      <c r="G790" s="45">
        <v>11</v>
      </c>
      <c r="H790" s="46">
        <v>1345120</v>
      </c>
      <c r="I790" s="45">
        <v>0</v>
      </c>
      <c r="J790" s="45">
        <v>7</v>
      </c>
      <c r="K790" s="46">
        <v>1325420</v>
      </c>
      <c r="L790" s="45">
        <v>0</v>
      </c>
      <c r="M790" s="45">
        <v>6</v>
      </c>
      <c r="O790" s="46">
        <v>1349630</v>
      </c>
      <c r="P790" s="45">
        <v>0</v>
      </c>
      <c r="Q790" s="45">
        <v>8</v>
      </c>
      <c r="R790" s="46">
        <v>1370270</v>
      </c>
      <c r="S790" s="45">
        <v>0</v>
      </c>
      <c r="T790" s="45">
        <v>9</v>
      </c>
      <c r="U790" s="46">
        <v>1402980</v>
      </c>
      <c r="V790" s="45">
        <v>0</v>
      </c>
      <c r="W790" s="45">
        <v>6</v>
      </c>
      <c r="X790" s="46">
        <v>1406180</v>
      </c>
      <c r="Y790" s="45">
        <v>12</v>
      </c>
      <c r="Z790" s="45">
        <v>10</v>
      </c>
      <c r="AB790" s="46">
        <v>1266030</v>
      </c>
      <c r="AC790" s="45">
        <v>0</v>
      </c>
      <c r="AD790" s="45">
        <v>9</v>
      </c>
      <c r="AE790" s="46">
        <v>1292380</v>
      </c>
      <c r="AF790" s="45">
        <v>0</v>
      </c>
      <c r="AG790" s="45">
        <v>12</v>
      </c>
      <c r="AH790" s="46">
        <v>1329330</v>
      </c>
      <c r="AI790" s="45">
        <v>0</v>
      </c>
      <c r="AJ790" s="45">
        <v>7</v>
      </c>
      <c r="AK790" s="46">
        <v>1292490</v>
      </c>
      <c r="AL790" s="45">
        <v>0</v>
      </c>
      <c r="AM790" s="45">
        <v>5</v>
      </c>
      <c r="AO790" s="46">
        <v>1337240</v>
      </c>
      <c r="AP790" s="45">
        <v>20</v>
      </c>
      <c r="AQ790" s="45">
        <v>9</v>
      </c>
      <c r="AR790" s="46">
        <v>1416610</v>
      </c>
      <c r="AS790" s="45">
        <v>0</v>
      </c>
      <c r="AT790" s="45">
        <v>5</v>
      </c>
      <c r="AU790" s="46">
        <v>1297590</v>
      </c>
      <c r="AV790" s="45">
        <v>0</v>
      </c>
      <c r="AW790" s="45">
        <v>6</v>
      </c>
      <c r="AX790" s="46">
        <v>1325000</v>
      </c>
      <c r="AY790" s="45">
        <v>0</v>
      </c>
      <c r="AZ790" s="45">
        <v>7</v>
      </c>
    </row>
    <row r="791" spans="2:52">
      <c r="B791" s="46">
        <v>1532140</v>
      </c>
      <c r="C791" s="45">
        <v>49</v>
      </c>
      <c r="D791" s="45">
        <v>20</v>
      </c>
      <c r="E791" s="46">
        <v>1555660</v>
      </c>
      <c r="F791" s="45">
        <v>0</v>
      </c>
      <c r="G791" s="45">
        <v>10</v>
      </c>
      <c r="H791" s="46">
        <v>1528560</v>
      </c>
      <c r="I791" s="45">
        <v>59</v>
      </c>
      <c r="J791" s="45">
        <v>10</v>
      </c>
      <c r="K791" s="46">
        <v>1446420</v>
      </c>
      <c r="L791" s="45">
        <v>0</v>
      </c>
      <c r="M791" s="45">
        <v>6</v>
      </c>
      <c r="O791" s="46">
        <v>1584760</v>
      </c>
      <c r="P791" s="45">
        <v>0</v>
      </c>
      <c r="Q791" s="45">
        <v>9</v>
      </c>
      <c r="R791" s="46">
        <v>1529960</v>
      </c>
      <c r="S791" s="45">
        <v>0</v>
      </c>
      <c r="T791" s="45">
        <v>6</v>
      </c>
      <c r="U791" s="46">
        <v>1584420</v>
      </c>
      <c r="V791" s="45">
        <v>0</v>
      </c>
      <c r="W791" s="45">
        <v>5</v>
      </c>
      <c r="X791" s="46">
        <v>1496650</v>
      </c>
      <c r="Y791" s="45">
        <v>0</v>
      </c>
      <c r="Z791" s="45">
        <v>8</v>
      </c>
      <c r="AB791" s="46">
        <v>1515280</v>
      </c>
      <c r="AC791" s="45">
        <v>0</v>
      </c>
      <c r="AD791" s="45">
        <v>8</v>
      </c>
      <c r="AE791" s="46">
        <v>1568340</v>
      </c>
      <c r="AF791" s="45">
        <v>0</v>
      </c>
      <c r="AG791" s="45">
        <v>6</v>
      </c>
      <c r="AH791" s="46">
        <v>1448510</v>
      </c>
      <c r="AI791" s="45">
        <v>0</v>
      </c>
      <c r="AJ791" s="45">
        <v>9</v>
      </c>
      <c r="AK791" s="46">
        <v>1511380</v>
      </c>
      <c r="AL791" s="45">
        <v>0</v>
      </c>
      <c r="AM791" s="45">
        <v>7</v>
      </c>
      <c r="AO791" s="46">
        <v>1470560</v>
      </c>
      <c r="AP791" s="45">
        <v>0</v>
      </c>
      <c r="AQ791" s="45">
        <v>14</v>
      </c>
      <c r="AR791" s="46">
        <v>1367300</v>
      </c>
      <c r="AS791" s="45">
        <v>0</v>
      </c>
      <c r="AT791" s="45">
        <v>7</v>
      </c>
      <c r="AU791" s="46">
        <v>1570990</v>
      </c>
      <c r="AV791" s="45">
        <v>0</v>
      </c>
      <c r="AW791" s="45">
        <v>11</v>
      </c>
      <c r="AX791" s="46">
        <v>1491550</v>
      </c>
      <c r="AY791" s="45">
        <v>0</v>
      </c>
      <c r="AZ791" s="45">
        <v>3</v>
      </c>
    </row>
    <row r="792" spans="2:52">
      <c r="B792" s="46">
        <v>1464050</v>
      </c>
      <c r="C792" s="45">
        <v>0</v>
      </c>
      <c r="D792" s="45">
        <v>7</v>
      </c>
      <c r="E792" s="46">
        <v>1458700</v>
      </c>
      <c r="F792" s="45">
        <v>0</v>
      </c>
      <c r="G792" s="45">
        <v>5</v>
      </c>
      <c r="H792" s="46">
        <v>1421080</v>
      </c>
      <c r="I792" s="45">
        <v>31</v>
      </c>
      <c r="J792" s="45">
        <v>9</v>
      </c>
      <c r="K792" s="46">
        <v>1433420</v>
      </c>
      <c r="L792" s="45">
        <v>54</v>
      </c>
      <c r="M792" s="45">
        <v>12</v>
      </c>
      <c r="O792" s="46">
        <v>1483180</v>
      </c>
      <c r="P792" s="45">
        <v>0</v>
      </c>
      <c r="Q792" s="45">
        <v>13</v>
      </c>
      <c r="R792" s="46">
        <v>1457860</v>
      </c>
      <c r="S792" s="45">
        <v>0</v>
      </c>
      <c r="T792" s="45">
        <v>11</v>
      </c>
      <c r="U792" s="46">
        <v>1478500</v>
      </c>
      <c r="V792" s="45">
        <v>50</v>
      </c>
      <c r="W792" s="45">
        <v>7</v>
      </c>
      <c r="X792" s="46">
        <v>1497670</v>
      </c>
      <c r="Y792" s="45">
        <v>0</v>
      </c>
      <c r="Z792" s="45">
        <v>5</v>
      </c>
      <c r="AB792" s="46">
        <v>1584860</v>
      </c>
      <c r="AC792" s="45">
        <v>89</v>
      </c>
      <c r="AD792" s="45">
        <v>10</v>
      </c>
      <c r="AE792" s="46">
        <v>1374220</v>
      </c>
      <c r="AF792" s="45">
        <v>0</v>
      </c>
      <c r="AG792" s="45">
        <v>8</v>
      </c>
      <c r="AH792" s="46">
        <v>1421490</v>
      </c>
      <c r="AI792" s="45">
        <v>20</v>
      </c>
      <c r="AJ792" s="45">
        <v>10</v>
      </c>
      <c r="AK792" s="46">
        <v>1457620</v>
      </c>
      <c r="AL792" s="45">
        <v>13</v>
      </c>
      <c r="AM792" s="45">
        <v>6</v>
      </c>
      <c r="AO792" s="46">
        <v>1604940</v>
      </c>
      <c r="AP792" s="45">
        <v>98</v>
      </c>
      <c r="AQ792" s="45">
        <v>9</v>
      </c>
      <c r="AR792" s="46">
        <v>1392440</v>
      </c>
      <c r="AS792" s="45">
        <v>0</v>
      </c>
      <c r="AT792" s="45">
        <v>12</v>
      </c>
      <c r="AU792" s="46">
        <v>1406410</v>
      </c>
      <c r="AV792" s="45">
        <v>0</v>
      </c>
      <c r="AW792" s="45">
        <v>5</v>
      </c>
      <c r="AX792" s="46">
        <v>1477930</v>
      </c>
      <c r="AY792" s="45">
        <v>26</v>
      </c>
      <c r="AZ792" s="45">
        <v>10</v>
      </c>
    </row>
    <row r="793" spans="2:52">
      <c r="B793" s="46">
        <v>1441030</v>
      </c>
      <c r="C793" s="45">
        <v>0</v>
      </c>
      <c r="D793" s="45">
        <v>9</v>
      </c>
      <c r="E793" s="46">
        <v>1380990</v>
      </c>
      <c r="F793" s="45">
        <v>0</v>
      </c>
      <c r="G793" s="45">
        <v>9</v>
      </c>
      <c r="H793" s="46">
        <v>1441340</v>
      </c>
      <c r="I793" s="45">
        <v>0</v>
      </c>
      <c r="J793" s="45">
        <v>4</v>
      </c>
      <c r="K793" s="46">
        <v>1448040</v>
      </c>
      <c r="L793" s="45">
        <v>0</v>
      </c>
      <c r="M793" s="45">
        <v>8</v>
      </c>
      <c r="O793" s="46">
        <v>1553340</v>
      </c>
      <c r="P793" s="45">
        <v>0</v>
      </c>
      <c r="Q793" s="45">
        <v>6</v>
      </c>
      <c r="R793" s="46">
        <v>1443660</v>
      </c>
      <c r="S793" s="45">
        <v>0</v>
      </c>
      <c r="T793" s="45">
        <v>8</v>
      </c>
      <c r="U793" s="46">
        <v>1450210</v>
      </c>
      <c r="V793" s="45">
        <v>0</v>
      </c>
      <c r="W793" s="45">
        <v>5</v>
      </c>
      <c r="X793" s="46">
        <v>1495250</v>
      </c>
      <c r="Y793" s="45">
        <v>0</v>
      </c>
      <c r="Z793" s="45">
        <v>5</v>
      </c>
      <c r="AB793" s="46">
        <v>1424380</v>
      </c>
      <c r="AC793" s="45">
        <v>0</v>
      </c>
      <c r="AD793" s="45">
        <v>10</v>
      </c>
      <c r="AE793" s="46">
        <v>1348830</v>
      </c>
      <c r="AF793" s="45">
        <v>0</v>
      </c>
      <c r="AG793" s="45">
        <v>9</v>
      </c>
      <c r="AH793" s="46">
        <v>1480620</v>
      </c>
      <c r="AI793" s="45">
        <v>65</v>
      </c>
      <c r="AJ793" s="45">
        <v>7</v>
      </c>
      <c r="AK793" s="46">
        <v>1361040</v>
      </c>
      <c r="AL793" s="45">
        <v>0</v>
      </c>
      <c r="AM793" s="45">
        <v>4</v>
      </c>
      <c r="AO793" s="46">
        <v>1396310</v>
      </c>
      <c r="AP793" s="45">
        <v>0</v>
      </c>
      <c r="AQ793" s="45">
        <v>14</v>
      </c>
      <c r="AR793" s="46">
        <v>1341450</v>
      </c>
      <c r="AS793" s="45">
        <v>0</v>
      </c>
      <c r="AT793" s="45">
        <v>8</v>
      </c>
      <c r="AU793" s="46">
        <v>1428280</v>
      </c>
      <c r="AV793" s="45">
        <v>0</v>
      </c>
      <c r="AW793" s="45">
        <v>6</v>
      </c>
      <c r="AX793" s="46">
        <v>1446120</v>
      </c>
      <c r="AY793" s="45">
        <v>0</v>
      </c>
      <c r="AZ793" s="45">
        <v>5</v>
      </c>
    </row>
    <row r="794" spans="2:52">
      <c r="B794" s="46">
        <v>1396480</v>
      </c>
      <c r="C794" s="45">
        <v>0</v>
      </c>
      <c r="D794" s="45">
        <v>7</v>
      </c>
      <c r="E794" s="46">
        <v>1326750</v>
      </c>
      <c r="F794" s="45">
        <v>0</v>
      </c>
      <c r="G794" s="45">
        <v>12</v>
      </c>
      <c r="H794" s="46">
        <v>1459340</v>
      </c>
      <c r="I794" s="45">
        <v>67</v>
      </c>
      <c r="J794" s="45">
        <v>17</v>
      </c>
      <c r="K794" s="46">
        <v>1447540</v>
      </c>
      <c r="L794" s="45">
        <v>0</v>
      </c>
      <c r="M794" s="45">
        <v>12</v>
      </c>
      <c r="O794" s="46">
        <v>1446890</v>
      </c>
      <c r="P794" s="45">
        <v>0</v>
      </c>
      <c r="Q794" s="45">
        <v>9</v>
      </c>
      <c r="R794" s="46">
        <v>1427960</v>
      </c>
      <c r="S794" s="45">
        <v>0</v>
      </c>
      <c r="T794" s="45">
        <v>7</v>
      </c>
      <c r="U794" s="46">
        <v>1447720</v>
      </c>
      <c r="V794" s="45">
        <v>0</v>
      </c>
      <c r="W794" s="45">
        <v>12</v>
      </c>
      <c r="X794" s="46">
        <v>1440850</v>
      </c>
      <c r="Y794" s="45">
        <v>0</v>
      </c>
      <c r="Z794" s="45">
        <v>4</v>
      </c>
      <c r="AB794" s="46">
        <v>1561480</v>
      </c>
      <c r="AC794" s="45">
        <v>92</v>
      </c>
      <c r="AD794" s="45">
        <v>16</v>
      </c>
      <c r="AE794" s="46">
        <v>1543790</v>
      </c>
      <c r="AF794" s="45">
        <v>122</v>
      </c>
      <c r="AG794" s="45">
        <v>11</v>
      </c>
      <c r="AH794" s="46">
        <v>1458790</v>
      </c>
      <c r="AI794" s="45">
        <v>39</v>
      </c>
      <c r="AJ794" s="45">
        <v>9</v>
      </c>
      <c r="AK794" s="46">
        <v>1404710</v>
      </c>
      <c r="AL794" s="45">
        <v>0</v>
      </c>
      <c r="AM794" s="45">
        <v>3</v>
      </c>
      <c r="AO794" s="46">
        <v>1388550</v>
      </c>
      <c r="AP794" s="45">
        <v>0</v>
      </c>
      <c r="AQ794" s="45">
        <v>9</v>
      </c>
      <c r="AR794" s="46">
        <v>1450600</v>
      </c>
      <c r="AS794" s="45">
        <v>93</v>
      </c>
      <c r="AT794" s="45">
        <v>19</v>
      </c>
      <c r="AU794" s="46">
        <v>1470180</v>
      </c>
      <c r="AV794" s="45">
        <v>53</v>
      </c>
      <c r="AW794" s="45">
        <v>15</v>
      </c>
      <c r="AX794" s="46">
        <v>1371570</v>
      </c>
      <c r="AY794" s="45">
        <v>0</v>
      </c>
      <c r="AZ794" s="45">
        <v>10</v>
      </c>
    </row>
    <row r="795" spans="2:52">
      <c r="B795" s="46">
        <v>1299010</v>
      </c>
      <c r="C795" s="45">
        <v>0</v>
      </c>
      <c r="D795" s="45">
        <v>11</v>
      </c>
      <c r="E795" s="46">
        <v>1384630</v>
      </c>
      <c r="F795" s="45">
        <v>0</v>
      </c>
      <c r="G795" s="45">
        <v>6</v>
      </c>
      <c r="H795" s="46">
        <v>1398010</v>
      </c>
      <c r="I795" s="45">
        <v>33</v>
      </c>
      <c r="J795" s="45">
        <v>8</v>
      </c>
      <c r="K795" s="46">
        <v>1391120</v>
      </c>
      <c r="L795" s="45">
        <v>0</v>
      </c>
      <c r="M795" s="45">
        <v>6</v>
      </c>
      <c r="O795" s="46">
        <v>1431220</v>
      </c>
      <c r="P795" s="45">
        <v>0</v>
      </c>
      <c r="Q795" s="45">
        <v>6</v>
      </c>
      <c r="R795" s="46">
        <v>1415000</v>
      </c>
      <c r="S795" s="45">
        <v>0</v>
      </c>
      <c r="T795" s="45">
        <v>7</v>
      </c>
      <c r="U795" s="46">
        <v>1380130</v>
      </c>
      <c r="V795" s="45">
        <v>0</v>
      </c>
      <c r="W795" s="45">
        <v>7</v>
      </c>
      <c r="X795" s="46">
        <v>1356980</v>
      </c>
      <c r="Y795" s="45">
        <v>0</v>
      </c>
      <c r="Z795" s="45">
        <v>6</v>
      </c>
      <c r="AB795" s="46">
        <v>1539930</v>
      </c>
      <c r="AC795" s="45">
        <v>153</v>
      </c>
      <c r="AD795" s="45">
        <v>12</v>
      </c>
      <c r="AE795" s="46">
        <v>1463190</v>
      </c>
      <c r="AF795" s="45">
        <v>135</v>
      </c>
      <c r="AG795" s="45">
        <v>10</v>
      </c>
      <c r="AH795" s="46">
        <v>1379680</v>
      </c>
      <c r="AI795" s="45">
        <v>26</v>
      </c>
      <c r="AJ795" s="45">
        <v>7</v>
      </c>
      <c r="AK795" s="46">
        <v>1326150</v>
      </c>
      <c r="AL795" s="45">
        <v>0</v>
      </c>
      <c r="AM795" s="45">
        <v>10</v>
      </c>
      <c r="AO795" s="46">
        <v>1397430</v>
      </c>
      <c r="AP795" s="45">
        <v>0</v>
      </c>
      <c r="AQ795" s="45">
        <v>9</v>
      </c>
      <c r="AR795" s="46">
        <v>1288230</v>
      </c>
      <c r="AS795" s="45">
        <v>0</v>
      </c>
      <c r="AT795" s="45">
        <v>11</v>
      </c>
      <c r="AU795" s="46">
        <v>1521370</v>
      </c>
      <c r="AV795" s="45">
        <v>211</v>
      </c>
      <c r="AW795" s="45">
        <v>12</v>
      </c>
      <c r="AX795" s="46">
        <v>1424140</v>
      </c>
      <c r="AY795" s="45">
        <v>61</v>
      </c>
      <c r="AZ795" s="45">
        <v>11</v>
      </c>
    </row>
    <row r="796" spans="2:52">
      <c r="B796" s="46">
        <v>1374270</v>
      </c>
      <c r="C796" s="45">
        <v>0</v>
      </c>
      <c r="D796" s="45">
        <v>11</v>
      </c>
      <c r="E796" s="46">
        <v>1393580</v>
      </c>
      <c r="F796" s="45">
        <v>0</v>
      </c>
      <c r="G796" s="45">
        <v>6</v>
      </c>
      <c r="H796" s="46">
        <v>1304720</v>
      </c>
      <c r="I796" s="45">
        <v>0</v>
      </c>
      <c r="J796" s="45">
        <v>8</v>
      </c>
      <c r="K796" s="46">
        <v>1431530</v>
      </c>
      <c r="L796" s="45">
        <v>0</v>
      </c>
      <c r="M796" s="45">
        <v>8</v>
      </c>
      <c r="O796" s="46">
        <v>1475500</v>
      </c>
      <c r="P796" s="45">
        <v>0</v>
      </c>
      <c r="Q796" s="45">
        <v>7</v>
      </c>
      <c r="R796" s="46">
        <v>1433770</v>
      </c>
      <c r="S796" s="45">
        <v>0</v>
      </c>
      <c r="T796" s="45">
        <v>6</v>
      </c>
      <c r="U796" s="46">
        <v>1376100</v>
      </c>
      <c r="V796" s="45">
        <v>0</v>
      </c>
      <c r="W796" s="45">
        <v>4</v>
      </c>
      <c r="X796" s="46">
        <v>1376370</v>
      </c>
      <c r="Y796" s="45">
        <v>0</v>
      </c>
      <c r="Z796" s="45">
        <v>7</v>
      </c>
      <c r="AB796" s="46">
        <v>1355170</v>
      </c>
      <c r="AC796" s="45">
        <v>0</v>
      </c>
      <c r="AD796" s="45">
        <v>9</v>
      </c>
      <c r="AE796" s="46">
        <v>1379830</v>
      </c>
      <c r="AF796" s="45">
        <v>12</v>
      </c>
      <c r="AG796" s="45">
        <v>11</v>
      </c>
      <c r="AH796" s="46">
        <v>1280510</v>
      </c>
      <c r="AI796" s="45">
        <v>0</v>
      </c>
      <c r="AJ796" s="45">
        <v>7</v>
      </c>
      <c r="AK796" s="46">
        <v>1242670</v>
      </c>
      <c r="AL796" s="45">
        <v>0</v>
      </c>
      <c r="AM796" s="45">
        <v>10</v>
      </c>
      <c r="AO796" s="46">
        <v>1382370</v>
      </c>
      <c r="AP796" s="45">
        <v>0</v>
      </c>
      <c r="AQ796" s="45">
        <v>6</v>
      </c>
      <c r="AR796" s="46">
        <v>1376850</v>
      </c>
      <c r="AS796" s="45">
        <v>0</v>
      </c>
      <c r="AT796" s="45">
        <v>11</v>
      </c>
      <c r="AU796" s="46">
        <v>1405480</v>
      </c>
      <c r="AV796" s="45">
        <v>65</v>
      </c>
      <c r="AW796" s="45">
        <v>19</v>
      </c>
      <c r="AX796" s="46">
        <v>1392050</v>
      </c>
      <c r="AY796" s="45">
        <v>55</v>
      </c>
      <c r="AZ796" s="45">
        <v>12</v>
      </c>
    </row>
    <row r="797" spans="2:52">
      <c r="B797" s="46">
        <v>1480210</v>
      </c>
      <c r="C797" s="45">
        <v>0</v>
      </c>
      <c r="D797" s="45">
        <v>6</v>
      </c>
      <c r="E797" s="46">
        <v>1495770</v>
      </c>
      <c r="F797" s="45">
        <v>57</v>
      </c>
      <c r="G797" s="45">
        <v>9</v>
      </c>
      <c r="H797" s="46">
        <v>1445910</v>
      </c>
      <c r="I797" s="45">
        <v>0</v>
      </c>
      <c r="J797" s="45">
        <v>7</v>
      </c>
      <c r="K797" s="46">
        <v>1391940</v>
      </c>
      <c r="L797" s="45">
        <v>52</v>
      </c>
      <c r="M797" s="45">
        <v>17</v>
      </c>
      <c r="O797" s="46">
        <v>1644130</v>
      </c>
      <c r="P797" s="45">
        <v>138</v>
      </c>
      <c r="Q797" s="45">
        <v>16</v>
      </c>
      <c r="R797" s="46">
        <v>1481150</v>
      </c>
      <c r="S797" s="45">
        <v>0</v>
      </c>
      <c r="T797" s="45">
        <v>8</v>
      </c>
      <c r="U797" s="46">
        <v>1501570</v>
      </c>
      <c r="V797" s="45">
        <v>24</v>
      </c>
      <c r="W797" s="45">
        <v>7</v>
      </c>
      <c r="X797" s="46">
        <v>1436740</v>
      </c>
      <c r="Y797" s="45">
        <v>0</v>
      </c>
      <c r="Z797" s="45">
        <v>5</v>
      </c>
      <c r="AB797" s="46">
        <v>1438340</v>
      </c>
      <c r="AC797" s="45">
        <v>0</v>
      </c>
      <c r="AD797" s="45">
        <v>7</v>
      </c>
      <c r="AE797" s="46">
        <v>1431040</v>
      </c>
      <c r="AF797" s="45">
        <v>21</v>
      </c>
      <c r="AG797" s="45">
        <v>11</v>
      </c>
      <c r="AH797" s="46">
        <v>1360990</v>
      </c>
      <c r="AI797" s="45">
        <v>0</v>
      </c>
      <c r="AJ797" s="45">
        <v>8</v>
      </c>
      <c r="AK797" s="46">
        <v>1424200</v>
      </c>
      <c r="AL797" s="45">
        <v>93</v>
      </c>
      <c r="AM797" s="45">
        <v>9</v>
      </c>
      <c r="AO797" s="46">
        <v>1460420</v>
      </c>
      <c r="AP797" s="45">
        <v>3</v>
      </c>
      <c r="AQ797" s="45">
        <v>12</v>
      </c>
      <c r="AR797" s="46">
        <v>1347980</v>
      </c>
      <c r="AS797" s="45">
        <v>0</v>
      </c>
      <c r="AT797" s="45">
        <v>6</v>
      </c>
      <c r="AU797" s="46">
        <v>1353080</v>
      </c>
      <c r="AV797" s="45">
        <v>0</v>
      </c>
      <c r="AW797" s="45">
        <v>4</v>
      </c>
      <c r="AX797" s="46">
        <v>1443080</v>
      </c>
      <c r="AY797" s="45">
        <v>35</v>
      </c>
      <c r="AZ797" s="45">
        <v>9</v>
      </c>
    </row>
    <row r="798" spans="2:52">
      <c r="B798" s="46">
        <v>1279110</v>
      </c>
      <c r="C798" s="45">
        <v>0</v>
      </c>
      <c r="D798" s="45">
        <v>7</v>
      </c>
      <c r="E798" s="46">
        <v>1255440</v>
      </c>
      <c r="F798" s="45">
        <v>0</v>
      </c>
      <c r="G798" s="45">
        <v>7</v>
      </c>
      <c r="H798" s="46">
        <v>1258890</v>
      </c>
      <c r="I798" s="45">
        <v>0</v>
      </c>
      <c r="J798" s="45">
        <v>6</v>
      </c>
      <c r="K798" s="46">
        <v>1280990</v>
      </c>
      <c r="L798" s="45">
        <v>0</v>
      </c>
      <c r="M798" s="45">
        <v>6</v>
      </c>
      <c r="O798" s="46">
        <v>1313180</v>
      </c>
      <c r="P798" s="45">
        <v>0</v>
      </c>
      <c r="Q798" s="45">
        <v>7</v>
      </c>
      <c r="R798" s="46">
        <v>1350340</v>
      </c>
      <c r="S798" s="45">
        <v>0</v>
      </c>
      <c r="T798" s="45">
        <v>7</v>
      </c>
      <c r="U798" s="46">
        <v>1303660</v>
      </c>
      <c r="V798" s="45">
        <v>0</v>
      </c>
      <c r="W798" s="45">
        <v>6</v>
      </c>
      <c r="X798" s="46">
        <v>1415010</v>
      </c>
      <c r="Y798" s="45">
        <v>123</v>
      </c>
      <c r="Z798" s="45">
        <v>14</v>
      </c>
      <c r="AB798" s="46">
        <v>1250870</v>
      </c>
      <c r="AC798" s="45">
        <v>0</v>
      </c>
      <c r="AD798" s="45">
        <v>11</v>
      </c>
      <c r="AE798" s="46">
        <v>1222190</v>
      </c>
      <c r="AF798" s="45">
        <v>0</v>
      </c>
      <c r="AG798" s="45">
        <v>8</v>
      </c>
      <c r="AH798" s="46">
        <v>1243070</v>
      </c>
      <c r="AI798" s="45">
        <v>0</v>
      </c>
      <c r="AJ798" s="45">
        <v>7</v>
      </c>
      <c r="AK798" s="46">
        <v>1290990</v>
      </c>
      <c r="AL798" s="45">
        <v>0</v>
      </c>
      <c r="AM798" s="45">
        <v>5</v>
      </c>
      <c r="AO798" s="46">
        <v>1256070</v>
      </c>
      <c r="AP798" s="45">
        <v>0</v>
      </c>
      <c r="AQ798" s="45">
        <v>12</v>
      </c>
      <c r="AR798" s="46">
        <v>1296210</v>
      </c>
      <c r="AS798" s="45">
        <v>0</v>
      </c>
      <c r="AT798" s="45">
        <v>8</v>
      </c>
      <c r="AU798" s="46">
        <v>1232320</v>
      </c>
      <c r="AV798" s="45">
        <v>0</v>
      </c>
      <c r="AW798" s="45">
        <v>8</v>
      </c>
      <c r="AX798" s="46">
        <v>1268410</v>
      </c>
      <c r="AY798" s="45">
        <v>0</v>
      </c>
      <c r="AZ798" s="45">
        <v>5</v>
      </c>
    </row>
    <row r="799" spans="2:52">
      <c r="B799" s="46">
        <v>1655590</v>
      </c>
      <c r="C799" s="45">
        <v>143</v>
      </c>
      <c r="D799" s="45">
        <v>14</v>
      </c>
      <c r="E799" s="46">
        <v>1492410</v>
      </c>
      <c r="F799" s="45">
        <v>0</v>
      </c>
      <c r="G799" s="45">
        <v>12</v>
      </c>
      <c r="H799" s="46">
        <v>1415440</v>
      </c>
      <c r="I799" s="45">
        <v>0</v>
      </c>
      <c r="J799" s="45">
        <v>8</v>
      </c>
      <c r="K799" s="46">
        <v>1458280</v>
      </c>
      <c r="L799" s="45">
        <v>0</v>
      </c>
      <c r="M799" s="45">
        <v>9</v>
      </c>
      <c r="O799" s="46">
        <v>1459210</v>
      </c>
      <c r="P799" s="45">
        <v>0</v>
      </c>
      <c r="Q799" s="45">
        <v>11</v>
      </c>
      <c r="R799" s="46">
        <v>1476070</v>
      </c>
      <c r="S799" s="45">
        <v>0</v>
      </c>
      <c r="T799" s="45">
        <v>6</v>
      </c>
      <c r="U799" s="46">
        <v>1535060</v>
      </c>
      <c r="V799" s="45">
        <v>0</v>
      </c>
      <c r="W799" s="45">
        <v>6</v>
      </c>
      <c r="X799" s="46">
        <v>1475340</v>
      </c>
      <c r="Y799" s="45">
        <v>0</v>
      </c>
      <c r="Z799" s="45">
        <v>7</v>
      </c>
      <c r="AB799" s="46">
        <v>1557990</v>
      </c>
      <c r="AC799" s="45">
        <v>31</v>
      </c>
      <c r="AD799" s="45">
        <v>7</v>
      </c>
      <c r="AE799" s="46">
        <v>1495070</v>
      </c>
      <c r="AF799" s="45">
        <v>0</v>
      </c>
      <c r="AG799" s="45">
        <v>4</v>
      </c>
      <c r="AH799" s="46">
        <v>1435920</v>
      </c>
      <c r="AI799" s="45">
        <v>0</v>
      </c>
      <c r="AJ799" s="45">
        <v>8</v>
      </c>
      <c r="AK799" s="46">
        <v>1473490</v>
      </c>
      <c r="AL799" s="45">
        <v>0</v>
      </c>
      <c r="AM799" s="45">
        <v>5</v>
      </c>
      <c r="AO799" s="46">
        <v>1544930</v>
      </c>
      <c r="AP799" s="45">
        <v>0</v>
      </c>
      <c r="AQ799" s="45">
        <v>6</v>
      </c>
      <c r="AR799" s="46">
        <v>1471490</v>
      </c>
      <c r="AS799" s="45">
        <v>0</v>
      </c>
      <c r="AT799" s="45">
        <v>8</v>
      </c>
      <c r="AU799" s="46">
        <v>1537500</v>
      </c>
      <c r="AV799" s="45">
        <v>0</v>
      </c>
      <c r="AW799" s="45">
        <v>5</v>
      </c>
      <c r="AX799" s="46">
        <v>1426650</v>
      </c>
      <c r="AY799" s="45">
        <v>0</v>
      </c>
      <c r="AZ799" s="45">
        <v>5</v>
      </c>
    </row>
    <row r="800" spans="2:52">
      <c r="B800" s="46">
        <v>1486340</v>
      </c>
      <c r="C800" s="45">
        <v>0</v>
      </c>
      <c r="D800" s="45">
        <v>7</v>
      </c>
      <c r="E800" s="46">
        <v>1504720</v>
      </c>
      <c r="F800" s="45">
        <v>104</v>
      </c>
      <c r="G800" s="45">
        <v>21</v>
      </c>
      <c r="H800" s="46">
        <v>1451720</v>
      </c>
      <c r="I800" s="45">
        <v>37</v>
      </c>
      <c r="J800" s="45">
        <v>11</v>
      </c>
      <c r="K800" s="46">
        <v>1408600</v>
      </c>
      <c r="L800" s="45">
        <v>0</v>
      </c>
      <c r="M800" s="45">
        <v>7</v>
      </c>
      <c r="O800" s="46">
        <v>1566180</v>
      </c>
      <c r="P800" s="45">
        <v>0</v>
      </c>
      <c r="Q800" s="45">
        <v>10</v>
      </c>
      <c r="R800" s="46">
        <v>1463410</v>
      </c>
      <c r="S800" s="45">
        <v>0</v>
      </c>
      <c r="T800" s="45">
        <v>7</v>
      </c>
      <c r="U800" s="46">
        <v>1472770</v>
      </c>
      <c r="V800" s="45">
        <v>0</v>
      </c>
      <c r="W800" s="45">
        <v>6</v>
      </c>
      <c r="X800" s="46">
        <v>1433260</v>
      </c>
      <c r="Y800" s="45">
        <v>0</v>
      </c>
      <c r="Z800" s="45">
        <v>7</v>
      </c>
      <c r="AB800" s="46">
        <v>1407070</v>
      </c>
      <c r="AC800" s="45">
        <v>0</v>
      </c>
      <c r="AD800" s="45">
        <v>8</v>
      </c>
      <c r="AE800" s="46">
        <v>1468190</v>
      </c>
      <c r="AF800" s="45">
        <v>0</v>
      </c>
      <c r="AG800" s="45">
        <v>9</v>
      </c>
      <c r="AH800" s="46">
        <v>1491890</v>
      </c>
      <c r="AI800" s="45">
        <v>0</v>
      </c>
      <c r="AJ800" s="45">
        <v>4</v>
      </c>
      <c r="AK800" s="46">
        <v>1520740</v>
      </c>
      <c r="AL800" s="45">
        <v>42</v>
      </c>
      <c r="AM800" s="45">
        <v>8</v>
      </c>
      <c r="AO800" s="46">
        <v>1385950</v>
      </c>
      <c r="AP800" s="45">
        <v>0</v>
      </c>
      <c r="AQ800" s="45">
        <v>13</v>
      </c>
      <c r="AR800" s="46">
        <v>1443550</v>
      </c>
      <c r="AS800" s="45">
        <v>0</v>
      </c>
      <c r="AT800" s="45">
        <v>6</v>
      </c>
      <c r="AU800" s="46">
        <v>1370110</v>
      </c>
      <c r="AV800" s="45">
        <v>0</v>
      </c>
      <c r="AW800" s="45">
        <v>6</v>
      </c>
      <c r="AX800" s="46">
        <v>1395340</v>
      </c>
      <c r="AY800" s="45">
        <v>0</v>
      </c>
      <c r="AZ800" s="45">
        <v>5</v>
      </c>
    </row>
    <row r="801" spans="2:52">
      <c r="B801" s="46">
        <v>1329280</v>
      </c>
      <c r="C801" s="45">
        <v>0</v>
      </c>
      <c r="D801" s="45">
        <v>11</v>
      </c>
      <c r="E801" s="46">
        <v>1334010</v>
      </c>
      <c r="F801" s="45">
        <v>0</v>
      </c>
      <c r="G801" s="45">
        <v>8</v>
      </c>
      <c r="H801" s="46">
        <v>1360290</v>
      </c>
      <c r="I801" s="45">
        <v>0</v>
      </c>
      <c r="J801" s="45">
        <v>7</v>
      </c>
      <c r="K801" s="46">
        <v>1346780</v>
      </c>
      <c r="L801" s="45">
        <v>0</v>
      </c>
      <c r="M801" s="45">
        <v>7</v>
      </c>
      <c r="O801" s="46">
        <v>1429220</v>
      </c>
      <c r="P801" s="45">
        <v>0</v>
      </c>
      <c r="Q801" s="45">
        <v>11</v>
      </c>
      <c r="R801" s="46">
        <v>1324610</v>
      </c>
      <c r="S801" s="45">
        <v>0</v>
      </c>
      <c r="T801" s="45">
        <v>5</v>
      </c>
      <c r="U801" s="46">
        <v>1416410</v>
      </c>
      <c r="V801" s="45">
        <v>0</v>
      </c>
      <c r="W801" s="45">
        <v>5</v>
      </c>
      <c r="X801" s="46">
        <v>1387110</v>
      </c>
      <c r="Y801" s="45">
        <v>0</v>
      </c>
      <c r="Z801" s="45">
        <v>7</v>
      </c>
      <c r="AB801" s="46">
        <v>1384520</v>
      </c>
      <c r="AC801" s="45">
        <v>0</v>
      </c>
      <c r="AD801" s="45">
        <v>6</v>
      </c>
      <c r="AE801" s="46">
        <v>1304820</v>
      </c>
      <c r="AF801" s="45">
        <v>0</v>
      </c>
      <c r="AG801" s="45">
        <v>8</v>
      </c>
      <c r="AH801" s="46">
        <v>1390370</v>
      </c>
      <c r="AI801" s="45">
        <v>0</v>
      </c>
      <c r="AJ801" s="45">
        <v>6</v>
      </c>
      <c r="AK801" s="46">
        <v>1283120</v>
      </c>
      <c r="AL801" s="45">
        <v>0</v>
      </c>
      <c r="AM801" s="45">
        <v>6</v>
      </c>
      <c r="AO801" s="46">
        <v>1397140</v>
      </c>
      <c r="AP801" s="45">
        <v>0</v>
      </c>
      <c r="AQ801" s="45">
        <v>7</v>
      </c>
      <c r="AR801" s="46">
        <v>1331070</v>
      </c>
      <c r="AS801" s="45">
        <v>0</v>
      </c>
      <c r="AT801" s="45">
        <v>8</v>
      </c>
      <c r="AU801" s="46">
        <v>1287950</v>
      </c>
      <c r="AV801" s="45">
        <v>0</v>
      </c>
      <c r="AW801" s="45">
        <v>6</v>
      </c>
      <c r="AX801" s="46">
        <v>1307000</v>
      </c>
      <c r="AY801" s="45">
        <v>0</v>
      </c>
      <c r="AZ801" s="45">
        <v>6</v>
      </c>
    </row>
    <row r="802" spans="2:52">
      <c r="B802" s="46">
        <v>1432870</v>
      </c>
      <c r="C802" s="45">
        <v>0</v>
      </c>
      <c r="D802" s="45">
        <v>8</v>
      </c>
      <c r="E802" s="46">
        <v>1416940</v>
      </c>
      <c r="F802" s="45">
        <v>0</v>
      </c>
      <c r="G802" s="45">
        <v>7</v>
      </c>
      <c r="H802" s="46">
        <v>1438610</v>
      </c>
      <c r="I802" s="45">
        <v>0</v>
      </c>
      <c r="J802" s="45">
        <v>5</v>
      </c>
      <c r="K802" s="46">
        <v>1444750</v>
      </c>
      <c r="L802" s="45">
        <v>0</v>
      </c>
      <c r="M802" s="45">
        <v>11</v>
      </c>
      <c r="O802" s="46">
        <v>1457980</v>
      </c>
      <c r="P802" s="45">
        <v>0</v>
      </c>
      <c r="Q802" s="45">
        <v>9</v>
      </c>
      <c r="R802" s="46">
        <v>1513330</v>
      </c>
      <c r="S802" s="45">
        <v>0</v>
      </c>
      <c r="T802" s="45">
        <v>8</v>
      </c>
      <c r="U802" s="46">
        <v>1441490</v>
      </c>
      <c r="V802" s="45">
        <v>0</v>
      </c>
      <c r="W802" s="45">
        <v>4</v>
      </c>
      <c r="X802" s="46">
        <v>1374710</v>
      </c>
      <c r="Y802" s="45">
        <v>0</v>
      </c>
      <c r="Z802" s="45">
        <v>7</v>
      </c>
      <c r="AB802" s="46">
        <v>1446970</v>
      </c>
      <c r="AC802" s="45">
        <v>36</v>
      </c>
      <c r="AD802" s="45">
        <v>10</v>
      </c>
      <c r="AE802" s="46">
        <v>1405810</v>
      </c>
      <c r="AF802" s="45">
        <v>0</v>
      </c>
      <c r="AG802" s="45">
        <v>8</v>
      </c>
      <c r="AH802" s="46">
        <v>1367000</v>
      </c>
      <c r="AI802" s="45">
        <v>0</v>
      </c>
      <c r="AJ802" s="45">
        <v>8</v>
      </c>
      <c r="AK802" s="46">
        <v>1464490</v>
      </c>
      <c r="AL802" s="45">
        <v>0</v>
      </c>
      <c r="AM802" s="45">
        <v>3</v>
      </c>
      <c r="AO802" s="46">
        <v>1477980</v>
      </c>
      <c r="AP802" s="45">
        <v>0</v>
      </c>
      <c r="AQ802" s="45">
        <v>8</v>
      </c>
      <c r="AR802" s="46">
        <v>1496700</v>
      </c>
      <c r="AS802" s="45">
        <v>90</v>
      </c>
      <c r="AT802" s="45">
        <v>14</v>
      </c>
      <c r="AU802" s="46">
        <v>1427140</v>
      </c>
      <c r="AV802" s="45">
        <v>0</v>
      </c>
      <c r="AW802" s="45">
        <v>5</v>
      </c>
      <c r="AX802" s="46">
        <v>1421920</v>
      </c>
      <c r="AY802" s="45">
        <v>0</v>
      </c>
      <c r="AZ802" s="45">
        <v>5</v>
      </c>
    </row>
    <row r="803" spans="2:52">
      <c r="B803" s="46">
        <v>1317570</v>
      </c>
      <c r="C803" s="45">
        <v>0</v>
      </c>
      <c r="D803" s="45">
        <v>9</v>
      </c>
      <c r="E803" s="46">
        <v>1403240</v>
      </c>
      <c r="F803" s="45">
        <v>28</v>
      </c>
      <c r="G803" s="45">
        <v>11</v>
      </c>
      <c r="H803" s="46">
        <v>1357170</v>
      </c>
      <c r="I803" s="45">
        <v>3</v>
      </c>
      <c r="J803" s="45">
        <v>7</v>
      </c>
      <c r="K803" s="46">
        <v>1336710</v>
      </c>
      <c r="L803" s="45">
        <v>11</v>
      </c>
      <c r="M803" s="45">
        <v>10</v>
      </c>
      <c r="O803" s="46">
        <v>1420720</v>
      </c>
      <c r="P803" s="45">
        <v>0</v>
      </c>
      <c r="Q803" s="45">
        <v>8</v>
      </c>
      <c r="R803" s="46">
        <v>1394470</v>
      </c>
      <c r="S803" s="45">
        <v>0</v>
      </c>
      <c r="T803" s="45">
        <v>5</v>
      </c>
      <c r="U803" s="46">
        <v>1344580</v>
      </c>
      <c r="V803" s="45">
        <v>0</v>
      </c>
      <c r="W803" s="45">
        <v>9</v>
      </c>
      <c r="X803" s="46">
        <v>1391500</v>
      </c>
      <c r="Y803" s="45">
        <v>0</v>
      </c>
      <c r="Z803" s="45">
        <v>7</v>
      </c>
      <c r="AB803" s="46">
        <v>1331240</v>
      </c>
      <c r="AC803" s="45">
        <v>0</v>
      </c>
      <c r="AD803" s="45">
        <v>10</v>
      </c>
      <c r="AE803" s="46">
        <v>1360460</v>
      </c>
      <c r="AF803" s="45">
        <v>15</v>
      </c>
      <c r="AG803" s="45">
        <v>11</v>
      </c>
      <c r="AH803" s="46">
        <v>1324670</v>
      </c>
      <c r="AI803" s="45">
        <v>0</v>
      </c>
      <c r="AJ803" s="45">
        <v>9</v>
      </c>
      <c r="AK803" s="46">
        <v>1312260</v>
      </c>
      <c r="AL803" s="45">
        <v>0</v>
      </c>
      <c r="AM803" s="45">
        <v>6</v>
      </c>
      <c r="AO803" s="46">
        <v>1330500</v>
      </c>
      <c r="AP803" s="45">
        <v>19</v>
      </c>
      <c r="AQ803" s="45">
        <v>12</v>
      </c>
      <c r="AR803" s="46">
        <v>1295160</v>
      </c>
      <c r="AS803" s="45">
        <v>0</v>
      </c>
      <c r="AT803" s="45">
        <v>6</v>
      </c>
      <c r="AU803" s="46">
        <v>1363420</v>
      </c>
      <c r="AV803" s="45">
        <v>0</v>
      </c>
      <c r="AW803" s="45">
        <v>6</v>
      </c>
      <c r="AX803" s="46">
        <v>1426400</v>
      </c>
      <c r="AY803" s="45">
        <v>90</v>
      </c>
      <c r="AZ803" s="45">
        <v>11</v>
      </c>
    </row>
    <row r="804" spans="2:52">
      <c r="B804" s="46">
        <v>1460710</v>
      </c>
      <c r="C804" s="45">
        <v>0</v>
      </c>
      <c r="D804" s="45">
        <v>13</v>
      </c>
      <c r="E804" s="46">
        <v>1426950</v>
      </c>
      <c r="F804" s="45">
        <v>0</v>
      </c>
      <c r="G804" s="45">
        <v>13</v>
      </c>
      <c r="H804" s="46">
        <v>1453900</v>
      </c>
      <c r="I804" s="45">
        <v>0</v>
      </c>
      <c r="J804" s="45">
        <v>5</v>
      </c>
      <c r="K804" s="46">
        <v>1481870</v>
      </c>
      <c r="L804" s="45">
        <v>0</v>
      </c>
      <c r="M804" s="45">
        <v>9</v>
      </c>
      <c r="O804" s="46">
        <v>1520870</v>
      </c>
      <c r="P804" s="45">
        <v>0</v>
      </c>
      <c r="Q804" s="45">
        <v>9</v>
      </c>
      <c r="R804" s="46">
        <v>1504060</v>
      </c>
      <c r="S804" s="45">
        <v>0</v>
      </c>
      <c r="T804" s="45">
        <v>4</v>
      </c>
      <c r="U804" s="46">
        <v>1543760</v>
      </c>
      <c r="V804" s="45">
        <v>0</v>
      </c>
      <c r="W804" s="45">
        <v>9</v>
      </c>
      <c r="X804" s="46">
        <v>1488950</v>
      </c>
      <c r="Y804" s="45">
        <v>7</v>
      </c>
      <c r="Z804" s="45">
        <v>11</v>
      </c>
      <c r="AB804" s="46">
        <v>1498040</v>
      </c>
      <c r="AC804" s="45">
        <v>0</v>
      </c>
      <c r="AD804" s="45">
        <v>7</v>
      </c>
      <c r="AE804" s="46">
        <v>1443730</v>
      </c>
      <c r="AF804" s="45">
        <v>0</v>
      </c>
      <c r="AG804" s="45">
        <v>8</v>
      </c>
      <c r="AH804" s="46">
        <v>1443020</v>
      </c>
      <c r="AI804" s="45">
        <v>0</v>
      </c>
      <c r="AJ804" s="45">
        <v>7</v>
      </c>
      <c r="AK804" s="46">
        <v>1499300</v>
      </c>
      <c r="AL804" s="45">
        <v>0</v>
      </c>
      <c r="AM804" s="45">
        <v>5</v>
      </c>
      <c r="AO804" s="46">
        <v>1520900</v>
      </c>
      <c r="AP804" s="45">
        <v>0</v>
      </c>
      <c r="AQ804" s="45">
        <v>6</v>
      </c>
      <c r="AR804" s="46">
        <v>1387550</v>
      </c>
      <c r="AS804" s="45">
        <v>0</v>
      </c>
      <c r="AT804" s="45">
        <v>10</v>
      </c>
      <c r="AU804" s="46">
        <v>1495810</v>
      </c>
      <c r="AV804" s="45">
        <v>35</v>
      </c>
      <c r="AW804" s="45">
        <v>8</v>
      </c>
      <c r="AX804" s="46">
        <v>1464830</v>
      </c>
      <c r="AY804" s="45">
        <v>0</v>
      </c>
      <c r="AZ804" s="45">
        <v>5</v>
      </c>
    </row>
    <row r="805" spans="2:52">
      <c r="B805" s="46">
        <v>1462280</v>
      </c>
      <c r="C805" s="45">
        <v>57</v>
      </c>
      <c r="D805" s="45">
        <v>11</v>
      </c>
      <c r="E805" s="46">
        <v>1377110</v>
      </c>
      <c r="F805" s="45">
        <v>0</v>
      </c>
      <c r="G805" s="45">
        <v>6</v>
      </c>
      <c r="H805" s="46">
        <v>1367250</v>
      </c>
      <c r="I805" s="45">
        <v>0</v>
      </c>
      <c r="J805" s="45">
        <v>6</v>
      </c>
      <c r="K805" s="46">
        <v>1418880</v>
      </c>
      <c r="L805" s="45">
        <v>0</v>
      </c>
      <c r="M805" s="45">
        <v>4</v>
      </c>
      <c r="O805" s="46">
        <v>1449360</v>
      </c>
      <c r="P805" s="45">
        <v>0</v>
      </c>
      <c r="Q805" s="45">
        <v>5</v>
      </c>
      <c r="R805" s="46">
        <v>1472790</v>
      </c>
      <c r="S805" s="45">
        <v>0</v>
      </c>
      <c r="T805" s="45">
        <v>6</v>
      </c>
      <c r="U805" s="46">
        <v>1392840</v>
      </c>
      <c r="V805" s="45">
        <v>0</v>
      </c>
      <c r="W805" s="45">
        <v>5</v>
      </c>
      <c r="X805" s="46">
        <v>1331920</v>
      </c>
      <c r="Y805" s="45">
        <v>0</v>
      </c>
      <c r="Z805" s="45">
        <v>6</v>
      </c>
      <c r="AB805" s="46">
        <v>1342550</v>
      </c>
      <c r="AC805" s="45">
        <v>0</v>
      </c>
      <c r="AD805" s="45">
        <v>5</v>
      </c>
      <c r="AE805" s="46">
        <v>1437830</v>
      </c>
      <c r="AF805" s="45">
        <v>46</v>
      </c>
      <c r="AG805" s="45">
        <v>11</v>
      </c>
      <c r="AH805" s="46">
        <v>1360060</v>
      </c>
      <c r="AI805" s="45">
        <v>0</v>
      </c>
      <c r="AJ805" s="45">
        <v>6</v>
      </c>
      <c r="AK805" s="46">
        <v>1380560</v>
      </c>
      <c r="AL805" s="45">
        <v>20</v>
      </c>
      <c r="AM805" s="45">
        <v>12</v>
      </c>
      <c r="AO805" s="46">
        <v>1422330</v>
      </c>
      <c r="AP805" s="45">
        <v>0</v>
      </c>
      <c r="AQ805" s="45">
        <v>8</v>
      </c>
      <c r="AR805" s="46">
        <v>1349720</v>
      </c>
      <c r="AS805" s="45">
        <v>0</v>
      </c>
      <c r="AT805" s="45">
        <v>6</v>
      </c>
      <c r="AU805" s="46">
        <v>1339350</v>
      </c>
      <c r="AV805" s="45">
        <v>0</v>
      </c>
      <c r="AW805" s="45">
        <v>6</v>
      </c>
      <c r="AX805" s="46">
        <v>1383440</v>
      </c>
      <c r="AY805" s="45">
        <v>0</v>
      </c>
      <c r="AZ805" s="45">
        <v>3</v>
      </c>
    </row>
    <row r="806" spans="2:52">
      <c r="B806" s="46">
        <v>1550290</v>
      </c>
      <c r="C806" s="45">
        <v>0</v>
      </c>
      <c r="D806" s="45">
        <v>13</v>
      </c>
      <c r="E806" s="46">
        <v>1449470</v>
      </c>
      <c r="F806" s="45">
        <v>0</v>
      </c>
      <c r="G806" s="45">
        <v>7</v>
      </c>
      <c r="H806" s="46">
        <v>1541030</v>
      </c>
      <c r="I806" s="45">
        <v>0</v>
      </c>
      <c r="J806" s="45">
        <v>6</v>
      </c>
      <c r="K806" s="46">
        <v>1522860</v>
      </c>
      <c r="L806" s="45">
        <v>10</v>
      </c>
      <c r="M806" s="45">
        <v>13</v>
      </c>
      <c r="O806" s="46">
        <v>1590650</v>
      </c>
      <c r="P806" s="45">
        <v>43</v>
      </c>
      <c r="Q806" s="45">
        <v>10</v>
      </c>
      <c r="R806" s="46">
        <v>1565440</v>
      </c>
      <c r="S806" s="45">
        <v>0</v>
      </c>
      <c r="T806" s="45">
        <v>6</v>
      </c>
      <c r="U806" s="46">
        <v>1534380</v>
      </c>
      <c r="V806" s="45">
        <v>0</v>
      </c>
      <c r="W806" s="45">
        <v>7</v>
      </c>
      <c r="X806" s="46">
        <v>1590910</v>
      </c>
      <c r="Y806" s="45">
        <v>13</v>
      </c>
      <c r="Z806" s="45">
        <v>12</v>
      </c>
      <c r="AB806" s="46">
        <v>1470890</v>
      </c>
      <c r="AC806" s="45">
        <v>0</v>
      </c>
      <c r="AD806" s="45">
        <v>6</v>
      </c>
      <c r="AE806" s="46">
        <v>1507840</v>
      </c>
      <c r="AF806" s="45">
        <v>0</v>
      </c>
      <c r="AG806" s="45">
        <v>6</v>
      </c>
      <c r="AH806" s="46">
        <v>1565700</v>
      </c>
      <c r="AI806" s="45">
        <v>0</v>
      </c>
      <c r="AJ806" s="45">
        <v>5</v>
      </c>
      <c r="AK806" s="46">
        <v>1512090</v>
      </c>
      <c r="AL806" s="45">
        <v>4</v>
      </c>
      <c r="AM806" s="45">
        <v>6</v>
      </c>
      <c r="AO806" s="46">
        <v>1523870</v>
      </c>
      <c r="AP806" s="45">
        <v>0</v>
      </c>
      <c r="AQ806" s="45">
        <v>9</v>
      </c>
      <c r="AR806" s="46">
        <v>1469710</v>
      </c>
      <c r="AS806" s="45">
        <v>0</v>
      </c>
      <c r="AT806" s="45">
        <v>8</v>
      </c>
      <c r="AU806" s="46">
        <v>1473640</v>
      </c>
      <c r="AV806" s="45">
        <v>0</v>
      </c>
      <c r="AW806" s="45">
        <v>13</v>
      </c>
      <c r="AX806" s="46">
        <v>1513660</v>
      </c>
      <c r="AY806" s="45">
        <v>0</v>
      </c>
      <c r="AZ806" s="45">
        <v>4</v>
      </c>
    </row>
    <row r="807" spans="2:52">
      <c r="B807" s="46">
        <v>1549120</v>
      </c>
      <c r="C807" s="45">
        <v>0</v>
      </c>
      <c r="D807" s="45">
        <v>12</v>
      </c>
      <c r="E807" s="46">
        <v>1551430</v>
      </c>
      <c r="F807" s="45">
        <v>0</v>
      </c>
      <c r="G807" s="45">
        <v>7</v>
      </c>
      <c r="H807" s="46">
        <v>1529230</v>
      </c>
      <c r="I807" s="45">
        <v>0</v>
      </c>
      <c r="J807" s="45">
        <v>6</v>
      </c>
      <c r="K807" s="46">
        <v>1540900</v>
      </c>
      <c r="L807" s="45">
        <v>0</v>
      </c>
      <c r="M807" s="45">
        <v>8</v>
      </c>
      <c r="O807" s="46">
        <v>1564440</v>
      </c>
      <c r="P807" s="45">
        <v>0</v>
      </c>
      <c r="Q807" s="45">
        <v>10</v>
      </c>
      <c r="R807" s="46">
        <v>1640190</v>
      </c>
      <c r="S807" s="45">
        <v>0</v>
      </c>
      <c r="T807" s="45">
        <v>4</v>
      </c>
      <c r="U807" s="46">
        <v>1631620</v>
      </c>
      <c r="V807" s="45">
        <v>0</v>
      </c>
      <c r="W807" s="45">
        <v>6</v>
      </c>
      <c r="X807" s="46">
        <v>1509690</v>
      </c>
      <c r="Y807" s="45">
        <v>0</v>
      </c>
      <c r="Z807" s="45">
        <v>6</v>
      </c>
      <c r="AB807" s="46">
        <v>1450920</v>
      </c>
      <c r="AC807" s="45">
        <v>0</v>
      </c>
      <c r="AD807" s="45">
        <v>11</v>
      </c>
      <c r="AE807" s="46">
        <v>1446350</v>
      </c>
      <c r="AF807" s="45">
        <v>0</v>
      </c>
      <c r="AG807" s="45">
        <v>6</v>
      </c>
      <c r="AH807" s="46">
        <v>1772710</v>
      </c>
      <c r="AI807" s="45">
        <v>170</v>
      </c>
      <c r="AJ807" s="45">
        <v>7</v>
      </c>
      <c r="AK807" s="46">
        <v>1546090</v>
      </c>
      <c r="AL807" s="45">
        <v>69</v>
      </c>
      <c r="AM807" s="45">
        <v>10</v>
      </c>
      <c r="AO807" s="46">
        <v>1576700</v>
      </c>
      <c r="AP807" s="45">
        <v>0</v>
      </c>
      <c r="AQ807" s="45">
        <v>6</v>
      </c>
      <c r="AR807" s="46">
        <v>1485650</v>
      </c>
      <c r="AS807" s="45">
        <v>0</v>
      </c>
      <c r="AT807" s="45">
        <v>6</v>
      </c>
      <c r="AU807" s="46">
        <v>1535680</v>
      </c>
      <c r="AV807" s="45">
        <v>0</v>
      </c>
      <c r="AW807" s="45">
        <v>6</v>
      </c>
      <c r="AX807" s="46">
        <v>1514360</v>
      </c>
      <c r="AY807" s="45">
        <v>0</v>
      </c>
      <c r="AZ807" s="45">
        <v>9</v>
      </c>
    </row>
    <row r="808" spans="2:52">
      <c r="B808" s="46">
        <v>1241600</v>
      </c>
      <c r="C808" s="45">
        <v>0</v>
      </c>
      <c r="D808" s="45">
        <v>10</v>
      </c>
      <c r="E808" s="46">
        <v>1267080</v>
      </c>
      <c r="F808" s="45">
        <v>0</v>
      </c>
      <c r="G808" s="45">
        <v>9</v>
      </c>
      <c r="H808" s="46">
        <v>1230400</v>
      </c>
      <c r="I808" s="45">
        <v>0</v>
      </c>
      <c r="J808" s="45">
        <v>8</v>
      </c>
      <c r="K808" s="46">
        <v>1290510</v>
      </c>
      <c r="L808" s="45">
        <v>0</v>
      </c>
      <c r="M808" s="45">
        <v>6</v>
      </c>
      <c r="O808" s="46">
        <v>1388480</v>
      </c>
      <c r="P808" s="45">
        <v>0</v>
      </c>
      <c r="Q808" s="45">
        <v>5</v>
      </c>
      <c r="R808" s="46">
        <v>1336680</v>
      </c>
      <c r="S808" s="45">
        <v>14</v>
      </c>
      <c r="T808" s="45">
        <v>10</v>
      </c>
      <c r="U808" s="46">
        <v>1372860</v>
      </c>
      <c r="V808" s="45">
        <v>0</v>
      </c>
      <c r="W808" s="45">
        <v>5</v>
      </c>
      <c r="X808" s="46">
        <v>1315710</v>
      </c>
      <c r="Y808" s="45">
        <v>0</v>
      </c>
      <c r="Z808" s="45">
        <v>7</v>
      </c>
      <c r="AB808" s="46">
        <v>1326280</v>
      </c>
      <c r="AC808" s="45">
        <v>0</v>
      </c>
      <c r="AD808" s="45">
        <v>10</v>
      </c>
      <c r="AE808" s="46">
        <v>1338780</v>
      </c>
      <c r="AF808" s="45">
        <v>0</v>
      </c>
      <c r="AG808" s="45">
        <v>5</v>
      </c>
      <c r="AH808" s="46">
        <v>1330950</v>
      </c>
      <c r="AI808" s="45">
        <v>0</v>
      </c>
      <c r="AJ808" s="45">
        <v>4</v>
      </c>
      <c r="AK808" s="46">
        <v>1325950</v>
      </c>
      <c r="AL808" s="45">
        <v>0</v>
      </c>
      <c r="AM808" s="45">
        <v>6</v>
      </c>
      <c r="AO808" s="46">
        <v>1359000</v>
      </c>
      <c r="AP808" s="45">
        <v>0</v>
      </c>
      <c r="AQ808" s="45">
        <v>6</v>
      </c>
      <c r="AR808" s="46">
        <v>1305570</v>
      </c>
      <c r="AS808" s="45">
        <v>0</v>
      </c>
      <c r="AT808" s="45">
        <v>7</v>
      </c>
      <c r="AU808" s="46">
        <v>1357400</v>
      </c>
      <c r="AV808" s="45">
        <v>0</v>
      </c>
      <c r="AW808" s="45">
        <v>6</v>
      </c>
      <c r="AX808" s="46">
        <v>1271440</v>
      </c>
      <c r="AY808" s="45">
        <v>0</v>
      </c>
      <c r="AZ808" s="45">
        <v>7</v>
      </c>
    </row>
    <row r="809" spans="2:52">
      <c r="B809" s="46">
        <v>1476250</v>
      </c>
      <c r="C809" s="45">
        <v>0</v>
      </c>
      <c r="D809" s="45">
        <v>12</v>
      </c>
      <c r="E809" s="46">
        <v>1437330</v>
      </c>
      <c r="F809" s="45">
        <v>0</v>
      </c>
      <c r="G809" s="45">
        <v>9</v>
      </c>
      <c r="H809" s="46">
        <v>1425590</v>
      </c>
      <c r="I809" s="45">
        <v>0</v>
      </c>
      <c r="J809" s="45">
        <v>10</v>
      </c>
      <c r="K809" s="46">
        <v>1410140</v>
      </c>
      <c r="L809" s="45">
        <v>0</v>
      </c>
      <c r="M809" s="45">
        <v>5</v>
      </c>
      <c r="O809" s="46">
        <v>1469570</v>
      </c>
      <c r="P809" s="45">
        <v>0</v>
      </c>
      <c r="Q809" s="45">
        <v>7</v>
      </c>
      <c r="R809" s="46">
        <v>1495120</v>
      </c>
      <c r="S809" s="45">
        <v>0</v>
      </c>
      <c r="T809" s="45">
        <v>6</v>
      </c>
      <c r="U809" s="46">
        <v>1506200</v>
      </c>
      <c r="V809" s="45">
        <v>46</v>
      </c>
      <c r="W809" s="45">
        <v>8</v>
      </c>
      <c r="X809" s="46">
        <v>1435010</v>
      </c>
      <c r="Y809" s="45">
        <v>0</v>
      </c>
      <c r="Z809" s="45">
        <v>6</v>
      </c>
      <c r="AB809" s="46">
        <v>1557560</v>
      </c>
      <c r="AC809" s="45">
        <v>102</v>
      </c>
      <c r="AD809" s="45">
        <v>21</v>
      </c>
      <c r="AE809" s="46">
        <v>1398480</v>
      </c>
      <c r="AF809" s="45">
        <v>13</v>
      </c>
      <c r="AG809" s="45">
        <v>7</v>
      </c>
      <c r="AH809" s="46">
        <v>1453800</v>
      </c>
      <c r="AI809" s="45">
        <v>15</v>
      </c>
      <c r="AJ809" s="45">
        <v>7</v>
      </c>
      <c r="AK809" s="46">
        <v>1473490</v>
      </c>
      <c r="AL809" s="45">
        <v>94</v>
      </c>
      <c r="AM809" s="45">
        <v>19</v>
      </c>
      <c r="AO809" s="46">
        <v>1513190</v>
      </c>
      <c r="AP809" s="45">
        <v>15</v>
      </c>
      <c r="AQ809" s="45">
        <v>9</v>
      </c>
      <c r="AR809" s="46">
        <v>1476370</v>
      </c>
      <c r="AS809" s="45">
        <v>105</v>
      </c>
      <c r="AT809" s="45">
        <v>10</v>
      </c>
      <c r="AU809" s="46">
        <v>1489210</v>
      </c>
      <c r="AV809" s="45">
        <v>67</v>
      </c>
      <c r="AW809" s="45">
        <v>6</v>
      </c>
      <c r="AX809" s="46">
        <v>1363230</v>
      </c>
      <c r="AY809" s="45">
        <v>0</v>
      </c>
      <c r="AZ809" s="45">
        <v>7</v>
      </c>
    </row>
    <row r="810" spans="2:52">
      <c r="B810" s="46">
        <v>1364050</v>
      </c>
      <c r="C810" s="45">
        <v>0</v>
      </c>
      <c r="D810" s="45">
        <v>14</v>
      </c>
      <c r="E810" s="46">
        <v>1421590</v>
      </c>
      <c r="F810" s="45">
        <v>0</v>
      </c>
      <c r="G810" s="45">
        <v>7</v>
      </c>
      <c r="H810" s="46">
        <v>1452920</v>
      </c>
      <c r="I810" s="45">
        <v>0</v>
      </c>
      <c r="J810" s="45">
        <v>8</v>
      </c>
      <c r="K810" s="46">
        <v>1391800</v>
      </c>
      <c r="L810" s="45">
        <v>0</v>
      </c>
      <c r="M810" s="45">
        <v>9</v>
      </c>
      <c r="O810" s="46">
        <v>1410610</v>
      </c>
      <c r="P810" s="45">
        <v>0</v>
      </c>
      <c r="Q810" s="45">
        <v>8</v>
      </c>
      <c r="R810" s="46">
        <v>1504090</v>
      </c>
      <c r="S810" s="45">
        <v>0</v>
      </c>
      <c r="T810" s="45">
        <v>6</v>
      </c>
      <c r="U810" s="46">
        <v>1446820</v>
      </c>
      <c r="V810" s="45">
        <v>0</v>
      </c>
      <c r="W810" s="45">
        <v>8</v>
      </c>
      <c r="X810" s="46">
        <v>1441300</v>
      </c>
      <c r="Y810" s="45">
        <v>0</v>
      </c>
      <c r="Z810" s="45">
        <v>5</v>
      </c>
      <c r="AB810" s="46">
        <v>1384170</v>
      </c>
      <c r="AC810" s="45">
        <v>0</v>
      </c>
      <c r="AD810" s="45">
        <v>9</v>
      </c>
      <c r="AE810" s="46">
        <v>1416320</v>
      </c>
      <c r="AF810" s="45">
        <v>0</v>
      </c>
      <c r="AG810" s="45">
        <v>6</v>
      </c>
      <c r="AH810" s="46">
        <v>1383340</v>
      </c>
      <c r="AI810" s="45">
        <v>0</v>
      </c>
      <c r="AJ810" s="45">
        <v>7</v>
      </c>
      <c r="AK810" s="46">
        <v>1324310</v>
      </c>
      <c r="AL810" s="45">
        <v>0</v>
      </c>
      <c r="AM810" s="45">
        <v>5</v>
      </c>
      <c r="AO810" s="46">
        <v>1408470</v>
      </c>
      <c r="AP810" s="45">
        <v>0</v>
      </c>
      <c r="AQ810" s="45">
        <v>8</v>
      </c>
      <c r="AR810" s="46">
        <v>1400670</v>
      </c>
      <c r="AS810" s="45">
        <v>0</v>
      </c>
      <c r="AT810" s="45">
        <v>9</v>
      </c>
      <c r="AU810" s="46">
        <v>1477090</v>
      </c>
      <c r="AV810" s="45">
        <v>0</v>
      </c>
      <c r="AW810" s="45">
        <v>8</v>
      </c>
      <c r="AX810" s="46">
        <v>1391070</v>
      </c>
      <c r="AY810" s="45">
        <v>0</v>
      </c>
      <c r="AZ810" s="45">
        <v>6</v>
      </c>
    </row>
    <row r="811" spans="2:52">
      <c r="B811" s="46">
        <v>1497850</v>
      </c>
      <c r="C811" s="45">
        <v>0</v>
      </c>
      <c r="D811" s="45">
        <v>11</v>
      </c>
      <c r="E811" s="46">
        <v>1586910</v>
      </c>
      <c r="F811" s="45">
        <v>84</v>
      </c>
      <c r="G811" s="45">
        <v>14</v>
      </c>
      <c r="H811" s="46">
        <v>1595880</v>
      </c>
      <c r="I811" s="45">
        <v>72</v>
      </c>
      <c r="J811" s="45">
        <v>14</v>
      </c>
      <c r="K811" s="46">
        <v>1495380</v>
      </c>
      <c r="L811" s="45">
        <v>0</v>
      </c>
      <c r="M811" s="45">
        <v>7</v>
      </c>
      <c r="O811" s="46">
        <v>1577090</v>
      </c>
      <c r="P811" s="45">
        <v>0</v>
      </c>
      <c r="Q811" s="45">
        <v>9</v>
      </c>
      <c r="R811" s="46">
        <v>1440870</v>
      </c>
      <c r="S811" s="45">
        <v>0</v>
      </c>
      <c r="T811" s="45">
        <v>8</v>
      </c>
      <c r="U811" s="46">
        <v>1531520</v>
      </c>
      <c r="V811" s="45">
        <v>0</v>
      </c>
      <c r="W811" s="45">
        <v>5</v>
      </c>
      <c r="X811" s="46">
        <v>1574610</v>
      </c>
      <c r="Y811" s="45">
        <v>0</v>
      </c>
      <c r="Z811" s="45">
        <v>6</v>
      </c>
      <c r="AB811" s="46">
        <v>1642890</v>
      </c>
      <c r="AC811" s="45">
        <v>55</v>
      </c>
      <c r="AD811" s="45">
        <v>10</v>
      </c>
      <c r="AE811" s="46">
        <v>1500800</v>
      </c>
      <c r="AF811" s="45">
        <v>0</v>
      </c>
      <c r="AG811" s="45">
        <v>9</v>
      </c>
      <c r="AH811" s="46">
        <v>1493570</v>
      </c>
      <c r="AI811" s="45">
        <v>0</v>
      </c>
      <c r="AJ811" s="45">
        <v>6</v>
      </c>
      <c r="AK811" s="46">
        <v>1475330</v>
      </c>
      <c r="AL811" s="45">
        <v>0</v>
      </c>
      <c r="AM811" s="45">
        <v>9</v>
      </c>
      <c r="AO811" s="46">
        <v>1571310</v>
      </c>
      <c r="AP811" s="45">
        <v>0</v>
      </c>
      <c r="AQ811" s="45">
        <v>5</v>
      </c>
      <c r="AR811" s="46">
        <v>1538700</v>
      </c>
      <c r="AS811" s="45">
        <v>7</v>
      </c>
      <c r="AT811" s="45">
        <v>5</v>
      </c>
      <c r="AU811" s="46">
        <v>1497380</v>
      </c>
      <c r="AV811" s="45">
        <v>0</v>
      </c>
      <c r="AW811" s="45">
        <v>8</v>
      </c>
      <c r="AX811" s="46">
        <v>1439320</v>
      </c>
      <c r="AY811" s="45">
        <v>0</v>
      </c>
      <c r="AZ811" s="45">
        <v>8</v>
      </c>
    </row>
    <row r="812" spans="2:52">
      <c r="B812" s="46">
        <v>1467060</v>
      </c>
      <c r="C812" s="45">
        <v>0</v>
      </c>
      <c r="D812" s="45">
        <v>4</v>
      </c>
      <c r="E812" s="46">
        <v>1348590</v>
      </c>
      <c r="F812" s="45">
        <v>0</v>
      </c>
      <c r="G812" s="45">
        <v>9</v>
      </c>
      <c r="H812" s="46">
        <v>1331810</v>
      </c>
      <c r="I812" s="45">
        <v>0</v>
      </c>
      <c r="J812" s="45">
        <v>8</v>
      </c>
      <c r="K812" s="46">
        <v>1394240</v>
      </c>
      <c r="L812" s="45">
        <v>0</v>
      </c>
      <c r="M812" s="45">
        <v>5</v>
      </c>
      <c r="O812" s="46">
        <v>1421110</v>
      </c>
      <c r="P812" s="45">
        <v>0</v>
      </c>
      <c r="Q812" s="45">
        <v>5</v>
      </c>
      <c r="R812" s="46">
        <v>1447780</v>
      </c>
      <c r="S812" s="45">
        <v>0</v>
      </c>
      <c r="T812" s="45">
        <v>6</v>
      </c>
      <c r="U812" s="46">
        <v>1436330</v>
      </c>
      <c r="V812" s="45">
        <v>0</v>
      </c>
      <c r="W812" s="45">
        <v>7</v>
      </c>
      <c r="X812" s="46">
        <v>1427010</v>
      </c>
      <c r="Y812" s="45">
        <v>0</v>
      </c>
      <c r="Z812" s="45">
        <v>5</v>
      </c>
      <c r="AB812" s="46">
        <v>1371670</v>
      </c>
      <c r="AC812" s="45">
        <v>0</v>
      </c>
      <c r="AD812" s="45">
        <v>14</v>
      </c>
      <c r="AE812" s="46">
        <v>1426580</v>
      </c>
      <c r="AF812" s="45">
        <v>0</v>
      </c>
      <c r="AG812" s="45">
        <v>9</v>
      </c>
      <c r="AH812" s="46">
        <v>1346770</v>
      </c>
      <c r="AI812" s="45">
        <v>0</v>
      </c>
      <c r="AJ812" s="45">
        <v>9</v>
      </c>
      <c r="AK812" s="46">
        <v>1366280</v>
      </c>
      <c r="AL812" s="45">
        <v>0</v>
      </c>
      <c r="AM812" s="45">
        <v>7</v>
      </c>
      <c r="AO812" s="46">
        <v>1373150</v>
      </c>
      <c r="AP812" s="45">
        <v>0</v>
      </c>
      <c r="AQ812" s="45">
        <v>22</v>
      </c>
      <c r="AR812" s="46">
        <v>1261560</v>
      </c>
      <c r="AS812" s="45">
        <v>0</v>
      </c>
      <c r="AT812" s="45">
        <v>16</v>
      </c>
      <c r="AU812" s="46">
        <v>1409960</v>
      </c>
      <c r="AV812" s="45">
        <v>0</v>
      </c>
      <c r="AW812" s="45">
        <v>9</v>
      </c>
      <c r="AX812" s="46">
        <v>1425650</v>
      </c>
      <c r="AY812" s="45">
        <v>0</v>
      </c>
      <c r="AZ812" s="45">
        <v>7</v>
      </c>
    </row>
    <row r="813" spans="2:52">
      <c r="B813" s="46">
        <v>1495770</v>
      </c>
      <c r="C813" s="45">
        <v>0</v>
      </c>
      <c r="D813" s="45">
        <v>14</v>
      </c>
      <c r="E813" s="46">
        <v>1521980</v>
      </c>
      <c r="F813" s="45">
        <v>0</v>
      </c>
      <c r="G813" s="45">
        <v>8</v>
      </c>
      <c r="H813" s="46">
        <v>1609320</v>
      </c>
      <c r="I813" s="45">
        <v>0</v>
      </c>
      <c r="J813" s="45">
        <v>5</v>
      </c>
      <c r="K813" s="46">
        <v>1523690</v>
      </c>
      <c r="L813" s="45">
        <v>0</v>
      </c>
      <c r="M813" s="45">
        <v>7</v>
      </c>
      <c r="O813" s="46">
        <v>1599760</v>
      </c>
      <c r="P813" s="45">
        <v>0</v>
      </c>
      <c r="Q813" s="45">
        <v>6</v>
      </c>
      <c r="R813" s="46">
        <v>1600140</v>
      </c>
      <c r="S813" s="45">
        <v>0</v>
      </c>
      <c r="T813" s="45">
        <v>7</v>
      </c>
      <c r="U813" s="46">
        <v>1573960</v>
      </c>
      <c r="V813" s="45">
        <v>0</v>
      </c>
      <c r="W813" s="45">
        <v>6</v>
      </c>
      <c r="X813" s="46">
        <v>1579060</v>
      </c>
      <c r="Y813" s="45">
        <v>0</v>
      </c>
      <c r="Z813" s="45">
        <v>5</v>
      </c>
      <c r="AB813" s="46">
        <v>1548780</v>
      </c>
      <c r="AC813" s="45">
        <v>0</v>
      </c>
      <c r="AD813" s="45">
        <v>8</v>
      </c>
      <c r="AE813" s="46">
        <v>1539670</v>
      </c>
      <c r="AF813" s="45">
        <v>0</v>
      </c>
      <c r="AG813" s="45">
        <v>16</v>
      </c>
      <c r="AH813" s="46">
        <v>1492210</v>
      </c>
      <c r="AI813" s="45">
        <v>0</v>
      </c>
      <c r="AJ813" s="45">
        <v>15</v>
      </c>
      <c r="AK813" s="46">
        <v>1469110</v>
      </c>
      <c r="AL813" s="45">
        <v>0</v>
      </c>
      <c r="AM813" s="45">
        <v>9</v>
      </c>
      <c r="AO813" s="46">
        <v>1576770</v>
      </c>
      <c r="AP813" s="45">
        <v>0</v>
      </c>
      <c r="AQ813" s="45">
        <v>17</v>
      </c>
      <c r="AR813" s="46">
        <v>1541100</v>
      </c>
      <c r="AS813" s="45">
        <v>0</v>
      </c>
      <c r="AT813" s="45">
        <v>14</v>
      </c>
      <c r="AU813" s="46">
        <v>1578080</v>
      </c>
      <c r="AV813" s="45">
        <v>0</v>
      </c>
      <c r="AW813" s="45">
        <v>13</v>
      </c>
      <c r="AX813" s="46">
        <v>1534490</v>
      </c>
      <c r="AY813" s="45">
        <v>0</v>
      </c>
      <c r="AZ813" s="45">
        <v>9</v>
      </c>
    </row>
    <row r="814" spans="2:52">
      <c r="B814" s="46">
        <v>1640310</v>
      </c>
      <c r="C814" s="45">
        <v>0</v>
      </c>
      <c r="D814" s="45">
        <v>10</v>
      </c>
      <c r="E814" s="46">
        <v>1593220</v>
      </c>
      <c r="F814" s="45">
        <v>0</v>
      </c>
      <c r="G814" s="45">
        <v>14</v>
      </c>
      <c r="H814" s="46">
        <v>1549590</v>
      </c>
      <c r="I814" s="45">
        <v>0</v>
      </c>
      <c r="J814" s="45">
        <v>7</v>
      </c>
      <c r="K814" s="46">
        <v>1613220</v>
      </c>
      <c r="L814" s="45">
        <v>0</v>
      </c>
      <c r="M814" s="45">
        <v>5</v>
      </c>
      <c r="O814" s="46">
        <v>1631750</v>
      </c>
      <c r="P814" s="45">
        <v>0</v>
      </c>
      <c r="Q814" s="45">
        <v>11</v>
      </c>
      <c r="R814" s="46">
        <v>1702640</v>
      </c>
      <c r="S814" s="45">
        <v>0</v>
      </c>
      <c r="T814" s="45">
        <v>5</v>
      </c>
      <c r="U814" s="46">
        <v>1726270</v>
      </c>
      <c r="V814" s="45">
        <v>0</v>
      </c>
      <c r="W814" s="45">
        <v>8</v>
      </c>
      <c r="X814" s="46">
        <v>1682740</v>
      </c>
      <c r="Y814" s="45">
        <v>0</v>
      </c>
      <c r="Z814" s="45">
        <v>6</v>
      </c>
      <c r="AB814" s="46">
        <v>1606500</v>
      </c>
      <c r="AC814" s="45">
        <v>0</v>
      </c>
      <c r="AD814" s="45">
        <v>9</v>
      </c>
      <c r="AE814" s="46">
        <v>1632080</v>
      </c>
      <c r="AF814" s="45">
        <v>0</v>
      </c>
      <c r="AG814" s="45">
        <v>10</v>
      </c>
      <c r="AH814" s="46">
        <v>1594800</v>
      </c>
      <c r="AI814" s="45">
        <v>0</v>
      </c>
      <c r="AJ814" s="45">
        <v>18</v>
      </c>
      <c r="AK814" s="46">
        <v>1632000</v>
      </c>
      <c r="AL814" s="45">
        <v>0</v>
      </c>
      <c r="AM814" s="45">
        <v>11</v>
      </c>
      <c r="AO814" s="46">
        <v>1589760</v>
      </c>
      <c r="AP814" s="45">
        <v>0</v>
      </c>
      <c r="AQ814" s="45">
        <v>21</v>
      </c>
      <c r="AR814" s="46">
        <v>1634770</v>
      </c>
      <c r="AS814" s="45">
        <v>0</v>
      </c>
      <c r="AT814" s="45">
        <v>11</v>
      </c>
      <c r="AU814" s="46">
        <v>1592660</v>
      </c>
      <c r="AV814" s="45">
        <v>0</v>
      </c>
      <c r="AW814" s="45">
        <v>10</v>
      </c>
      <c r="AX814" s="46">
        <v>1591300</v>
      </c>
      <c r="AY814" s="45">
        <v>0</v>
      </c>
      <c r="AZ814" s="45">
        <v>9</v>
      </c>
    </row>
    <row r="815" spans="2:52">
      <c r="B815" s="46">
        <v>1555670</v>
      </c>
      <c r="C815" s="45">
        <v>0</v>
      </c>
      <c r="D815" s="45">
        <v>8</v>
      </c>
      <c r="E815" s="46">
        <v>1559780</v>
      </c>
      <c r="F815" s="45">
        <v>0</v>
      </c>
      <c r="G815" s="45">
        <v>7</v>
      </c>
      <c r="H815" s="46">
        <v>1583950</v>
      </c>
      <c r="I815" s="45">
        <v>0</v>
      </c>
      <c r="J815" s="45">
        <v>8</v>
      </c>
      <c r="K815" s="46">
        <v>1531370</v>
      </c>
      <c r="L815" s="45">
        <v>0</v>
      </c>
      <c r="M815" s="45">
        <v>9</v>
      </c>
      <c r="O815" s="46">
        <v>1589130</v>
      </c>
      <c r="P815" s="45">
        <v>0</v>
      </c>
      <c r="Q815" s="45">
        <v>6</v>
      </c>
      <c r="R815" s="46">
        <v>1525990</v>
      </c>
      <c r="S815" s="45">
        <v>0</v>
      </c>
      <c r="T815" s="45">
        <v>6</v>
      </c>
      <c r="U815" s="46">
        <v>1610070</v>
      </c>
      <c r="V815" s="45">
        <v>0</v>
      </c>
      <c r="W815" s="45">
        <v>5</v>
      </c>
      <c r="X815" s="46">
        <v>1579780</v>
      </c>
      <c r="Y815" s="45">
        <v>0</v>
      </c>
      <c r="Z815" s="45">
        <v>7</v>
      </c>
      <c r="AB815" s="46">
        <v>1551610</v>
      </c>
      <c r="AC815" s="45">
        <v>0</v>
      </c>
      <c r="AD815" s="45">
        <v>12</v>
      </c>
      <c r="AE815" s="46">
        <v>1541520</v>
      </c>
      <c r="AF815" s="45">
        <v>15</v>
      </c>
      <c r="AG815" s="45">
        <v>12</v>
      </c>
      <c r="AH815" s="46">
        <v>1545680</v>
      </c>
      <c r="AI815" s="45">
        <v>0</v>
      </c>
      <c r="AJ815" s="45">
        <v>11</v>
      </c>
      <c r="AK815" s="46">
        <v>1519590</v>
      </c>
      <c r="AL815" s="45">
        <v>0</v>
      </c>
      <c r="AM815" s="45">
        <v>8</v>
      </c>
      <c r="AO815" s="46">
        <v>1664180</v>
      </c>
      <c r="AP815" s="45">
        <v>0</v>
      </c>
      <c r="AQ815" s="45">
        <v>13</v>
      </c>
      <c r="AR815" s="46">
        <v>1522400</v>
      </c>
      <c r="AS815" s="45">
        <v>0</v>
      </c>
      <c r="AT815" s="45">
        <v>11</v>
      </c>
      <c r="AU815" s="46">
        <v>1642140</v>
      </c>
      <c r="AV815" s="45">
        <v>0</v>
      </c>
      <c r="AW815" s="45">
        <v>6</v>
      </c>
      <c r="AX815" s="46">
        <v>1564320</v>
      </c>
      <c r="AY815" s="45">
        <v>0</v>
      </c>
      <c r="AZ815" s="45">
        <v>11</v>
      </c>
    </row>
    <row r="816" spans="2:52">
      <c r="B816" s="46">
        <v>1578820</v>
      </c>
      <c r="C816" s="45">
        <v>0</v>
      </c>
      <c r="D816" s="45">
        <v>12</v>
      </c>
      <c r="E816" s="46">
        <v>1644890</v>
      </c>
      <c r="F816" s="45">
        <v>74</v>
      </c>
      <c r="G816" s="45">
        <v>16</v>
      </c>
      <c r="H816" s="46">
        <v>1658800</v>
      </c>
      <c r="I816" s="45">
        <v>88</v>
      </c>
      <c r="J816" s="45">
        <v>13</v>
      </c>
      <c r="K816" s="46">
        <v>1476620</v>
      </c>
      <c r="L816" s="45">
        <v>0</v>
      </c>
      <c r="M816" s="45">
        <v>6</v>
      </c>
      <c r="O816" s="46">
        <v>1583170</v>
      </c>
      <c r="P816" s="45">
        <v>0</v>
      </c>
      <c r="Q816" s="45">
        <v>5</v>
      </c>
      <c r="R816" s="46">
        <v>1561820</v>
      </c>
      <c r="S816" s="45">
        <v>12</v>
      </c>
      <c r="T816" s="45">
        <v>9</v>
      </c>
      <c r="U816" s="46">
        <v>1576220</v>
      </c>
      <c r="V816" s="45">
        <v>0</v>
      </c>
      <c r="W816" s="45">
        <v>4</v>
      </c>
      <c r="X816" s="46">
        <v>1590920</v>
      </c>
      <c r="Y816" s="45">
        <v>0</v>
      </c>
      <c r="Z816" s="45">
        <v>6</v>
      </c>
      <c r="AB816" s="46">
        <v>1614410</v>
      </c>
      <c r="AC816" s="45">
        <v>0</v>
      </c>
      <c r="AD816" s="45">
        <v>8</v>
      </c>
      <c r="AE816" s="46">
        <v>1630260</v>
      </c>
      <c r="AF816" s="45">
        <v>114</v>
      </c>
      <c r="AG816" s="45">
        <v>23</v>
      </c>
      <c r="AH816" s="46">
        <v>1659220</v>
      </c>
      <c r="AI816" s="45">
        <v>40</v>
      </c>
      <c r="AJ816" s="45">
        <v>24</v>
      </c>
      <c r="AK816" s="46">
        <v>1470970</v>
      </c>
      <c r="AL816" s="45">
        <v>0</v>
      </c>
      <c r="AM816" s="45">
        <v>7</v>
      </c>
      <c r="AO816" s="46">
        <v>1611470</v>
      </c>
      <c r="AP816" s="45">
        <v>0</v>
      </c>
      <c r="AQ816" s="45">
        <v>10</v>
      </c>
      <c r="AR816" s="48">
        <v>1477340</v>
      </c>
      <c r="AS816" s="45">
        <v>0</v>
      </c>
      <c r="AT816" s="45">
        <v>20</v>
      </c>
      <c r="AU816" s="46">
        <v>1456320</v>
      </c>
      <c r="AV816" s="45">
        <v>0</v>
      </c>
      <c r="AW816" s="45">
        <v>13</v>
      </c>
      <c r="AX816" s="46">
        <v>1592490</v>
      </c>
      <c r="AY816" s="45">
        <v>0</v>
      </c>
      <c r="AZ816" s="45">
        <v>6</v>
      </c>
    </row>
    <row r="817" spans="2:52">
      <c r="B817" s="46">
        <v>1441160</v>
      </c>
      <c r="C817" s="45">
        <v>0</v>
      </c>
      <c r="D817" s="45">
        <v>13</v>
      </c>
      <c r="E817" s="46">
        <v>1505290</v>
      </c>
      <c r="F817" s="45">
        <v>0</v>
      </c>
      <c r="G817" s="45">
        <v>8</v>
      </c>
      <c r="H817" s="46">
        <v>1508000</v>
      </c>
      <c r="I817" s="45">
        <v>0</v>
      </c>
      <c r="J817" s="45">
        <v>4</v>
      </c>
      <c r="K817" s="46">
        <v>1562650</v>
      </c>
      <c r="L817" s="45">
        <v>15</v>
      </c>
      <c r="M817" s="45">
        <v>10</v>
      </c>
      <c r="O817" s="46">
        <v>1585120</v>
      </c>
      <c r="P817" s="45">
        <v>111</v>
      </c>
      <c r="Q817" s="45">
        <v>15</v>
      </c>
      <c r="R817" s="46">
        <v>1509550</v>
      </c>
      <c r="S817" s="45">
        <v>0</v>
      </c>
      <c r="T817" s="45">
        <v>6</v>
      </c>
      <c r="U817" s="46">
        <v>1556030</v>
      </c>
      <c r="V817" s="45">
        <v>0</v>
      </c>
      <c r="W817" s="45">
        <v>6</v>
      </c>
      <c r="X817" s="46">
        <v>1558190</v>
      </c>
      <c r="Y817" s="45">
        <v>16</v>
      </c>
      <c r="Z817" s="45">
        <v>6</v>
      </c>
      <c r="AB817" s="46">
        <v>1584270</v>
      </c>
      <c r="AC817" s="45">
        <v>5</v>
      </c>
      <c r="AD817" s="45">
        <v>7</v>
      </c>
      <c r="AE817" s="46">
        <v>1545080</v>
      </c>
      <c r="AF817" s="45">
        <v>79</v>
      </c>
      <c r="AG817" s="45">
        <v>20</v>
      </c>
      <c r="AH817" s="46">
        <v>1618730</v>
      </c>
      <c r="AI817" s="45">
        <v>0</v>
      </c>
      <c r="AJ817" s="45">
        <v>8</v>
      </c>
      <c r="AK817" s="46">
        <v>1485840</v>
      </c>
      <c r="AL817" s="45">
        <v>32</v>
      </c>
      <c r="AM817" s="45">
        <v>14</v>
      </c>
      <c r="AO817" s="46">
        <v>1540000</v>
      </c>
      <c r="AP817" s="45">
        <v>0</v>
      </c>
      <c r="AQ817" s="45">
        <v>5</v>
      </c>
      <c r="AR817" s="46">
        <v>1559390</v>
      </c>
      <c r="AS817" s="45">
        <v>0</v>
      </c>
      <c r="AT817" s="45">
        <v>8</v>
      </c>
      <c r="AU817" s="46">
        <v>1446780</v>
      </c>
      <c r="AV817" s="45">
        <v>7</v>
      </c>
      <c r="AW817" s="45">
        <v>8</v>
      </c>
      <c r="AX817" s="46">
        <v>1439680</v>
      </c>
      <c r="AY817" s="45">
        <v>3</v>
      </c>
      <c r="AZ817" s="45">
        <v>12</v>
      </c>
    </row>
    <row r="818" spans="2:52">
      <c r="B818" s="46">
        <v>1518840</v>
      </c>
      <c r="C818" s="45">
        <v>0</v>
      </c>
      <c r="D818" s="45">
        <v>8</v>
      </c>
      <c r="E818" s="46">
        <v>1482320</v>
      </c>
      <c r="F818" s="45">
        <v>19</v>
      </c>
      <c r="G818" s="45">
        <v>12</v>
      </c>
      <c r="H818" s="46">
        <v>1517920</v>
      </c>
      <c r="I818" s="45">
        <v>0</v>
      </c>
      <c r="J818" s="45">
        <v>5</v>
      </c>
      <c r="K818" s="46">
        <v>1545290</v>
      </c>
      <c r="L818" s="45">
        <v>0</v>
      </c>
      <c r="M818" s="45">
        <v>7</v>
      </c>
      <c r="O818" s="46">
        <v>1558220</v>
      </c>
      <c r="P818" s="45">
        <v>0</v>
      </c>
      <c r="Q818" s="45">
        <v>11</v>
      </c>
      <c r="R818" s="46">
        <v>1519720</v>
      </c>
      <c r="S818" s="45">
        <v>0</v>
      </c>
      <c r="T818" s="45">
        <v>7</v>
      </c>
      <c r="U818" s="46">
        <v>1590210</v>
      </c>
      <c r="V818" s="45">
        <v>0</v>
      </c>
      <c r="W818" s="45">
        <v>5</v>
      </c>
      <c r="X818" s="46">
        <v>1570100</v>
      </c>
      <c r="Y818" s="45">
        <v>0</v>
      </c>
      <c r="Z818" s="45">
        <v>5</v>
      </c>
      <c r="AB818" s="46">
        <v>1535720</v>
      </c>
      <c r="AC818" s="45">
        <v>0</v>
      </c>
      <c r="AD818" s="45">
        <v>13</v>
      </c>
      <c r="AE818" s="46">
        <v>1556330</v>
      </c>
      <c r="AF818" s="45">
        <v>7</v>
      </c>
      <c r="AG818" s="45">
        <v>6</v>
      </c>
      <c r="AH818" s="46">
        <v>1658940</v>
      </c>
      <c r="AI818" s="45">
        <v>152</v>
      </c>
      <c r="AJ818" s="45">
        <v>21</v>
      </c>
      <c r="AK818" s="46">
        <v>1553340</v>
      </c>
      <c r="AL818" s="45">
        <v>0</v>
      </c>
      <c r="AM818" s="45">
        <v>5</v>
      </c>
      <c r="AO818" s="46">
        <v>1542800</v>
      </c>
      <c r="AP818" s="45">
        <v>0</v>
      </c>
      <c r="AQ818" s="45">
        <v>16</v>
      </c>
      <c r="AR818" s="46">
        <v>1512790</v>
      </c>
      <c r="AS818" s="45">
        <v>0</v>
      </c>
      <c r="AT818" s="45">
        <v>8</v>
      </c>
      <c r="AU818" s="46">
        <v>1642430</v>
      </c>
      <c r="AV818" s="45">
        <v>43</v>
      </c>
      <c r="AW818" s="45">
        <v>8</v>
      </c>
      <c r="AX818" s="46">
        <v>1564380</v>
      </c>
      <c r="AY818" s="45">
        <v>0</v>
      </c>
      <c r="AZ818" s="45">
        <v>11</v>
      </c>
    </row>
    <row r="819" spans="2:52">
      <c r="B819" s="46">
        <v>1480920</v>
      </c>
      <c r="C819" s="45">
        <v>0</v>
      </c>
      <c r="D819" s="45">
        <v>12</v>
      </c>
      <c r="E819" s="46">
        <v>1494060</v>
      </c>
      <c r="F819" s="45">
        <v>0</v>
      </c>
      <c r="G819" s="45">
        <v>11</v>
      </c>
      <c r="H819" s="46">
        <v>1534250</v>
      </c>
      <c r="I819" s="45">
        <v>0</v>
      </c>
      <c r="J819" s="45">
        <v>6</v>
      </c>
      <c r="K819" s="46">
        <v>1451100</v>
      </c>
      <c r="L819" s="45">
        <v>23</v>
      </c>
      <c r="M819" s="45">
        <v>14</v>
      </c>
      <c r="O819" s="46">
        <v>1535880</v>
      </c>
      <c r="P819" s="45">
        <v>0</v>
      </c>
      <c r="Q819" s="45">
        <v>5</v>
      </c>
      <c r="R819" s="46">
        <v>1537970</v>
      </c>
      <c r="S819" s="45">
        <v>0</v>
      </c>
      <c r="T819" s="45">
        <v>8</v>
      </c>
      <c r="U819" s="46">
        <v>1502490</v>
      </c>
      <c r="V819" s="45">
        <v>0</v>
      </c>
      <c r="W819" s="45">
        <v>5</v>
      </c>
      <c r="X819" s="46">
        <v>1549250</v>
      </c>
      <c r="Y819" s="45">
        <v>0</v>
      </c>
      <c r="Z819" s="45">
        <v>6</v>
      </c>
      <c r="AB819" s="46">
        <v>1526590</v>
      </c>
      <c r="AC819" s="45">
        <v>0</v>
      </c>
      <c r="AD819" s="45">
        <v>11</v>
      </c>
      <c r="AE819" s="46">
        <v>1459600</v>
      </c>
      <c r="AF819" s="45">
        <v>0</v>
      </c>
      <c r="AG819" s="45">
        <v>16</v>
      </c>
      <c r="AH819" s="46">
        <v>1478400</v>
      </c>
      <c r="AI819" s="45">
        <v>0</v>
      </c>
      <c r="AJ819" s="45">
        <v>13</v>
      </c>
      <c r="AK819" s="46">
        <v>1496640</v>
      </c>
      <c r="AL819" s="45">
        <v>0</v>
      </c>
      <c r="AM819" s="45">
        <v>8</v>
      </c>
      <c r="AO819" s="46">
        <v>1427760</v>
      </c>
      <c r="AP819" s="45">
        <v>0</v>
      </c>
      <c r="AQ819" s="45">
        <v>17</v>
      </c>
      <c r="AR819" s="46">
        <v>1519500</v>
      </c>
      <c r="AS819" s="45">
        <v>0</v>
      </c>
      <c r="AT819" s="45">
        <v>6</v>
      </c>
      <c r="AU819" s="46">
        <v>1503000</v>
      </c>
      <c r="AV819" s="45">
        <v>0</v>
      </c>
      <c r="AW819" s="45">
        <v>12</v>
      </c>
      <c r="AX819" s="46">
        <v>1443760</v>
      </c>
      <c r="AY819" s="45">
        <v>0</v>
      </c>
      <c r="AZ819" s="45">
        <v>11</v>
      </c>
    </row>
    <row r="820" spans="2:52">
      <c r="B820" s="46">
        <v>1749610</v>
      </c>
      <c r="C820" s="45">
        <v>0</v>
      </c>
      <c r="D820" s="45">
        <v>5</v>
      </c>
      <c r="E820" s="46">
        <v>1690360</v>
      </c>
      <c r="F820" s="45">
        <v>0</v>
      </c>
      <c r="G820" s="45">
        <v>7</v>
      </c>
      <c r="H820" s="46">
        <v>1685890</v>
      </c>
      <c r="I820" s="45">
        <v>0</v>
      </c>
      <c r="J820" s="45">
        <v>6</v>
      </c>
      <c r="K820" s="46">
        <v>1713210</v>
      </c>
      <c r="L820" s="45">
        <v>77</v>
      </c>
      <c r="M820" s="45">
        <v>19</v>
      </c>
      <c r="O820" s="46">
        <v>1676900</v>
      </c>
      <c r="P820" s="45">
        <v>0</v>
      </c>
      <c r="Q820" s="45">
        <v>5</v>
      </c>
      <c r="R820" s="46">
        <v>1705010</v>
      </c>
      <c r="S820" s="45">
        <v>0</v>
      </c>
      <c r="T820" s="45">
        <v>7</v>
      </c>
      <c r="U820" s="46">
        <v>1797910</v>
      </c>
      <c r="V820" s="45">
        <v>0</v>
      </c>
      <c r="W820" s="45">
        <v>5</v>
      </c>
      <c r="X820" s="46">
        <v>1673870</v>
      </c>
      <c r="Y820" s="45">
        <v>0</v>
      </c>
      <c r="Z820" s="45">
        <v>8</v>
      </c>
      <c r="AB820" s="46">
        <v>1661960</v>
      </c>
      <c r="AC820" s="45">
        <v>0</v>
      </c>
      <c r="AD820" s="45">
        <v>14</v>
      </c>
      <c r="AE820" s="46">
        <v>1599190</v>
      </c>
      <c r="AF820" s="45">
        <v>0</v>
      </c>
      <c r="AG820" s="45">
        <v>6</v>
      </c>
      <c r="AH820" s="46">
        <v>1694040</v>
      </c>
      <c r="AI820" s="45">
        <v>141</v>
      </c>
      <c r="AJ820" s="45">
        <v>19</v>
      </c>
      <c r="AK820" s="46">
        <v>1613820</v>
      </c>
      <c r="AL820" s="45">
        <v>0</v>
      </c>
      <c r="AM820" s="45">
        <v>10</v>
      </c>
      <c r="AO820" s="46">
        <v>1770590</v>
      </c>
      <c r="AP820" s="45">
        <v>15</v>
      </c>
      <c r="AQ820" s="45">
        <v>12</v>
      </c>
      <c r="AR820" s="46">
        <v>1659790</v>
      </c>
      <c r="AS820" s="45">
        <v>35</v>
      </c>
      <c r="AT820" s="45">
        <v>17</v>
      </c>
      <c r="AU820" s="46">
        <v>1648830</v>
      </c>
      <c r="AV820" s="45">
        <v>0</v>
      </c>
      <c r="AW820" s="45">
        <v>11</v>
      </c>
      <c r="AX820" s="46">
        <v>1580250</v>
      </c>
      <c r="AY820" s="45">
        <v>54</v>
      </c>
      <c r="AZ820" s="45">
        <v>20</v>
      </c>
    </row>
    <row r="821" spans="2:52">
      <c r="B821" s="46">
        <v>1584300</v>
      </c>
      <c r="C821" s="45">
        <v>0</v>
      </c>
      <c r="D821" s="45">
        <v>10</v>
      </c>
      <c r="E821" s="46">
        <v>1549850</v>
      </c>
      <c r="F821" s="45">
        <v>0</v>
      </c>
      <c r="G821" s="45">
        <v>8</v>
      </c>
      <c r="H821" s="46">
        <v>1596050</v>
      </c>
      <c r="I821" s="45">
        <v>58</v>
      </c>
      <c r="J821" s="45">
        <v>15</v>
      </c>
      <c r="K821" s="46">
        <v>1557170</v>
      </c>
      <c r="L821" s="45">
        <v>0</v>
      </c>
      <c r="M821" s="45">
        <v>6</v>
      </c>
      <c r="O821" s="46">
        <v>1615540</v>
      </c>
      <c r="P821" s="45">
        <v>0</v>
      </c>
      <c r="Q821" s="45">
        <v>7</v>
      </c>
      <c r="R821" s="46">
        <v>1612950</v>
      </c>
      <c r="S821" s="45">
        <v>0</v>
      </c>
      <c r="T821" s="45">
        <v>7</v>
      </c>
      <c r="U821" s="46">
        <v>1573240</v>
      </c>
      <c r="V821" s="45">
        <v>0</v>
      </c>
      <c r="W821" s="45">
        <v>7</v>
      </c>
      <c r="X821" s="46">
        <v>1601780</v>
      </c>
      <c r="Y821" s="45">
        <v>0</v>
      </c>
      <c r="Z821" s="45">
        <v>5</v>
      </c>
      <c r="AB821" s="46">
        <v>1553900</v>
      </c>
      <c r="AC821" s="45">
        <v>0</v>
      </c>
      <c r="AD821" s="45">
        <v>13</v>
      </c>
      <c r="AE821" s="46">
        <v>1571360</v>
      </c>
      <c r="AF821" s="45">
        <v>0</v>
      </c>
      <c r="AG821" s="45">
        <v>10</v>
      </c>
      <c r="AH821" s="46">
        <v>1550290</v>
      </c>
      <c r="AI821" s="45">
        <v>56</v>
      </c>
      <c r="AJ821" s="45">
        <v>17</v>
      </c>
      <c r="AK821" s="46">
        <v>1571550</v>
      </c>
      <c r="AL821" s="45">
        <v>5</v>
      </c>
      <c r="AM821" s="45">
        <v>16</v>
      </c>
      <c r="AO821" s="46">
        <v>1548740</v>
      </c>
      <c r="AP821" s="45">
        <v>0</v>
      </c>
      <c r="AQ821" s="45">
        <v>11</v>
      </c>
      <c r="AR821" s="46">
        <v>1509900</v>
      </c>
      <c r="AS821" s="45">
        <v>0</v>
      </c>
      <c r="AT821" s="45">
        <v>9</v>
      </c>
      <c r="AU821" s="46">
        <v>1606420</v>
      </c>
      <c r="AV821" s="45">
        <v>90</v>
      </c>
      <c r="AW821" s="45">
        <v>17</v>
      </c>
      <c r="AX821" s="46">
        <v>1644460</v>
      </c>
      <c r="AY821" s="45">
        <v>77</v>
      </c>
      <c r="AZ821" s="45">
        <v>14</v>
      </c>
    </row>
    <row r="822" spans="2:52">
      <c r="B822" s="46">
        <v>1630480</v>
      </c>
      <c r="C822" s="45">
        <v>0</v>
      </c>
      <c r="D822" s="45">
        <v>13</v>
      </c>
      <c r="E822" s="46">
        <v>1509080</v>
      </c>
      <c r="F822" s="45">
        <v>0</v>
      </c>
      <c r="G822" s="45">
        <v>10</v>
      </c>
      <c r="H822" s="46">
        <v>1593650</v>
      </c>
      <c r="I822" s="45">
        <v>0</v>
      </c>
      <c r="J822" s="45">
        <v>8</v>
      </c>
      <c r="K822" s="46">
        <v>1525000</v>
      </c>
      <c r="L822" s="45">
        <v>0</v>
      </c>
      <c r="M822" s="45">
        <v>6</v>
      </c>
      <c r="O822" s="46">
        <v>1570920</v>
      </c>
      <c r="P822" s="45">
        <v>0</v>
      </c>
      <c r="Q822" s="45">
        <v>8</v>
      </c>
      <c r="R822" s="46">
        <v>1612280</v>
      </c>
      <c r="S822" s="45">
        <v>0</v>
      </c>
      <c r="T822" s="45">
        <v>7</v>
      </c>
      <c r="U822" s="46">
        <v>1619270</v>
      </c>
      <c r="V822" s="45">
        <v>0</v>
      </c>
      <c r="W822" s="45">
        <v>10</v>
      </c>
      <c r="X822" s="46">
        <v>1600050</v>
      </c>
      <c r="Y822" s="45">
        <v>0</v>
      </c>
      <c r="Z822" s="45">
        <v>5</v>
      </c>
      <c r="AB822" s="46">
        <v>1589500</v>
      </c>
      <c r="AC822" s="45">
        <v>0</v>
      </c>
      <c r="AD822" s="45">
        <v>8</v>
      </c>
      <c r="AE822" s="46">
        <v>1619300</v>
      </c>
      <c r="AF822" s="45">
        <v>0</v>
      </c>
      <c r="AG822" s="45">
        <v>10</v>
      </c>
      <c r="AH822" s="46">
        <v>1542810</v>
      </c>
      <c r="AI822" s="45">
        <v>0</v>
      </c>
      <c r="AJ822" s="45">
        <v>9</v>
      </c>
      <c r="AK822" s="46">
        <v>1492800</v>
      </c>
      <c r="AL822" s="45">
        <v>0</v>
      </c>
      <c r="AM822" s="45">
        <v>9</v>
      </c>
      <c r="AO822" s="46">
        <v>1586880</v>
      </c>
      <c r="AP822" s="45">
        <v>0</v>
      </c>
      <c r="AQ822" s="45">
        <v>8</v>
      </c>
      <c r="AR822" s="46">
        <v>1547140</v>
      </c>
      <c r="AS822" s="45">
        <v>0</v>
      </c>
      <c r="AT822" s="45">
        <v>6</v>
      </c>
      <c r="AU822" s="46">
        <v>1485770</v>
      </c>
      <c r="AV822" s="45">
        <v>0</v>
      </c>
      <c r="AW822" s="45">
        <v>16</v>
      </c>
      <c r="AX822" s="46">
        <v>1565940</v>
      </c>
      <c r="AY822" s="45">
        <v>0</v>
      </c>
      <c r="AZ822" s="45">
        <v>7</v>
      </c>
    </row>
    <row r="823" spans="2:52">
      <c r="B823" s="46">
        <v>1611900</v>
      </c>
      <c r="C823" s="45">
        <v>0</v>
      </c>
      <c r="D823" s="45">
        <v>10</v>
      </c>
      <c r="E823" s="46">
        <v>1545810</v>
      </c>
      <c r="F823" s="45">
        <v>24</v>
      </c>
      <c r="G823" s="45">
        <v>14</v>
      </c>
      <c r="H823" s="46">
        <v>1518560</v>
      </c>
      <c r="I823" s="45">
        <v>0</v>
      </c>
      <c r="J823" s="45">
        <v>7</v>
      </c>
      <c r="K823" s="46">
        <v>1431630</v>
      </c>
      <c r="L823" s="45">
        <v>13</v>
      </c>
      <c r="M823" s="45">
        <v>15</v>
      </c>
      <c r="O823" s="46">
        <v>1500060</v>
      </c>
      <c r="P823" s="45">
        <v>0</v>
      </c>
      <c r="Q823" s="45">
        <v>9</v>
      </c>
      <c r="R823" s="46">
        <v>1594830</v>
      </c>
      <c r="S823" s="45">
        <v>0</v>
      </c>
      <c r="T823" s="45">
        <v>8</v>
      </c>
      <c r="U823" s="46">
        <v>1528840</v>
      </c>
      <c r="V823" s="45">
        <v>0</v>
      </c>
      <c r="W823" s="45">
        <v>6</v>
      </c>
      <c r="X823" s="46">
        <v>1602120</v>
      </c>
      <c r="Y823" s="45">
        <v>11</v>
      </c>
      <c r="Z823" s="45">
        <v>9</v>
      </c>
      <c r="AB823" s="46">
        <v>1563720</v>
      </c>
      <c r="AC823" s="45">
        <v>0</v>
      </c>
      <c r="AD823" s="45">
        <v>10</v>
      </c>
      <c r="AE823" s="46">
        <v>1528040</v>
      </c>
      <c r="AF823" s="45">
        <v>0</v>
      </c>
      <c r="AG823" s="45">
        <v>8</v>
      </c>
      <c r="AH823" s="46">
        <v>1527830</v>
      </c>
      <c r="AI823" s="45">
        <v>0</v>
      </c>
      <c r="AJ823" s="45">
        <v>9</v>
      </c>
      <c r="AK823" s="46">
        <v>1445040</v>
      </c>
      <c r="AL823" s="45">
        <v>0</v>
      </c>
      <c r="AM823" s="45">
        <v>6</v>
      </c>
      <c r="AO823" s="46">
        <v>1480200</v>
      </c>
      <c r="AP823" s="45">
        <v>0</v>
      </c>
      <c r="AQ823" s="45">
        <v>13</v>
      </c>
      <c r="AR823" s="46">
        <v>1503330</v>
      </c>
      <c r="AS823" s="45">
        <v>0</v>
      </c>
      <c r="AT823" s="45">
        <v>10</v>
      </c>
      <c r="AU823" s="46">
        <v>1453770</v>
      </c>
      <c r="AV823" s="45">
        <v>0</v>
      </c>
      <c r="AW823" s="45">
        <v>7</v>
      </c>
      <c r="AX823" s="46">
        <v>1462300</v>
      </c>
      <c r="AY823" s="45">
        <v>0</v>
      </c>
      <c r="AZ823" s="45">
        <v>9</v>
      </c>
    </row>
    <row r="824" spans="2:52">
      <c r="B824" s="46">
        <v>1298930</v>
      </c>
      <c r="C824" s="45">
        <v>0</v>
      </c>
      <c r="D824" s="45">
        <v>15</v>
      </c>
      <c r="E824" s="46">
        <v>1357230</v>
      </c>
      <c r="F824" s="45">
        <v>0</v>
      </c>
      <c r="G824" s="45">
        <v>8</v>
      </c>
      <c r="H824" s="46">
        <v>1345820</v>
      </c>
      <c r="I824" s="45">
        <v>0</v>
      </c>
      <c r="J824" s="45">
        <v>10</v>
      </c>
      <c r="K824" s="46">
        <v>1304560</v>
      </c>
      <c r="L824" s="45">
        <v>0</v>
      </c>
      <c r="M824" s="45">
        <v>5</v>
      </c>
      <c r="O824" s="46">
        <v>1424080</v>
      </c>
      <c r="P824" s="45">
        <v>0</v>
      </c>
      <c r="Q824" s="45">
        <v>5</v>
      </c>
      <c r="R824" s="46">
        <v>1337820</v>
      </c>
      <c r="S824" s="45">
        <v>0</v>
      </c>
      <c r="T824" s="45">
        <v>8</v>
      </c>
      <c r="U824" s="46">
        <v>1358760</v>
      </c>
      <c r="V824" s="45">
        <v>0</v>
      </c>
      <c r="W824" s="45">
        <v>8</v>
      </c>
      <c r="X824" s="46">
        <v>1347650</v>
      </c>
      <c r="Y824" s="45">
        <v>0</v>
      </c>
      <c r="Z824" s="45">
        <v>5</v>
      </c>
      <c r="AB824" s="46">
        <v>1371060</v>
      </c>
      <c r="AC824" s="45">
        <v>0</v>
      </c>
      <c r="AD824" s="45">
        <v>13</v>
      </c>
      <c r="AE824" s="46">
        <v>1307450</v>
      </c>
      <c r="AF824" s="45">
        <v>0</v>
      </c>
      <c r="AG824" s="45">
        <v>11</v>
      </c>
      <c r="AH824" s="46">
        <v>1346950</v>
      </c>
      <c r="AI824" s="45">
        <v>10</v>
      </c>
      <c r="AJ824" s="45">
        <v>11</v>
      </c>
      <c r="AK824" s="46">
        <v>1287230</v>
      </c>
      <c r="AL824" s="45">
        <v>0</v>
      </c>
      <c r="AM824" s="45">
        <v>7</v>
      </c>
      <c r="AO824" s="46">
        <v>1389610</v>
      </c>
      <c r="AP824" s="45">
        <v>7</v>
      </c>
      <c r="AQ824" s="45">
        <v>12</v>
      </c>
      <c r="AR824" s="46">
        <v>1375470</v>
      </c>
      <c r="AS824" s="45">
        <v>25</v>
      </c>
      <c r="AT824" s="45">
        <v>17</v>
      </c>
      <c r="AU824" s="46">
        <v>1334910</v>
      </c>
      <c r="AV824" s="45">
        <v>0</v>
      </c>
      <c r="AW824" s="45">
        <v>7</v>
      </c>
      <c r="AX824" s="46">
        <v>1291510</v>
      </c>
      <c r="AY824" s="45">
        <v>0</v>
      </c>
      <c r="AZ824" s="45">
        <v>9</v>
      </c>
    </row>
    <row r="825" spans="2:52">
      <c r="B825" s="46">
        <v>1502690</v>
      </c>
      <c r="C825" s="45">
        <v>0</v>
      </c>
      <c r="D825" s="45">
        <v>12</v>
      </c>
      <c r="E825" s="46">
        <v>1464010</v>
      </c>
      <c r="F825" s="45">
        <v>0</v>
      </c>
      <c r="G825" s="45">
        <v>10</v>
      </c>
      <c r="H825" s="46">
        <v>1502840</v>
      </c>
      <c r="I825" s="45">
        <v>0</v>
      </c>
      <c r="J825" s="45">
        <v>9</v>
      </c>
      <c r="K825" s="46">
        <v>1401600</v>
      </c>
      <c r="L825" s="45">
        <v>0</v>
      </c>
      <c r="M825" s="45">
        <v>8</v>
      </c>
      <c r="O825" s="46">
        <v>1515120</v>
      </c>
      <c r="P825" s="45">
        <v>0</v>
      </c>
      <c r="Q825" s="45">
        <v>7</v>
      </c>
      <c r="R825" s="46">
        <v>1529440</v>
      </c>
      <c r="S825" s="45">
        <v>0</v>
      </c>
      <c r="T825" s="45">
        <v>8</v>
      </c>
      <c r="U825" s="46">
        <v>1553940</v>
      </c>
      <c r="V825" s="45">
        <v>0</v>
      </c>
      <c r="W825" s="45">
        <v>6</v>
      </c>
      <c r="X825" s="46">
        <v>1570950</v>
      </c>
      <c r="Y825" s="45">
        <v>0</v>
      </c>
      <c r="Z825" s="45">
        <v>6</v>
      </c>
      <c r="AB825" s="46">
        <v>1529430</v>
      </c>
      <c r="AC825" s="45">
        <v>0</v>
      </c>
      <c r="AD825" s="45">
        <v>11</v>
      </c>
      <c r="AE825" s="46">
        <v>1508940</v>
      </c>
      <c r="AF825" s="45">
        <v>0</v>
      </c>
      <c r="AG825" s="45">
        <v>7</v>
      </c>
      <c r="AH825" s="46">
        <v>1560990</v>
      </c>
      <c r="AI825" s="45">
        <v>63</v>
      </c>
      <c r="AJ825" s="45">
        <v>19</v>
      </c>
      <c r="AK825" s="46">
        <v>1513580</v>
      </c>
      <c r="AL825" s="45">
        <v>0</v>
      </c>
      <c r="AM825" s="45">
        <v>6</v>
      </c>
      <c r="AO825" s="46">
        <v>1527800</v>
      </c>
      <c r="AP825" s="45">
        <v>0</v>
      </c>
      <c r="AQ825" s="45">
        <v>5</v>
      </c>
      <c r="AR825" s="46">
        <v>1514410</v>
      </c>
      <c r="AS825" s="45">
        <v>0</v>
      </c>
      <c r="AT825" s="45">
        <v>4</v>
      </c>
      <c r="AU825" s="46">
        <v>1513530</v>
      </c>
      <c r="AV825" s="45">
        <v>0</v>
      </c>
      <c r="AW825" s="45">
        <v>7</v>
      </c>
      <c r="AX825" s="46">
        <v>1477020</v>
      </c>
      <c r="AY825" s="45">
        <v>0</v>
      </c>
      <c r="AZ825" s="45">
        <v>6</v>
      </c>
    </row>
    <row r="826" spans="2:52">
      <c r="B826" s="46">
        <v>1408090</v>
      </c>
      <c r="C826" s="45">
        <v>0</v>
      </c>
      <c r="D826" s="45">
        <v>8</v>
      </c>
      <c r="E826" s="46">
        <v>1447690</v>
      </c>
      <c r="F826" s="45">
        <v>0</v>
      </c>
      <c r="G826" s="45">
        <v>10</v>
      </c>
      <c r="H826" s="46">
        <v>1410890</v>
      </c>
      <c r="I826" s="45">
        <v>0</v>
      </c>
      <c r="J826" s="45">
        <v>9</v>
      </c>
      <c r="K826" s="46">
        <v>1363770</v>
      </c>
      <c r="L826" s="45">
        <v>0</v>
      </c>
      <c r="M826" s="45">
        <v>6</v>
      </c>
      <c r="O826" s="46">
        <v>1483230</v>
      </c>
      <c r="P826" s="45">
        <v>0</v>
      </c>
      <c r="Q826" s="45">
        <v>6</v>
      </c>
      <c r="R826" s="46">
        <v>1481220</v>
      </c>
      <c r="S826" s="45">
        <v>0</v>
      </c>
      <c r="T826" s="45">
        <v>6</v>
      </c>
      <c r="U826" s="46">
        <v>1450040</v>
      </c>
      <c r="V826" s="45">
        <v>0</v>
      </c>
      <c r="W826" s="45">
        <v>7</v>
      </c>
      <c r="X826" s="46">
        <v>1417610</v>
      </c>
      <c r="Y826" s="45">
        <v>0</v>
      </c>
      <c r="Z826" s="45">
        <v>5</v>
      </c>
      <c r="AB826" s="46">
        <v>1517400</v>
      </c>
      <c r="AC826" s="45">
        <v>0</v>
      </c>
      <c r="AD826" s="45">
        <v>9</v>
      </c>
      <c r="AE826" s="46">
        <v>1467210</v>
      </c>
      <c r="AF826" s="45">
        <v>0</v>
      </c>
      <c r="AG826" s="45">
        <v>14</v>
      </c>
      <c r="AH826" s="46">
        <v>1349010</v>
      </c>
      <c r="AI826" s="45">
        <v>0</v>
      </c>
      <c r="AJ826" s="45">
        <v>13</v>
      </c>
      <c r="AK826" s="46">
        <v>1428930</v>
      </c>
      <c r="AL826" s="45">
        <v>0</v>
      </c>
      <c r="AM826" s="45">
        <v>7</v>
      </c>
      <c r="AO826" s="46">
        <v>1468510</v>
      </c>
      <c r="AP826" s="45">
        <v>0</v>
      </c>
      <c r="AQ826" s="45">
        <v>14</v>
      </c>
      <c r="AR826" s="46">
        <v>1467840</v>
      </c>
      <c r="AS826" s="45">
        <v>0</v>
      </c>
      <c r="AT826" s="45">
        <v>5</v>
      </c>
      <c r="AU826" s="46">
        <v>1459660</v>
      </c>
      <c r="AV826" s="45">
        <v>0</v>
      </c>
      <c r="AW826" s="45">
        <v>9</v>
      </c>
      <c r="AX826" s="46">
        <v>1436210</v>
      </c>
      <c r="AY826" s="45">
        <v>0</v>
      </c>
      <c r="AZ826" s="45">
        <v>6</v>
      </c>
    </row>
    <row r="827" spans="2:52">
      <c r="B827" s="46">
        <v>1522650</v>
      </c>
      <c r="C827" s="45">
        <v>0</v>
      </c>
      <c r="D827" s="45">
        <v>10</v>
      </c>
      <c r="E827" s="46">
        <v>1518510</v>
      </c>
      <c r="F827" s="45">
        <v>0</v>
      </c>
      <c r="G827" s="45">
        <v>8</v>
      </c>
      <c r="H827" s="46">
        <v>1528250</v>
      </c>
      <c r="I827" s="45">
        <v>0</v>
      </c>
      <c r="J827" s="45">
        <v>7</v>
      </c>
      <c r="K827" s="46">
        <v>1497030</v>
      </c>
      <c r="L827" s="45">
        <v>0</v>
      </c>
      <c r="M827" s="45">
        <v>6</v>
      </c>
      <c r="O827" s="46">
        <v>1603230</v>
      </c>
      <c r="P827" s="45">
        <v>0</v>
      </c>
      <c r="Q827" s="45">
        <v>9</v>
      </c>
      <c r="R827" s="46">
        <v>1569830</v>
      </c>
      <c r="S827" s="45">
        <v>0</v>
      </c>
      <c r="T827" s="45">
        <v>8</v>
      </c>
      <c r="U827" s="46">
        <v>1529810</v>
      </c>
      <c r="V827" s="45">
        <v>0</v>
      </c>
      <c r="W827" s="45">
        <v>6</v>
      </c>
      <c r="X827" s="46">
        <v>1502330</v>
      </c>
      <c r="Y827" s="45">
        <v>0</v>
      </c>
      <c r="Z827" s="45">
        <v>5</v>
      </c>
      <c r="AB827" s="46">
        <v>1530450</v>
      </c>
      <c r="AC827" s="45">
        <v>0</v>
      </c>
      <c r="AD827" s="45">
        <v>10</v>
      </c>
      <c r="AE827" s="46">
        <v>1545500</v>
      </c>
      <c r="AF827" s="45">
        <v>0</v>
      </c>
      <c r="AG827" s="45">
        <v>14</v>
      </c>
      <c r="AH827" s="46">
        <v>1468540</v>
      </c>
      <c r="AI827" s="45">
        <v>0</v>
      </c>
      <c r="AJ827" s="45">
        <v>7</v>
      </c>
      <c r="AK827" s="46">
        <v>1510370</v>
      </c>
      <c r="AL827" s="45">
        <v>0</v>
      </c>
      <c r="AM827" s="45">
        <v>6</v>
      </c>
      <c r="AO827" s="46">
        <v>1502400</v>
      </c>
      <c r="AP827" s="45">
        <v>0</v>
      </c>
      <c r="AQ827" s="45">
        <v>10</v>
      </c>
      <c r="AR827" s="46">
        <v>1550600</v>
      </c>
      <c r="AS827" s="45">
        <v>0</v>
      </c>
      <c r="AT827" s="45">
        <v>6</v>
      </c>
      <c r="AU827" s="46">
        <v>1472790</v>
      </c>
      <c r="AV827" s="45">
        <v>0</v>
      </c>
      <c r="AW827" s="45">
        <v>13</v>
      </c>
      <c r="AX827" s="46">
        <v>1491210</v>
      </c>
      <c r="AY827" s="45">
        <v>0</v>
      </c>
      <c r="AZ827" s="45">
        <v>6</v>
      </c>
    </row>
    <row r="828" spans="2:52">
      <c r="B828" s="46">
        <v>1189060</v>
      </c>
      <c r="C828" s="45">
        <v>0</v>
      </c>
      <c r="D828" s="45">
        <v>12</v>
      </c>
      <c r="E828" s="46">
        <v>1261720</v>
      </c>
      <c r="F828" s="45">
        <v>60</v>
      </c>
      <c r="G828" s="45">
        <v>12</v>
      </c>
      <c r="H828" s="46">
        <v>1252660</v>
      </c>
      <c r="I828" s="45">
        <v>0</v>
      </c>
      <c r="J828" s="45">
        <v>12</v>
      </c>
      <c r="K828" s="46">
        <v>1196370</v>
      </c>
      <c r="L828" s="45">
        <v>0</v>
      </c>
      <c r="M828" s="45">
        <v>8</v>
      </c>
      <c r="O828" s="46">
        <v>1334330</v>
      </c>
      <c r="P828" s="45">
        <v>14</v>
      </c>
      <c r="Q828" s="45">
        <v>10</v>
      </c>
      <c r="R828" s="46">
        <v>1342660</v>
      </c>
      <c r="S828" s="45">
        <v>77</v>
      </c>
      <c r="T828" s="45">
        <v>10</v>
      </c>
      <c r="U828" s="46">
        <v>1255970</v>
      </c>
      <c r="V828" s="45">
        <v>0</v>
      </c>
      <c r="W828" s="45">
        <v>4</v>
      </c>
      <c r="X828" s="46">
        <v>1212750</v>
      </c>
      <c r="Y828" s="45">
        <v>0</v>
      </c>
      <c r="Z828" s="45">
        <v>7</v>
      </c>
      <c r="AB828" s="46">
        <v>1224400</v>
      </c>
      <c r="AC828" s="45">
        <v>0</v>
      </c>
      <c r="AD828" s="45">
        <v>9</v>
      </c>
      <c r="AE828" s="46">
        <v>1230110</v>
      </c>
      <c r="AF828" s="45">
        <v>0</v>
      </c>
      <c r="AG828" s="45">
        <v>7</v>
      </c>
      <c r="AH828" s="46">
        <v>1238000</v>
      </c>
      <c r="AI828" s="45">
        <v>0</v>
      </c>
      <c r="AJ828" s="45">
        <v>9</v>
      </c>
      <c r="AK828" s="46">
        <v>1196220</v>
      </c>
      <c r="AL828" s="45">
        <v>0</v>
      </c>
      <c r="AM828" s="45">
        <v>14</v>
      </c>
      <c r="AO828" s="46">
        <v>1163790</v>
      </c>
      <c r="AP828" s="45">
        <v>0</v>
      </c>
      <c r="AQ828" s="45">
        <v>16</v>
      </c>
      <c r="AR828" s="46">
        <v>1231730</v>
      </c>
      <c r="AS828" s="45">
        <v>0</v>
      </c>
      <c r="AT828" s="45">
        <v>8</v>
      </c>
      <c r="AU828" s="46">
        <v>1162440</v>
      </c>
      <c r="AV828" s="45">
        <v>0</v>
      </c>
      <c r="AW828" s="45">
        <v>9</v>
      </c>
      <c r="AX828" s="46">
        <v>1263700</v>
      </c>
      <c r="AY828" s="45">
        <v>58</v>
      </c>
      <c r="AZ828" s="45">
        <v>9</v>
      </c>
    </row>
    <row r="829" spans="2:52">
      <c r="B829" s="46">
        <v>1249920</v>
      </c>
      <c r="C829" s="45">
        <v>0</v>
      </c>
      <c r="D829" s="45">
        <v>8</v>
      </c>
      <c r="E829" s="46">
        <v>1205590</v>
      </c>
      <c r="F829" s="45">
        <v>0</v>
      </c>
      <c r="G829" s="45">
        <v>11</v>
      </c>
      <c r="H829" s="46">
        <v>1206530</v>
      </c>
      <c r="I829" s="45">
        <v>0</v>
      </c>
      <c r="J829" s="45">
        <v>8</v>
      </c>
      <c r="K829" s="46">
        <v>1220960</v>
      </c>
      <c r="L829" s="45">
        <v>0</v>
      </c>
      <c r="M829" s="45">
        <v>7</v>
      </c>
      <c r="O829" s="46">
        <v>1305490</v>
      </c>
      <c r="P829" s="45">
        <v>0</v>
      </c>
      <c r="Q829" s="45">
        <v>11</v>
      </c>
      <c r="R829" s="46">
        <v>1344130</v>
      </c>
      <c r="S829" s="45">
        <v>22</v>
      </c>
      <c r="T829" s="45">
        <v>9</v>
      </c>
      <c r="U829" s="46">
        <v>1319260</v>
      </c>
      <c r="V829" s="45">
        <v>0</v>
      </c>
      <c r="W829" s="45">
        <v>4</v>
      </c>
      <c r="X829" s="46">
        <v>1267930</v>
      </c>
      <c r="Y829" s="45">
        <v>0</v>
      </c>
      <c r="Z829" s="45">
        <v>6</v>
      </c>
      <c r="AB829" s="46">
        <v>1181320</v>
      </c>
      <c r="AC829" s="45">
        <v>0</v>
      </c>
      <c r="AD829" s="45">
        <v>14</v>
      </c>
      <c r="AE829" s="46">
        <v>1297710</v>
      </c>
      <c r="AF829" s="45">
        <v>24</v>
      </c>
      <c r="AG829" s="45">
        <v>17</v>
      </c>
      <c r="AH829" s="46">
        <v>1230620</v>
      </c>
      <c r="AI829" s="45">
        <v>0</v>
      </c>
      <c r="AJ829" s="45">
        <v>7</v>
      </c>
      <c r="AK829" s="46">
        <v>1178600</v>
      </c>
      <c r="AL829" s="45">
        <v>0</v>
      </c>
      <c r="AM829" s="45">
        <v>8</v>
      </c>
      <c r="AO829" s="46">
        <v>1311370</v>
      </c>
      <c r="AP829" s="45">
        <v>0</v>
      </c>
      <c r="AQ829" s="45">
        <v>10</v>
      </c>
      <c r="AR829" s="46">
        <v>1193670</v>
      </c>
      <c r="AS829" s="45">
        <v>0</v>
      </c>
      <c r="AT829" s="45">
        <v>7</v>
      </c>
      <c r="AU829" s="46">
        <v>1229520</v>
      </c>
      <c r="AV829" s="45">
        <v>0</v>
      </c>
      <c r="AW829" s="45">
        <v>8</v>
      </c>
      <c r="AX829" s="46">
        <v>1172110</v>
      </c>
      <c r="AY829" s="45">
        <v>0</v>
      </c>
      <c r="AZ829" s="45">
        <v>17</v>
      </c>
    </row>
    <row r="830" spans="2:52">
      <c r="B830" s="46">
        <v>1219490</v>
      </c>
      <c r="C830" s="45">
        <v>0</v>
      </c>
      <c r="D830" s="45">
        <v>21</v>
      </c>
      <c r="E830" s="46">
        <v>1205720</v>
      </c>
      <c r="F830" s="45">
        <v>37</v>
      </c>
      <c r="G830" s="45">
        <v>18</v>
      </c>
      <c r="H830" s="46">
        <v>1286210</v>
      </c>
      <c r="I830" s="45">
        <v>45</v>
      </c>
      <c r="J830" s="45">
        <v>7</v>
      </c>
      <c r="K830" s="46">
        <v>1184260</v>
      </c>
      <c r="L830" s="45">
        <v>58</v>
      </c>
      <c r="M830" s="45">
        <v>17</v>
      </c>
      <c r="O830" s="46">
        <v>1455660</v>
      </c>
      <c r="P830" s="45">
        <v>132</v>
      </c>
      <c r="Q830" s="45">
        <v>12</v>
      </c>
      <c r="R830" s="46">
        <v>1349950</v>
      </c>
      <c r="S830" s="45">
        <v>50</v>
      </c>
      <c r="T830" s="45">
        <v>5</v>
      </c>
      <c r="U830" s="46">
        <v>1331850</v>
      </c>
      <c r="V830" s="45">
        <v>30</v>
      </c>
      <c r="W830" s="45">
        <v>8</v>
      </c>
      <c r="X830" s="46">
        <v>1287110</v>
      </c>
      <c r="Y830" s="45">
        <v>0</v>
      </c>
      <c r="Z830" s="45">
        <v>6</v>
      </c>
      <c r="AB830" s="46">
        <v>1257100</v>
      </c>
      <c r="AC830" s="45">
        <v>55</v>
      </c>
      <c r="AD830" s="45">
        <v>13</v>
      </c>
      <c r="AE830" s="46">
        <v>1217660</v>
      </c>
      <c r="AF830" s="45">
        <v>0</v>
      </c>
      <c r="AG830" s="45">
        <v>8</v>
      </c>
      <c r="AH830" s="46">
        <v>1277590</v>
      </c>
      <c r="AI830" s="45">
        <v>71</v>
      </c>
      <c r="AJ830" s="45">
        <v>14</v>
      </c>
      <c r="AK830" s="46">
        <v>1392340</v>
      </c>
      <c r="AL830" s="45">
        <v>116</v>
      </c>
      <c r="AM830" s="45">
        <v>7</v>
      </c>
      <c r="AO830" s="46">
        <v>1335060</v>
      </c>
      <c r="AP830" s="45">
        <v>96</v>
      </c>
      <c r="AQ830" s="45">
        <v>11</v>
      </c>
      <c r="AR830" s="46">
        <v>1226510</v>
      </c>
      <c r="AS830" s="45">
        <v>0</v>
      </c>
      <c r="AT830" s="45">
        <v>9</v>
      </c>
      <c r="AU830" s="46">
        <v>1343670</v>
      </c>
      <c r="AV830" s="45">
        <v>142</v>
      </c>
      <c r="AW830" s="45">
        <v>16</v>
      </c>
      <c r="AX830" s="46">
        <v>1150500</v>
      </c>
      <c r="AY830" s="45">
        <v>0</v>
      </c>
      <c r="AZ830" s="45">
        <v>9</v>
      </c>
    </row>
    <row r="831" spans="2:52">
      <c r="B831" s="46">
        <v>1179220</v>
      </c>
      <c r="C831" s="45">
        <v>0</v>
      </c>
      <c r="D831" s="45">
        <v>7</v>
      </c>
      <c r="E831" s="46">
        <v>1104400</v>
      </c>
      <c r="F831" s="45">
        <v>17</v>
      </c>
      <c r="G831" s="45">
        <v>8</v>
      </c>
      <c r="H831" s="46">
        <v>1149640</v>
      </c>
      <c r="I831" s="45">
        <v>0</v>
      </c>
      <c r="J831" s="45">
        <v>6</v>
      </c>
      <c r="K831" s="46">
        <v>1189660</v>
      </c>
      <c r="L831" s="45">
        <v>30</v>
      </c>
      <c r="M831" s="45">
        <v>6</v>
      </c>
      <c r="O831" s="46">
        <v>1190460</v>
      </c>
      <c r="P831" s="45">
        <v>0</v>
      </c>
      <c r="Q831" s="45">
        <v>10</v>
      </c>
      <c r="R831" s="46">
        <v>1213730</v>
      </c>
      <c r="S831" s="45">
        <v>0</v>
      </c>
      <c r="T831" s="45">
        <v>5</v>
      </c>
      <c r="U831" s="46">
        <v>1162960</v>
      </c>
      <c r="V831" s="45">
        <v>0</v>
      </c>
      <c r="W831" s="45">
        <v>10</v>
      </c>
      <c r="X831" s="46">
        <v>1186210</v>
      </c>
      <c r="Y831" s="45">
        <v>0</v>
      </c>
      <c r="Z831" s="45">
        <v>8</v>
      </c>
      <c r="AB831" s="46">
        <v>1255540</v>
      </c>
      <c r="AC831" s="45">
        <v>37</v>
      </c>
      <c r="AD831" s="45">
        <v>6</v>
      </c>
      <c r="AE831" s="46">
        <v>1302870</v>
      </c>
      <c r="AF831" s="45">
        <v>149</v>
      </c>
      <c r="AG831" s="45">
        <v>15</v>
      </c>
      <c r="AH831" s="46">
        <v>1130800</v>
      </c>
      <c r="AI831" s="45">
        <v>4</v>
      </c>
      <c r="AJ831" s="45">
        <v>20</v>
      </c>
      <c r="AK831" s="46">
        <v>1184280</v>
      </c>
      <c r="AL831" s="45">
        <v>49</v>
      </c>
      <c r="AM831" s="45">
        <v>13</v>
      </c>
      <c r="AO831" s="46">
        <v>1184090</v>
      </c>
      <c r="AP831" s="45">
        <v>0</v>
      </c>
      <c r="AQ831" s="45">
        <v>8</v>
      </c>
      <c r="AR831" s="46">
        <v>1188890</v>
      </c>
      <c r="AS831" s="45">
        <v>4</v>
      </c>
      <c r="AT831" s="45">
        <v>8</v>
      </c>
      <c r="AU831" s="46">
        <v>1155830</v>
      </c>
      <c r="AV831" s="45">
        <v>38</v>
      </c>
      <c r="AW831" s="45">
        <v>10</v>
      </c>
      <c r="AX831" s="46">
        <v>1149020</v>
      </c>
      <c r="AY831" s="45">
        <v>0</v>
      </c>
      <c r="AZ831" s="45">
        <v>8</v>
      </c>
    </row>
    <row r="832" spans="2:52">
      <c r="B832" s="46">
        <v>1296920</v>
      </c>
      <c r="C832" s="45">
        <v>66</v>
      </c>
      <c r="D832" s="45">
        <v>16</v>
      </c>
      <c r="E832" s="46">
        <v>1304190</v>
      </c>
      <c r="F832" s="45">
        <v>82</v>
      </c>
      <c r="G832" s="45">
        <v>22</v>
      </c>
      <c r="H832" s="46">
        <v>1196170</v>
      </c>
      <c r="I832" s="45">
        <v>0</v>
      </c>
      <c r="J832" s="45">
        <v>8</v>
      </c>
      <c r="K832" s="46">
        <v>1194530</v>
      </c>
      <c r="L832" s="45">
        <v>0</v>
      </c>
      <c r="M832" s="45">
        <v>10</v>
      </c>
      <c r="O832" s="46">
        <v>1357960</v>
      </c>
      <c r="P832" s="45">
        <v>0</v>
      </c>
      <c r="Q832" s="45">
        <v>7</v>
      </c>
      <c r="R832" s="46">
        <v>1337530</v>
      </c>
      <c r="S832" s="45">
        <v>45</v>
      </c>
      <c r="T832" s="45">
        <v>12</v>
      </c>
      <c r="U832" s="46">
        <v>1378160</v>
      </c>
      <c r="V832" s="45">
        <v>68</v>
      </c>
      <c r="W832" s="45">
        <v>12</v>
      </c>
      <c r="X832" s="46">
        <v>1263000</v>
      </c>
      <c r="Y832" s="45">
        <v>0</v>
      </c>
      <c r="Z832" s="45">
        <v>8</v>
      </c>
      <c r="AB832" s="46">
        <v>1321460</v>
      </c>
      <c r="AC832" s="45">
        <v>99</v>
      </c>
      <c r="AD832" s="45">
        <v>16</v>
      </c>
      <c r="AE832" s="46">
        <v>1253200</v>
      </c>
      <c r="AF832" s="45">
        <v>34</v>
      </c>
      <c r="AG832" s="45">
        <v>13</v>
      </c>
      <c r="AH832" s="46">
        <v>1167130</v>
      </c>
      <c r="AI832" s="45">
        <v>0</v>
      </c>
      <c r="AJ832" s="45">
        <v>9</v>
      </c>
      <c r="AK832" s="46">
        <v>1186600</v>
      </c>
      <c r="AL832" s="45">
        <v>0</v>
      </c>
      <c r="AM832" s="45">
        <v>6</v>
      </c>
      <c r="AO832" s="46">
        <v>1245360</v>
      </c>
      <c r="AP832" s="45">
        <v>22</v>
      </c>
      <c r="AQ832" s="45">
        <v>15</v>
      </c>
      <c r="AR832" s="46">
        <v>1295440</v>
      </c>
      <c r="AS832" s="45">
        <v>40</v>
      </c>
      <c r="AT832" s="45">
        <v>11</v>
      </c>
      <c r="AU832" s="46">
        <v>1254730</v>
      </c>
      <c r="AV832" s="45">
        <v>33</v>
      </c>
      <c r="AW832" s="45">
        <v>13</v>
      </c>
      <c r="AX832" s="46">
        <v>1248000</v>
      </c>
      <c r="AY832" s="45">
        <v>0</v>
      </c>
      <c r="AZ832" s="45">
        <v>8</v>
      </c>
    </row>
    <row r="833" spans="2:52">
      <c r="B833" s="46">
        <v>1216180</v>
      </c>
      <c r="C833" s="45">
        <v>0</v>
      </c>
      <c r="D833" s="45">
        <v>10</v>
      </c>
      <c r="E833" s="46">
        <v>1244430</v>
      </c>
      <c r="F833" s="45">
        <v>0</v>
      </c>
      <c r="G833" s="45">
        <v>7</v>
      </c>
      <c r="H833" s="46">
        <v>1145710</v>
      </c>
      <c r="I833" s="45">
        <v>0</v>
      </c>
      <c r="J833" s="45">
        <v>8</v>
      </c>
      <c r="K833" s="46">
        <v>1210100</v>
      </c>
      <c r="L833" s="45">
        <v>0</v>
      </c>
      <c r="M833" s="45">
        <v>8</v>
      </c>
      <c r="O833" s="46">
        <v>1293470</v>
      </c>
      <c r="P833" s="45">
        <v>0</v>
      </c>
      <c r="Q833" s="45">
        <v>8</v>
      </c>
      <c r="R833" s="46">
        <v>1278490</v>
      </c>
      <c r="S833" s="45">
        <v>11</v>
      </c>
      <c r="T833" s="45">
        <v>13</v>
      </c>
      <c r="U833" s="46">
        <v>1303090</v>
      </c>
      <c r="V833" s="45">
        <v>68</v>
      </c>
      <c r="W833" s="45">
        <v>12</v>
      </c>
      <c r="X833" s="46">
        <v>1238230</v>
      </c>
      <c r="Y833" s="45">
        <v>0</v>
      </c>
      <c r="Z833" s="45">
        <v>6</v>
      </c>
      <c r="AB833" s="46">
        <v>1225330</v>
      </c>
      <c r="AC833" s="45">
        <v>24</v>
      </c>
      <c r="AD833" s="45">
        <v>16</v>
      </c>
      <c r="AE833" s="46">
        <v>1236270</v>
      </c>
      <c r="AF833" s="45">
        <v>37</v>
      </c>
      <c r="AG833" s="45">
        <v>16</v>
      </c>
      <c r="AH833" s="46">
        <v>1343780</v>
      </c>
      <c r="AI833" s="45">
        <v>65</v>
      </c>
      <c r="AJ833" s="45">
        <v>12</v>
      </c>
      <c r="AK833" s="46">
        <v>1113310</v>
      </c>
      <c r="AL833" s="45">
        <v>0</v>
      </c>
      <c r="AM833" s="45">
        <v>15</v>
      </c>
      <c r="AO833" s="46">
        <v>1291700</v>
      </c>
      <c r="AP833" s="45">
        <v>44</v>
      </c>
      <c r="AQ833" s="45">
        <v>18</v>
      </c>
      <c r="AR833" s="46">
        <v>1172180</v>
      </c>
      <c r="AS833" s="45">
        <v>0</v>
      </c>
      <c r="AT833" s="45">
        <v>10</v>
      </c>
      <c r="AU833" s="46">
        <v>1174000</v>
      </c>
      <c r="AV833" s="45">
        <v>0</v>
      </c>
      <c r="AW833" s="45">
        <v>12</v>
      </c>
      <c r="AX833" s="46">
        <v>1189430</v>
      </c>
      <c r="AY833" s="45">
        <v>0</v>
      </c>
      <c r="AZ833" s="45">
        <v>10</v>
      </c>
    </row>
    <row r="834" spans="2:52">
      <c r="B834" s="46">
        <v>1300610</v>
      </c>
      <c r="C834" s="45">
        <v>0</v>
      </c>
      <c r="D834" s="45">
        <v>8</v>
      </c>
      <c r="E834" s="46">
        <v>1267160</v>
      </c>
      <c r="F834" s="45">
        <v>0</v>
      </c>
      <c r="G834" s="45">
        <v>16</v>
      </c>
      <c r="H834" s="46">
        <v>1346990</v>
      </c>
      <c r="I834" s="45">
        <v>0</v>
      </c>
      <c r="J834" s="45">
        <v>5</v>
      </c>
      <c r="K834" s="46">
        <v>1303030</v>
      </c>
      <c r="L834" s="45">
        <v>18</v>
      </c>
      <c r="M834" s="45">
        <v>7</v>
      </c>
      <c r="O834" s="46">
        <v>1391430</v>
      </c>
      <c r="P834" s="45">
        <v>0</v>
      </c>
      <c r="Q834" s="45">
        <v>6</v>
      </c>
      <c r="R834" s="46">
        <v>1371650</v>
      </c>
      <c r="S834" s="45">
        <v>0</v>
      </c>
      <c r="T834" s="45">
        <v>7</v>
      </c>
      <c r="U834" s="46">
        <v>1391820</v>
      </c>
      <c r="V834" s="45">
        <v>0</v>
      </c>
      <c r="W834" s="45">
        <v>4</v>
      </c>
      <c r="X834" s="46">
        <v>1352150</v>
      </c>
      <c r="Y834" s="45">
        <v>0</v>
      </c>
      <c r="Z834" s="45">
        <v>6</v>
      </c>
      <c r="AB834" s="46">
        <v>1378410</v>
      </c>
      <c r="AC834" s="45">
        <v>86</v>
      </c>
      <c r="AD834" s="45">
        <v>17</v>
      </c>
      <c r="AE834" s="46">
        <v>1283130</v>
      </c>
      <c r="AF834" s="45">
        <v>0</v>
      </c>
      <c r="AG834" s="45">
        <v>12</v>
      </c>
      <c r="AH834" s="46">
        <v>1309100</v>
      </c>
      <c r="AI834" s="45">
        <v>0</v>
      </c>
      <c r="AJ834" s="45">
        <v>8</v>
      </c>
      <c r="AK834" s="46">
        <v>1280300</v>
      </c>
      <c r="AL834" s="45">
        <v>0</v>
      </c>
      <c r="AM834" s="45">
        <v>6</v>
      </c>
      <c r="AO834" s="46">
        <v>1312870</v>
      </c>
      <c r="AP834" s="45">
        <v>0</v>
      </c>
      <c r="AQ834" s="45">
        <v>11</v>
      </c>
      <c r="AR834" s="46">
        <v>1237300</v>
      </c>
      <c r="AS834" s="45">
        <v>0</v>
      </c>
      <c r="AT834" s="45">
        <v>17</v>
      </c>
      <c r="AU834" s="46">
        <v>1384810</v>
      </c>
      <c r="AV834" s="45">
        <v>102</v>
      </c>
      <c r="AW834" s="45">
        <v>14</v>
      </c>
      <c r="AX834" s="46">
        <v>1254490</v>
      </c>
      <c r="AY834" s="45">
        <v>0</v>
      </c>
      <c r="AZ834" s="45">
        <v>7</v>
      </c>
    </row>
    <row r="835" spans="2:52">
      <c r="B835" s="46">
        <v>1343140</v>
      </c>
      <c r="C835" s="45">
        <v>8</v>
      </c>
      <c r="D835" s="45">
        <v>8</v>
      </c>
      <c r="E835" s="46">
        <v>1320800</v>
      </c>
      <c r="F835" s="45">
        <v>0</v>
      </c>
      <c r="G835" s="45">
        <v>9</v>
      </c>
      <c r="H835" s="46">
        <v>1316390</v>
      </c>
      <c r="I835" s="45">
        <v>45</v>
      </c>
      <c r="J835" s="45">
        <v>8</v>
      </c>
      <c r="K835" s="46">
        <v>1295900</v>
      </c>
      <c r="L835" s="45">
        <v>25</v>
      </c>
      <c r="M835" s="45">
        <v>11</v>
      </c>
      <c r="O835" s="46">
        <v>1539260</v>
      </c>
      <c r="P835" s="45">
        <v>70</v>
      </c>
      <c r="Q835" s="45">
        <v>8</v>
      </c>
      <c r="R835" s="46">
        <v>1467920</v>
      </c>
      <c r="S835" s="45">
        <v>19</v>
      </c>
      <c r="T835" s="45">
        <v>11</v>
      </c>
      <c r="U835" s="46">
        <v>1399070</v>
      </c>
      <c r="V835" s="45">
        <v>60</v>
      </c>
      <c r="W835" s="45">
        <v>11</v>
      </c>
      <c r="X835" s="46">
        <v>1416630</v>
      </c>
      <c r="Y835" s="45">
        <v>7</v>
      </c>
      <c r="Z835" s="45">
        <v>10</v>
      </c>
      <c r="AB835" s="46">
        <v>1498460</v>
      </c>
      <c r="AC835" s="45">
        <v>135</v>
      </c>
      <c r="AD835" s="45">
        <v>13</v>
      </c>
      <c r="AE835" s="46">
        <v>1378060</v>
      </c>
      <c r="AF835" s="45">
        <v>3</v>
      </c>
      <c r="AG835" s="45">
        <v>12</v>
      </c>
      <c r="AH835" s="46">
        <v>1327190</v>
      </c>
      <c r="AI835" s="45">
        <v>0</v>
      </c>
      <c r="AJ835" s="45">
        <v>8</v>
      </c>
      <c r="AK835" s="46">
        <v>1282050</v>
      </c>
      <c r="AL835" s="45">
        <v>0</v>
      </c>
      <c r="AM835" s="45">
        <v>8</v>
      </c>
      <c r="AO835" s="46">
        <v>1563860</v>
      </c>
      <c r="AP835" s="45">
        <v>210</v>
      </c>
      <c r="AQ835" s="45">
        <v>16</v>
      </c>
      <c r="AR835" s="46">
        <v>1341590</v>
      </c>
      <c r="AS835" s="45">
        <v>0</v>
      </c>
      <c r="AT835" s="45">
        <v>8</v>
      </c>
      <c r="AU835" s="46">
        <v>1329940</v>
      </c>
      <c r="AV835" s="45">
        <v>7</v>
      </c>
      <c r="AW835" s="45">
        <v>7</v>
      </c>
      <c r="AX835" s="46">
        <v>1277690</v>
      </c>
      <c r="AY835" s="45">
        <v>0</v>
      </c>
      <c r="AZ835" s="45">
        <v>14</v>
      </c>
    </row>
    <row r="836" spans="2:52">
      <c r="B836" s="46">
        <v>1198200</v>
      </c>
      <c r="C836" s="45">
        <v>20</v>
      </c>
      <c r="D836" s="45">
        <v>13</v>
      </c>
      <c r="E836" s="46">
        <v>1207380</v>
      </c>
      <c r="F836" s="45">
        <v>1</v>
      </c>
      <c r="G836" s="45">
        <v>9</v>
      </c>
      <c r="H836" s="46">
        <v>1271630</v>
      </c>
      <c r="I836" s="45">
        <v>0</v>
      </c>
      <c r="J836" s="45">
        <v>4</v>
      </c>
      <c r="K836" s="46">
        <v>1246440</v>
      </c>
      <c r="L836" s="45">
        <v>70</v>
      </c>
      <c r="M836" s="45">
        <v>10</v>
      </c>
      <c r="O836" s="46">
        <v>1305610</v>
      </c>
      <c r="P836" s="45">
        <v>0</v>
      </c>
      <c r="Q836" s="45">
        <v>7</v>
      </c>
      <c r="R836" s="46">
        <v>1302690</v>
      </c>
      <c r="S836" s="45">
        <v>25</v>
      </c>
      <c r="T836" s="45">
        <v>6</v>
      </c>
      <c r="U836" s="46">
        <v>1375740</v>
      </c>
      <c r="V836" s="45">
        <v>68</v>
      </c>
      <c r="W836" s="45">
        <v>10</v>
      </c>
      <c r="X836" s="46">
        <v>1315830</v>
      </c>
      <c r="Y836" s="45">
        <v>62</v>
      </c>
      <c r="Z836" s="45">
        <v>6</v>
      </c>
      <c r="AB836" s="46">
        <v>1207520</v>
      </c>
      <c r="AC836" s="45">
        <v>0</v>
      </c>
      <c r="AD836" s="45">
        <v>10</v>
      </c>
      <c r="AE836" s="46">
        <v>1152580</v>
      </c>
      <c r="AF836" s="45">
        <v>0</v>
      </c>
      <c r="AG836" s="45">
        <v>12</v>
      </c>
      <c r="AH836" s="46">
        <v>1259940</v>
      </c>
      <c r="AI836" s="45">
        <v>107</v>
      </c>
      <c r="AJ836" s="45">
        <v>20</v>
      </c>
      <c r="AK836" s="46">
        <v>1184190</v>
      </c>
      <c r="AL836" s="45">
        <v>0</v>
      </c>
      <c r="AM836" s="45">
        <v>7</v>
      </c>
      <c r="AO836" s="46">
        <v>1281970</v>
      </c>
      <c r="AP836" s="45">
        <v>0</v>
      </c>
      <c r="AQ836" s="45">
        <v>6</v>
      </c>
      <c r="AR836" s="46">
        <v>1381040</v>
      </c>
      <c r="AS836" s="45">
        <v>173</v>
      </c>
      <c r="AT836" s="45">
        <v>22</v>
      </c>
      <c r="AU836" s="46">
        <v>1226930</v>
      </c>
      <c r="AV836" s="45">
        <v>0</v>
      </c>
      <c r="AW836" s="45">
        <v>7</v>
      </c>
      <c r="AX836" s="46">
        <v>1241380</v>
      </c>
      <c r="AY836" s="45">
        <v>0</v>
      </c>
      <c r="AZ836" s="45">
        <v>5</v>
      </c>
    </row>
    <row r="837" spans="2:52">
      <c r="B837" s="46">
        <v>1273600</v>
      </c>
      <c r="C837" s="45">
        <v>0</v>
      </c>
      <c r="D837" s="45">
        <v>8</v>
      </c>
      <c r="E837" s="46">
        <v>1143700</v>
      </c>
      <c r="F837" s="45">
        <v>0</v>
      </c>
      <c r="G837" s="45">
        <v>20</v>
      </c>
      <c r="H837" s="46">
        <v>1238980</v>
      </c>
      <c r="I837" s="45">
        <v>28</v>
      </c>
      <c r="J837" s="45">
        <v>15</v>
      </c>
      <c r="K837" s="46">
        <v>1220240</v>
      </c>
      <c r="L837" s="45">
        <v>0</v>
      </c>
      <c r="M837" s="45">
        <v>13</v>
      </c>
      <c r="O837" s="46">
        <v>1324260</v>
      </c>
      <c r="P837" s="45">
        <v>0</v>
      </c>
      <c r="Q837" s="45">
        <v>6</v>
      </c>
      <c r="R837" s="46">
        <v>1342720</v>
      </c>
      <c r="S837" s="45">
        <v>0</v>
      </c>
      <c r="T837" s="45">
        <v>6</v>
      </c>
      <c r="U837" s="46">
        <v>1372800</v>
      </c>
      <c r="V837" s="45">
        <v>0</v>
      </c>
      <c r="W837" s="45">
        <v>5</v>
      </c>
      <c r="X837" s="46">
        <v>1294520</v>
      </c>
      <c r="Y837" s="45">
        <v>0</v>
      </c>
      <c r="Z837" s="45">
        <v>12</v>
      </c>
      <c r="AB837" s="46">
        <v>1270700</v>
      </c>
      <c r="AC837" s="45">
        <v>0</v>
      </c>
      <c r="AD837" s="45">
        <v>10</v>
      </c>
      <c r="AE837" s="46">
        <v>1267850</v>
      </c>
      <c r="AF837" s="45">
        <v>13</v>
      </c>
      <c r="AG837" s="45">
        <v>13</v>
      </c>
      <c r="AH837" s="46">
        <v>1237800</v>
      </c>
      <c r="AI837" s="45">
        <v>0</v>
      </c>
      <c r="AJ837" s="45">
        <v>7</v>
      </c>
      <c r="AK837" s="46">
        <v>1343310</v>
      </c>
      <c r="AL837" s="45">
        <v>0</v>
      </c>
      <c r="AM837" s="45">
        <v>7</v>
      </c>
      <c r="AO837" s="46">
        <v>1266010</v>
      </c>
      <c r="AP837" s="45">
        <v>0</v>
      </c>
      <c r="AQ837" s="45">
        <v>11</v>
      </c>
      <c r="AR837" s="46">
        <v>1201700</v>
      </c>
      <c r="AS837" s="45">
        <v>0</v>
      </c>
      <c r="AT837" s="45">
        <v>13</v>
      </c>
      <c r="AU837" s="46">
        <v>1197980</v>
      </c>
      <c r="AV837" s="45">
        <v>0</v>
      </c>
      <c r="AW837" s="45">
        <v>11</v>
      </c>
      <c r="AX837" s="46">
        <v>1234470</v>
      </c>
      <c r="AY837" s="45">
        <v>0</v>
      </c>
      <c r="AZ837" s="45">
        <v>6</v>
      </c>
    </row>
    <row r="838" spans="2:52">
      <c r="B838" s="46">
        <v>1304040</v>
      </c>
      <c r="C838" s="45">
        <v>194</v>
      </c>
      <c r="D838" s="45">
        <v>15</v>
      </c>
      <c r="E838" s="46">
        <v>1156280</v>
      </c>
      <c r="F838" s="45">
        <v>0</v>
      </c>
      <c r="G838" s="45">
        <v>13</v>
      </c>
      <c r="H838" s="46">
        <v>1148210</v>
      </c>
      <c r="I838" s="45">
        <v>70</v>
      </c>
      <c r="J838" s="45">
        <v>15</v>
      </c>
      <c r="K838" s="46">
        <v>1161330</v>
      </c>
      <c r="L838" s="45">
        <v>97</v>
      </c>
      <c r="M838" s="45">
        <v>20</v>
      </c>
      <c r="O838" s="46">
        <v>1248060</v>
      </c>
      <c r="P838" s="45">
        <v>36</v>
      </c>
      <c r="Q838" s="45">
        <v>11</v>
      </c>
      <c r="R838" s="46">
        <v>1190330</v>
      </c>
      <c r="S838" s="45">
        <v>0</v>
      </c>
      <c r="T838" s="45">
        <v>6</v>
      </c>
      <c r="U838" s="46">
        <v>1190320</v>
      </c>
      <c r="V838" s="45">
        <v>24</v>
      </c>
      <c r="W838" s="45">
        <v>9</v>
      </c>
      <c r="X838" s="46">
        <v>1180980</v>
      </c>
      <c r="Y838" s="45">
        <v>0</v>
      </c>
      <c r="Z838" s="45">
        <v>4</v>
      </c>
      <c r="AB838" s="46">
        <v>1199000</v>
      </c>
      <c r="AC838" s="45">
        <v>3</v>
      </c>
      <c r="AD838" s="45">
        <v>7</v>
      </c>
      <c r="AE838" s="46">
        <v>1198810</v>
      </c>
      <c r="AF838" s="45">
        <v>67</v>
      </c>
      <c r="AG838" s="45">
        <v>18</v>
      </c>
      <c r="AH838" s="46">
        <v>1278570</v>
      </c>
      <c r="AI838" s="45">
        <v>111</v>
      </c>
      <c r="AJ838" s="45">
        <v>11</v>
      </c>
      <c r="AK838" s="46">
        <v>1087760</v>
      </c>
      <c r="AL838" s="45">
        <v>8</v>
      </c>
      <c r="AM838" s="45">
        <v>15</v>
      </c>
      <c r="AO838" s="46">
        <v>1099280</v>
      </c>
      <c r="AP838" s="45">
        <v>15</v>
      </c>
      <c r="AQ838" s="45">
        <v>17</v>
      </c>
      <c r="AR838" s="46">
        <v>1369610</v>
      </c>
      <c r="AS838" s="45">
        <v>202</v>
      </c>
      <c r="AT838" s="45">
        <v>11</v>
      </c>
      <c r="AU838" s="46">
        <v>1197620</v>
      </c>
      <c r="AV838" s="45">
        <v>149</v>
      </c>
      <c r="AW838" s="45">
        <v>20</v>
      </c>
      <c r="AX838" s="46">
        <v>1165380</v>
      </c>
      <c r="AY838" s="45">
        <v>125</v>
      </c>
      <c r="AZ838" s="45">
        <v>14</v>
      </c>
    </row>
    <row r="839" spans="2:52">
      <c r="B839" s="46">
        <v>1346540</v>
      </c>
      <c r="C839" s="45">
        <v>104</v>
      </c>
      <c r="D839" s="45">
        <v>26</v>
      </c>
      <c r="E839" s="46">
        <v>1518560</v>
      </c>
      <c r="F839" s="45">
        <v>206</v>
      </c>
      <c r="G839" s="45">
        <v>15</v>
      </c>
      <c r="H839" s="46">
        <v>1511980</v>
      </c>
      <c r="I839" s="45">
        <v>273</v>
      </c>
      <c r="J839" s="45">
        <v>24</v>
      </c>
      <c r="K839" s="46">
        <v>1268410</v>
      </c>
      <c r="L839" s="45">
        <v>27</v>
      </c>
      <c r="M839" s="45">
        <v>17</v>
      </c>
      <c r="O839" s="46">
        <v>1314750</v>
      </c>
      <c r="P839" s="45">
        <v>0</v>
      </c>
      <c r="Q839" s="45">
        <v>4</v>
      </c>
      <c r="R839" s="46">
        <v>1374090</v>
      </c>
      <c r="S839" s="45">
        <v>53</v>
      </c>
      <c r="T839" s="45">
        <v>8</v>
      </c>
      <c r="U839" s="46">
        <v>1264630</v>
      </c>
      <c r="V839" s="45">
        <v>14</v>
      </c>
      <c r="W839" s="45">
        <v>9</v>
      </c>
      <c r="X839" s="46">
        <v>1242770</v>
      </c>
      <c r="Y839" s="45">
        <v>0</v>
      </c>
      <c r="Z839" s="45">
        <v>5</v>
      </c>
      <c r="AB839" s="46">
        <v>1226080</v>
      </c>
      <c r="AC839" s="45">
        <v>11</v>
      </c>
      <c r="AD839" s="45">
        <v>16</v>
      </c>
      <c r="AE839" s="46">
        <v>1329180</v>
      </c>
      <c r="AF839" s="45">
        <v>113</v>
      </c>
      <c r="AG839" s="45">
        <v>11</v>
      </c>
      <c r="AH839" s="46">
        <v>1222700</v>
      </c>
      <c r="AI839" s="45">
        <v>5</v>
      </c>
      <c r="AJ839" s="45">
        <v>11</v>
      </c>
      <c r="AK839" s="46">
        <v>1273090</v>
      </c>
      <c r="AL839" s="45">
        <v>0</v>
      </c>
      <c r="AM839" s="45">
        <v>7</v>
      </c>
      <c r="AO839" s="46">
        <v>1443430</v>
      </c>
      <c r="AP839" s="45">
        <v>208</v>
      </c>
      <c r="AQ839" s="45">
        <v>9</v>
      </c>
      <c r="AR839" s="46">
        <v>1265550</v>
      </c>
      <c r="AS839" s="45">
        <v>114</v>
      </c>
      <c r="AT839" s="45">
        <v>20</v>
      </c>
      <c r="AU839" s="46">
        <v>1283690</v>
      </c>
      <c r="AV839" s="45">
        <v>128</v>
      </c>
      <c r="AW839" s="45">
        <v>20</v>
      </c>
      <c r="AX839" s="46">
        <v>1275120</v>
      </c>
      <c r="AY839" s="45">
        <v>52</v>
      </c>
      <c r="AZ839" s="45">
        <v>9</v>
      </c>
    </row>
    <row r="840" spans="2:52">
      <c r="B840" s="46">
        <v>1112980</v>
      </c>
      <c r="C840" s="45">
        <v>45</v>
      </c>
      <c r="D840" s="45">
        <v>34</v>
      </c>
      <c r="E840" s="46">
        <v>1163350</v>
      </c>
      <c r="F840" s="45">
        <v>11</v>
      </c>
      <c r="G840" s="45">
        <v>13</v>
      </c>
      <c r="H840" s="46">
        <v>1042960</v>
      </c>
      <c r="I840" s="45">
        <v>0</v>
      </c>
      <c r="J840" s="45">
        <v>20</v>
      </c>
      <c r="K840" s="46">
        <v>1078860</v>
      </c>
      <c r="L840" s="45">
        <v>0</v>
      </c>
      <c r="M840" s="45">
        <v>24</v>
      </c>
      <c r="O840" s="46">
        <v>1189540</v>
      </c>
      <c r="P840" s="45">
        <v>0</v>
      </c>
      <c r="Q840" s="45">
        <v>11</v>
      </c>
      <c r="R840" s="46">
        <v>1141310</v>
      </c>
      <c r="S840" s="45">
        <v>0</v>
      </c>
      <c r="T840" s="45">
        <v>6</v>
      </c>
      <c r="U840" s="46">
        <v>1131560</v>
      </c>
      <c r="V840" s="45">
        <v>0</v>
      </c>
      <c r="W840" s="45">
        <v>6</v>
      </c>
      <c r="X840" s="46">
        <v>1198740</v>
      </c>
      <c r="Y840" s="45">
        <v>0</v>
      </c>
      <c r="Z840" s="45">
        <v>5</v>
      </c>
      <c r="AB840" s="46">
        <v>1091240</v>
      </c>
      <c r="AC840" s="45">
        <v>0</v>
      </c>
      <c r="AD840" s="45">
        <v>21</v>
      </c>
      <c r="AE840" s="46">
        <v>1023540</v>
      </c>
      <c r="AF840" s="45">
        <v>0</v>
      </c>
      <c r="AG840" s="45">
        <v>14</v>
      </c>
      <c r="AH840" s="46">
        <v>1106930</v>
      </c>
      <c r="AI840" s="45">
        <v>0</v>
      </c>
      <c r="AJ840" s="45">
        <v>13</v>
      </c>
      <c r="AK840" s="46">
        <v>1116540</v>
      </c>
      <c r="AL840" s="45">
        <v>0</v>
      </c>
      <c r="AM840" s="45">
        <v>6</v>
      </c>
      <c r="AO840" s="46">
        <v>1108080</v>
      </c>
      <c r="AP840" s="45">
        <v>0</v>
      </c>
      <c r="AQ840" s="45">
        <v>11</v>
      </c>
      <c r="AR840" s="46">
        <v>1129740</v>
      </c>
      <c r="AS840" s="45">
        <v>0</v>
      </c>
      <c r="AT840" s="45">
        <v>9</v>
      </c>
      <c r="AU840" s="46">
        <v>1098570</v>
      </c>
      <c r="AV840" s="45">
        <v>0</v>
      </c>
      <c r="AW840" s="45">
        <v>10</v>
      </c>
      <c r="AX840" s="46">
        <v>1081760</v>
      </c>
      <c r="AY840" s="45">
        <v>0</v>
      </c>
      <c r="AZ840" s="45">
        <v>6</v>
      </c>
    </row>
    <row r="841" spans="2:52">
      <c r="B841" s="46">
        <v>1295710</v>
      </c>
      <c r="C841" s="45">
        <v>1</v>
      </c>
      <c r="D841" s="45">
        <v>13</v>
      </c>
      <c r="E841" s="46">
        <v>1330330</v>
      </c>
      <c r="F841" s="45">
        <v>0</v>
      </c>
      <c r="G841" s="45">
        <v>11</v>
      </c>
      <c r="H841" s="46">
        <v>1261140</v>
      </c>
      <c r="I841" s="45">
        <v>0</v>
      </c>
      <c r="J841" s="45">
        <v>10</v>
      </c>
      <c r="K841" s="46">
        <v>1260130</v>
      </c>
      <c r="L841" s="45">
        <v>4</v>
      </c>
      <c r="M841" s="45">
        <v>13</v>
      </c>
      <c r="O841" s="46">
        <v>1354280</v>
      </c>
      <c r="P841" s="45">
        <v>0</v>
      </c>
      <c r="Q841" s="45">
        <v>6</v>
      </c>
      <c r="R841" s="46">
        <v>1507870</v>
      </c>
      <c r="S841" s="45">
        <v>144</v>
      </c>
      <c r="T841" s="45">
        <v>9</v>
      </c>
      <c r="U841" s="46">
        <v>1359510</v>
      </c>
      <c r="V841" s="45">
        <v>1</v>
      </c>
      <c r="W841" s="45">
        <v>5</v>
      </c>
      <c r="X841" s="46">
        <v>1357720</v>
      </c>
      <c r="Y841" s="45">
        <v>68</v>
      </c>
      <c r="Z841" s="45">
        <v>16</v>
      </c>
      <c r="AB841" s="46">
        <v>1252780</v>
      </c>
      <c r="AC841" s="45">
        <v>14</v>
      </c>
      <c r="AD841" s="45">
        <v>23</v>
      </c>
      <c r="AE841" s="46">
        <v>1272950</v>
      </c>
      <c r="AF841" s="45">
        <v>0</v>
      </c>
      <c r="AG841" s="45">
        <v>14</v>
      </c>
      <c r="AH841" s="46">
        <v>1271860</v>
      </c>
      <c r="AI841" s="45">
        <v>42</v>
      </c>
      <c r="AJ841" s="45">
        <v>12</v>
      </c>
      <c r="AK841" s="46">
        <v>1199520</v>
      </c>
      <c r="AL841" s="45">
        <v>0</v>
      </c>
      <c r="AM841" s="45">
        <v>9</v>
      </c>
      <c r="AO841" s="46">
        <v>1276770</v>
      </c>
      <c r="AP841" s="45">
        <v>7</v>
      </c>
      <c r="AQ841" s="45">
        <v>14</v>
      </c>
      <c r="AR841" s="46">
        <v>1218760</v>
      </c>
      <c r="AS841" s="45">
        <v>0</v>
      </c>
      <c r="AT841" s="45">
        <v>16</v>
      </c>
      <c r="AU841" s="46">
        <v>1289520</v>
      </c>
      <c r="AV841" s="45">
        <v>0</v>
      </c>
      <c r="AW841" s="45">
        <v>5</v>
      </c>
      <c r="AX841" s="46">
        <v>1323950</v>
      </c>
      <c r="AY841" s="45">
        <v>135</v>
      </c>
      <c r="AZ841" s="45">
        <v>16</v>
      </c>
    </row>
    <row r="842" spans="2:52">
      <c r="B842" s="46">
        <v>1179850</v>
      </c>
      <c r="C842" s="45">
        <v>0</v>
      </c>
      <c r="D842" s="45">
        <v>16</v>
      </c>
      <c r="E842" s="46">
        <v>1217880</v>
      </c>
      <c r="F842" s="45">
        <v>0</v>
      </c>
      <c r="G842" s="45">
        <v>17</v>
      </c>
      <c r="H842" s="46">
        <v>1241530</v>
      </c>
      <c r="I842" s="45">
        <v>0</v>
      </c>
      <c r="J842" s="45">
        <v>12</v>
      </c>
      <c r="K842" s="46">
        <v>1216370</v>
      </c>
      <c r="L842" s="45">
        <v>0</v>
      </c>
      <c r="M842" s="45">
        <v>17</v>
      </c>
      <c r="O842" s="46">
        <v>1305560</v>
      </c>
      <c r="P842" s="45">
        <v>0</v>
      </c>
      <c r="Q842" s="45">
        <v>5</v>
      </c>
      <c r="R842" s="46">
        <v>1330350</v>
      </c>
      <c r="S842" s="45">
        <v>4</v>
      </c>
      <c r="T842" s="45">
        <v>9</v>
      </c>
      <c r="U842" s="46">
        <v>1391320</v>
      </c>
      <c r="V842" s="45">
        <v>0</v>
      </c>
      <c r="W842" s="45">
        <v>3</v>
      </c>
      <c r="X842" s="46">
        <v>1320770</v>
      </c>
      <c r="Y842" s="45">
        <v>0</v>
      </c>
      <c r="Z842" s="45">
        <v>6</v>
      </c>
      <c r="AB842" s="46">
        <v>1357050</v>
      </c>
      <c r="AC842" s="45">
        <v>25</v>
      </c>
      <c r="AD842" s="45">
        <v>9</v>
      </c>
      <c r="AE842" s="46">
        <v>1310850</v>
      </c>
      <c r="AF842" s="45">
        <v>0</v>
      </c>
      <c r="AG842" s="45">
        <v>8</v>
      </c>
      <c r="AH842" s="46">
        <v>1218150</v>
      </c>
      <c r="AI842" s="45">
        <v>14</v>
      </c>
      <c r="AJ842" s="45">
        <v>10</v>
      </c>
      <c r="AK842" s="46">
        <v>1241470</v>
      </c>
      <c r="AL842" s="45">
        <v>0</v>
      </c>
      <c r="AM842" s="45">
        <v>8</v>
      </c>
      <c r="AO842" s="46">
        <v>1297780</v>
      </c>
      <c r="AP842" s="45">
        <v>0</v>
      </c>
      <c r="AQ842" s="45">
        <v>9</v>
      </c>
      <c r="AR842" s="46">
        <v>1247450</v>
      </c>
      <c r="AS842" s="45">
        <v>0</v>
      </c>
      <c r="AT842" s="45">
        <v>8</v>
      </c>
      <c r="AU842" s="46">
        <v>1307630</v>
      </c>
      <c r="AV842" s="45">
        <v>37</v>
      </c>
      <c r="AW842" s="45">
        <v>9</v>
      </c>
      <c r="AX842" s="46">
        <v>1250720</v>
      </c>
      <c r="AY842" s="45">
        <v>0</v>
      </c>
      <c r="AZ842" s="45">
        <v>7</v>
      </c>
    </row>
    <row r="843" spans="2:52">
      <c r="B843" s="46">
        <v>1231060</v>
      </c>
      <c r="C843" s="45">
        <v>0</v>
      </c>
      <c r="D843" s="45">
        <v>19</v>
      </c>
      <c r="E843" s="46">
        <v>1315630</v>
      </c>
      <c r="F843" s="45">
        <v>0</v>
      </c>
      <c r="G843" s="45">
        <v>15</v>
      </c>
      <c r="H843" s="46">
        <v>1340440</v>
      </c>
      <c r="I843" s="45">
        <v>61</v>
      </c>
      <c r="J843" s="45">
        <v>12</v>
      </c>
      <c r="K843" s="46">
        <v>1197980</v>
      </c>
      <c r="L843" s="45">
        <v>0</v>
      </c>
      <c r="M843" s="45">
        <v>17</v>
      </c>
      <c r="O843" s="46">
        <v>1439980</v>
      </c>
      <c r="P843" s="45">
        <v>0</v>
      </c>
      <c r="Q843" s="45">
        <v>8</v>
      </c>
      <c r="R843" s="46">
        <v>1298160</v>
      </c>
      <c r="S843" s="45">
        <v>0</v>
      </c>
      <c r="T843" s="45">
        <v>7</v>
      </c>
      <c r="U843" s="46">
        <v>1316730</v>
      </c>
      <c r="V843" s="45">
        <v>0</v>
      </c>
      <c r="W843" s="45">
        <v>5</v>
      </c>
      <c r="X843" s="46">
        <v>1381890</v>
      </c>
      <c r="Y843" s="45">
        <v>0</v>
      </c>
      <c r="Z843" s="45">
        <v>6</v>
      </c>
      <c r="AB843" s="46">
        <v>1278210</v>
      </c>
      <c r="AC843" s="45">
        <v>0</v>
      </c>
      <c r="AD843" s="45">
        <v>9</v>
      </c>
      <c r="AE843" s="46">
        <v>1241870</v>
      </c>
      <c r="AF843" s="45">
        <v>0</v>
      </c>
      <c r="AG843" s="45">
        <v>15</v>
      </c>
      <c r="AH843" s="46">
        <v>1271190</v>
      </c>
      <c r="AI843" s="45">
        <v>0</v>
      </c>
      <c r="AJ843" s="45">
        <v>12</v>
      </c>
      <c r="AK843" s="46">
        <v>1312500</v>
      </c>
      <c r="AL843" s="45">
        <v>0</v>
      </c>
      <c r="AM843" s="45">
        <v>7</v>
      </c>
      <c r="AO843" s="46">
        <v>1432370</v>
      </c>
      <c r="AP843" s="45">
        <v>87</v>
      </c>
      <c r="AQ843" s="45">
        <v>9</v>
      </c>
      <c r="AR843" s="46">
        <v>1250020</v>
      </c>
      <c r="AS843" s="45">
        <v>0</v>
      </c>
      <c r="AT843" s="45">
        <v>11</v>
      </c>
      <c r="AU843" s="46">
        <v>1333510</v>
      </c>
      <c r="AV843" s="45">
        <v>0</v>
      </c>
      <c r="AW843" s="45">
        <v>10</v>
      </c>
      <c r="AX843" s="46">
        <v>1251090</v>
      </c>
      <c r="AY843" s="45">
        <v>51</v>
      </c>
      <c r="AZ843" s="45">
        <v>11</v>
      </c>
    </row>
    <row r="844" spans="2:52">
      <c r="B844" s="46">
        <v>1267460</v>
      </c>
      <c r="C844" s="45">
        <v>0</v>
      </c>
      <c r="D844" s="45">
        <v>17</v>
      </c>
      <c r="E844" s="46">
        <v>1239230</v>
      </c>
      <c r="F844" s="45">
        <v>0</v>
      </c>
      <c r="G844" s="45">
        <v>10</v>
      </c>
      <c r="H844" s="46">
        <v>1313920</v>
      </c>
      <c r="I844" s="45">
        <v>38</v>
      </c>
      <c r="J844" s="45">
        <v>22</v>
      </c>
      <c r="K844" s="46">
        <v>1262980</v>
      </c>
      <c r="L844" s="45">
        <v>0</v>
      </c>
      <c r="M844" s="45">
        <v>11</v>
      </c>
      <c r="O844" s="46">
        <v>1310840</v>
      </c>
      <c r="P844" s="45">
        <v>0</v>
      </c>
      <c r="Q844" s="45">
        <v>8</v>
      </c>
      <c r="R844" s="46">
        <v>1321320</v>
      </c>
      <c r="S844" s="45">
        <v>0</v>
      </c>
      <c r="T844" s="45">
        <v>12</v>
      </c>
      <c r="U844" s="46">
        <v>1355150</v>
      </c>
      <c r="V844" s="45">
        <v>4</v>
      </c>
      <c r="W844" s="45">
        <v>8</v>
      </c>
      <c r="X844" s="46">
        <v>1250360</v>
      </c>
      <c r="Y844" s="45">
        <v>0</v>
      </c>
      <c r="Z844" s="45">
        <v>5</v>
      </c>
      <c r="AB844" s="46">
        <v>1314830</v>
      </c>
      <c r="AC844" s="45">
        <v>27</v>
      </c>
      <c r="AD844" s="45">
        <v>12</v>
      </c>
      <c r="AE844" s="46">
        <v>1299010</v>
      </c>
      <c r="AF844" s="45">
        <v>0</v>
      </c>
      <c r="AG844" s="45">
        <v>6</v>
      </c>
      <c r="AH844" s="46">
        <v>1267030</v>
      </c>
      <c r="AI844" s="45">
        <v>0</v>
      </c>
      <c r="AJ844" s="45">
        <v>10</v>
      </c>
      <c r="AK844" s="46">
        <v>1260610</v>
      </c>
      <c r="AL844" s="45">
        <v>26</v>
      </c>
      <c r="AM844" s="45">
        <v>12</v>
      </c>
      <c r="AO844" s="46">
        <v>1284110</v>
      </c>
      <c r="AP844" s="45">
        <v>3</v>
      </c>
      <c r="AQ844" s="45">
        <v>8</v>
      </c>
      <c r="AR844" s="46">
        <v>1224480</v>
      </c>
      <c r="AS844" s="45">
        <v>0</v>
      </c>
      <c r="AT844" s="45">
        <v>14</v>
      </c>
      <c r="AU844" s="46">
        <v>1249680</v>
      </c>
      <c r="AV844" s="45">
        <v>0</v>
      </c>
      <c r="AW844" s="45">
        <v>7</v>
      </c>
      <c r="AX844" s="46">
        <v>1261350</v>
      </c>
      <c r="AY844" s="45">
        <v>0</v>
      </c>
      <c r="AZ844" s="45">
        <v>5</v>
      </c>
    </row>
    <row r="845" spans="2:52">
      <c r="B845" s="46">
        <v>1392120</v>
      </c>
      <c r="C845" s="45">
        <v>0</v>
      </c>
      <c r="D845" s="45">
        <v>14</v>
      </c>
      <c r="E845" s="46">
        <v>1380140</v>
      </c>
      <c r="F845" s="45">
        <v>0</v>
      </c>
      <c r="G845" s="45">
        <v>11</v>
      </c>
      <c r="H845" s="46">
        <v>1353860</v>
      </c>
      <c r="I845" s="45">
        <v>0</v>
      </c>
      <c r="J845" s="45">
        <v>13</v>
      </c>
      <c r="K845" s="46">
        <v>1404860</v>
      </c>
      <c r="L845" s="45">
        <v>0</v>
      </c>
      <c r="M845" s="45">
        <v>13</v>
      </c>
      <c r="O845" s="46">
        <v>1459750</v>
      </c>
      <c r="P845" s="45">
        <v>0</v>
      </c>
      <c r="Q845" s="45">
        <v>7</v>
      </c>
      <c r="R845" s="46">
        <v>1471320</v>
      </c>
      <c r="S845" s="45">
        <v>0</v>
      </c>
      <c r="T845" s="45">
        <v>12</v>
      </c>
      <c r="U845" s="46">
        <v>1464590</v>
      </c>
      <c r="V845" s="45">
        <v>0</v>
      </c>
      <c r="W845" s="45">
        <v>4</v>
      </c>
      <c r="X845" s="46">
        <v>1441020</v>
      </c>
      <c r="Y845" s="45">
        <v>0</v>
      </c>
      <c r="Z845" s="45">
        <v>8</v>
      </c>
      <c r="AB845" s="46">
        <v>1422300</v>
      </c>
      <c r="AC845" s="45">
        <v>0</v>
      </c>
      <c r="AD845" s="45">
        <v>6</v>
      </c>
      <c r="AE845" s="46">
        <v>1525590</v>
      </c>
      <c r="AF845" s="45">
        <v>66</v>
      </c>
      <c r="AG845" s="45">
        <v>7</v>
      </c>
      <c r="AH845" s="46">
        <v>1350460</v>
      </c>
      <c r="AI845" s="45">
        <v>0</v>
      </c>
      <c r="AJ845" s="45">
        <v>15</v>
      </c>
      <c r="AK845" s="46">
        <v>1441450</v>
      </c>
      <c r="AL845" s="45">
        <v>68</v>
      </c>
      <c r="AM845" s="45">
        <v>14</v>
      </c>
      <c r="AO845" s="46">
        <v>1459870</v>
      </c>
      <c r="AP845" s="45">
        <v>0</v>
      </c>
      <c r="AQ845" s="45">
        <v>6</v>
      </c>
      <c r="AR845" s="46">
        <v>1383850</v>
      </c>
      <c r="AS845" s="45">
        <v>0</v>
      </c>
      <c r="AT845" s="45">
        <v>9</v>
      </c>
      <c r="AU845" s="46">
        <v>1452660</v>
      </c>
      <c r="AV845" s="45">
        <v>25</v>
      </c>
      <c r="AW845" s="45">
        <v>7</v>
      </c>
      <c r="AX845" s="46">
        <v>1428260</v>
      </c>
      <c r="AY845" s="45">
        <v>0</v>
      </c>
      <c r="AZ845" s="45">
        <v>7</v>
      </c>
    </row>
    <row r="846" spans="2:52">
      <c r="B846" s="46">
        <v>1285200</v>
      </c>
      <c r="C846" s="45">
        <v>0</v>
      </c>
      <c r="D846" s="45">
        <v>23</v>
      </c>
      <c r="E846" s="46">
        <v>1334770</v>
      </c>
      <c r="F846" s="45">
        <v>0</v>
      </c>
      <c r="G846" s="45">
        <v>11</v>
      </c>
      <c r="H846" s="46">
        <v>1337490</v>
      </c>
      <c r="I846" s="45">
        <v>43</v>
      </c>
      <c r="J846" s="45">
        <v>17</v>
      </c>
      <c r="K846" s="46">
        <v>1283350</v>
      </c>
      <c r="L846" s="45">
        <v>0</v>
      </c>
      <c r="M846" s="45">
        <v>9</v>
      </c>
      <c r="O846" s="46">
        <v>1346640</v>
      </c>
      <c r="P846" s="45">
        <v>0</v>
      </c>
      <c r="Q846" s="45">
        <v>11</v>
      </c>
      <c r="R846" s="46">
        <v>1420280</v>
      </c>
      <c r="S846" s="45">
        <v>0</v>
      </c>
      <c r="T846" s="45">
        <v>5</v>
      </c>
      <c r="U846" s="46">
        <v>1347070</v>
      </c>
      <c r="V846" s="45">
        <v>0</v>
      </c>
      <c r="W846" s="45">
        <v>5</v>
      </c>
      <c r="X846" s="46">
        <v>1355730</v>
      </c>
      <c r="Y846" s="45">
        <v>0</v>
      </c>
      <c r="Z846" s="45">
        <v>5</v>
      </c>
      <c r="AB846" s="46">
        <v>1288860</v>
      </c>
      <c r="AC846" s="45">
        <v>0</v>
      </c>
      <c r="AD846" s="45">
        <v>13</v>
      </c>
      <c r="AE846" s="46">
        <v>1301290</v>
      </c>
      <c r="AF846" s="45">
        <v>0</v>
      </c>
      <c r="AG846" s="45">
        <v>16</v>
      </c>
      <c r="AH846" s="46">
        <v>1317930</v>
      </c>
      <c r="AI846" s="45">
        <v>0</v>
      </c>
      <c r="AJ846" s="45">
        <v>7</v>
      </c>
      <c r="AK846" s="46">
        <v>1378850</v>
      </c>
      <c r="AL846" s="45">
        <v>0</v>
      </c>
      <c r="AM846" s="45">
        <v>6</v>
      </c>
      <c r="AO846" s="46">
        <v>1327900</v>
      </c>
      <c r="AP846" s="45">
        <v>0</v>
      </c>
      <c r="AQ846" s="45">
        <v>8</v>
      </c>
      <c r="AR846" s="46">
        <v>1307400</v>
      </c>
      <c r="AS846" s="45">
        <v>0</v>
      </c>
      <c r="AT846" s="45">
        <v>8</v>
      </c>
      <c r="AU846" s="46">
        <v>1275350</v>
      </c>
      <c r="AV846" s="45">
        <v>0</v>
      </c>
      <c r="AW846" s="45">
        <v>6</v>
      </c>
      <c r="AX846" s="46">
        <v>1310630</v>
      </c>
      <c r="AY846" s="45">
        <v>0</v>
      </c>
      <c r="AZ846" s="45">
        <v>7</v>
      </c>
    </row>
    <row r="847" spans="2:52">
      <c r="B847" s="46">
        <v>1299280</v>
      </c>
      <c r="C847" s="45">
        <v>0</v>
      </c>
      <c r="D847" s="45">
        <v>18</v>
      </c>
      <c r="E847" s="46">
        <v>1319800</v>
      </c>
      <c r="F847" s="45">
        <v>36</v>
      </c>
      <c r="G847" s="45">
        <v>10</v>
      </c>
      <c r="H847" s="46">
        <v>1269320</v>
      </c>
      <c r="I847" s="45">
        <v>9</v>
      </c>
      <c r="J847" s="45">
        <v>16</v>
      </c>
      <c r="K847" s="46">
        <v>1266640</v>
      </c>
      <c r="L847" s="45">
        <v>0</v>
      </c>
      <c r="M847" s="45">
        <v>9</v>
      </c>
      <c r="O847" s="46">
        <v>1384620</v>
      </c>
      <c r="P847" s="45">
        <v>0</v>
      </c>
      <c r="Q847" s="45">
        <v>5</v>
      </c>
      <c r="R847" s="46">
        <v>1353410</v>
      </c>
      <c r="S847" s="45">
        <v>0</v>
      </c>
      <c r="T847" s="45">
        <v>8</v>
      </c>
      <c r="U847" s="46">
        <v>1376900</v>
      </c>
      <c r="V847" s="45">
        <v>0</v>
      </c>
      <c r="W847" s="45">
        <v>5</v>
      </c>
      <c r="X847" s="46">
        <v>1344540</v>
      </c>
      <c r="Y847" s="45">
        <v>23</v>
      </c>
      <c r="Z847" s="45">
        <v>7</v>
      </c>
      <c r="AB847" s="46">
        <v>1461930</v>
      </c>
      <c r="AC847" s="45">
        <v>107</v>
      </c>
      <c r="AD847" s="45">
        <v>14</v>
      </c>
      <c r="AE847" s="46">
        <v>1238200</v>
      </c>
      <c r="AF847" s="45">
        <v>9</v>
      </c>
      <c r="AG847" s="45">
        <v>24</v>
      </c>
      <c r="AH847" s="46">
        <v>1228520</v>
      </c>
      <c r="AI847" s="45">
        <v>0</v>
      </c>
      <c r="AJ847" s="45">
        <v>10</v>
      </c>
      <c r="AK847" s="46">
        <v>1260800</v>
      </c>
      <c r="AL847" s="45">
        <v>0</v>
      </c>
      <c r="AM847" s="45">
        <v>7</v>
      </c>
      <c r="AO847" s="46">
        <v>1484760</v>
      </c>
      <c r="AP847" s="45">
        <v>92</v>
      </c>
      <c r="AQ847" s="45">
        <v>10</v>
      </c>
      <c r="AR847" s="46">
        <v>1294880</v>
      </c>
      <c r="AS847" s="45">
        <v>5</v>
      </c>
      <c r="AT847" s="45">
        <v>8</v>
      </c>
      <c r="AU847" s="46">
        <v>1348650</v>
      </c>
      <c r="AV847" s="45">
        <v>112</v>
      </c>
      <c r="AW847" s="45">
        <v>24</v>
      </c>
      <c r="AX847" s="46">
        <v>1407390</v>
      </c>
      <c r="AY847" s="45">
        <v>54</v>
      </c>
      <c r="AZ847" s="45">
        <v>6</v>
      </c>
    </row>
    <row r="848" spans="2:52">
      <c r="B848" s="46">
        <v>1434660</v>
      </c>
      <c r="C848" s="45">
        <v>31</v>
      </c>
      <c r="D848" s="45">
        <v>20</v>
      </c>
      <c r="E848" s="46">
        <v>1550190</v>
      </c>
      <c r="F848" s="45">
        <v>225</v>
      </c>
      <c r="G848" s="45">
        <v>28</v>
      </c>
      <c r="H848" s="46">
        <v>1330390</v>
      </c>
      <c r="I848" s="45">
        <v>0</v>
      </c>
      <c r="J848" s="45">
        <v>13</v>
      </c>
      <c r="K848" s="46">
        <v>1378060</v>
      </c>
      <c r="L848" s="45">
        <v>0</v>
      </c>
      <c r="M848" s="45">
        <v>14</v>
      </c>
      <c r="O848" s="46">
        <v>1483600</v>
      </c>
      <c r="P848" s="45">
        <v>6</v>
      </c>
      <c r="Q848" s="45">
        <v>5</v>
      </c>
      <c r="R848" s="46">
        <v>1438100</v>
      </c>
      <c r="S848" s="45">
        <v>19</v>
      </c>
      <c r="T848" s="45">
        <v>8</v>
      </c>
      <c r="U848" s="46">
        <v>1475190</v>
      </c>
      <c r="V848" s="45">
        <v>0</v>
      </c>
      <c r="W848" s="45">
        <v>7</v>
      </c>
      <c r="X848" s="46">
        <v>1458090</v>
      </c>
      <c r="Y848" s="45">
        <v>0</v>
      </c>
      <c r="Z848" s="45">
        <v>7</v>
      </c>
      <c r="AB848" s="46">
        <v>1422710</v>
      </c>
      <c r="AC848" s="45">
        <v>59</v>
      </c>
      <c r="AD848" s="45">
        <v>15</v>
      </c>
      <c r="AE848" s="46">
        <v>1343520</v>
      </c>
      <c r="AF848" s="45">
        <v>0</v>
      </c>
      <c r="AG848" s="45">
        <v>10</v>
      </c>
      <c r="AH848" s="46">
        <v>1522310</v>
      </c>
      <c r="AI848" s="45">
        <v>116</v>
      </c>
      <c r="AJ848" s="45">
        <v>23</v>
      </c>
      <c r="AK848" s="46">
        <v>1459670</v>
      </c>
      <c r="AL848" s="45">
        <v>72</v>
      </c>
      <c r="AM848" s="45">
        <v>7</v>
      </c>
      <c r="AO848" s="46">
        <v>1386860</v>
      </c>
      <c r="AP848" s="45">
        <v>0</v>
      </c>
      <c r="AQ848" s="45">
        <v>10</v>
      </c>
      <c r="AR848" s="46">
        <v>1299600</v>
      </c>
      <c r="AS848" s="45">
        <v>0</v>
      </c>
      <c r="AT848" s="45">
        <v>17</v>
      </c>
      <c r="AU848" s="46">
        <v>1341890</v>
      </c>
      <c r="AV848" s="45">
        <v>0</v>
      </c>
      <c r="AW848" s="45">
        <v>12</v>
      </c>
      <c r="AX848" s="46">
        <v>1459940</v>
      </c>
      <c r="AY848" s="45">
        <v>6</v>
      </c>
      <c r="AZ848" s="45">
        <v>7</v>
      </c>
    </row>
    <row r="849" spans="2:52">
      <c r="B849" s="46">
        <v>1265260</v>
      </c>
      <c r="C849" s="45">
        <v>0</v>
      </c>
      <c r="D849" s="45">
        <v>18</v>
      </c>
      <c r="E849" s="46">
        <v>1309160</v>
      </c>
      <c r="F849" s="45">
        <v>0</v>
      </c>
      <c r="G849" s="45">
        <v>12</v>
      </c>
      <c r="H849" s="46">
        <v>1346400</v>
      </c>
      <c r="I849" s="45">
        <v>46</v>
      </c>
      <c r="J849" s="45">
        <v>17</v>
      </c>
      <c r="K849" s="46">
        <v>1309330</v>
      </c>
      <c r="L849" s="45">
        <v>0</v>
      </c>
      <c r="M849" s="45">
        <v>10</v>
      </c>
      <c r="O849" s="46">
        <v>1452830</v>
      </c>
      <c r="P849" s="45">
        <v>17</v>
      </c>
      <c r="Q849" s="45">
        <v>11</v>
      </c>
      <c r="R849" s="46">
        <v>1358240</v>
      </c>
      <c r="S849" s="45">
        <v>0</v>
      </c>
      <c r="T849" s="45">
        <v>6</v>
      </c>
      <c r="U849" s="46">
        <v>1396560</v>
      </c>
      <c r="V849" s="45">
        <v>0</v>
      </c>
      <c r="W849" s="45">
        <v>6</v>
      </c>
      <c r="X849" s="46">
        <v>1345850</v>
      </c>
      <c r="Y849" s="45">
        <v>0</v>
      </c>
      <c r="Z849" s="45">
        <v>6</v>
      </c>
      <c r="AB849" s="46">
        <v>1471190</v>
      </c>
      <c r="AC849" s="45">
        <v>82</v>
      </c>
      <c r="AD849" s="45">
        <v>11</v>
      </c>
      <c r="AE849" s="46">
        <v>1385140</v>
      </c>
      <c r="AF849" s="45">
        <v>46</v>
      </c>
      <c r="AG849" s="45">
        <v>19</v>
      </c>
      <c r="AH849" s="46">
        <v>1378690</v>
      </c>
      <c r="AI849" s="45">
        <v>24</v>
      </c>
      <c r="AJ849" s="45">
        <v>14</v>
      </c>
      <c r="AK849" s="46">
        <v>1293730</v>
      </c>
      <c r="AL849" s="45">
        <v>0</v>
      </c>
      <c r="AM849" s="45">
        <v>10</v>
      </c>
      <c r="AO849" s="46">
        <v>1303020</v>
      </c>
      <c r="AP849" s="45">
        <v>0</v>
      </c>
      <c r="AQ849" s="45">
        <v>20</v>
      </c>
      <c r="AR849" s="46">
        <v>1375870</v>
      </c>
      <c r="AS849" s="45">
        <v>32</v>
      </c>
      <c r="AT849" s="45">
        <v>12</v>
      </c>
      <c r="AU849" s="46">
        <v>1297220</v>
      </c>
      <c r="AV849" s="45">
        <v>0</v>
      </c>
      <c r="AW849" s="45">
        <v>7</v>
      </c>
      <c r="AX849" s="46">
        <v>1250310</v>
      </c>
      <c r="AY849" s="45">
        <v>0</v>
      </c>
      <c r="AZ849" s="45">
        <v>7</v>
      </c>
    </row>
    <row r="850" spans="2:52">
      <c r="B850" s="46">
        <v>1470230</v>
      </c>
      <c r="C850" s="45">
        <v>3</v>
      </c>
      <c r="D850" s="45">
        <v>16</v>
      </c>
      <c r="E850" s="46">
        <v>1377500</v>
      </c>
      <c r="F850" s="45">
        <v>0</v>
      </c>
      <c r="G850" s="45">
        <v>9</v>
      </c>
      <c r="H850" s="46">
        <v>1313930</v>
      </c>
      <c r="I850" s="45">
        <v>0</v>
      </c>
      <c r="J850" s="45">
        <v>12</v>
      </c>
      <c r="K850" s="46">
        <v>1328260</v>
      </c>
      <c r="L850" s="45">
        <v>10</v>
      </c>
      <c r="M850" s="45">
        <v>16</v>
      </c>
      <c r="O850" s="46">
        <v>1459980</v>
      </c>
      <c r="P850" s="45">
        <v>0</v>
      </c>
      <c r="Q850" s="45">
        <v>5</v>
      </c>
      <c r="R850" s="46">
        <v>1428700</v>
      </c>
      <c r="S850" s="45">
        <v>0</v>
      </c>
      <c r="T850" s="45">
        <v>8</v>
      </c>
      <c r="U850" s="46">
        <v>1481280</v>
      </c>
      <c r="V850" s="45">
        <v>1</v>
      </c>
      <c r="W850" s="45">
        <v>13</v>
      </c>
      <c r="X850" s="46">
        <v>1432120</v>
      </c>
      <c r="Y850" s="45">
        <v>0</v>
      </c>
      <c r="Z850" s="45">
        <v>5</v>
      </c>
      <c r="AB850" s="46">
        <v>1451390</v>
      </c>
      <c r="AC850" s="45">
        <v>0</v>
      </c>
      <c r="AD850" s="45">
        <v>6</v>
      </c>
      <c r="AE850" s="46">
        <v>1437510</v>
      </c>
      <c r="AF850" s="45">
        <v>42</v>
      </c>
      <c r="AG850" s="45">
        <v>11</v>
      </c>
      <c r="AH850" s="46">
        <v>1381230</v>
      </c>
      <c r="AI850" s="45">
        <v>0</v>
      </c>
      <c r="AJ850" s="45">
        <v>11</v>
      </c>
      <c r="AK850" s="46">
        <v>1340910</v>
      </c>
      <c r="AL850" s="45">
        <v>0</v>
      </c>
      <c r="AM850" s="45">
        <v>11</v>
      </c>
      <c r="AO850" s="46">
        <v>1484180</v>
      </c>
      <c r="AP850" s="45">
        <v>28</v>
      </c>
      <c r="AQ850" s="45">
        <v>8</v>
      </c>
      <c r="AR850" s="46">
        <v>1333590</v>
      </c>
      <c r="AS850" s="45">
        <v>0</v>
      </c>
      <c r="AT850" s="45">
        <v>12</v>
      </c>
      <c r="AU850" s="46">
        <v>1388060</v>
      </c>
      <c r="AV850" s="45">
        <v>0</v>
      </c>
      <c r="AW850" s="45">
        <v>6</v>
      </c>
      <c r="AX850" s="46">
        <v>1363500</v>
      </c>
      <c r="AY850" s="45">
        <v>0</v>
      </c>
      <c r="AZ850" s="45">
        <v>7</v>
      </c>
    </row>
    <row r="851" spans="2:52">
      <c r="B851" s="46">
        <v>1293670</v>
      </c>
      <c r="C851" s="45">
        <v>0</v>
      </c>
      <c r="D851" s="45">
        <v>16</v>
      </c>
      <c r="E851" s="46">
        <v>1260640</v>
      </c>
      <c r="F851" s="45">
        <v>0</v>
      </c>
      <c r="G851" s="45">
        <v>13</v>
      </c>
      <c r="H851" s="46">
        <v>1252760</v>
      </c>
      <c r="I851" s="45">
        <v>11</v>
      </c>
      <c r="J851" s="45">
        <v>11</v>
      </c>
      <c r="K851" s="46">
        <v>1188670</v>
      </c>
      <c r="L851" s="45">
        <v>0</v>
      </c>
      <c r="M851" s="45">
        <v>19</v>
      </c>
      <c r="O851" s="46">
        <v>1370720</v>
      </c>
      <c r="P851" s="45">
        <v>0</v>
      </c>
      <c r="Q851" s="45">
        <v>6</v>
      </c>
      <c r="R851" s="46">
        <v>1256030</v>
      </c>
      <c r="S851" s="45">
        <v>0</v>
      </c>
      <c r="T851" s="45">
        <v>8</v>
      </c>
      <c r="U851" s="46">
        <v>1287990</v>
      </c>
      <c r="V851" s="45">
        <v>0</v>
      </c>
      <c r="W851" s="45">
        <v>6</v>
      </c>
      <c r="X851" s="46">
        <v>1393940</v>
      </c>
      <c r="Y851" s="45">
        <v>0</v>
      </c>
      <c r="Z851" s="45">
        <v>5</v>
      </c>
      <c r="AB851" s="46">
        <v>1277730</v>
      </c>
      <c r="AC851" s="45">
        <v>24</v>
      </c>
      <c r="AD851" s="45">
        <v>16</v>
      </c>
      <c r="AE851" s="46">
        <v>1288120</v>
      </c>
      <c r="AF851" s="45">
        <v>0</v>
      </c>
      <c r="AG851" s="45">
        <v>5</v>
      </c>
      <c r="AH851" s="46">
        <v>1225630</v>
      </c>
      <c r="AI851" s="45">
        <v>0</v>
      </c>
      <c r="AJ851" s="45">
        <v>9</v>
      </c>
      <c r="AK851" s="46">
        <v>1231720</v>
      </c>
      <c r="AL851" s="45">
        <v>0</v>
      </c>
      <c r="AM851" s="45">
        <v>9</v>
      </c>
      <c r="AO851" s="46">
        <v>1329090</v>
      </c>
      <c r="AP851" s="45">
        <v>0</v>
      </c>
      <c r="AQ851" s="45">
        <v>10</v>
      </c>
      <c r="AR851" s="46">
        <v>1228350</v>
      </c>
      <c r="AS851" s="45">
        <v>0</v>
      </c>
      <c r="AT851" s="45">
        <v>13</v>
      </c>
      <c r="AU851" s="46">
        <v>1239400</v>
      </c>
      <c r="AV851" s="45">
        <v>0</v>
      </c>
      <c r="AW851" s="45">
        <v>8</v>
      </c>
      <c r="AX851" s="46">
        <v>1314460</v>
      </c>
      <c r="AY851" s="45">
        <v>12</v>
      </c>
      <c r="AZ851" s="45">
        <v>11</v>
      </c>
    </row>
    <row r="852" spans="2:52">
      <c r="B852" s="46">
        <v>1388930</v>
      </c>
      <c r="C852" s="45">
        <v>78</v>
      </c>
      <c r="D852" s="45">
        <v>44</v>
      </c>
      <c r="E852" s="46">
        <v>1322330</v>
      </c>
      <c r="F852" s="45">
        <v>0</v>
      </c>
      <c r="G852" s="45">
        <v>12</v>
      </c>
      <c r="H852" s="46">
        <v>1326090</v>
      </c>
      <c r="I852" s="45">
        <v>0</v>
      </c>
      <c r="J852" s="45">
        <v>17</v>
      </c>
      <c r="K852" s="46">
        <v>1325170</v>
      </c>
      <c r="L852" s="45">
        <v>0</v>
      </c>
      <c r="M852" s="45">
        <v>10</v>
      </c>
      <c r="O852" s="46">
        <v>1498640</v>
      </c>
      <c r="P852" s="45">
        <v>0</v>
      </c>
      <c r="Q852" s="45">
        <v>6</v>
      </c>
      <c r="R852" s="46">
        <v>1495020</v>
      </c>
      <c r="S852" s="45">
        <v>0</v>
      </c>
      <c r="T852" s="45">
        <v>7</v>
      </c>
      <c r="U852" s="46">
        <v>1428230</v>
      </c>
      <c r="V852" s="45">
        <v>0</v>
      </c>
      <c r="W852" s="45">
        <v>8</v>
      </c>
      <c r="X852" s="46">
        <v>1444650</v>
      </c>
      <c r="Y852" s="45">
        <v>0</v>
      </c>
      <c r="Z852" s="45">
        <v>5</v>
      </c>
      <c r="AB852" s="46">
        <v>1353440</v>
      </c>
      <c r="AC852" s="45">
        <v>0</v>
      </c>
      <c r="AD852" s="45">
        <v>14</v>
      </c>
      <c r="AE852" s="46">
        <v>1379400</v>
      </c>
      <c r="AF852" s="45">
        <v>0</v>
      </c>
      <c r="AG852" s="45">
        <v>13</v>
      </c>
      <c r="AH852" s="46">
        <v>1352970</v>
      </c>
      <c r="AI852" s="45">
        <v>0</v>
      </c>
      <c r="AJ852" s="45">
        <v>9</v>
      </c>
      <c r="AK852" s="46">
        <v>1394670</v>
      </c>
      <c r="AL852" s="45">
        <v>0</v>
      </c>
      <c r="AM852" s="45">
        <v>8</v>
      </c>
      <c r="AO852" s="46">
        <v>1411260</v>
      </c>
      <c r="AP852" s="45">
        <v>0</v>
      </c>
      <c r="AQ852" s="45">
        <v>12</v>
      </c>
      <c r="AR852" s="46">
        <v>1477830</v>
      </c>
      <c r="AS852" s="45">
        <v>68</v>
      </c>
      <c r="AT852" s="45">
        <v>4</v>
      </c>
      <c r="AU852" s="46">
        <v>1433380</v>
      </c>
      <c r="AV852" s="45">
        <v>0</v>
      </c>
      <c r="AW852" s="45">
        <v>6</v>
      </c>
      <c r="AX852" s="46">
        <v>1354610</v>
      </c>
      <c r="AY852" s="45">
        <v>0</v>
      </c>
      <c r="AZ852" s="45">
        <v>8</v>
      </c>
    </row>
    <row r="853" spans="2:52">
      <c r="B853" s="46">
        <v>1216950</v>
      </c>
      <c r="C853" s="45">
        <v>0</v>
      </c>
      <c r="D853" s="45">
        <v>20</v>
      </c>
      <c r="E853" s="46">
        <v>1214920</v>
      </c>
      <c r="F853" s="45">
        <v>0</v>
      </c>
      <c r="G853" s="45">
        <v>16</v>
      </c>
      <c r="H853" s="46">
        <v>1220070</v>
      </c>
      <c r="I853" s="45">
        <v>0</v>
      </c>
      <c r="J853" s="45">
        <v>13</v>
      </c>
      <c r="K853" s="46">
        <v>1261820</v>
      </c>
      <c r="L853" s="45">
        <v>0</v>
      </c>
      <c r="M853" s="45">
        <v>7</v>
      </c>
      <c r="O853" s="46">
        <v>1329190</v>
      </c>
      <c r="P853" s="45">
        <v>0</v>
      </c>
      <c r="Q853" s="45">
        <v>4</v>
      </c>
      <c r="R853" s="46">
        <v>1319050</v>
      </c>
      <c r="S853" s="45">
        <v>0</v>
      </c>
      <c r="T853" s="45">
        <v>7</v>
      </c>
      <c r="U853" s="46">
        <v>1334680</v>
      </c>
      <c r="V853" s="45">
        <v>0</v>
      </c>
      <c r="W853" s="45">
        <v>5</v>
      </c>
      <c r="X853" s="46">
        <v>1349990</v>
      </c>
      <c r="Y853" s="45">
        <v>96</v>
      </c>
      <c r="Z853" s="45">
        <v>15</v>
      </c>
      <c r="AB853" s="46">
        <v>1342940</v>
      </c>
      <c r="AC853" s="45">
        <v>14</v>
      </c>
      <c r="AD853" s="45">
        <v>17</v>
      </c>
      <c r="AE853" s="46">
        <v>1320230</v>
      </c>
      <c r="AF853" s="45">
        <v>128</v>
      </c>
      <c r="AG853" s="45">
        <v>18</v>
      </c>
      <c r="AH853" s="46">
        <v>1222690</v>
      </c>
      <c r="AI853" s="45">
        <v>0</v>
      </c>
      <c r="AJ853" s="45">
        <v>9</v>
      </c>
      <c r="AK853" s="46">
        <v>1185880</v>
      </c>
      <c r="AL853" s="45">
        <v>10</v>
      </c>
      <c r="AM853" s="45">
        <v>15</v>
      </c>
      <c r="AO853" s="46">
        <v>1402560</v>
      </c>
      <c r="AP853" s="45">
        <v>161</v>
      </c>
      <c r="AQ853" s="45">
        <v>26</v>
      </c>
      <c r="AR853" s="46">
        <v>1265760</v>
      </c>
      <c r="AS853" s="45">
        <v>31</v>
      </c>
      <c r="AT853" s="45">
        <v>12</v>
      </c>
      <c r="AU853" s="46">
        <v>1222580</v>
      </c>
      <c r="AV853" s="45">
        <v>0</v>
      </c>
      <c r="AW853" s="45">
        <v>10</v>
      </c>
      <c r="AX853" s="46">
        <v>1292800</v>
      </c>
      <c r="AY853" s="45">
        <v>85</v>
      </c>
      <c r="AZ853" s="45">
        <v>11</v>
      </c>
    </row>
    <row r="854" spans="2:52">
      <c r="B854" s="46">
        <v>1375750</v>
      </c>
      <c r="C854" s="45">
        <v>0</v>
      </c>
      <c r="D854" s="45">
        <v>15</v>
      </c>
      <c r="E854" s="46">
        <v>1350030</v>
      </c>
      <c r="F854" s="45">
        <v>0</v>
      </c>
      <c r="G854" s="45">
        <v>18</v>
      </c>
      <c r="H854" s="46">
        <v>1376060</v>
      </c>
      <c r="I854" s="45">
        <v>0</v>
      </c>
      <c r="J854" s="45">
        <v>16</v>
      </c>
      <c r="K854" s="46">
        <v>1387500</v>
      </c>
      <c r="L854" s="45">
        <v>0</v>
      </c>
      <c r="M854" s="45">
        <v>13</v>
      </c>
      <c r="O854" s="46">
        <v>1513780</v>
      </c>
      <c r="P854" s="45">
        <v>0</v>
      </c>
      <c r="Q854" s="45">
        <v>9</v>
      </c>
      <c r="R854" s="46">
        <v>1432600</v>
      </c>
      <c r="S854" s="45">
        <v>0</v>
      </c>
      <c r="T854" s="45">
        <v>8</v>
      </c>
      <c r="U854" s="46">
        <v>1457360</v>
      </c>
      <c r="V854" s="45">
        <v>0</v>
      </c>
      <c r="W854" s="45">
        <v>6</v>
      </c>
      <c r="X854" s="46">
        <v>1508140</v>
      </c>
      <c r="Y854" s="45">
        <v>0</v>
      </c>
      <c r="Z854" s="45">
        <v>6</v>
      </c>
      <c r="AB854" s="46">
        <v>1402720</v>
      </c>
      <c r="AC854" s="45">
        <v>0</v>
      </c>
      <c r="AD854" s="45">
        <v>10</v>
      </c>
      <c r="AE854" s="46">
        <v>1420570</v>
      </c>
      <c r="AF854" s="45">
        <v>0</v>
      </c>
      <c r="AG854" s="45">
        <v>9</v>
      </c>
      <c r="AH854" s="46">
        <v>1487630</v>
      </c>
      <c r="AI854" s="45">
        <v>0</v>
      </c>
      <c r="AJ854" s="45">
        <v>6</v>
      </c>
      <c r="AK854" s="46">
        <v>1403980</v>
      </c>
      <c r="AL854" s="45">
        <v>0</v>
      </c>
      <c r="AM854" s="45">
        <v>11</v>
      </c>
      <c r="AO854" s="46">
        <v>1350910</v>
      </c>
      <c r="AP854" s="45">
        <v>0</v>
      </c>
      <c r="AQ854" s="45">
        <v>12</v>
      </c>
      <c r="AR854" s="46">
        <v>1438170</v>
      </c>
      <c r="AS854" s="45">
        <v>0</v>
      </c>
      <c r="AT854" s="45">
        <v>11</v>
      </c>
      <c r="AU854" s="46">
        <v>1421360</v>
      </c>
      <c r="AV854" s="45">
        <v>0</v>
      </c>
      <c r="AW854" s="45">
        <v>9</v>
      </c>
      <c r="AX854" s="46">
        <v>1372650</v>
      </c>
      <c r="AY854" s="45">
        <v>0</v>
      </c>
      <c r="AZ854" s="45">
        <v>7</v>
      </c>
    </row>
    <row r="855" spans="2:52">
      <c r="B855" s="46">
        <v>1463670</v>
      </c>
      <c r="C855" s="45">
        <v>0</v>
      </c>
      <c r="D855" s="45">
        <v>11</v>
      </c>
      <c r="E855" s="46">
        <v>1420430</v>
      </c>
      <c r="F855" s="45">
        <v>0</v>
      </c>
      <c r="G855" s="45">
        <v>12</v>
      </c>
      <c r="H855" s="46">
        <v>1446550</v>
      </c>
      <c r="I855" s="45">
        <v>0</v>
      </c>
      <c r="J855" s="45">
        <v>21</v>
      </c>
      <c r="K855" s="46">
        <v>1370290</v>
      </c>
      <c r="L855" s="45">
        <v>0</v>
      </c>
      <c r="M855" s="45">
        <v>12</v>
      </c>
      <c r="O855" s="46">
        <v>1412650</v>
      </c>
      <c r="P855" s="45">
        <v>0</v>
      </c>
      <c r="Q855" s="45">
        <v>10</v>
      </c>
      <c r="R855" s="46">
        <v>1467930</v>
      </c>
      <c r="S855" s="45">
        <v>0</v>
      </c>
      <c r="T855" s="45">
        <v>10</v>
      </c>
      <c r="U855" s="46">
        <v>1421930</v>
      </c>
      <c r="V855" s="45">
        <v>0</v>
      </c>
      <c r="W855" s="45">
        <v>9</v>
      </c>
      <c r="X855" s="46">
        <v>1530570</v>
      </c>
      <c r="Y855" s="45">
        <v>0</v>
      </c>
      <c r="Z855" s="45">
        <v>7</v>
      </c>
      <c r="AB855" s="46">
        <v>1444220</v>
      </c>
      <c r="AC855" s="45">
        <v>0</v>
      </c>
      <c r="AD855" s="45">
        <v>9</v>
      </c>
      <c r="AE855" s="46">
        <v>1388200</v>
      </c>
      <c r="AF855" s="45">
        <v>0</v>
      </c>
      <c r="AG855" s="45">
        <v>9</v>
      </c>
      <c r="AH855" s="46">
        <v>1383330</v>
      </c>
      <c r="AI855" s="45">
        <v>0</v>
      </c>
      <c r="AJ855" s="45">
        <v>6</v>
      </c>
      <c r="AK855" s="46">
        <v>1336180</v>
      </c>
      <c r="AL855" s="45">
        <v>0</v>
      </c>
      <c r="AM855" s="45">
        <v>13</v>
      </c>
      <c r="AO855" s="46">
        <v>1399670</v>
      </c>
      <c r="AP855" s="45">
        <v>17</v>
      </c>
      <c r="AQ855" s="45">
        <v>14</v>
      </c>
      <c r="AR855" s="46">
        <v>1406650</v>
      </c>
      <c r="AS855" s="45">
        <v>22</v>
      </c>
      <c r="AT855" s="45">
        <v>8</v>
      </c>
      <c r="AU855" s="46">
        <v>1389280</v>
      </c>
      <c r="AV855" s="45">
        <v>0</v>
      </c>
      <c r="AW855" s="45">
        <v>9</v>
      </c>
      <c r="AX855" s="46">
        <v>1366750</v>
      </c>
      <c r="AY855" s="45">
        <v>0</v>
      </c>
      <c r="AZ855" s="45">
        <v>9</v>
      </c>
    </row>
    <row r="856" spans="2:52">
      <c r="B856" s="46">
        <v>1415490</v>
      </c>
      <c r="C856" s="45">
        <v>0</v>
      </c>
      <c r="D856" s="45">
        <v>11</v>
      </c>
      <c r="E856" s="46">
        <v>1419510</v>
      </c>
      <c r="F856" s="45">
        <v>9</v>
      </c>
      <c r="G856" s="45">
        <v>21</v>
      </c>
      <c r="H856" s="46">
        <v>1422800</v>
      </c>
      <c r="I856" s="45">
        <v>33</v>
      </c>
      <c r="J856" s="45">
        <v>23</v>
      </c>
      <c r="K856" s="46">
        <v>1409020</v>
      </c>
      <c r="L856" s="45">
        <v>13</v>
      </c>
      <c r="M856" s="45">
        <v>16</v>
      </c>
      <c r="O856" s="46">
        <v>1432980</v>
      </c>
      <c r="P856" s="45">
        <v>0</v>
      </c>
      <c r="Q856" s="45">
        <v>23</v>
      </c>
      <c r="R856" s="46">
        <v>1450990</v>
      </c>
      <c r="S856" s="45">
        <v>0</v>
      </c>
      <c r="T856" s="45">
        <v>6</v>
      </c>
      <c r="U856" s="46">
        <v>1481570</v>
      </c>
      <c r="V856" s="45">
        <v>0</v>
      </c>
      <c r="W856" s="45">
        <v>4</v>
      </c>
      <c r="X856" s="46">
        <v>1510320</v>
      </c>
      <c r="Y856" s="45">
        <v>7</v>
      </c>
      <c r="Z856" s="45">
        <v>6</v>
      </c>
      <c r="AB856" s="46">
        <v>1489600</v>
      </c>
      <c r="AC856" s="45">
        <v>0</v>
      </c>
      <c r="AD856" s="45">
        <v>6</v>
      </c>
      <c r="AE856" s="46">
        <v>1368950</v>
      </c>
      <c r="AF856" s="45">
        <v>0</v>
      </c>
      <c r="AG856" s="45">
        <v>23</v>
      </c>
      <c r="AH856" s="46">
        <v>1456740</v>
      </c>
      <c r="AI856" s="45">
        <v>71</v>
      </c>
      <c r="AJ856" s="45">
        <v>9</v>
      </c>
      <c r="AK856" s="46">
        <v>1379650</v>
      </c>
      <c r="AL856" s="45">
        <v>0</v>
      </c>
      <c r="AM856" s="45">
        <v>11</v>
      </c>
      <c r="AO856" s="46">
        <v>1571200</v>
      </c>
      <c r="AP856" s="45">
        <v>104</v>
      </c>
      <c r="AQ856" s="45">
        <v>17</v>
      </c>
      <c r="AR856" s="46">
        <v>1384740</v>
      </c>
      <c r="AS856" s="45">
        <v>0</v>
      </c>
      <c r="AT856" s="45">
        <v>6</v>
      </c>
      <c r="AU856" s="46">
        <v>1412730</v>
      </c>
      <c r="AV856" s="45">
        <v>0</v>
      </c>
      <c r="AW856" s="45">
        <v>10</v>
      </c>
      <c r="AX856" s="46">
        <v>1420040</v>
      </c>
      <c r="AY856" s="45">
        <v>2</v>
      </c>
      <c r="AZ856" s="45">
        <v>7</v>
      </c>
    </row>
    <row r="857" spans="2:52">
      <c r="B857" s="46">
        <v>1243270</v>
      </c>
      <c r="C857" s="45">
        <v>0</v>
      </c>
      <c r="D857" s="45">
        <v>19</v>
      </c>
      <c r="E857" s="46">
        <v>1262840</v>
      </c>
      <c r="F857" s="45">
        <v>0</v>
      </c>
      <c r="G857" s="45">
        <v>26</v>
      </c>
      <c r="H857" s="46">
        <v>1239530</v>
      </c>
      <c r="I857" s="45">
        <v>0</v>
      </c>
      <c r="J857" s="45">
        <v>17</v>
      </c>
      <c r="K857" s="46">
        <v>1318190</v>
      </c>
      <c r="L857" s="45">
        <v>0</v>
      </c>
      <c r="M857" s="45">
        <v>7</v>
      </c>
      <c r="O857" s="46">
        <v>1348460</v>
      </c>
      <c r="P857" s="45">
        <v>0</v>
      </c>
      <c r="Q857" s="45">
        <v>6</v>
      </c>
      <c r="R857" s="46">
        <v>1421360</v>
      </c>
      <c r="S857" s="45">
        <v>0</v>
      </c>
      <c r="T857" s="45">
        <v>5</v>
      </c>
      <c r="U857" s="46">
        <v>1340550</v>
      </c>
      <c r="V857" s="45">
        <v>0</v>
      </c>
      <c r="W857" s="45">
        <v>6</v>
      </c>
      <c r="X857" s="46">
        <v>1395750</v>
      </c>
      <c r="Y857" s="45">
        <v>0</v>
      </c>
      <c r="Z857" s="45">
        <v>7</v>
      </c>
      <c r="AB857" s="46">
        <v>1311930</v>
      </c>
      <c r="AC857" s="45">
        <v>0</v>
      </c>
      <c r="AD857" s="45">
        <v>13</v>
      </c>
      <c r="AE857" s="46">
        <v>1328610</v>
      </c>
      <c r="AF857" s="45">
        <v>0</v>
      </c>
      <c r="AG857" s="45">
        <v>7</v>
      </c>
      <c r="AH857" s="46">
        <v>1249820</v>
      </c>
      <c r="AI857" s="45">
        <v>0</v>
      </c>
      <c r="AJ857" s="45">
        <v>7</v>
      </c>
      <c r="AK857" s="46">
        <v>1365860</v>
      </c>
      <c r="AL857" s="45">
        <v>0</v>
      </c>
      <c r="AM857" s="45">
        <v>6</v>
      </c>
      <c r="AO857" s="46">
        <v>1308180</v>
      </c>
      <c r="AP857" s="45">
        <v>0</v>
      </c>
      <c r="AQ857" s="45">
        <v>10</v>
      </c>
      <c r="AR857" s="46">
        <v>1267170</v>
      </c>
      <c r="AS857" s="45">
        <v>14</v>
      </c>
      <c r="AT857" s="45">
        <v>13</v>
      </c>
      <c r="AU857" s="46">
        <v>1278760</v>
      </c>
      <c r="AV857" s="45">
        <v>0</v>
      </c>
      <c r="AW857" s="45">
        <v>7</v>
      </c>
      <c r="AX857" s="46">
        <v>1413390</v>
      </c>
      <c r="AY857" s="45">
        <v>146</v>
      </c>
      <c r="AZ857" s="45">
        <v>14</v>
      </c>
    </row>
    <row r="858" spans="2:52">
      <c r="B858" s="46">
        <v>1405070</v>
      </c>
      <c r="C858" s="45">
        <v>0</v>
      </c>
      <c r="D858" s="45">
        <v>14</v>
      </c>
      <c r="E858" s="46">
        <v>1395880</v>
      </c>
      <c r="F858" s="45">
        <v>25</v>
      </c>
      <c r="G858" s="45">
        <v>19</v>
      </c>
      <c r="H858" s="46">
        <v>1428250</v>
      </c>
      <c r="I858" s="45">
        <v>0</v>
      </c>
      <c r="J858" s="45">
        <v>15</v>
      </c>
      <c r="K858" s="46">
        <v>1416420</v>
      </c>
      <c r="L858" s="45">
        <v>16</v>
      </c>
      <c r="M858" s="45">
        <v>17</v>
      </c>
      <c r="O858" s="46">
        <v>1544040</v>
      </c>
      <c r="P858" s="45">
        <v>0</v>
      </c>
      <c r="Q858" s="45">
        <v>7</v>
      </c>
      <c r="R858" s="46">
        <v>1483980</v>
      </c>
      <c r="S858" s="45">
        <v>0</v>
      </c>
      <c r="T858" s="45">
        <v>6</v>
      </c>
      <c r="U858" s="46">
        <v>1516430</v>
      </c>
      <c r="V858" s="45">
        <v>45</v>
      </c>
      <c r="W858" s="45">
        <v>5</v>
      </c>
      <c r="X858" s="46">
        <v>1449430</v>
      </c>
      <c r="Y858" s="45">
        <v>0</v>
      </c>
      <c r="Z858" s="45">
        <v>5</v>
      </c>
      <c r="AB858" s="46">
        <v>1416930</v>
      </c>
      <c r="AC858" s="45">
        <v>0</v>
      </c>
      <c r="AD858" s="45">
        <v>13</v>
      </c>
      <c r="AE858" s="46">
        <v>1612600</v>
      </c>
      <c r="AF858" s="45">
        <v>213</v>
      </c>
      <c r="AG858" s="45">
        <v>19</v>
      </c>
      <c r="AH858" s="46">
        <v>1410670</v>
      </c>
      <c r="AI858" s="45">
        <v>0</v>
      </c>
      <c r="AJ858" s="45">
        <v>10</v>
      </c>
      <c r="AK858" s="46">
        <v>1390680</v>
      </c>
      <c r="AL858" s="45">
        <v>5</v>
      </c>
      <c r="AM858" s="45">
        <v>8</v>
      </c>
      <c r="AO858" s="46">
        <v>1427380</v>
      </c>
      <c r="AP858" s="45">
        <v>0</v>
      </c>
      <c r="AQ858" s="45">
        <v>10</v>
      </c>
      <c r="AR858" s="46">
        <v>1452720</v>
      </c>
      <c r="AS858" s="45">
        <v>8</v>
      </c>
      <c r="AT858" s="45">
        <v>16</v>
      </c>
      <c r="AU858" s="46">
        <v>1386210</v>
      </c>
      <c r="AV858" s="45">
        <v>0</v>
      </c>
      <c r="AW858" s="45">
        <v>5</v>
      </c>
      <c r="AX858" s="46">
        <v>1380430</v>
      </c>
      <c r="AY858" s="45">
        <v>0</v>
      </c>
      <c r="AZ858" s="45">
        <v>9</v>
      </c>
    </row>
    <row r="859" spans="2:52">
      <c r="B859" s="46">
        <v>1233780</v>
      </c>
      <c r="C859" s="45">
        <v>0</v>
      </c>
      <c r="D859" s="45">
        <v>13</v>
      </c>
      <c r="E859" s="46">
        <v>1285050</v>
      </c>
      <c r="F859" s="45">
        <v>0</v>
      </c>
      <c r="G859" s="45">
        <v>19</v>
      </c>
      <c r="H859" s="46">
        <v>1240460</v>
      </c>
      <c r="I859" s="45">
        <v>4</v>
      </c>
      <c r="J859" s="45">
        <v>12</v>
      </c>
      <c r="K859" s="46">
        <v>1258830</v>
      </c>
      <c r="L859" s="45">
        <v>0</v>
      </c>
      <c r="M859" s="45">
        <v>11</v>
      </c>
      <c r="O859" s="46">
        <v>1358510</v>
      </c>
      <c r="P859" s="45">
        <v>0</v>
      </c>
      <c r="Q859" s="45">
        <v>4</v>
      </c>
      <c r="R859" s="46">
        <v>1356930</v>
      </c>
      <c r="S859" s="45">
        <v>0</v>
      </c>
      <c r="T859" s="45">
        <v>4</v>
      </c>
      <c r="U859" s="46">
        <v>1335570</v>
      </c>
      <c r="V859" s="45">
        <v>0</v>
      </c>
      <c r="W859" s="45">
        <v>7</v>
      </c>
      <c r="X859" s="46">
        <v>1353350</v>
      </c>
      <c r="Y859" s="45">
        <v>0</v>
      </c>
      <c r="Z859" s="45">
        <v>8</v>
      </c>
      <c r="AB859" s="46">
        <v>1355840</v>
      </c>
      <c r="AC859" s="45">
        <v>0</v>
      </c>
      <c r="AD859" s="45">
        <v>9</v>
      </c>
      <c r="AE859" s="46">
        <v>1260950</v>
      </c>
      <c r="AF859" s="45">
        <v>0</v>
      </c>
      <c r="AG859" s="45">
        <v>8</v>
      </c>
      <c r="AH859" s="46">
        <v>1425160</v>
      </c>
      <c r="AI859" s="45">
        <v>106</v>
      </c>
      <c r="AJ859" s="45">
        <v>8</v>
      </c>
      <c r="AK859" s="46">
        <v>1287790</v>
      </c>
      <c r="AL859" s="45">
        <v>0</v>
      </c>
      <c r="AM859" s="45">
        <v>8</v>
      </c>
      <c r="AO859" s="46">
        <v>1302980</v>
      </c>
      <c r="AP859" s="45">
        <v>0</v>
      </c>
      <c r="AQ859" s="45">
        <v>14</v>
      </c>
      <c r="AR859" s="46">
        <v>1320460</v>
      </c>
      <c r="AS859" s="45">
        <v>12</v>
      </c>
      <c r="AT859" s="45">
        <v>13</v>
      </c>
      <c r="AU859" s="46">
        <v>1309610</v>
      </c>
      <c r="AV859" s="45">
        <v>0</v>
      </c>
      <c r="AW859" s="45">
        <v>9</v>
      </c>
      <c r="AX859" s="46">
        <v>1287090</v>
      </c>
      <c r="AY859" s="45">
        <v>0</v>
      </c>
      <c r="AZ859" s="45">
        <v>8</v>
      </c>
    </row>
    <row r="860" spans="2:52">
      <c r="B860" s="46">
        <v>1234810</v>
      </c>
      <c r="C860" s="45">
        <v>0</v>
      </c>
      <c r="D860" s="45">
        <v>19</v>
      </c>
      <c r="E860" s="46">
        <v>1218500</v>
      </c>
      <c r="F860" s="45">
        <v>0</v>
      </c>
      <c r="G860" s="45">
        <v>15</v>
      </c>
      <c r="H860" s="46">
        <v>1254070</v>
      </c>
      <c r="I860" s="45">
        <v>0</v>
      </c>
      <c r="J860" s="45">
        <v>12</v>
      </c>
      <c r="K860" s="46">
        <v>1254210</v>
      </c>
      <c r="L860" s="45">
        <v>0</v>
      </c>
      <c r="M860" s="45">
        <v>13</v>
      </c>
      <c r="O860" s="46">
        <v>1335940</v>
      </c>
      <c r="P860" s="45">
        <v>0</v>
      </c>
      <c r="Q860" s="45">
        <v>9</v>
      </c>
      <c r="R860" s="46">
        <v>1326240</v>
      </c>
      <c r="S860" s="45">
        <v>0</v>
      </c>
      <c r="T860" s="45">
        <v>6</v>
      </c>
      <c r="U860" s="46">
        <v>1283650</v>
      </c>
      <c r="V860" s="45">
        <v>0</v>
      </c>
      <c r="W860" s="45">
        <v>6</v>
      </c>
      <c r="X860" s="46">
        <v>1335990</v>
      </c>
      <c r="Y860" s="45">
        <v>0</v>
      </c>
      <c r="Z860" s="45">
        <v>8</v>
      </c>
      <c r="AB860" s="46">
        <v>1336960</v>
      </c>
      <c r="AC860" s="45">
        <v>0</v>
      </c>
      <c r="AD860" s="45">
        <v>15</v>
      </c>
      <c r="AE860" s="46">
        <v>1168250</v>
      </c>
      <c r="AF860" s="45">
        <v>0</v>
      </c>
      <c r="AG860" s="45">
        <v>13</v>
      </c>
      <c r="AH860" s="46">
        <v>1164660</v>
      </c>
      <c r="AI860" s="45">
        <v>0</v>
      </c>
      <c r="AJ860" s="45">
        <v>12</v>
      </c>
      <c r="AK860" s="46">
        <v>1285100</v>
      </c>
      <c r="AL860" s="45">
        <v>0</v>
      </c>
      <c r="AM860" s="45">
        <v>6</v>
      </c>
      <c r="AO860" s="46">
        <v>1251790</v>
      </c>
      <c r="AP860" s="45">
        <v>0</v>
      </c>
      <c r="AQ860" s="45">
        <v>16</v>
      </c>
      <c r="AR860" s="46">
        <v>1270960</v>
      </c>
      <c r="AS860" s="45">
        <v>0</v>
      </c>
      <c r="AT860" s="45">
        <v>6</v>
      </c>
      <c r="AU860" s="46">
        <v>1272330</v>
      </c>
      <c r="AV860" s="45">
        <v>0</v>
      </c>
      <c r="AW860" s="45">
        <v>6</v>
      </c>
      <c r="AX860" s="46">
        <v>1207890</v>
      </c>
      <c r="AY860" s="45">
        <v>0</v>
      </c>
      <c r="AZ860" s="45">
        <v>5</v>
      </c>
    </row>
    <row r="861" spans="2:52">
      <c r="B861" s="46">
        <v>1360380</v>
      </c>
      <c r="C861" s="45">
        <v>0</v>
      </c>
      <c r="D861" s="45">
        <v>30</v>
      </c>
      <c r="E861" s="46">
        <v>1398000</v>
      </c>
      <c r="F861" s="45">
        <v>0</v>
      </c>
      <c r="G861" s="45">
        <v>20</v>
      </c>
      <c r="H861" s="46">
        <v>1387580</v>
      </c>
      <c r="I861" s="45">
        <v>0</v>
      </c>
      <c r="J861" s="45">
        <v>14</v>
      </c>
      <c r="K861" s="46">
        <v>1447620</v>
      </c>
      <c r="L861" s="45">
        <v>0</v>
      </c>
      <c r="M861" s="45">
        <v>15</v>
      </c>
      <c r="O861" s="46">
        <v>1476800</v>
      </c>
      <c r="P861" s="45">
        <v>0</v>
      </c>
      <c r="Q861" s="45">
        <v>11</v>
      </c>
      <c r="R861" s="46">
        <v>1492280</v>
      </c>
      <c r="S861" s="45">
        <v>0</v>
      </c>
      <c r="T861" s="45">
        <v>8</v>
      </c>
      <c r="U861" s="46">
        <v>1477830</v>
      </c>
      <c r="V861" s="45">
        <v>0</v>
      </c>
      <c r="W861" s="45">
        <v>5</v>
      </c>
      <c r="X861" s="46">
        <v>1471450</v>
      </c>
      <c r="Y861" s="45">
        <v>0</v>
      </c>
      <c r="Z861" s="45">
        <v>6</v>
      </c>
      <c r="AB861" s="46">
        <v>1417630</v>
      </c>
      <c r="AC861" s="45">
        <v>0</v>
      </c>
      <c r="AD861" s="45">
        <v>8</v>
      </c>
      <c r="AE861" s="46">
        <v>1407640</v>
      </c>
      <c r="AF861" s="45">
        <v>0</v>
      </c>
      <c r="AG861" s="45">
        <v>12</v>
      </c>
      <c r="AH861" s="46">
        <v>1392570</v>
      </c>
      <c r="AI861" s="45">
        <v>0</v>
      </c>
      <c r="AJ861" s="45">
        <v>9</v>
      </c>
      <c r="AK861" s="46">
        <v>1425780</v>
      </c>
      <c r="AL861" s="45">
        <v>0</v>
      </c>
      <c r="AM861" s="45">
        <v>7</v>
      </c>
      <c r="AO861" s="46">
        <v>1420240</v>
      </c>
      <c r="AP861" s="45">
        <v>0</v>
      </c>
      <c r="AQ861" s="45">
        <v>7</v>
      </c>
      <c r="AR861" s="46">
        <v>1374600</v>
      </c>
      <c r="AS861" s="45">
        <v>0</v>
      </c>
      <c r="AT861" s="45">
        <v>13</v>
      </c>
      <c r="AU861" s="46">
        <v>1419590</v>
      </c>
      <c r="AV861" s="45">
        <v>0</v>
      </c>
      <c r="AW861" s="45">
        <v>10</v>
      </c>
      <c r="AX861" s="46">
        <v>1458010</v>
      </c>
      <c r="AY861" s="45">
        <v>0</v>
      </c>
      <c r="AZ861" s="45">
        <v>5</v>
      </c>
    </row>
    <row r="862" spans="2:52">
      <c r="B862" s="46">
        <v>1421040</v>
      </c>
      <c r="C862" s="45">
        <v>8</v>
      </c>
      <c r="D862" s="45">
        <v>14</v>
      </c>
      <c r="E862" s="46">
        <v>1392330</v>
      </c>
      <c r="F862" s="45">
        <v>0</v>
      </c>
      <c r="G862" s="45">
        <v>18</v>
      </c>
      <c r="H862" s="46">
        <v>1399710</v>
      </c>
      <c r="I862" s="45">
        <v>0</v>
      </c>
      <c r="J862" s="45">
        <v>24</v>
      </c>
      <c r="K862" s="46">
        <v>1394900</v>
      </c>
      <c r="L862" s="45">
        <v>0</v>
      </c>
      <c r="M862" s="45">
        <v>9</v>
      </c>
      <c r="O862" s="46">
        <v>1461890</v>
      </c>
      <c r="P862" s="45">
        <v>0</v>
      </c>
      <c r="Q862" s="45">
        <v>6</v>
      </c>
      <c r="R862" s="46">
        <v>1505370</v>
      </c>
      <c r="S862" s="45">
        <v>0</v>
      </c>
      <c r="T862" s="45">
        <v>5</v>
      </c>
      <c r="U862" s="46">
        <v>1461040</v>
      </c>
      <c r="V862" s="45">
        <v>0</v>
      </c>
      <c r="W862" s="45">
        <v>15</v>
      </c>
      <c r="X862" s="46">
        <v>1426840</v>
      </c>
      <c r="Y862" s="45">
        <v>0</v>
      </c>
      <c r="Z862" s="45">
        <v>11</v>
      </c>
      <c r="AB862" s="46">
        <v>1460020</v>
      </c>
      <c r="AC862" s="45">
        <v>0</v>
      </c>
      <c r="AD862" s="45">
        <v>9</v>
      </c>
      <c r="AE862" s="46">
        <v>1424940</v>
      </c>
      <c r="AF862" s="45">
        <v>28</v>
      </c>
      <c r="AG862" s="45">
        <v>9</v>
      </c>
      <c r="AH862" s="46">
        <v>1397460</v>
      </c>
      <c r="AI862" s="45">
        <v>0</v>
      </c>
      <c r="AJ862" s="45">
        <v>9</v>
      </c>
      <c r="AK862" s="46">
        <v>1386630</v>
      </c>
      <c r="AL862" s="45">
        <v>0</v>
      </c>
      <c r="AM862" s="45">
        <v>7</v>
      </c>
      <c r="AO862" s="46">
        <v>1606970</v>
      </c>
      <c r="AP862" s="45">
        <v>69</v>
      </c>
      <c r="AQ862" s="45">
        <v>5</v>
      </c>
      <c r="AR862" s="46">
        <v>1469190</v>
      </c>
      <c r="AS862" s="45">
        <v>43</v>
      </c>
      <c r="AT862" s="45">
        <v>11</v>
      </c>
      <c r="AU862" s="46">
        <v>1357490</v>
      </c>
      <c r="AV862" s="45">
        <v>0</v>
      </c>
      <c r="AW862" s="45">
        <v>8</v>
      </c>
      <c r="AX862" s="46">
        <v>1378320</v>
      </c>
      <c r="AY862" s="45">
        <v>17</v>
      </c>
      <c r="AZ862" s="45">
        <v>10</v>
      </c>
    </row>
    <row r="863" spans="2:52">
      <c r="B863" s="46">
        <v>1206460</v>
      </c>
      <c r="C863" s="45">
        <v>0</v>
      </c>
      <c r="D863" s="45">
        <v>17</v>
      </c>
      <c r="E863" s="46">
        <v>1299410</v>
      </c>
      <c r="F863" s="45">
        <v>60</v>
      </c>
      <c r="G863" s="45">
        <v>13</v>
      </c>
      <c r="H863" s="46">
        <v>1154280</v>
      </c>
      <c r="I863" s="45">
        <v>0</v>
      </c>
      <c r="J863" s="45">
        <v>13</v>
      </c>
      <c r="K863" s="46">
        <v>1214990</v>
      </c>
      <c r="L863" s="45">
        <v>0</v>
      </c>
      <c r="M863" s="45">
        <v>9</v>
      </c>
      <c r="O863" s="46">
        <v>1339720</v>
      </c>
      <c r="P863" s="45">
        <v>0</v>
      </c>
      <c r="Q863" s="45">
        <v>6</v>
      </c>
      <c r="R863" s="46">
        <v>1323770</v>
      </c>
      <c r="S863" s="45">
        <v>41</v>
      </c>
      <c r="T863" s="45">
        <v>10</v>
      </c>
      <c r="U863" s="46">
        <v>1356460</v>
      </c>
      <c r="V863" s="45">
        <v>0</v>
      </c>
      <c r="W863" s="45">
        <v>5</v>
      </c>
      <c r="X863" s="46">
        <v>1265640</v>
      </c>
      <c r="Y863" s="45">
        <v>0</v>
      </c>
      <c r="Z863" s="45">
        <v>6</v>
      </c>
      <c r="AB863" s="46">
        <v>1380250</v>
      </c>
      <c r="AC863" s="45">
        <v>46</v>
      </c>
      <c r="AD863" s="45">
        <v>10</v>
      </c>
      <c r="AE863" s="46">
        <v>1273560</v>
      </c>
      <c r="AF863" s="45">
        <v>19</v>
      </c>
      <c r="AG863" s="45">
        <v>9</v>
      </c>
      <c r="AH863" s="46">
        <v>1214150</v>
      </c>
      <c r="AI863" s="45">
        <v>0</v>
      </c>
      <c r="AJ863" s="45">
        <v>10</v>
      </c>
      <c r="AK863" s="46">
        <v>1215510</v>
      </c>
      <c r="AL863" s="45">
        <v>0</v>
      </c>
      <c r="AM863" s="45">
        <v>8</v>
      </c>
      <c r="AO863" s="46">
        <v>1219560</v>
      </c>
      <c r="AP863" s="45">
        <v>0</v>
      </c>
      <c r="AQ863" s="45">
        <v>9</v>
      </c>
      <c r="AR863" s="46">
        <v>1287620</v>
      </c>
      <c r="AS863" s="45">
        <v>0</v>
      </c>
      <c r="AT863" s="45">
        <v>7</v>
      </c>
      <c r="AU863" s="46">
        <v>1267700</v>
      </c>
      <c r="AV863" s="45">
        <v>0</v>
      </c>
      <c r="AW863" s="45">
        <v>8</v>
      </c>
      <c r="AX863" s="46">
        <v>1251700</v>
      </c>
      <c r="AY863" s="45">
        <v>0</v>
      </c>
      <c r="AZ863" s="45">
        <v>7</v>
      </c>
    </row>
    <row r="864" spans="2:52">
      <c r="B864" s="46">
        <v>1317960</v>
      </c>
      <c r="C864" s="45">
        <v>0</v>
      </c>
      <c r="D864" s="45">
        <v>11</v>
      </c>
      <c r="E864" s="46">
        <v>1371810</v>
      </c>
      <c r="F864" s="45">
        <v>0</v>
      </c>
      <c r="G864" s="45">
        <v>8</v>
      </c>
      <c r="H864" s="46">
        <v>1349250</v>
      </c>
      <c r="I864" s="45">
        <v>0</v>
      </c>
      <c r="J864" s="45">
        <v>5</v>
      </c>
      <c r="K864" s="46">
        <v>1349470</v>
      </c>
      <c r="L864" s="45">
        <v>0</v>
      </c>
      <c r="M864" s="45">
        <v>9</v>
      </c>
      <c r="O864" s="46">
        <v>1519130</v>
      </c>
      <c r="P864" s="45">
        <v>0</v>
      </c>
      <c r="Q864" s="45">
        <v>7</v>
      </c>
      <c r="R864" s="46">
        <v>1414030</v>
      </c>
      <c r="S864" s="45">
        <v>0</v>
      </c>
      <c r="T864" s="45">
        <v>12</v>
      </c>
      <c r="U864" s="46">
        <v>1407300</v>
      </c>
      <c r="V864" s="45">
        <v>0</v>
      </c>
      <c r="W864" s="45">
        <v>7</v>
      </c>
      <c r="X864" s="46">
        <v>1434990</v>
      </c>
      <c r="Y864" s="45">
        <v>0</v>
      </c>
      <c r="Z864" s="45">
        <v>7</v>
      </c>
      <c r="AB864" s="46">
        <v>1316470</v>
      </c>
      <c r="AC864" s="45">
        <v>0</v>
      </c>
      <c r="AD864" s="45">
        <v>15</v>
      </c>
      <c r="AE864" s="46">
        <v>1381580</v>
      </c>
      <c r="AF864" s="45">
        <v>0</v>
      </c>
      <c r="AG864" s="45">
        <v>10</v>
      </c>
      <c r="AH864" s="46">
        <v>1403620</v>
      </c>
      <c r="AI864" s="45">
        <v>0</v>
      </c>
      <c r="AJ864" s="45">
        <v>8</v>
      </c>
      <c r="AK864" s="46">
        <v>1360120</v>
      </c>
      <c r="AL864" s="45">
        <v>0</v>
      </c>
      <c r="AM864" s="45">
        <v>7</v>
      </c>
      <c r="AO864" s="46">
        <v>1280800</v>
      </c>
      <c r="AP864" s="45">
        <v>0</v>
      </c>
      <c r="AQ864" s="45">
        <v>10</v>
      </c>
      <c r="AR864" s="46">
        <v>1402910</v>
      </c>
      <c r="AS864" s="45">
        <v>0</v>
      </c>
      <c r="AT864" s="45">
        <v>9</v>
      </c>
      <c r="AU864" s="46">
        <v>1337380</v>
      </c>
      <c r="AV864" s="45">
        <v>0</v>
      </c>
      <c r="AW864" s="45">
        <v>7</v>
      </c>
      <c r="AX864" s="46">
        <v>1280080</v>
      </c>
      <c r="AY864" s="45">
        <v>0</v>
      </c>
      <c r="AZ864" s="45">
        <v>16</v>
      </c>
    </row>
    <row r="865" spans="2:52">
      <c r="B865" s="46">
        <v>1440880</v>
      </c>
      <c r="C865" s="45">
        <v>0</v>
      </c>
      <c r="D865" s="45">
        <v>8</v>
      </c>
      <c r="E865" s="46">
        <v>1385640</v>
      </c>
      <c r="F865" s="45">
        <v>0</v>
      </c>
      <c r="G865" s="45">
        <v>11</v>
      </c>
      <c r="H865" s="46">
        <v>1409910</v>
      </c>
      <c r="I865" s="45">
        <v>32</v>
      </c>
      <c r="J865" s="45">
        <v>10</v>
      </c>
      <c r="K865" s="46">
        <v>1338480</v>
      </c>
      <c r="L865" s="45">
        <v>0</v>
      </c>
      <c r="M865" s="45">
        <v>7</v>
      </c>
      <c r="O865" s="46">
        <v>1450790</v>
      </c>
      <c r="P865" s="45">
        <v>0</v>
      </c>
      <c r="Q865" s="45">
        <v>8</v>
      </c>
      <c r="R865" s="46">
        <v>1497210</v>
      </c>
      <c r="S865" s="45">
        <v>0</v>
      </c>
      <c r="T865" s="45">
        <v>6</v>
      </c>
      <c r="U865" s="46">
        <v>1462530</v>
      </c>
      <c r="V865" s="45">
        <v>37</v>
      </c>
      <c r="W865" s="45">
        <v>11</v>
      </c>
      <c r="X865" s="46">
        <v>1458340</v>
      </c>
      <c r="Y865" s="45">
        <v>0</v>
      </c>
      <c r="Z865" s="45">
        <v>7</v>
      </c>
      <c r="AB865" s="46">
        <v>1369790</v>
      </c>
      <c r="AC865" s="45">
        <v>0</v>
      </c>
      <c r="AD865" s="45">
        <v>11</v>
      </c>
      <c r="AE865" s="46">
        <v>1460140</v>
      </c>
      <c r="AF865" s="45">
        <v>0</v>
      </c>
      <c r="AG865" s="45">
        <v>5</v>
      </c>
      <c r="AH865" s="46">
        <v>1414300</v>
      </c>
      <c r="AI865" s="45">
        <v>0</v>
      </c>
      <c r="AJ865" s="45">
        <v>6</v>
      </c>
      <c r="AK865" s="46">
        <v>1347560</v>
      </c>
      <c r="AL865" s="45">
        <v>0</v>
      </c>
      <c r="AM865" s="45">
        <v>12</v>
      </c>
      <c r="AO865" s="46">
        <v>1380580</v>
      </c>
      <c r="AP865" s="45">
        <v>0</v>
      </c>
      <c r="AQ865" s="45">
        <v>23</v>
      </c>
      <c r="AR865" s="46">
        <v>1362480</v>
      </c>
      <c r="AS865" s="45">
        <v>0</v>
      </c>
      <c r="AT865" s="45">
        <v>13</v>
      </c>
      <c r="AU865" s="46">
        <v>1422290</v>
      </c>
      <c r="AV865" s="45">
        <v>50</v>
      </c>
      <c r="AW865" s="45">
        <v>9</v>
      </c>
      <c r="AX865" s="46">
        <v>1410040</v>
      </c>
      <c r="AY865" s="45">
        <v>0</v>
      </c>
      <c r="AZ865" s="45">
        <v>7</v>
      </c>
    </row>
    <row r="866" spans="2:52">
      <c r="B866" s="46">
        <v>1381850</v>
      </c>
      <c r="C866" s="45">
        <v>0</v>
      </c>
      <c r="D866" s="45">
        <v>11</v>
      </c>
      <c r="E866" s="46">
        <v>1389310</v>
      </c>
      <c r="F866" s="45">
        <v>0</v>
      </c>
      <c r="G866" s="45">
        <v>8</v>
      </c>
      <c r="H866" s="46">
        <v>1322000</v>
      </c>
      <c r="I866" s="45">
        <v>0</v>
      </c>
      <c r="J866" s="45">
        <v>9</v>
      </c>
      <c r="K866" s="46">
        <v>1348460</v>
      </c>
      <c r="L866" s="45">
        <v>0</v>
      </c>
      <c r="M866" s="45">
        <v>8</v>
      </c>
      <c r="O866" s="46">
        <v>1461510</v>
      </c>
      <c r="P866" s="45">
        <v>0</v>
      </c>
      <c r="Q866" s="45">
        <v>5</v>
      </c>
      <c r="R866" s="46">
        <v>1453890</v>
      </c>
      <c r="S866" s="45">
        <v>0</v>
      </c>
      <c r="T866" s="45">
        <v>7</v>
      </c>
      <c r="U866" s="46">
        <v>1456130</v>
      </c>
      <c r="V866" s="45">
        <v>0</v>
      </c>
      <c r="W866" s="45">
        <v>7</v>
      </c>
      <c r="X866" s="46">
        <v>1435530</v>
      </c>
      <c r="Y866" s="45">
        <v>0</v>
      </c>
      <c r="Z866" s="45">
        <v>5</v>
      </c>
      <c r="AB866" s="46">
        <v>1361430</v>
      </c>
      <c r="AC866" s="45">
        <v>0</v>
      </c>
      <c r="AD866" s="45">
        <v>7</v>
      </c>
      <c r="AE866" s="46">
        <v>1373380</v>
      </c>
      <c r="AF866" s="45">
        <v>0</v>
      </c>
      <c r="AG866" s="45">
        <v>10</v>
      </c>
      <c r="AH866" s="46">
        <v>1322510</v>
      </c>
      <c r="AI866" s="45">
        <v>0</v>
      </c>
      <c r="AJ866" s="45">
        <v>7</v>
      </c>
      <c r="AK866" s="46">
        <v>1320410</v>
      </c>
      <c r="AL866" s="45">
        <v>0</v>
      </c>
      <c r="AM866" s="45">
        <v>7</v>
      </c>
      <c r="AO866" s="46">
        <v>1335010</v>
      </c>
      <c r="AP866" s="45">
        <v>0</v>
      </c>
      <c r="AQ866" s="45">
        <v>22</v>
      </c>
      <c r="AR866" s="46">
        <v>1339200</v>
      </c>
      <c r="AS866" s="45">
        <v>0</v>
      </c>
      <c r="AT866" s="45">
        <v>9</v>
      </c>
      <c r="AU866" s="46">
        <v>1339340</v>
      </c>
      <c r="AV866" s="45">
        <v>0</v>
      </c>
      <c r="AW866" s="45">
        <v>8</v>
      </c>
      <c r="AX866" s="46">
        <v>1378020</v>
      </c>
      <c r="AY866" s="45">
        <v>0</v>
      </c>
      <c r="AZ866" s="45">
        <v>8</v>
      </c>
    </row>
    <row r="867" spans="2:52">
      <c r="B867" s="46">
        <v>1385300</v>
      </c>
      <c r="C867" s="45">
        <v>103</v>
      </c>
      <c r="D867" s="45">
        <v>11</v>
      </c>
      <c r="E867" s="46">
        <v>1276400</v>
      </c>
      <c r="F867" s="45">
        <v>0</v>
      </c>
      <c r="G867" s="45">
        <v>8</v>
      </c>
      <c r="H867" s="46">
        <v>1294850</v>
      </c>
      <c r="I867" s="45">
        <v>0</v>
      </c>
      <c r="J867" s="45">
        <v>6</v>
      </c>
      <c r="K867" s="46">
        <v>1236540</v>
      </c>
      <c r="L867" s="45">
        <v>0</v>
      </c>
      <c r="M867" s="45">
        <v>11</v>
      </c>
      <c r="O867" s="46">
        <v>1410640</v>
      </c>
      <c r="P867" s="45">
        <v>0</v>
      </c>
      <c r="Q867" s="45">
        <v>5</v>
      </c>
      <c r="R867" s="46">
        <v>1341110</v>
      </c>
      <c r="S867" s="45">
        <v>9</v>
      </c>
      <c r="T867" s="45">
        <v>8</v>
      </c>
      <c r="U867" s="46">
        <v>1362480</v>
      </c>
      <c r="V867" s="45">
        <v>23</v>
      </c>
      <c r="W867" s="45">
        <v>6</v>
      </c>
      <c r="X867" s="46">
        <v>1312630</v>
      </c>
      <c r="Y867" s="45">
        <v>0</v>
      </c>
      <c r="Z867" s="45">
        <v>6</v>
      </c>
      <c r="AB867" s="46">
        <v>1331440</v>
      </c>
      <c r="AC867" s="45">
        <v>23</v>
      </c>
      <c r="AD867" s="45">
        <v>13</v>
      </c>
      <c r="AE867" s="46">
        <v>1267700</v>
      </c>
      <c r="AF867" s="45">
        <v>0</v>
      </c>
      <c r="AG867" s="45">
        <v>13</v>
      </c>
      <c r="AH867" s="46">
        <v>1349760</v>
      </c>
      <c r="AI867" s="45">
        <v>33</v>
      </c>
      <c r="AJ867" s="45">
        <v>11</v>
      </c>
      <c r="AK867" s="46">
        <v>1264380</v>
      </c>
      <c r="AL867" s="45">
        <v>0</v>
      </c>
      <c r="AM867" s="45">
        <v>9</v>
      </c>
      <c r="AO867" s="46">
        <v>1353520</v>
      </c>
      <c r="AP867" s="45">
        <v>88</v>
      </c>
      <c r="AQ867" s="45">
        <v>16</v>
      </c>
      <c r="AR867" s="46">
        <v>1343560</v>
      </c>
      <c r="AS867" s="45">
        <v>24</v>
      </c>
      <c r="AT867" s="45">
        <v>7</v>
      </c>
      <c r="AU867" s="46">
        <v>1234510</v>
      </c>
      <c r="AV867" s="45">
        <v>0</v>
      </c>
      <c r="AW867" s="45">
        <v>7</v>
      </c>
      <c r="AX867" s="46">
        <v>1298250</v>
      </c>
      <c r="AY867" s="45">
        <v>0</v>
      </c>
      <c r="AZ867" s="45">
        <v>6</v>
      </c>
    </row>
    <row r="868" spans="2:52">
      <c r="B868" s="46">
        <v>1242150</v>
      </c>
      <c r="C868" s="45">
        <v>0</v>
      </c>
      <c r="D868" s="45">
        <v>7</v>
      </c>
      <c r="E868" s="46">
        <v>1270860</v>
      </c>
      <c r="F868" s="45">
        <v>18</v>
      </c>
      <c r="G868" s="45">
        <v>5</v>
      </c>
      <c r="H868" s="46">
        <v>1178090</v>
      </c>
      <c r="I868" s="45">
        <v>0</v>
      </c>
      <c r="J868" s="45">
        <v>12</v>
      </c>
      <c r="K868" s="46">
        <v>1234920</v>
      </c>
      <c r="L868" s="45">
        <v>58</v>
      </c>
      <c r="M868" s="45">
        <v>14</v>
      </c>
      <c r="O868" s="46">
        <v>1333640</v>
      </c>
      <c r="P868" s="45">
        <v>0</v>
      </c>
      <c r="Q868" s="45">
        <v>9</v>
      </c>
      <c r="R868" s="46">
        <v>1364890</v>
      </c>
      <c r="S868" s="45">
        <v>27</v>
      </c>
      <c r="T868" s="45">
        <v>11</v>
      </c>
      <c r="U868" s="46">
        <v>1296590</v>
      </c>
      <c r="V868" s="45">
        <v>8</v>
      </c>
      <c r="W868" s="45">
        <v>12</v>
      </c>
      <c r="X868" s="46">
        <v>1261390</v>
      </c>
      <c r="Y868" s="45">
        <v>0</v>
      </c>
      <c r="Z868" s="45">
        <v>5</v>
      </c>
      <c r="AB868" s="46">
        <v>1218960</v>
      </c>
      <c r="AC868" s="45">
        <v>0</v>
      </c>
      <c r="AD868" s="45">
        <v>15</v>
      </c>
      <c r="AE868" s="46">
        <v>1255300</v>
      </c>
      <c r="AF868" s="45">
        <v>18</v>
      </c>
      <c r="AG868" s="45">
        <v>7</v>
      </c>
      <c r="AH868" s="46">
        <v>1198960</v>
      </c>
      <c r="AI868" s="45">
        <v>0</v>
      </c>
      <c r="AJ868" s="45">
        <v>6</v>
      </c>
      <c r="AK868" s="46">
        <v>1285580</v>
      </c>
      <c r="AL868" s="45">
        <v>60</v>
      </c>
      <c r="AM868" s="45">
        <v>11</v>
      </c>
      <c r="AO868" s="46">
        <v>1269150</v>
      </c>
      <c r="AP868" s="45">
        <v>0</v>
      </c>
      <c r="AQ868" s="45">
        <v>7</v>
      </c>
      <c r="AR868" s="46">
        <v>1299780</v>
      </c>
      <c r="AS868" s="45">
        <v>50</v>
      </c>
      <c r="AT868" s="45">
        <v>10</v>
      </c>
      <c r="AU868" s="46">
        <v>1202040</v>
      </c>
      <c r="AV868" s="45">
        <v>0</v>
      </c>
      <c r="AW868" s="45">
        <v>7</v>
      </c>
      <c r="AX868" s="46">
        <v>1203590</v>
      </c>
      <c r="AY868" s="45">
        <v>0</v>
      </c>
      <c r="AZ868" s="45">
        <v>10</v>
      </c>
    </row>
    <row r="869" spans="2:52">
      <c r="B869" s="46">
        <v>1250700</v>
      </c>
      <c r="C869" s="45">
        <v>0</v>
      </c>
      <c r="D869" s="45">
        <v>12</v>
      </c>
      <c r="E869" s="46">
        <v>1183650</v>
      </c>
      <c r="F869" s="45">
        <v>51</v>
      </c>
      <c r="G869" s="45">
        <v>16</v>
      </c>
      <c r="H869" s="46">
        <v>1181210</v>
      </c>
      <c r="I869" s="45">
        <v>0</v>
      </c>
      <c r="J869" s="45">
        <v>13</v>
      </c>
      <c r="K869" s="46">
        <v>1196150</v>
      </c>
      <c r="L869" s="45">
        <v>0</v>
      </c>
      <c r="M869" s="45">
        <v>9</v>
      </c>
      <c r="O869" s="46">
        <v>1261420</v>
      </c>
      <c r="P869" s="45">
        <v>0</v>
      </c>
      <c r="Q869" s="45">
        <v>8</v>
      </c>
      <c r="R869" s="46">
        <v>1248710</v>
      </c>
      <c r="S869" s="45">
        <v>0</v>
      </c>
      <c r="T869" s="45">
        <v>4</v>
      </c>
      <c r="U869" s="46">
        <v>1264050</v>
      </c>
      <c r="V869" s="45">
        <v>0</v>
      </c>
      <c r="W869" s="45">
        <v>7</v>
      </c>
      <c r="X869" s="46">
        <v>1269530</v>
      </c>
      <c r="Y869" s="45">
        <v>0</v>
      </c>
      <c r="Z869" s="45">
        <v>4</v>
      </c>
      <c r="AB869" s="46">
        <v>1204230</v>
      </c>
      <c r="AC869" s="45">
        <v>0</v>
      </c>
      <c r="AD869" s="45">
        <v>16</v>
      </c>
      <c r="AE869" s="46">
        <v>1160630</v>
      </c>
      <c r="AF869" s="45">
        <v>0</v>
      </c>
      <c r="AG869" s="45">
        <v>21</v>
      </c>
      <c r="AH869" s="46">
        <v>1165180</v>
      </c>
      <c r="AI869" s="45">
        <v>0</v>
      </c>
      <c r="AJ869" s="45">
        <v>10</v>
      </c>
      <c r="AK869" s="46">
        <v>1236100</v>
      </c>
      <c r="AL869" s="45">
        <v>0</v>
      </c>
      <c r="AM869" s="45">
        <v>10</v>
      </c>
      <c r="AO869" s="46">
        <v>1139270</v>
      </c>
      <c r="AP869" s="45">
        <v>0</v>
      </c>
      <c r="AQ869" s="45">
        <v>8</v>
      </c>
      <c r="AR869" s="46">
        <v>1291040</v>
      </c>
      <c r="AS869" s="45">
        <v>0</v>
      </c>
      <c r="AT869" s="45">
        <v>7</v>
      </c>
      <c r="AU869" s="46">
        <v>1243360</v>
      </c>
      <c r="AV869" s="45">
        <v>2</v>
      </c>
      <c r="AW869" s="45">
        <v>10</v>
      </c>
      <c r="AX869" s="46">
        <v>1237380</v>
      </c>
      <c r="AY869" s="45">
        <v>17</v>
      </c>
      <c r="AZ869" s="45">
        <v>9</v>
      </c>
    </row>
    <row r="870" spans="2:52">
      <c r="B870" s="46">
        <v>1300970</v>
      </c>
      <c r="C870" s="45">
        <v>0</v>
      </c>
      <c r="D870" s="45">
        <v>7</v>
      </c>
      <c r="E870" s="46">
        <v>1301110</v>
      </c>
      <c r="F870" s="45">
        <v>0</v>
      </c>
      <c r="G870" s="45">
        <v>6</v>
      </c>
      <c r="H870" s="46">
        <v>1238100</v>
      </c>
      <c r="I870" s="45">
        <v>0</v>
      </c>
      <c r="J870" s="45">
        <v>15</v>
      </c>
      <c r="K870" s="46">
        <v>1316140</v>
      </c>
      <c r="L870" s="45">
        <v>0</v>
      </c>
      <c r="M870" s="45">
        <v>8</v>
      </c>
      <c r="O870" s="46">
        <v>1341690</v>
      </c>
      <c r="P870" s="45">
        <v>0</v>
      </c>
      <c r="Q870" s="45">
        <v>6</v>
      </c>
      <c r="R870" s="46">
        <v>1365480</v>
      </c>
      <c r="S870" s="45">
        <v>0</v>
      </c>
      <c r="T870" s="45">
        <v>8</v>
      </c>
      <c r="U870" s="46">
        <v>1393920</v>
      </c>
      <c r="V870" s="45">
        <v>0</v>
      </c>
      <c r="W870" s="45">
        <v>7</v>
      </c>
      <c r="X870" s="46">
        <v>1330220</v>
      </c>
      <c r="Y870" s="45">
        <v>0</v>
      </c>
      <c r="Z870" s="45">
        <v>5</v>
      </c>
      <c r="AB870" s="46">
        <v>1329890</v>
      </c>
      <c r="AC870" s="45">
        <v>0</v>
      </c>
      <c r="AD870" s="45">
        <v>11</v>
      </c>
      <c r="AE870" s="46">
        <v>1358740</v>
      </c>
      <c r="AF870" s="45">
        <v>0</v>
      </c>
      <c r="AG870" s="45">
        <v>8</v>
      </c>
      <c r="AH870" s="46">
        <v>1281570</v>
      </c>
      <c r="AI870" s="45">
        <v>0</v>
      </c>
      <c r="AJ870" s="45">
        <v>8</v>
      </c>
      <c r="AK870" s="46">
        <v>1307020</v>
      </c>
      <c r="AL870" s="45">
        <v>0</v>
      </c>
      <c r="AM870" s="45">
        <v>13</v>
      </c>
      <c r="AO870" s="46">
        <v>1365560</v>
      </c>
      <c r="AP870" s="45">
        <v>0</v>
      </c>
      <c r="AQ870" s="45">
        <v>12</v>
      </c>
      <c r="AR870" s="46">
        <v>1331470</v>
      </c>
      <c r="AS870" s="45">
        <v>0</v>
      </c>
      <c r="AT870" s="45">
        <v>6</v>
      </c>
      <c r="AU870" s="46">
        <v>1309950</v>
      </c>
      <c r="AV870" s="45">
        <v>0</v>
      </c>
      <c r="AW870" s="45">
        <v>7</v>
      </c>
      <c r="AX870" s="46">
        <v>1254400</v>
      </c>
      <c r="AY870" s="45">
        <v>0</v>
      </c>
      <c r="AZ870" s="45">
        <v>11</v>
      </c>
    </row>
    <row r="871" spans="2:52">
      <c r="B871" s="46">
        <v>1247970</v>
      </c>
      <c r="C871" s="45">
        <v>0</v>
      </c>
      <c r="D871" s="45">
        <v>13</v>
      </c>
      <c r="E871" s="46">
        <v>1303610</v>
      </c>
      <c r="F871" s="45">
        <v>0</v>
      </c>
      <c r="G871" s="45">
        <v>16</v>
      </c>
      <c r="H871" s="46">
        <v>1294430</v>
      </c>
      <c r="I871" s="45">
        <v>0</v>
      </c>
      <c r="J871" s="45">
        <v>5</v>
      </c>
      <c r="K871" s="46">
        <v>1313430</v>
      </c>
      <c r="L871" s="45">
        <v>0</v>
      </c>
      <c r="M871" s="45">
        <v>7</v>
      </c>
      <c r="O871" s="46">
        <v>1411680</v>
      </c>
      <c r="P871" s="45">
        <v>0</v>
      </c>
      <c r="Q871" s="45">
        <v>6</v>
      </c>
      <c r="R871" s="46">
        <v>1344070</v>
      </c>
      <c r="S871" s="45">
        <v>0</v>
      </c>
      <c r="T871" s="45">
        <v>6</v>
      </c>
      <c r="U871" s="46">
        <v>1358120</v>
      </c>
      <c r="V871" s="45">
        <v>0</v>
      </c>
      <c r="W871" s="45">
        <v>7</v>
      </c>
      <c r="X871" s="46">
        <v>1363440</v>
      </c>
      <c r="Y871" s="45">
        <v>0</v>
      </c>
      <c r="Z871" s="45">
        <v>5</v>
      </c>
      <c r="AB871" s="46">
        <v>1268710</v>
      </c>
      <c r="AC871" s="45">
        <v>0</v>
      </c>
      <c r="AD871" s="45">
        <v>12</v>
      </c>
      <c r="AE871" s="46">
        <v>1299380</v>
      </c>
      <c r="AF871" s="45">
        <v>0</v>
      </c>
      <c r="AG871" s="45">
        <v>15</v>
      </c>
      <c r="AH871" s="46">
        <v>1316770</v>
      </c>
      <c r="AI871" s="45">
        <v>0</v>
      </c>
      <c r="AJ871" s="45">
        <v>5</v>
      </c>
      <c r="AK871" s="46">
        <v>1481550</v>
      </c>
      <c r="AL871" s="45">
        <v>176</v>
      </c>
      <c r="AM871" s="45">
        <v>12</v>
      </c>
      <c r="AO871" s="46">
        <v>1249410</v>
      </c>
      <c r="AP871" s="45">
        <v>0</v>
      </c>
      <c r="AQ871" s="45">
        <v>21</v>
      </c>
      <c r="AR871" s="46">
        <v>1338070</v>
      </c>
      <c r="AS871" s="45">
        <v>50</v>
      </c>
      <c r="AT871" s="45">
        <v>16</v>
      </c>
      <c r="AU871" s="46">
        <v>1307000</v>
      </c>
      <c r="AV871" s="45">
        <v>0</v>
      </c>
      <c r="AW871" s="45">
        <v>7</v>
      </c>
      <c r="AX871" s="46">
        <v>1263450</v>
      </c>
      <c r="AY871" s="45">
        <v>0</v>
      </c>
      <c r="AZ871" s="45">
        <v>9</v>
      </c>
    </row>
    <row r="872" spans="2:52">
      <c r="B872" s="46">
        <v>1332150</v>
      </c>
      <c r="C872" s="45">
        <v>0</v>
      </c>
      <c r="D872" s="45">
        <v>14</v>
      </c>
      <c r="E872" s="46">
        <v>1390620</v>
      </c>
      <c r="F872" s="45">
        <v>0</v>
      </c>
      <c r="G872" s="45">
        <v>9</v>
      </c>
      <c r="H872" s="46">
        <v>1298490</v>
      </c>
      <c r="I872" s="45">
        <v>0</v>
      </c>
      <c r="J872" s="45">
        <v>7</v>
      </c>
      <c r="K872" s="46">
        <v>1328710</v>
      </c>
      <c r="L872" s="45">
        <v>0</v>
      </c>
      <c r="M872" s="45">
        <v>12</v>
      </c>
      <c r="O872" s="46">
        <v>1447590</v>
      </c>
      <c r="P872" s="45">
        <v>0</v>
      </c>
      <c r="Q872" s="45">
        <v>7</v>
      </c>
      <c r="R872" s="46">
        <v>1459870</v>
      </c>
      <c r="S872" s="45">
        <v>0</v>
      </c>
      <c r="T872" s="45">
        <v>7</v>
      </c>
      <c r="U872" s="46">
        <v>1391360</v>
      </c>
      <c r="V872" s="45">
        <v>0</v>
      </c>
      <c r="W872" s="45">
        <v>6</v>
      </c>
      <c r="X872" s="46">
        <v>1418360</v>
      </c>
      <c r="Y872" s="45">
        <v>0</v>
      </c>
      <c r="Z872" s="45">
        <v>6</v>
      </c>
      <c r="AB872" s="46">
        <v>1357320</v>
      </c>
      <c r="AC872" s="45">
        <v>0</v>
      </c>
      <c r="AD872" s="45">
        <v>9</v>
      </c>
      <c r="AE872" s="46">
        <v>1332380</v>
      </c>
      <c r="AF872" s="45">
        <v>0</v>
      </c>
      <c r="AG872" s="45">
        <v>11</v>
      </c>
      <c r="AH872" s="46">
        <v>1277850</v>
      </c>
      <c r="AI872" s="45">
        <v>0</v>
      </c>
      <c r="AJ872" s="45">
        <v>8</v>
      </c>
      <c r="AK872" s="46">
        <v>1345380</v>
      </c>
      <c r="AL872" s="45">
        <v>0</v>
      </c>
      <c r="AM872" s="45">
        <v>7</v>
      </c>
      <c r="AO872" s="46">
        <v>1359500</v>
      </c>
      <c r="AP872" s="45">
        <v>0</v>
      </c>
      <c r="AQ872" s="45">
        <v>9</v>
      </c>
      <c r="AR872" s="46">
        <v>1429200</v>
      </c>
      <c r="AS872" s="45">
        <v>0</v>
      </c>
      <c r="AT872" s="45">
        <v>6</v>
      </c>
      <c r="AU872" s="46">
        <v>1295950</v>
      </c>
      <c r="AV872" s="45">
        <v>0</v>
      </c>
      <c r="AW872" s="45">
        <v>8</v>
      </c>
      <c r="AX872" s="46">
        <v>1330360</v>
      </c>
      <c r="AY872" s="45">
        <v>0</v>
      </c>
      <c r="AZ872" s="45">
        <v>6</v>
      </c>
    </row>
    <row r="873" spans="2:52">
      <c r="B873" s="46">
        <v>1074640</v>
      </c>
      <c r="C873" s="45">
        <v>0</v>
      </c>
      <c r="D873" s="45">
        <v>14</v>
      </c>
      <c r="E873" s="46">
        <v>1073660</v>
      </c>
      <c r="F873" s="45">
        <v>0</v>
      </c>
      <c r="G873" s="45">
        <v>12</v>
      </c>
      <c r="H873" s="46">
        <v>1087800</v>
      </c>
      <c r="I873" s="45">
        <v>28</v>
      </c>
      <c r="J873" s="45">
        <v>13</v>
      </c>
      <c r="K873" s="46">
        <v>1092490</v>
      </c>
      <c r="L873" s="45">
        <v>31</v>
      </c>
      <c r="M873" s="45">
        <v>10</v>
      </c>
      <c r="O873" s="46">
        <v>1185400</v>
      </c>
      <c r="P873" s="45">
        <v>0</v>
      </c>
      <c r="Q873" s="45">
        <v>7</v>
      </c>
      <c r="R873" s="46">
        <v>1190960</v>
      </c>
      <c r="S873" s="45">
        <v>22</v>
      </c>
      <c r="T873" s="45">
        <v>13</v>
      </c>
      <c r="U873" s="46">
        <v>1176650</v>
      </c>
      <c r="V873" s="45">
        <v>21</v>
      </c>
      <c r="W873" s="45">
        <v>10</v>
      </c>
      <c r="X873" s="46">
        <v>1188990</v>
      </c>
      <c r="Y873" s="45">
        <v>31</v>
      </c>
      <c r="Z873" s="45">
        <v>11</v>
      </c>
      <c r="AB873" s="46">
        <v>1098790</v>
      </c>
      <c r="AC873" s="45">
        <v>1</v>
      </c>
      <c r="AD873" s="45">
        <v>10</v>
      </c>
      <c r="AE873" s="46">
        <v>1097900</v>
      </c>
      <c r="AF873" s="45">
        <v>0</v>
      </c>
      <c r="AG873" s="45">
        <v>12</v>
      </c>
      <c r="AH873" s="46">
        <v>1088230</v>
      </c>
      <c r="AI873" s="45">
        <v>6</v>
      </c>
      <c r="AJ873" s="45">
        <v>9</v>
      </c>
      <c r="AK873" s="46">
        <v>1067300</v>
      </c>
      <c r="AL873" s="45">
        <v>0</v>
      </c>
      <c r="AM873" s="45">
        <v>11</v>
      </c>
      <c r="AO873" s="46">
        <v>1215300</v>
      </c>
      <c r="AP873" s="45">
        <v>76</v>
      </c>
      <c r="AQ873" s="45">
        <v>13</v>
      </c>
      <c r="AR873" s="46">
        <v>1136110</v>
      </c>
      <c r="AS873" s="45">
        <v>62</v>
      </c>
      <c r="AT873" s="45">
        <v>24</v>
      </c>
      <c r="AU873" s="46">
        <v>1043870</v>
      </c>
      <c r="AV873" s="45">
        <v>0</v>
      </c>
      <c r="AW873" s="45">
        <v>9</v>
      </c>
      <c r="AX873" s="46">
        <v>1112740</v>
      </c>
      <c r="AY873" s="45">
        <v>0</v>
      </c>
      <c r="AZ873" s="45">
        <v>6</v>
      </c>
    </row>
    <row r="874" spans="2:52">
      <c r="B874" s="46">
        <v>1184160</v>
      </c>
      <c r="C874" s="45">
        <v>0</v>
      </c>
      <c r="D874" s="45">
        <v>10</v>
      </c>
      <c r="E874" s="46">
        <v>1174670</v>
      </c>
      <c r="F874" s="45">
        <v>0</v>
      </c>
      <c r="G874" s="45">
        <v>6</v>
      </c>
      <c r="H874" s="46">
        <v>1154610</v>
      </c>
      <c r="I874" s="45">
        <v>0</v>
      </c>
      <c r="J874" s="45">
        <v>9</v>
      </c>
      <c r="K874" s="46">
        <v>1218430</v>
      </c>
      <c r="L874" s="45">
        <v>12</v>
      </c>
      <c r="M874" s="45">
        <v>9</v>
      </c>
      <c r="O874" s="46">
        <v>1242650</v>
      </c>
      <c r="P874" s="45">
        <v>0</v>
      </c>
      <c r="Q874" s="45">
        <v>7</v>
      </c>
      <c r="R874" s="46">
        <v>1289540</v>
      </c>
      <c r="S874" s="45">
        <v>0</v>
      </c>
      <c r="T874" s="45">
        <v>7</v>
      </c>
      <c r="U874" s="46">
        <v>1244630</v>
      </c>
      <c r="V874" s="45">
        <v>0</v>
      </c>
      <c r="W874" s="45">
        <v>5</v>
      </c>
      <c r="X874" s="46">
        <v>1247110</v>
      </c>
      <c r="Y874" s="45">
        <v>0</v>
      </c>
      <c r="Z874" s="45">
        <v>5</v>
      </c>
      <c r="AB874" s="46">
        <v>1163610</v>
      </c>
      <c r="AC874" s="45">
        <v>25</v>
      </c>
      <c r="AD874" s="45">
        <v>20</v>
      </c>
      <c r="AE874" s="46">
        <v>1160630</v>
      </c>
      <c r="AF874" s="45">
        <v>0</v>
      </c>
      <c r="AG874" s="45">
        <v>9</v>
      </c>
      <c r="AH874" s="46">
        <v>1128910</v>
      </c>
      <c r="AI874" s="45">
        <v>0</v>
      </c>
      <c r="AJ874" s="45">
        <v>15</v>
      </c>
      <c r="AK874" s="46">
        <v>1156330</v>
      </c>
      <c r="AL874" s="45">
        <v>0</v>
      </c>
      <c r="AM874" s="45">
        <v>8</v>
      </c>
      <c r="AO874" s="46">
        <v>1251770</v>
      </c>
      <c r="AP874" s="45">
        <v>0</v>
      </c>
      <c r="AQ874" s="45">
        <v>5</v>
      </c>
      <c r="AR874" s="46">
        <v>1186320</v>
      </c>
      <c r="AS874" s="45">
        <v>0</v>
      </c>
      <c r="AT874" s="45">
        <v>6</v>
      </c>
      <c r="AU874" s="46">
        <v>1120060</v>
      </c>
      <c r="AV874" s="45">
        <v>23</v>
      </c>
      <c r="AW874" s="45">
        <v>14</v>
      </c>
      <c r="AX874" s="46">
        <v>1198390</v>
      </c>
      <c r="AY874" s="45">
        <v>21</v>
      </c>
      <c r="AZ874" s="45">
        <v>12</v>
      </c>
    </row>
    <row r="875" spans="2:52">
      <c r="B875" s="46">
        <v>1255940</v>
      </c>
      <c r="C875" s="45">
        <v>0</v>
      </c>
      <c r="D875" s="45">
        <v>10</v>
      </c>
      <c r="E875" s="46">
        <v>1190800</v>
      </c>
      <c r="F875" s="45">
        <v>0</v>
      </c>
      <c r="G875" s="45">
        <v>11</v>
      </c>
      <c r="H875" s="46">
        <v>1170050</v>
      </c>
      <c r="I875" s="45">
        <v>0</v>
      </c>
      <c r="J875" s="45">
        <v>13</v>
      </c>
      <c r="K875" s="46">
        <v>1213250</v>
      </c>
      <c r="L875" s="45">
        <v>0</v>
      </c>
      <c r="M875" s="45">
        <v>8</v>
      </c>
      <c r="O875" s="46">
        <v>1348370</v>
      </c>
      <c r="P875" s="45">
        <v>0</v>
      </c>
      <c r="Q875" s="45">
        <v>10</v>
      </c>
      <c r="R875" s="46">
        <v>1322550</v>
      </c>
      <c r="S875" s="45">
        <v>0</v>
      </c>
      <c r="T875" s="45">
        <v>6</v>
      </c>
      <c r="U875" s="46">
        <v>1360650</v>
      </c>
      <c r="V875" s="45">
        <v>0</v>
      </c>
      <c r="W875" s="45">
        <v>5</v>
      </c>
      <c r="X875" s="46">
        <v>1298520</v>
      </c>
      <c r="Y875" s="45">
        <v>11</v>
      </c>
      <c r="Z875" s="45">
        <v>10</v>
      </c>
      <c r="AB875" s="46">
        <v>1155210</v>
      </c>
      <c r="AC875" s="45">
        <v>0</v>
      </c>
      <c r="AD875" s="45">
        <v>17</v>
      </c>
      <c r="AE875" s="46">
        <v>1267940</v>
      </c>
      <c r="AF875" s="45">
        <v>25</v>
      </c>
      <c r="AG875" s="45">
        <v>11</v>
      </c>
      <c r="AH875" s="46">
        <v>1382800</v>
      </c>
      <c r="AI875" s="45">
        <v>123</v>
      </c>
      <c r="AJ875" s="45">
        <v>16</v>
      </c>
      <c r="AK875" s="46">
        <v>1165150</v>
      </c>
      <c r="AL875" s="45">
        <v>0</v>
      </c>
      <c r="AM875" s="45">
        <v>8</v>
      </c>
      <c r="AO875" s="46">
        <v>1267350</v>
      </c>
      <c r="AP875" s="45">
        <v>0</v>
      </c>
      <c r="AQ875" s="45">
        <v>7</v>
      </c>
      <c r="AR875" s="46">
        <v>1257130</v>
      </c>
      <c r="AS875" s="45">
        <v>18</v>
      </c>
      <c r="AT875" s="45">
        <v>6</v>
      </c>
      <c r="AU875" s="46">
        <v>1255130</v>
      </c>
      <c r="AV875" s="45">
        <v>26</v>
      </c>
      <c r="AW875" s="45">
        <v>9</v>
      </c>
      <c r="AX875" s="46">
        <v>1209300</v>
      </c>
      <c r="AY875" s="45">
        <v>0</v>
      </c>
      <c r="AZ875" s="45">
        <v>7</v>
      </c>
    </row>
    <row r="876" spans="2:52">
      <c r="B876" s="46">
        <v>1140790</v>
      </c>
      <c r="C876" s="45">
        <v>0</v>
      </c>
      <c r="D876" s="45">
        <v>7</v>
      </c>
      <c r="E876" s="46">
        <v>1102760</v>
      </c>
      <c r="F876" s="45">
        <v>0</v>
      </c>
      <c r="G876" s="45">
        <v>9</v>
      </c>
      <c r="H876" s="46">
        <v>1177890</v>
      </c>
      <c r="I876" s="45">
        <v>18</v>
      </c>
      <c r="J876" s="45">
        <v>13</v>
      </c>
      <c r="K876" s="46">
        <v>1201140</v>
      </c>
      <c r="L876" s="45">
        <v>79</v>
      </c>
      <c r="M876" s="45">
        <v>11</v>
      </c>
      <c r="O876" s="46">
        <v>1278920</v>
      </c>
      <c r="P876" s="45">
        <v>36</v>
      </c>
      <c r="Q876" s="45">
        <v>7</v>
      </c>
      <c r="R876" s="46">
        <v>1200810</v>
      </c>
      <c r="S876" s="45">
        <v>0</v>
      </c>
      <c r="T876" s="45">
        <v>7</v>
      </c>
      <c r="U876" s="46">
        <v>1256450</v>
      </c>
      <c r="V876" s="45">
        <v>0</v>
      </c>
      <c r="W876" s="45">
        <v>5</v>
      </c>
      <c r="X876" s="46">
        <v>1149860</v>
      </c>
      <c r="Y876" s="45">
        <v>0</v>
      </c>
      <c r="Z876" s="45">
        <v>16</v>
      </c>
      <c r="AB876" s="46">
        <v>1293180</v>
      </c>
      <c r="AC876" s="45">
        <v>183</v>
      </c>
      <c r="AD876" s="45">
        <v>11</v>
      </c>
      <c r="AE876" s="46">
        <v>1087380</v>
      </c>
      <c r="AF876" s="45">
        <v>0</v>
      </c>
      <c r="AG876" s="45">
        <v>14</v>
      </c>
      <c r="AH876" s="46">
        <v>1149510</v>
      </c>
      <c r="AI876" s="45">
        <v>0</v>
      </c>
      <c r="AJ876" s="45">
        <v>7</v>
      </c>
      <c r="AK876" s="46">
        <v>1156680</v>
      </c>
      <c r="AL876" s="45">
        <v>0</v>
      </c>
      <c r="AM876" s="45">
        <v>10</v>
      </c>
      <c r="AO876" s="46">
        <v>1154860</v>
      </c>
      <c r="AP876" s="45">
        <v>0</v>
      </c>
      <c r="AQ876" s="45">
        <v>10</v>
      </c>
      <c r="AR876" s="46">
        <v>1093910</v>
      </c>
      <c r="AS876" s="45">
        <v>0</v>
      </c>
      <c r="AT876" s="45">
        <v>17</v>
      </c>
      <c r="AU876" s="46">
        <v>1110640</v>
      </c>
      <c r="AV876" s="45">
        <v>0</v>
      </c>
      <c r="AW876" s="45">
        <v>7</v>
      </c>
      <c r="AX876" s="46">
        <v>1256570</v>
      </c>
      <c r="AY876" s="45">
        <v>32</v>
      </c>
      <c r="AZ876" s="45">
        <v>8</v>
      </c>
    </row>
    <row r="877" spans="2:52">
      <c r="B877" s="46">
        <v>1258570</v>
      </c>
      <c r="C877" s="45">
        <v>74</v>
      </c>
      <c r="D877" s="45">
        <v>11</v>
      </c>
      <c r="E877" s="46">
        <v>1100930</v>
      </c>
      <c r="F877" s="45">
        <v>0</v>
      </c>
      <c r="G877" s="45">
        <v>11</v>
      </c>
      <c r="H877" s="46">
        <v>1084060</v>
      </c>
      <c r="I877" s="45">
        <v>0</v>
      </c>
      <c r="J877" s="45">
        <v>12</v>
      </c>
      <c r="K877" s="46">
        <v>1171400</v>
      </c>
      <c r="L877" s="45">
        <v>0</v>
      </c>
      <c r="M877" s="45">
        <v>9</v>
      </c>
      <c r="O877" s="46">
        <v>1292700</v>
      </c>
      <c r="P877" s="45">
        <v>11</v>
      </c>
      <c r="Q877" s="45">
        <v>13</v>
      </c>
      <c r="R877" s="46">
        <v>1292830</v>
      </c>
      <c r="S877" s="45">
        <v>0</v>
      </c>
      <c r="T877" s="45">
        <v>8</v>
      </c>
      <c r="U877" s="46">
        <v>1270540</v>
      </c>
      <c r="V877" s="45">
        <v>0</v>
      </c>
      <c r="W877" s="45">
        <v>7</v>
      </c>
      <c r="X877" s="46">
        <v>1213000</v>
      </c>
      <c r="Y877" s="45">
        <v>0</v>
      </c>
      <c r="Z877" s="45">
        <v>9</v>
      </c>
      <c r="AB877" s="46">
        <v>1208860</v>
      </c>
      <c r="AC877" s="45">
        <v>0</v>
      </c>
      <c r="AD877" s="45">
        <v>10</v>
      </c>
      <c r="AE877" s="46">
        <v>1146710</v>
      </c>
      <c r="AF877" s="45">
        <v>0</v>
      </c>
      <c r="AG877" s="45">
        <v>12</v>
      </c>
      <c r="AH877" s="46">
        <v>1149030</v>
      </c>
      <c r="AI877" s="45">
        <v>2</v>
      </c>
      <c r="AJ877" s="45">
        <v>15</v>
      </c>
      <c r="AK877" s="46">
        <v>1207720</v>
      </c>
      <c r="AL877" s="45">
        <v>58</v>
      </c>
      <c r="AM877" s="45">
        <v>13</v>
      </c>
      <c r="AO877" s="46">
        <v>1219630</v>
      </c>
      <c r="AP877" s="45">
        <v>0</v>
      </c>
      <c r="AQ877" s="45">
        <v>7</v>
      </c>
      <c r="AR877" s="46">
        <v>1213380</v>
      </c>
      <c r="AS877" s="45">
        <v>21</v>
      </c>
      <c r="AT877" s="45">
        <v>11</v>
      </c>
      <c r="AU877" s="46">
        <v>1242680</v>
      </c>
      <c r="AV877" s="45">
        <v>42</v>
      </c>
      <c r="AW877" s="45">
        <v>7</v>
      </c>
      <c r="AX877" s="46">
        <v>1172400</v>
      </c>
      <c r="AY877" s="45">
        <v>0</v>
      </c>
      <c r="AZ877" s="45">
        <v>10</v>
      </c>
    </row>
    <row r="878" spans="2:52">
      <c r="B878" s="46">
        <v>1215810</v>
      </c>
      <c r="C878" s="45">
        <v>0</v>
      </c>
      <c r="D878" s="45">
        <v>8</v>
      </c>
      <c r="E878" s="46">
        <v>1319360</v>
      </c>
      <c r="F878" s="45">
        <v>98</v>
      </c>
      <c r="G878" s="45">
        <v>17</v>
      </c>
      <c r="H878" s="46">
        <v>1255600</v>
      </c>
      <c r="I878" s="45">
        <v>32</v>
      </c>
      <c r="J878" s="45">
        <v>18</v>
      </c>
      <c r="K878" s="46">
        <v>1178090</v>
      </c>
      <c r="L878" s="45">
        <v>0</v>
      </c>
      <c r="M878" s="45">
        <v>8</v>
      </c>
      <c r="O878" s="46">
        <v>1338820</v>
      </c>
      <c r="P878" s="45">
        <v>0</v>
      </c>
      <c r="Q878" s="45">
        <v>5</v>
      </c>
      <c r="R878" s="46">
        <v>1346800</v>
      </c>
      <c r="S878" s="45">
        <v>80</v>
      </c>
      <c r="T878" s="45">
        <v>14</v>
      </c>
      <c r="U878" s="46">
        <v>1318910</v>
      </c>
      <c r="V878" s="45">
        <v>0</v>
      </c>
      <c r="W878" s="45">
        <v>5</v>
      </c>
      <c r="X878" s="46">
        <v>1302810</v>
      </c>
      <c r="Y878" s="45">
        <v>0</v>
      </c>
      <c r="Z878" s="45">
        <v>4</v>
      </c>
      <c r="AB878" s="46">
        <v>1191340</v>
      </c>
      <c r="AC878" s="45">
        <v>0</v>
      </c>
      <c r="AD878" s="45">
        <v>17</v>
      </c>
      <c r="AE878" s="46">
        <v>1193440</v>
      </c>
      <c r="AF878" s="45">
        <v>0</v>
      </c>
      <c r="AG878" s="45">
        <v>10</v>
      </c>
      <c r="AH878" s="46">
        <v>1275530</v>
      </c>
      <c r="AI878" s="45">
        <v>44</v>
      </c>
      <c r="AJ878" s="45">
        <v>16</v>
      </c>
      <c r="AK878" s="46">
        <v>1196860</v>
      </c>
      <c r="AL878" s="45">
        <v>4</v>
      </c>
      <c r="AM878" s="45">
        <v>21</v>
      </c>
      <c r="AO878" s="46">
        <v>1292620</v>
      </c>
      <c r="AP878" s="45">
        <v>0</v>
      </c>
      <c r="AQ878" s="45">
        <v>10</v>
      </c>
      <c r="AR878" s="46">
        <v>1352230</v>
      </c>
      <c r="AS878" s="45">
        <v>157</v>
      </c>
      <c r="AT878" s="45">
        <v>15</v>
      </c>
      <c r="AU878" s="46">
        <v>1291690</v>
      </c>
      <c r="AV878" s="45">
        <v>102</v>
      </c>
      <c r="AW878" s="45">
        <v>12</v>
      </c>
      <c r="AX878" s="46">
        <v>1239320</v>
      </c>
      <c r="AY878" s="45">
        <v>16</v>
      </c>
      <c r="AZ878" s="45">
        <v>5</v>
      </c>
    </row>
    <row r="879" spans="2:52">
      <c r="B879" s="46">
        <v>1093420</v>
      </c>
      <c r="C879" s="45">
        <v>0</v>
      </c>
      <c r="D879" s="45">
        <v>10</v>
      </c>
      <c r="E879" s="46">
        <v>1125370</v>
      </c>
      <c r="F879" s="45">
        <v>0</v>
      </c>
      <c r="G879" s="45">
        <v>10</v>
      </c>
      <c r="H879" s="46">
        <v>1181060</v>
      </c>
      <c r="I879" s="45">
        <v>22</v>
      </c>
      <c r="J879" s="45">
        <v>6</v>
      </c>
      <c r="K879" s="46">
        <v>1113060</v>
      </c>
      <c r="L879" s="45">
        <v>0</v>
      </c>
      <c r="M879" s="45">
        <v>5</v>
      </c>
      <c r="O879" s="46">
        <v>1192020</v>
      </c>
      <c r="P879" s="45">
        <v>0</v>
      </c>
      <c r="Q879" s="45">
        <v>10</v>
      </c>
      <c r="R879" s="46">
        <v>1264240</v>
      </c>
      <c r="S879" s="45">
        <v>0</v>
      </c>
      <c r="T879" s="45">
        <v>6</v>
      </c>
      <c r="U879" s="46">
        <v>1218630</v>
      </c>
      <c r="V879" s="45">
        <v>0</v>
      </c>
      <c r="W879" s="45">
        <v>10</v>
      </c>
      <c r="X879" s="46">
        <v>1164670</v>
      </c>
      <c r="Y879" s="45">
        <v>0</v>
      </c>
      <c r="Z879" s="45">
        <v>4</v>
      </c>
      <c r="AB879" s="46">
        <v>1190200</v>
      </c>
      <c r="AC879" s="45">
        <v>0</v>
      </c>
      <c r="AD879" s="45">
        <v>9</v>
      </c>
      <c r="AE879" s="46">
        <v>1117980</v>
      </c>
      <c r="AF879" s="45">
        <v>0</v>
      </c>
      <c r="AG879" s="45">
        <v>9</v>
      </c>
      <c r="AH879" s="46">
        <v>1114290</v>
      </c>
      <c r="AI879" s="45">
        <v>0</v>
      </c>
      <c r="AJ879" s="45">
        <v>16</v>
      </c>
      <c r="AK879" s="46">
        <v>1157450</v>
      </c>
      <c r="AL879" s="45">
        <v>13</v>
      </c>
      <c r="AM879" s="45">
        <v>10</v>
      </c>
      <c r="AO879" s="46">
        <v>1113380</v>
      </c>
      <c r="AP879" s="45">
        <v>0</v>
      </c>
      <c r="AQ879" s="45">
        <v>10</v>
      </c>
      <c r="AR879" s="46">
        <v>1170680</v>
      </c>
      <c r="AS879" s="45">
        <v>37</v>
      </c>
      <c r="AT879" s="45">
        <v>21</v>
      </c>
      <c r="AU879" s="46">
        <v>1126330</v>
      </c>
      <c r="AV879" s="45">
        <v>0</v>
      </c>
      <c r="AW879" s="45">
        <v>7</v>
      </c>
      <c r="AX879" s="46">
        <v>1141370</v>
      </c>
      <c r="AY879" s="45">
        <v>0</v>
      </c>
      <c r="AZ879" s="45">
        <v>11</v>
      </c>
    </row>
    <row r="880" spans="2:52">
      <c r="B880" s="46">
        <v>1075690</v>
      </c>
      <c r="C880" s="45">
        <v>0</v>
      </c>
      <c r="D880" s="45">
        <v>7</v>
      </c>
      <c r="E880" s="46">
        <v>1086860</v>
      </c>
      <c r="F880" s="45">
        <v>0</v>
      </c>
      <c r="G880" s="45">
        <v>6</v>
      </c>
      <c r="H880" s="46">
        <v>1007550</v>
      </c>
      <c r="I880" s="45">
        <v>0</v>
      </c>
      <c r="J880" s="45">
        <v>12</v>
      </c>
      <c r="K880" s="46">
        <v>1018940</v>
      </c>
      <c r="L880" s="45">
        <v>0</v>
      </c>
      <c r="M880" s="45">
        <v>7</v>
      </c>
      <c r="O880" s="46">
        <v>1163740</v>
      </c>
      <c r="P880" s="45">
        <v>0</v>
      </c>
      <c r="Q880" s="45">
        <v>9</v>
      </c>
      <c r="R880" s="46">
        <v>1235300</v>
      </c>
      <c r="S880" s="45">
        <v>0</v>
      </c>
      <c r="T880" s="45">
        <v>6</v>
      </c>
      <c r="U880" s="46">
        <v>1123680</v>
      </c>
      <c r="V880" s="45">
        <v>0</v>
      </c>
      <c r="W880" s="45">
        <v>7</v>
      </c>
      <c r="X880" s="46">
        <v>1157820</v>
      </c>
      <c r="Y880" s="45">
        <v>0</v>
      </c>
      <c r="Z880" s="45">
        <v>7</v>
      </c>
      <c r="AB880" s="46">
        <v>1092250</v>
      </c>
      <c r="AC880" s="45">
        <v>0</v>
      </c>
      <c r="AD880" s="45">
        <v>10</v>
      </c>
      <c r="AE880" s="46">
        <v>1131800</v>
      </c>
      <c r="AF880" s="45">
        <v>58</v>
      </c>
      <c r="AG880" s="45">
        <v>10</v>
      </c>
      <c r="AH880" s="46">
        <v>1040340</v>
      </c>
      <c r="AI880" s="45">
        <v>0</v>
      </c>
      <c r="AJ880" s="45">
        <v>7</v>
      </c>
      <c r="AK880" s="46">
        <v>1069060</v>
      </c>
      <c r="AL880" s="45">
        <v>0</v>
      </c>
      <c r="AM880" s="45">
        <v>10</v>
      </c>
      <c r="AO880" s="46">
        <v>1016210</v>
      </c>
      <c r="AP880" s="45">
        <v>0</v>
      </c>
      <c r="AQ880" s="45">
        <v>15</v>
      </c>
      <c r="AR880" s="46">
        <v>1133850</v>
      </c>
      <c r="AS880" s="45">
        <v>13</v>
      </c>
      <c r="AT880" s="45">
        <v>10</v>
      </c>
      <c r="AU880" s="46">
        <v>1116400</v>
      </c>
      <c r="AV880" s="45">
        <v>37</v>
      </c>
      <c r="AW880" s="45">
        <v>10</v>
      </c>
      <c r="AX880" s="46">
        <v>1107650</v>
      </c>
      <c r="AY880" s="45">
        <v>0</v>
      </c>
      <c r="AZ880" s="45">
        <v>7</v>
      </c>
    </row>
    <row r="881" spans="2:52">
      <c r="B881" s="46">
        <v>1376770</v>
      </c>
      <c r="C881" s="45">
        <v>114</v>
      </c>
      <c r="D881" s="45">
        <v>17</v>
      </c>
      <c r="E881" s="46">
        <v>1197950</v>
      </c>
      <c r="F881" s="45">
        <v>0</v>
      </c>
      <c r="G881" s="45">
        <v>10</v>
      </c>
      <c r="H881" s="46">
        <v>1218640</v>
      </c>
      <c r="I881" s="45">
        <v>0</v>
      </c>
      <c r="J881" s="45">
        <v>9</v>
      </c>
      <c r="K881" s="46">
        <v>1268410</v>
      </c>
      <c r="L881" s="45">
        <v>10</v>
      </c>
      <c r="M881" s="45">
        <v>10</v>
      </c>
      <c r="O881" s="46">
        <v>1366770</v>
      </c>
      <c r="P881" s="45">
        <v>0</v>
      </c>
      <c r="Q881" s="45">
        <v>8</v>
      </c>
      <c r="R881" s="46">
        <v>1303260</v>
      </c>
      <c r="S881" s="45">
        <v>0</v>
      </c>
      <c r="T881" s="45">
        <v>5</v>
      </c>
      <c r="U881" s="46">
        <v>1277210</v>
      </c>
      <c r="V881" s="45">
        <v>0</v>
      </c>
      <c r="W881" s="45">
        <v>6</v>
      </c>
      <c r="X881" s="46">
        <v>1286730</v>
      </c>
      <c r="Y881" s="45">
        <v>0</v>
      </c>
      <c r="Z881" s="45">
        <v>10</v>
      </c>
      <c r="AB881" s="46">
        <v>1344920</v>
      </c>
      <c r="AC881" s="45">
        <v>39</v>
      </c>
      <c r="AD881" s="45">
        <v>7</v>
      </c>
      <c r="AE881" s="46">
        <v>1328260</v>
      </c>
      <c r="AF881" s="45">
        <v>101</v>
      </c>
      <c r="AG881" s="45">
        <v>34</v>
      </c>
      <c r="AH881" s="46">
        <v>1221420</v>
      </c>
      <c r="AI881" s="45">
        <v>0</v>
      </c>
      <c r="AJ881" s="45">
        <v>11</v>
      </c>
      <c r="AK881" s="46">
        <v>1286520</v>
      </c>
      <c r="AL881" s="45">
        <v>0</v>
      </c>
      <c r="AM881" s="45">
        <v>9</v>
      </c>
      <c r="AO881" s="46">
        <v>1322390</v>
      </c>
      <c r="AP881" s="45">
        <v>55</v>
      </c>
      <c r="AQ881" s="45">
        <v>18</v>
      </c>
      <c r="AR881" s="46">
        <v>1301350</v>
      </c>
      <c r="AS881" s="45">
        <v>46</v>
      </c>
      <c r="AT881" s="45">
        <v>11</v>
      </c>
      <c r="AU881" s="46">
        <v>1280320</v>
      </c>
      <c r="AV881" s="45">
        <v>29</v>
      </c>
      <c r="AW881" s="45">
        <v>12</v>
      </c>
      <c r="AX881" s="46">
        <v>1359030</v>
      </c>
      <c r="AY881" s="45">
        <v>66</v>
      </c>
      <c r="AZ881" s="45">
        <v>12</v>
      </c>
    </row>
    <row r="882" spans="2:52">
      <c r="B882" s="46">
        <v>1274180</v>
      </c>
      <c r="C882" s="45">
        <v>49</v>
      </c>
      <c r="D882" s="45">
        <v>27</v>
      </c>
      <c r="E882" s="46">
        <v>1298400</v>
      </c>
      <c r="F882" s="45">
        <v>82</v>
      </c>
      <c r="G882" s="45">
        <v>11</v>
      </c>
      <c r="H882" s="46">
        <v>1375390</v>
      </c>
      <c r="I882" s="45">
        <v>121</v>
      </c>
      <c r="J882" s="45">
        <v>17</v>
      </c>
      <c r="K882" s="46">
        <v>1330990</v>
      </c>
      <c r="L882" s="45">
        <v>43</v>
      </c>
      <c r="M882" s="45">
        <v>14</v>
      </c>
      <c r="O882" s="46">
        <v>1394270</v>
      </c>
      <c r="P882" s="45">
        <v>21</v>
      </c>
      <c r="Q882" s="45">
        <v>26</v>
      </c>
      <c r="R882" s="46">
        <v>1428110</v>
      </c>
      <c r="S882" s="45">
        <v>74</v>
      </c>
      <c r="T882" s="45">
        <v>12</v>
      </c>
      <c r="U882" s="46">
        <v>1336720</v>
      </c>
      <c r="V882" s="45">
        <v>0</v>
      </c>
      <c r="W882" s="45">
        <v>6</v>
      </c>
      <c r="X882" s="46">
        <v>1273660</v>
      </c>
      <c r="Y882" s="45">
        <v>3</v>
      </c>
      <c r="Z882" s="45">
        <v>12</v>
      </c>
      <c r="AB882" s="46">
        <v>1322860</v>
      </c>
      <c r="AC882" s="45">
        <v>18</v>
      </c>
      <c r="AD882" s="45">
        <v>13</v>
      </c>
      <c r="AE882" s="46">
        <v>1255430</v>
      </c>
      <c r="AF882" s="45">
        <v>0</v>
      </c>
      <c r="AG882" s="45">
        <v>8</v>
      </c>
      <c r="AH882" s="46">
        <v>1246810</v>
      </c>
      <c r="AI882" s="45">
        <v>0</v>
      </c>
      <c r="AJ882" s="45">
        <v>12</v>
      </c>
      <c r="AK882" s="46">
        <v>1291270</v>
      </c>
      <c r="AL882" s="45">
        <v>11</v>
      </c>
      <c r="AM882" s="45">
        <v>10</v>
      </c>
      <c r="AO882" s="46">
        <v>1289000</v>
      </c>
      <c r="AP882" s="45">
        <v>53</v>
      </c>
      <c r="AQ882" s="45">
        <v>21</v>
      </c>
      <c r="AR882" s="46">
        <v>1301590</v>
      </c>
      <c r="AS882" s="45">
        <v>41</v>
      </c>
      <c r="AT882" s="45">
        <v>25</v>
      </c>
      <c r="AU882" s="46">
        <v>1320780</v>
      </c>
      <c r="AV882" s="45">
        <v>56</v>
      </c>
      <c r="AW882" s="45">
        <v>13</v>
      </c>
      <c r="AX882" s="46">
        <v>1359020</v>
      </c>
      <c r="AY882" s="45">
        <v>72</v>
      </c>
      <c r="AZ882" s="45">
        <v>7</v>
      </c>
    </row>
    <row r="883" spans="2:52">
      <c r="B883" s="46">
        <v>1052860</v>
      </c>
      <c r="C883" s="45">
        <v>0</v>
      </c>
      <c r="D883" s="45">
        <v>8</v>
      </c>
      <c r="E883" s="46">
        <v>1040890</v>
      </c>
      <c r="F883" s="45">
        <v>0</v>
      </c>
      <c r="G883" s="45">
        <v>14</v>
      </c>
      <c r="H883" s="46">
        <v>1073310</v>
      </c>
      <c r="I883" s="45">
        <v>0</v>
      </c>
      <c r="J883" s="45">
        <v>14</v>
      </c>
      <c r="K883" s="46">
        <v>1051910</v>
      </c>
      <c r="L883" s="45">
        <v>0</v>
      </c>
      <c r="M883" s="45">
        <v>14</v>
      </c>
      <c r="O883" s="46">
        <v>1154470</v>
      </c>
      <c r="P883" s="45">
        <v>0</v>
      </c>
      <c r="Q883" s="45">
        <v>6</v>
      </c>
      <c r="R883" s="46">
        <v>1151460</v>
      </c>
      <c r="S883" s="45">
        <v>0</v>
      </c>
      <c r="T883" s="45">
        <v>5</v>
      </c>
      <c r="U883" s="46">
        <v>1171250</v>
      </c>
      <c r="V883" s="45">
        <v>21</v>
      </c>
      <c r="W883" s="45">
        <v>7</v>
      </c>
      <c r="X883" s="46">
        <v>1146890</v>
      </c>
      <c r="Y883" s="45">
        <v>0</v>
      </c>
      <c r="Z883" s="45">
        <v>4</v>
      </c>
      <c r="AB883" s="46">
        <v>1090460</v>
      </c>
      <c r="AC883" s="45">
        <v>0</v>
      </c>
      <c r="AD883" s="45">
        <v>13</v>
      </c>
      <c r="AE883" s="46">
        <v>1118070</v>
      </c>
      <c r="AF883" s="45">
        <v>0</v>
      </c>
      <c r="AG883" s="45">
        <v>7</v>
      </c>
      <c r="AH883" s="46">
        <v>1081450</v>
      </c>
      <c r="AI883" s="45">
        <v>0</v>
      </c>
      <c r="AJ883" s="45">
        <v>12</v>
      </c>
      <c r="AK883" s="46">
        <v>1054010</v>
      </c>
      <c r="AL883" s="45">
        <v>0</v>
      </c>
      <c r="AM883" s="45">
        <v>11</v>
      </c>
      <c r="AO883" s="46">
        <v>1065060</v>
      </c>
      <c r="AP883" s="45">
        <v>0</v>
      </c>
      <c r="AQ883" s="45">
        <v>14</v>
      </c>
      <c r="AR883" s="46">
        <v>1094180</v>
      </c>
      <c r="AS883" s="45">
        <v>21</v>
      </c>
      <c r="AT883" s="45">
        <v>14</v>
      </c>
      <c r="AU883" s="46">
        <v>1106910</v>
      </c>
      <c r="AV883" s="45">
        <v>0</v>
      </c>
      <c r="AW883" s="45">
        <v>8</v>
      </c>
      <c r="AX883" s="46">
        <v>1031970</v>
      </c>
      <c r="AY883" s="45">
        <v>0</v>
      </c>
      <c r="AZ883" s="45">
        <v>9</v>
      </c>
    </row>
    <row r="884" spans="2:52">
      <c r="B884" s="46">
        <v>1190140</v>
      </c>
      <c r="C884" s="45">
        <v>0</v>
      </c>
      <c r="D884" s="45">
        <v>12</v>
      </c>
      <c r="E884" s="46">
        <v>1251710</v>
      </c>
      <c r="F884" s="45">
        <v>0</v>
      </c>
      <c r="G884" s="45">
        <v>6</v>
      </c>
      <c r="H884" s="46">
        <v>1300030</v>
      </c>
      <c r="I884" s="45">
        <v>0</v>
      </c>
      <c r="J884" s="45">
        <v>8</v>
      </c>
      <c r="K884" s="46">
        <v>1195850</v>
      </c>
      <c r="L884" s="45">
        <v>0</v>
      </c>
      <c r="M884" s="45">
        <v>10</v>
      </c>
      <c r="O884" s="46">
        <v>1371250</v>
      </c>
      <c r="P884" s="45">
        <v>0</v>
      </c>
      <c r="Q884" s="45">
        <v>6</v>
      </c>
      <c r="R884" s="46">
        <v>1327520</v>
      </c>
      <c r="S884" s="45">
        <v>0</v>
      </c>
      <c r="T884" s="45">
        <v>6</v>
      </c>
      <c r="U884" s="46">
        <v>1287060</v>
      </c>
      <c r="V884" s="45">
        <v>0</v>
      </c>
      <c r="W884" s="45">
        <v>7</v>
      </c>
      <c r="X884" s="46">
        <v>1352880</v>
      </c>
      <c r="Y884" s="45">
        <v>0</v>
      </c>
      <c r="Z884" s="45">
        <v>5</v>
      </c>
      <c r="AB884" s="46">
        <v>1208220</v>
      </c>
      <c r="AC884" s="45">
        <v>0</v>
      </c>
      <c r="AD884" s="45">
        <v>13</v>
      </c>
      <c r="AE884" s="46">
        <v>1233540</v>
      </c>
      <c r="AF884" s="45">
        <v>0</v>
      </c>
      <c r="AG884" s="45">
        <v>15</v>
      </c>
      <c r="AH884" s="46">
        <v>1256370</v>
      </c>
      <c r="AI884" s="45">
        <v>12</v>
      </c>
      <c r="AJ884" s="45">
        <v>13</v>
      </c>
      <c r="AK884" s="46">
        <v>1268550</v>
      </c>
      <c r="AL884" s="45">
        <v>0</v>
      </c>
      <c r="AM884" s="45">
        <v>5</v>
      </c>
      <c r="AO884" s="46">
        <v>1243140</v>
      </c>
      <c r="AP884" s="45">
        <v>0</v>
      </c>
      <c r="AQ884" s="45">
        <v>12</v>
      </c>
      <c r="AR884" s="46">
        <v>1238020</v>
      </c>
      <c r="AS884" s="45">
        <v>0</v>
      </c>
      <c r="AT884" s="45">
        <v>8</v>
      </c>
      <c r="AU884" s="46">
        <v>1228340</v>
      </c>
      <c r="AV884" s="45">
        <v>0</v>
      </c>
      <c r="AW884" s="45">
        <v>15</v>
      </c>
      <c r="AX884" s="46">
        <v>1249440</v>
      </c>
      <c r="AY884" s="45">
        <v>0</v>
      </c>
      <c r="AZ884" s="45">
        <v>9</v>
      </c>
    </row>
    <row r="885" spans="2:52">
      <c r="B885" s="46">
        <v>1169180</v>
      </c>
      <c r="C885" s="45">
        <v>0</v>
      </c>
      <c r="D885" s="45">
        <v>8</v>
      </c>
      <c r="E885" s="46">
        <v>1174390</v>
      </c>
      <c r="F885" s="45">
        <v>15</v>
      </c>
      <c r="G885" s="45">
        <v>11</v>
      </c>
      <c r="H885" s="46">
        <v>1194750</v>
      </c>
      <c r="I885" s="45">
        <v>34</v>
      </c>
      <c r="J885" s="45">
        <v>12</v>
      </c>
      <c r="K885" s="46">
        <v>1172820</v>
      </c>
      <c r="L885" s="45">
        <v>7</v>
      </c>
      <c r="M885" s="45">
        <v>14</v>
      </c>
      <c r="O885" s="46">
        <v>1284440</v>
      </c>
      <c r="P885" s="45">
        <v>0</v>
      </c>
      <c r="Q885" s="45">
        <v>7</v>
      </c>
      <c r="R885" s="46">
        <v>1311110</v>
      </c>
      <c r="S885" s="45">
        <v>0</v>
      </c>
      <c r="T885" s="45">
        <v>4</v>
      </c>
      <c r="U885" s="46">
        <v>1240970</v>
      </c>
      <c r="V885" s="45">
        <v>0</v>
      </c>
      <c r="W885" s="45">
        <v>7</v>
      </c>
      <c r="X885" s="46">
        <v>1293630</v>
      </c>
      <c r="Y885" s="45">
        <v>0</v>
      </c>
      <c r="Z885" s="45">
        <v>4</v>
      </c>
      <c r="AB885" s="46">
        <v>1275140</v>
      </c>
      <c r="AC885" s="45">
        <v>21</v>
      </c>
      <c r="AD885" s="45">
        <v>10</v>
      </c>
      <c r="AE885" s="46">
        <v>1260360</v>
      </c>
      <c r="AF885" s="45">
        <v>56</v>
      </c>
      <c r="AG885" s="45">
        <v>24</v>
      </c>
      <c r="AH885" s="46">
        <v>1182130</v>
      </c>
      <c r="AI885" s="45">
        <v>17</v>
      </c>
      <c r="AJ885" s="45">
        <v>16</v>
      </c>
      <c r="AK885" s="46">
        <v>1176230</v>
      </c>
      <c r="AL885" s="45">
        <v>0</v>
      </c>
      <c r="AM885" s="45">
        <v>8</v>
      </c>
      <c r="AO885" s="46">
        <v>1164360</v>
      </c>
      <c r="AP885" s="45">
        <v>0</v>
      </c>
      <c r="AQ885" s="45">
        <v>12</v>
      </c>
      <c r="AR885" s="46">
        <v>1207350</v>
      </c>
      <c r="AS885" s="45">
        <v>31</v>
      </c>
      <c r="AT885" s="45">
        <v>11</v>
      </c>
      <c r="AU885" s="46">
        <v>1217520</v>
      </c>
      <c r="AV885" s="45">
        <v>0</v>
      </c>
      <c r="AW885" s="45">
        <v>7</v>
      </c>
      <c r="AX885" s="46">
        <v>1237730</v>
      </c>
      <c r="AY885" s="45">
        <v>63</v>
      </c>
      <c r="AZ885" s="45">
        <v>13</v>
      </c>
    </row>
    <row r="886" spans="2:52">
      <c r="B886" s="46">
        <v>1118100</v>
      </c>
      <c r="C886" s="45">
        <v>0</v>
      </c>
      <c r="D886" s="45">
        <v>14</v>
      </c>
      <c r="E886" s="46">
        <v>1127060</v>
      </c>
      <c r="F886" s="45">
        <v>6</v>
      </c>
      <c r="G886" s="45">
        <v>11</v>
      </c>
      <c r="H886" s="46">
        <v>1134360</v>
      </c>
      <c r="I886" s="45">
        <v>0</v>
      </c>
      <c r="J886" s="45">
        <v>15</v>
      </c>
      <c r="K886" s="46">
        <v>1201050</v>
      </c>
      <c r="L886" s="45">
        <v>6</v>
      </c>
      <c r="M886" s="45">
        <v>11</v>
      </c>
      <c r="O886" s="46">
        <v>1262210</v>
      </c>
      <c r="P886" s="45">
        <v>0</v>
      </c>
      <c r="Q886" s="45">
        <v>8</v>
      </c>
      <c r="R886" s="46">
        <v>1305890</v>
      </c>
      <c r="S886" s="45">
        <v>31</v>
      </c>
      <c r="T886" s="45">
        <v>6</v>
      </c>
      <c r="U886" s="46">
        <v>1416560</v>
      </c>
      <c r="V886" s="45">
        <v>156</v>
      </c>
      <c r="W886" s="45">
        <v>9</v>
      </c>
      <c r="X886" s="46">
        <v>1233920</v>
      </c>
      <c r="Y886" s="45">
        <v>0</v>
      </c>
      <c r="Z886" s="45">
        <v>4</v>
      </c>
      <c r="AB886" s="46">
        <v>1161330</v>
      </c>
      <c r="AC886" s="45">
        <v>0</v>
      </c>
      <c r="AD886" s="45">
        <v>10</v>
      </c>
      <c r="AE886" s="46">
        <v>1158390</v>
      </c>
      <c r="AF886" s="45">
        <v>0</v>
      </c>
      <c r="AG886" s="45">
        <v>13</v>
      </c>
      <c r="AH886" s="46">
        <v>1115650</v>
      </c>
      <c r="AI886" s="45">
        <v>0</v>
      </c>
      <c r="AJ886" s="45">
        <v>18</v>
      </c>
      <c r="AK886" s="46">
        <v>1140340</v>
      </c>
      <c r="AL886" s="45">
        <v>39</v>
      </c>
      <c r="AM886" s="45">
        <v>13</v>
      </c>
      <c r="AO886" s="46">
        <v>1242280</v>
      </c>
      <c r="AP886" s="45">
        <v>0</v>
      </c>
      <c r="AQ886" s="45">
        <v>9</v>
      </c>
      <c r="AR886" s="46">
        <v>1231150</v>
      </c>
      <c r="AS886" s="45">
        <v>29</v>
      </c>
      <c r="AT886" s="45">
        <v>6</v>
      </c>
      <c r="AU886" s="46">
        <v>1199350</v>
      </c>
      <c r="AV886" s="45">
        <v>0</v>
      </c>
      <c r="AW886" s="45">
        <v>10</v>
      </c>
      <c r="AX886" s="46">
        <v>1226660</v>
      </c>
      <c r="AY886" s="45">
        <v>87</v>
      </c>
      <c r="AZ886" s="45">
        <v>24</v>
      </c>
    </row>
    <row r="887" spans="2:52">
      <c r="B887" s="46">
        <v>1113600</v>
      </c>
      <c r="C887" s="45">
        <v>4</v>
      </c>
      <c r="D887" s="45">
        <v>10</v>
      </c>
      <c r="E887" s="46">
        <v>1138180</v>
      </c>
      <c r="F887" s="45">
        <v>56</v>
      </c>
      <c r="G887" s="45">
        <v>11</v>
      </c>
      <c r="H887" s="46">
        <v>1099280</v>
      </c>
      <c r="I887" s="45">
        <v>0</v>
      </c>
      <c r="J887" s="45">
        <v>16</v>
      </c>
      <c r="K887" s="46">
        <v>1098560</v>
      </c>
      <c r="L887" s="45">
        <v>0</v>
      </c>
      <c r="M887" s="45">
        <v>8</v>
      </c>
      <c r="O887" s="46">
        <v>1192530</v>
      </c>
      <c r="P887" s="45">
        <v>0</v>
      </c>
      <c r="Q887" s="45">
        <v>7</v>
      </c>
      <c r="R887" s="46">
        <v>1214450</v>
      </c>
      <c r="S887" s="45">
        <v>0</v>
      </c>
      <c r="T887" s="45">
        <v>6</v>
      </c>
      <c r="U887" s="46">
        <v>1176260</v>
      </c>
      <c r="V887" s="45">
        <v>0</v>
      </c>
      <c r="W887" s="45">
        <v>4</v>
      </c>
      <c r="X887" s="46">
        <v>1162010</v>
      </c>
      <c r="Y887" s="45">
        <v>0</v>
      </c>
      <c r="Z887" s="45">
        <v>7</v>
      </c>
      <c r="AB887" s="46">
        <v>1099620</v>
      </c>
      <c r="AC887" s="45">
        <v>0</v>
      </c>
      <c r="AD887" s="45">
        <v>12</v>
      </c>
      <c r="AE887" s="46">
        <v>1111510</v>
      </c>
      <c r="AF887" s="45">
        <v>0</v>
      </c>
      <c r="AG887" s="45">
        <v>13</v>
      </c>
      <c r="AH887" s="46">
        <v>1147180</v>
      </c>
      <c r="AI887" s="45">
        <v>0</v>
      </c>
      <c r="AJ887" s="45">
        <v>6</v>
      </c>
      <c r="AK887" s="46">
        <v>1112870</v>
      </c>
      <c r="AL887" s="45">
        <v>0</v>
      </c>
      <c r="AM887" s="45">
        <v>13</v>
      </c>
      <c r="AO887" s="46">
        <v>1095860</v>
      </c>
      <c r="AP887" s="45">
        <v>0</v>
      </c>
      <c r="AQ887" s="45">
        <v>7</v>
      </c>
      <c r="AR887" s="46">
        <v>1096380</v>
      </c>
      <c r="AS887" s="45">
        <v>0</v>
      </c>
      <c r="AT887" s="45">
        <v>11</v>
      </c>
      <c r="AU887" s="46">
        <v>1142510</v>
      </c>
      <c r="AV887" s="45">
        <v>9</v>
      </c>
      <c r="AW887" s="45">
        <v>10</v>
      </c>
      <c r="AX887" s="46">
        <v>1066970</v>
      </c>
      <c r="AY887" s="45">
        <v>0</v>
      </c>
      <c r="AZ887" s="45">
        <v>9</v>
      </c>
    </row>
    <row r="888" spans="2:52">
      <c r="B888" s="46">
        <v>1198590</v>
      </c>
      <c r="C888" s="45">
        <v>0</v>
      </c>
      <c r="D888" s="45">
        <v>12</v>
      </c>
      <c r="E888" s="46">
        <v>1103050</v>
      </c>
      <c r="F888" s="45">
        <v>0</v>
      </c>
      <c r="G888" s="45">
        <v>14</v>
      </c>
      <c r="H888" s="46">
        <v>1166690</v>
      </c>
      <c r="I888" s="45">
        <v>0</v>
      </c>
      <c r="J888" s="45">
        <v>10</v>
      </c>
      <c r="K888" s="46">
        <v>1202490</v>
      </c>
      <c r="L888" s="45">
        <v>67</v>
      </c>
      <c r="M888" s="45">
        <v>8</v>
      </c>
      <c r="O888" s="46">
        <v>1322770</v>
      </c>
      <c r="P888" s="45">
        <v>0</v>
      </c>
      <c r="Q888" s="45">
        <v>6</v>
      </c>
      <c r="R888" s="46">
        <v>1234250</v>
      </c>
      <c r="S888" s="45">
        <v>0</v>
      </c>
      <c r="T888" s="45">
        <v>7</v>
      </c>
      <c r="U888" s="46">
        <v>1222490</v>
      </c>
      <c r="V888" s="45">
        <v>0</v>
      </c>
      <c r="W888" s="45">
        <v>5</v>
      </c>
      <c r="X888" s="46">
        <v>1244520</v>
      </c>
      <c r="Y888" s="45">
        <v>0</v>
      </c>
      <c r="Z888" s="45">
        <v>6</v>
      </c>
      <c r="AB888" s="46">
        <v>1254210</v>
      </c>
      <c r="AC888" s="45">
        <v>56</v>
      </c>
      <c r="AD888" s="45">
        <v>12</v>
      </c>
      <c r="AE888" s="46">
        <v>1175830</v>
      </c>
      <c r="AF888" s="45">
        <v>0</v>
      </c>
      <c r="AG888" s="45">
        <v>12</v>
      </c>
      <c r="AH888" s="46">
        <v>1301150</v>
      </c>
      <c r="AI888" s="45">
        <v>91</v>
      </c>
      <c r="AJ888" s="45">
        <v>12</v>
      </c>
      <c r="AK888" s="46">
        <v>1152500</v>
      </c>
      <c r="AL888" s="45">
        <v>18</v>
      </c>
      <c r="AM888" s="45">
        <v>15</v>
      </c>
      <c r="AO888" s="46">
        <v>1221940</v>
      </c>
      <c r="AP888" s="45">
        <v>2</v>
      </c>
      <c r="AQ888" s="45">
        <v>11</v>
      </c>
      <c r="AR888" s="46">
        <v>1173870</v>
      </c>
      <c r="AS888" s="45">
        <v>13</v>
      </c>
      <c r="AT888" s="45">
        <v>13</v>
      </c>
      <c r="AU888" s="46">
        <v>1239830</v>
      </c>
      <c r="AV888" s="45">
        <v>50</v>
      </c>
      <c r="AW888" s="45">
        <v>10</v>
      </c>
      <c r="AX888" s="46">
        <v>1192310</v>
      </c>
      <c r="AY888" s="45">
        <v>0</v>
      </c>
      <c r="AZ888" s="45">
        <v>6</v>
      </c>
    </row>
    <row r="889" spans="2:52">
      <c r="B889" s="46">
        <v>1480310</v>
      </c>
      <c r="C889" s="45">
        <v>28</v>
      </c>
      <c r="D889" s="45">
        <v>16</v>
      </c>
      <c r="E889" s="46">
        <v>1403330</v>
      </c>
      <c r="F889" s="45">
        <v>0</v>
      </c>
      <c r="G889" s="45">
        <v>9</v>
      </c>
      <c r="H889" s="46">
        <v>1388200</v>
      </c>
      <c r="I889" s="45">
        <v>0</v>
      </c>
      <c r="J889" s="45">
        <v>14</v>
      </c>
      <c r="K889" s="46">
        <v>1371380</v>
      </c>
      <c r="L889" s="45">
        <v>0</v>
      </c>
      <c r="M889" s="45">
        <v>6</v>
      </c>
      <c r="O889" s="46">
        <v>1515180</v>
      </c>
      <c r="P889" s="45">
        <v>0</v>
      </c>
      <c r="Q889" s="45">
        <v>7</v>
      </c>
      <c r="R889" s="46">
        <v>1534570</v>
      </c>
      <c r="S889" s="45">
        <v>0</v>
      </c>
      <c r="T889" s="45">
        <v>4</v>
      </c>
      <c r="U889" s="46">
        <v>1513990</v>
      </c>
      <c r="V889" s="45">
        <v>0</v>
      </c>
      <c r="W889" s="45">
        <v>6</v>
      </c>
      <c r="X889" s="46">
        <v>1464170</v>
      </c>
      <c r="Y889" s="45">
        <v>0</v>
      </c>
      <c r="Z889" s="45">
        <v>6</v>
      </c>
      <c r="AB889" s="46">
        <v>1443400</v>
      </c>
      <c r="AC889" s="45">
        <v>54</v>
      </c>
      <c r="AD889" s="45">
        <v>14</v>
      </c>
      <c r="AE889" s="46">
        <v>1378440</v>
      </c>
      <c r="AF889" s="45">
        <v>3</v>
      </c>
      <c r="AG889" s="45">
        <v>15</v>
      </c>
      <c r="AH889" s="46">
        <v>1335700</v>
      </c>
      <c r="AI889" s="45">
        <v>0</v>
      </c>
      <c r="AJ889" s="45">
        <v>18</v>
      </c>
      <c r="AK889" s="46">
        <v>1363120</v>
      </c>
      <c r="AL889" s="45">
        <v>0</v>
      </c>
      <c r="AM889" s="45">
        <v>9</v>
      </c>
      <c r="AO889" s="46">
        <v>1376690</v>
      </c>
      <c r="AP889" s="45">
        <v>0</v>
      </c>
      <c r="AQ889" s="45">
        <v>13</v>
      </c>
      <c r="AR889" s="46">
        <v>1404570</v>
      </c>
      <c r="AS889" s="45">
        <v>0</v>
      </c>
      <c r="AT889" s="45">
        <v>8</v>
      </c>
      <c r="AU889" s="46">
        <v>1437580</v>
      </c>
      <c r="AV889" s="45">
        <v>0</v>
      </c>
      <c r="AW889" s="45">
        <v>9</v>
      </c>
      <c r="AX889" s="46">
        <v>1377160</v>
      </c>
      <c r="AY889" s="45">
        <v>0</v>
      </c>
      <c r="AZ889" s="45">
        <v>11</v>
      </c>
    </row>
    <row r="890" spans="2:52">
      <c r="B890" s="46">
        <v>1241060</v>
      </c>
      <c r="C890" s="45">
        <v>0</v>
      </c>
      <c r="D890" s="45">
        <v>14</v>
      </c>
      <c r="E890" s="46">
        <v>1216580</v>
      </c>
      <c r="F890" s="45">
        <v>0</v>
      </c>
      <c r="G890" s="45">
        <v>10</v>
      </c>
      <c r="H890" s="46">
        <v>1267610</v>
      </c>
      <c r="I890" s="45">
        <v>0</v>
      </c>
      <c r="J890" s="45">
        <v>6</v>
      </c>
      <c r="K890" s="46">
        <v>1215460</v>
      </c>
      <c r="L890" s="45">
        <v>0</v>
      </c>
      <c r="M890" s="45">
        <v>8</v>
      </c>
      <c r="O890" s="46">
        <v>1363070</v>
      </c>
      <c r="P890" s="45">
        <v>0</v>
      </c>
      <c r="Q890" s="45">
        <v>8</v>
      </c>
      <c r="R890" s="46">
        <v>1311460</v>
      </c>
      <c r="S890" s="45">
        <v>0</v>
      </c>
      <c r="T890" s="45">
        <v>4</v>
      </c>
      <c r="U890" s="46">
        <v>1315550</v>
      </c>
      <c r="V890" s="45">
        <v>0</v>
      </c>
      <c r="W890" s="45">
        <v>6</v>
      </c>
      <c r="X890" s="46">
        <v>1312410</v>
      </c>
      <c r="Y890" s="45">
        <v>0</v>
      </c>
      <c r="Z890" s="45">
        <v>5</v>
      </c>
      <c r="AB890" s="46">
        <v>1233670</v>
      </c>
      <c r="AC890" s="45">
        <v>0</v>
      </c>
      <c r="AD890" s="45">
        <v>11</v>
      </c>
      <c r="AE890" s="46">
        <v>1247370</v>
      </c>
      <c r="AF890" s="45">
        <v>0</v>
      </c>
      <c r="AG890" s="45">
        <v>8</v>
      </c>
      <c r="AH890" s="46">
        <v>1286120</v>
      </c>
      <c r="AI890" s="45">
        <v>0</v>
      </c>
      <c r="AJ890" s="45">
        <v>8</v>
      </c>
      <c r="AK890" s="46">
        <v>1250860</v>
      </c>
      <c r="AL890" s="45">
        <v>0</v>
      </c>
      <c r="AM890" s="45">
        <v>6</v>
      </c>
      <c r="AO890" s="46">
        <v>1366550</v>
      </c>
      <c r="AP890" s="45">
        <v>42</v>
      </c>
      <c r="AQ890" s="45">
        <v>7</v>
      </c>
      <c r="AR890" s="46">
        <v>1268870</v>
      </c>
      <c r="AS890" s="45">
        <v>0</v>
      </c>
      <c r="AT890" s="45">
        <v>9</v>
      </c>
      <c r="AU890" s="46">
        <v>1249030</v>
      </c>
      <c r="AV890" s="45">
        <v>0</v>
      </c>
      <c r="AW890" s="45">
        <v>11</v>
      </c>
      <c r="AX890" s="46">
        <v>1290430</v>
      </c>
      <c r="AY890" s="45">
        <v>0</v>
      </c>
      <c r="AZ890" s="45">
        <v>5</v>
      </c>
    </row>
    <row r="891" spans="2:52">
      <c r="B891" s="46">
        <v>1241970</v>
      </c>
      <c r="C891" s="45">
        <v>0</v>
      </c>
      <c r="D891" s="45">
        <v>8</v>
      </c>
      <c r="E891" s="46">
        <v>1222840</v>
      </c>
      <c r="F891" s="45">
        <v>0</v>
      </c>
      <c r="G891" s="45">
        <v>16</v>
      </c>
      <c r="H891" s="46">
        <v>1224300</v>
      </c>
      <c r="I891" s="45">
        <v>0</v>
      </c>
      <c r="J891" s="45">
        <v>12</v>
      </c>
      <c r="K891" s="46">
        <v>1204600</v>
      </c>
      <c r="L891" s="45">
        <v>0</v>
      </c>
      <c r="M891" s="45">
        <v>6</v>
      </c>
      <c r="O891" s="46">
        <v>1301400</v>
      </c>
      <c r="P891" s="45">
        <v>0</v>
      </c>
      <c r="Q891" s="45">
        <v>6</v>
      </c>
      <c r="R891" s="46">
        <v>1324560</v>
      </c>
      <c r="S891" s="45">
        <v>0</v>
      </c>
      <c r="T891" s="45">
        <v>6</v>
      </c>
      <c r="U891" s="46">
        <v>1344590</v>
      </c>
      <c r="V891" s="45">
        <v>0</v>
      </c>
      <c r="W891" s="45">
        <v>4</v>
      </c>
      <c r="X891" s="46">
        <v>1371130</v>
      </c>
      <c r="Y891" s="45">
        <v>0</v>
      </c>
      <c r="Z891" s="45">
        <v>9</v>
      </c>
      <c r="AB891" s="46">
        <v>1179280</v>
      </c>
      <c r="AC891" s="45">
        <v>0</v>
      </c>
      <c r="AD891" s="45">
        <v>24</v>
      </c>
      <c r="AE891" s="46">
        <v>1174680</v>
      </c>
      <c r="AF891" s="45">
        <v>1</v>
      </c>
      <c r="AG891" s="45">
        <v>14</v>
      </c>
      <c r="AH891" s="46">
        <v>1240720</v>
      </c>
      <c r="AI891" s="45">
        <v>0</v>
      </c>
      <c r="AJ891" s="45">
        <v>11</v>
      </c>
      <c r="AK891" s="46">
        <v>1390890</v>
      </c>
      <c r="AL891" s="45">
        <v>161</v>
      </c>
      <c r="AM891" s="45">
        <v>10</v>
      </c>
      <c r="AO891" s="46">
        <v>1255670</v>
      </c>
      <c r="AP891" s="45">
        <v>0</v>
      </c>
      <c r="AQ891" s="45">
        <v>8</v>
      </c>
      <c r="AR891" s="46">
        <v>1355160</v>
      </c>
      <c r="AS891" s="45">
        <v>143</v>
      </c>
      <c r="AT891" s="45">
        <v>15</v>
      </c>
      <c r="AU891" s="46">
        <v>1226440</v>
      </c>
      <c r="AV891" s="45">
        <v>0</v>
      </c>
      <c r="AW891" s="45">
        <v>10</v>
      </c>
      <c r="AX891" s="46">
        <v>1241440</v>
      </c>
      <c r="AY891" s="45">
        <v>0</v>
      </c>
      <c r="AZ891" s="45">
        <v>5</v>
      </c>
    </row>
    <row r="892" spans="2:52">
      <c r="B892" s="46">
        <v>1248840</v>
      </c>
      <c r="C892" s="45">
        <v>0</v>
      </c>
      <c r="D892" s="45">
        <v>10</v>
      </c>
      <c r="E892" s="46">
        <v>1227040</v>
      </c>
      <c r="F892" s="45">
        <v>7</v>
      </c>
      <c r="G892" s="45">
        <v>11</v>
      </c>
      <c r="H892" s="46">
        <v>1276010</v>
      </c>
      <c r="I892" s="45">
        <v>18</v>
      </c>
      <c r="J892" s="45">
        <v>22</v>
      </c>
      <c r="K892" s="46">
        <v>1307440</v>
      </c>
      <c r="L892" s="45">
        <v>14</v>
      </c>
      <c r="M892" s="45">
        <v>10</v>
      </c>
      <c r="O892" s="46">
        <v>1364490</v>
      </c>
      <c r="P892" s="45">
        <v>0</v>
      </c>
      <c r="Q892" s="45">
        <v>8</v>
      </c>
      <c r="R892" s="46">
        <v>1444890</v>
      </c>
      <c r="S892" s="45">
        <v>18</v>
      </c>
      <c r="T892" s="45">
        <v>5</v>
      </c>
      <c r="U892" s="46">
        <v>1347590</v>
      </c>
      <c r="V892" s="45">
        <v>0</v>
      </c>
      <c r="W892" s="45">
        <v>5</v>
      </c>
      <c r="X892" s="46">
        <v>1400130</v>
      </c>
      <c r="Y892" s="45">
        <v>0</v>
      </c>
      <c r="Z892" s="45">
        <v>6</v>
      </c>
      <c r="AB892" s="46">
        <v>1303950</v>
      </c>
      <c r="AC892" s="45">
        <v>0</v>
      </c>
      <c r="AD892" s="45">
        <v>10</v>
      </c>
      <c r="AE892" s="46">
        <v>1256220</v>
      </c>
      <c r="AF892" s="45">
        <v>0</v>
      </c>
      <c r="AG892" s="45">
        <v>10</v>
      </c>
      <c r="AH892" s="46">
        <v>1255170</v>
      </c>
      <c r="AI892" s="45">
        <v>0</v>
      </c>
      <c r="AJ892" s="45">
        <v>8</v>
      </c>
      <c r="AK892" s="46">
        <v>1244660</v>
      </c>
      <c r="AL892" s="45">
        <v>0</v>
      </c>
      <c r="AM892" s="45">
        <v>15</v>
      </c>
      <c r="AO892" s="46">
        <v>1315480</v>
      </c>
      <c r="AP892" s="45">
        <v>96</v>
      </c>
      <c r="AQ892" s="45">
        <v>18</v>
      </c>
      <c r="AR892" s="46">
        <v>1265040</v>
      </c>
      <c r="AS892" s="45">
        <v>0</v>
      </c>
      <c r="AT892" s="45">
        <v>13</v>
      </c>
      <c r="AU892" s="46">
        <v>1274920</v>
      </c>
      <c r="AV892" s="45">
        <v>13</v>
      </c>
      <c r="AW892" s="45">
        <v>9</v>
      </c>
      <c r="AX892" s="46">
        <v>1275400</v>
      </c>
      <c r="AY892" s="45">
        <v>0</v>
      </c>
      <c r="AZ892" s="45">
        <v>6</v>
      </c>
    </row>
    <row r="893" spans="2:52">
      <c r="B893" s="46">
        <v>1537830</v>
      </c>
      <c r="C893" s="45">
        <v>92</v>
      </c>
      <c r="D893" s="45">
        <v>22</v>
      </c>
      <c r="E893" s="46">
        <v>1372390</v>
      </c>
      <c r="F893" s="45">
        <v>0</v>
      </c>
      <c r="G893" s="45">
        <v>14</v>
      </c>
      <c r="H893" s="46">
        <v>1358790</v>
      </c>
      <c r="I893" s="45">
        <v>0</v>
      </c>
      <c r="J893" s="45">
        <v>8</v>
      </c>
      <c r="K893" s="46">
        <v>1445610</v>
      </c>
      <c r="L893" s="45">
        <v>31</v>
      </c>
      <c r="M893" s="45">
        <v>16</v>
      </c>
      <c r="O893" s="46">
        <v>1487890</v>
      </c>
      <c r="P893" s="45">
        <v>0</v>
      </c>
      <c r="Q893" s="45">
        <v>7</v>
      </c>
      <c r="R893" s="46">
        <v>1481470</v>
      </c>
      <c r="S893" s="45">
        <v>0</v>
      </c>
      <c r="T893" s="45">
        <v>10</v>
      </c>
      <c r="U893" s="46">
        <v>1551690</v>
      </c>
      <c r="V893" s="45">
        <v>0</v>
      </c>
      <c r="W893" s="45">
        <v>5</v>
      </c>
      <c r="X893" s="46">
        <v>1457720</v>
      </c>
      <c r="Y893" s="45">
        <v>0</v>
      </c>
      <c r="Z893" s="45">
        <v>5</v>
      </c>
      <c r="AB893" s="46">
        <v>1445190</v>
      </c>
      <c r="AC893" s="45">
        <v>0</v>
      </c>
      <c r="AD893" s="45">
        <v>12</v>
      </c>
      <c r="AE893" s="46">
        <v>1397730</v>
      </c>
      <c r="AF893" s="45">
        <v>0</v>
      </c>
      <c r="AG893" s="45">
        <v>12</v>
      </c>
      <c r="AH893" s="46">
        <v>1425950</v>
      </c>
      <c r="AI893" s="45">
        <v>0</v>
      </c>
      <c r="AJ893" s="45">
        <v>6</v>
      </c>
      <c r="AK893" s="46">
        <v>1380110</v>
      </c>
      <c r="AL893" s="45">
        <v>0</v>
      </c>
      <c r="AM893" s="45">
        <v>8</v>
      </c>
      <c r="AO893" s="46">
        <v>1428540</v>
      </c>
      <c r="AP893" s="45">
        <v>0</v>
      </c>
      <c r="AQ893" s="45">
        <v>7</v>
      </c>
      <c r="AR893" s="46">
        <v>1399310</v>
      </c>
      <c r="AS893" s="45">
        <v>0</v>
      </c>
      <c r="AT893" s="45">
        <v>12</v>
      </c>
      <c r="AU893" s="46">
        <v>1442850</v>
      </c>
      <c r="AV893" s="45">
        <v>16</v>
      </c>
      <c r="AW893" s="45">
        <v>13</v>
      </c>
      <c r="AX893" s="46">
        <v>1402050</v>
      </c>
      <c r="AY893" s="45">
        <v>0</v>
      </c>
      <c r="AZ893" s="45">
        <v>6</v>
      </c>
    </row>
    <row r="894" spans="2:52">
      <c r="B894" s="46">
        <v>1476670</v>
      </c>
      <c r="C894" s="45">
        <v>37</v>
      </c>
      <c r="D894" s="45">
        <v>10</v>
      </c>
      <c r="E894" s="46">
        <v>1398410</v>
      </c>
      <c r="F894" s="45">
        <v>0</v>
      </c>
      <c r="G894" s="45">
        <v>8</v>
      </c>
      <c r="H894" s="46">
        <v>1338420</v>
      </c>
      <c r="I894" s="45">
        <v>0</v>
      </c>
      <c r="J894" s="45">
        <v>13</v>
      </c>
      <c r="K894" s="46">
        <v>1413400</v>
      </c>
      <c r="L894" s="45">
        <v>0</v>
      </c>
      <c r="M894" s="45">
        <v>6</v>
      </c>
      <c r="O894" s="46">
        <v>1537670</v>
      </c>
      <c r="P894" s="45">
        <v>0</v>
      </c>
      <c r="Q894" s="45">
        <v>5</v>
      </c>
      <c r="R894" s="46">
        <v>1504710</v>
      </c>
      <c r="S894" s="45">
        <v>0</v>
      </c>
      <c r="T894" s="45">
        <v>6</v>
      </c>
      <c r="U894" s="46">
        <v>1489190</v>
      </c>
      <c r="V894" s="45">
        <v>0</v>
      </c>
      <c r="W894" s="45">
        <v>6</v>
      </c>
      <c r="X894" s="46">
        <v>1469290</v>
      </c>
      <c r="Y894" s="45">
        <v>0</v>
      </c>
      <c r="Z894" s="45">
        <v>6</v>
      </c>
      <c r="AB894" s="46">
        <v>1428580</v>
      </c>
      <c r="AC894" s="45">
        <v>0</v>
      </c>
      <c r="AD894" s="45">
        <v>10</v>
      </c>
      <c r="AE894" s="46">
        <v>1370530</v>
      </c>
      <c r="AF894" s="45">
        <v>0</v>
      </c>
      <c r="AG894" s="45">
        <v>11</v>
      </c>
      <c r="AH894" s="46">
        <v>1359770</v>
      </c>
      <c r="AI894" s="45">
        <v>0</v>
      </c>
      <c r="AJ894" s="45">
        <v>11</v>
      </c>
      <c r="AK894" s="46">
        <v>1448140</v>
      </c>
      <c r="AL894" s="45">
        <v>39</v>
      </c>
      <c r="AM894" s="45">
        <v>12</v>
      </c>
      <c r="AO894" s="46">
        <v>1423360</v>
      </c>
      <c r="AP894" s="45">
        <v>0</v>
      </c>
      <c r="AQ894" s="45">
        <v>8</v>
      </c>
      <c r="AR894" s="46">
        <v>1401160</v>
      </c>
      <c r="AS894" s="45">
        <v>0</v>
      </c>
      <c r="AT894" s="45">
        <v>9</v>
      </c>
      <c r="AU894" s="46">
        <v>1387300</v>
      </c>
      <c r="AV894" s="45">
        <v>0</v>
      </c>
      <c r="AW894" s="45">
        <v>12</v>
      </c>
      <c r="AX894" s="46">
        <v>1374140</v>
      </c>
      <c r="AY894" s="45">
        <v>0</v>
      </c>
      <c r="AZ894" s="45">
        <v>12</v>
      </c>
    </row>
    <row r="895" spans="2:52">
      <c r="B895" s="46">
        <v>1222790</v>
      </c>
      <c r="C895" s="45">
        <v>0</v>
      </c>
      <c r="D895" s="45">
        <v>9</v>
      </c>
      <c r="E895" s="46">
        <v>1206070</v>
      </c>
      <c r="F895" s="45">
        <v>0</v>
      </c>
      <c r="G895" s="45">
        <v>9</v>
      </c>
      <c r="H895" s="46">
        <v>1194830</v>
      </c>
      <c r="I895" s="45">
        <v>0</v>
      </c>
      <c r="J895" s="45">
        <v>6</v>
      </c>
      <c r="K895" s="46">
        <v>1159920</v>
      </c>
      <c r="L895" s="45">
        <v>0</v>
      </c>
      <c r="M895" s="45">
        <v>6</v>
      </c>
      <c r="O895" s="46">
        <v>1260200</v>
      </c>
      <c r="P895" s="45">
        <v>0</v>
      </c>
      <c r="Q895" s="45">
        <v>7</v>
      </c>
      <c r="R895" s="46">
        <v>1295720</v>
      </c>
      <c r="S895" s="45">
        <v>0</v>
      </c>
      <c r="T895" s="45">
        <v>8</v>
      </c>
      <c r="U895" s="46">
        <v>1358500</v>
      </c>
      <c r="V895" s="45">
        <v>0</v>
      </c>
      <c r="W895" s="45">
        <v>6</v>
      </c>
      <c r="X895" s="46">
        <v>1255210</v>
      </c>
      <c r="Y895" s="45">
        <v>0</v>
      </c>
      <c r="Z895" s="45">
        <v>5</v>
      </c>
      <c r="AB895" s="46">
        <v>1229800</v>
      </c>
      <c r="AC895" s="45">
        <v>5</v>
      </c>
      <c r="AD895" s="45">
        <v>10</v>
      </c>
      <c r="AE895" s="46">
        <v>1218130</v>
      </c>
      <c r="AF895" s="45">
        <v>18</v>
      </c>
      <c r="AG895" s="45">
        <v>19</v>
      </c>
      <c r="AH895" s="46">
        <v>1207660</v>
      </c>
      <c r="AI895" s="45">
        <v>0</v>
      </c>
      <c r="AJ895" s="45">
        <v>8</v>
      </c>
      <c r="AK895" s="46">
        <v>1173030</v>
      </c>
      <c r="AL895" s="45">
        <v>0</v>
      </c>
      <c r="AM895" s="45">
        <v>12</v>
      </c>
      <c r="AO895" s="46">
        <v>1322560</v>
      </c>
      <c r="AP895" s="45">
        <v>44</v>
      </c>
      <c r="AQ895" s="45">
        <v>11</v>
      </c>
      <c r="AR895" s="46">
        <v>1223600</v>
      </c>
      <c r="AS895" s="45">
        <v>0</v>
      </c>
      <c r="AT895" s="45">
        <v>7</v>
      </c>
      <c r="AU895" s="46">
        <v>1218970</v>
      </c>
      <c r="AV895" s="45">
        <v>0</v>
      </c>
      <c r="AW895" s="45">
        <v>5</v>
      </c>
      <c r="AX895" s="46">
        <v>1167820</v>
      </c>
      <c r="AY895" s="45">
        <v>0</v>
      </c>
      <c r="AZ895" s="45">
        <v>7</v>
      </c>
    </row>
    <row r="896" spans="2:52">
      <c r="B896" s="46">
        <v>1250390</v>
      </c>
      <c r="C896" s="45">
        <v>0</v>
      </c>
      <c r="D896" s="45">
        <v>8</v>
      </c>
      <c r="E896" s="46">
        <v>1160380</v>
      </c>
      <c r="F896" s="45">
        <v>0</v>
      </c>
      <c r="G896" s="45">
        <v>8</v>
      </c>
      <c r="H896" s="46">
        <v>1253090</v>
      </c>
      <c r="I896" s="45">
        <v>33</v>
      </c>
      <c r="J896" s="45">
        <v>8</v>
      </c>
      <c r="K896" s="46">
        <v>1202370</v>
      </c>
      <c r="L896" s="45">
        <v>0</v>
      </c>
      <c r="M896" s="45">
        <v>5</v>
      </c>
      <c r="O896" s="46">
        <v>1377560</v>
      </c>
      <c r="P896" s="45">
        <v>0</v>
      </c>
      <c r="Q896" s="45">
        <v>6</v>
      </c>
      <c r="R896" s="46">
        <v>1327240</v>
      </c>
      <c r="S896" s="45">
        <v>0</v>
      </c>
      <c r="T896" s="45">
        <v>6</v>
      </c>
      <c r="U896" s="46">
        <v>1294130</v>
      </c>
      <c r="V896" s="45">
        <v>11</v>
      </c>
      <c r="W896" s="45">
        <v>11</v>
      </c>
      <c r="X896" s="46">
        <v>1272840</v>
      </c>
      <c r="Y896" s="45">
        <v>0</v>
      </c>
      <c r="Z896" s="45">
        <v>5</v>
      </c>
      <c r="AB896" s="46">
        <v>1237780</v>
      </c>
      <c r="AC896" s="45">
        <v>0</v>
      </c>
      <c r="AD896" s="45">
        <v>14</v>
      </c>
      <c r="AE896" s="46">
        <v>1211720</v>
      </c>
      <c r="AF896" s="45">
        <v>0</v>
      </c>
      <c r="AG896" s="45">
        <v>11</v>
      </c>
      <c r="AH896" s="46">
        <v>1228160</v>
      </c>
      <c r="AI896" s="45">
        <v>0</v>
      </c>
      <c r="AJ896" s="45">
        <v>9</v>
      </c>
      <c r="AK896" s="46">
        <v>1156520</v>
      </c>
      <c r="AL896" s="45">
        <v>0</v>
      </c>
      <c r="AM896" s="45">
        <v>12</v>
      </c>
      <c r="AO896" s="46">
        <v>1251150</v>
      </c>
      <c r="AP896" s="45">
        <v>0</v>
      </c>
      <c r="AQ896" s="45">
        <v>16</v>
      </c>
      <c r="AR896" s="46">
        <v>1246410</v>
      </c>
      <c r="AS896" s="45">
        <v>0</v>
      </c>
      <c r="AT896" s="45">
        <v>6</v>
      </c>
      <c r="AU896" s="46">
        <v>1246230</v>
      </c>
      <c r="AV896" s="45">
        <v>0</v>
      </c>
      <c r="AW896" s="45">
        <v>6</v>
      </c>
      <c r="AX896" s="46">
        <v>1193410</v>
      </c>
      <c r="AY896" s="45">
        <v>0</v>
      </c>
      <c r="AZ896" s="45">
        <v>7</v>
      </c>
    </row>
    <row r="897" spans="2:52">
      <c r="B897" s="46">
        <v>1300510</v>
      </c>
      <c r="C897" s="45">
        <v>9</v>
      </c>
      <c r="D897" s="45">
        <v>10</v>
      </c>
      <c r="E897" s="46">
        <v>1250550</v>
      </c>
      <c r="F897" s="45">
        <v>0</v>
      </c>
      <c r="G897" s="45">
        <v>6</v>
      </c>
      <c r="H897" s="46">
        <v>1223350</v>
      </c>
      <c r="I897" s="45">
        <v>3</v>
      </c>
      <c r="J897" s="45">
        <v>8</v>
      </c>
      <c r="K897" s="46">
        <v>1195690</v>
      </c>
      <c r="L897" s="45">
        <v>5</v>
      </c>
      <c r="M897" s="45">
        <v>7</v>
      </c>
      <c r="O897" s="46">
        <v>1277820</v>
      </c>
      <c r="P897" s="45">
        <v>0</v>
      </c>
      <c r="Q897" s="45">
        <v>10</v>
      </c>
      <c r="R897" s="46">
        <v>1379310</v>
      </c>
      <c r="S897" s="45">
        <v>0</v>
      </c>
      <c r="T897" s="45">
        <v>5</v>
      </c>
      <c r="U897" s="46">
        <v>1312070</v>
      </c>
      <c r="V897" s="45">
        <v>31</v>
      </c>
      <c r="W897" s="45">
        <v>6</v>
      </c>
      <c r="X897" s="46">
        <v>1329430</v>
      </c>
      <c r="Y897" s="45">
        <v>21</v>
      </c>
      <c r="Z897" s="45">
        <v>7</v>
      </c>
      <c r="AB897" s="46">
        <v>1299100</v>
      </c>
      <c r="AC897" s="45">
        <v>48</v>
      </c>
      <c r="AD897" s="45">
        <v>17</v>
      </c>
      <c r="AE897" s="46">
        <v>1232110</v>
      </c>
      <c r="AF897" s="45">
        <v>9</v>
      </c>
      <c r="AG897" s="45">
        <v>16</v>
      </c>
      <c r="AH897" s="46">
        <v>1248160</v>
      </c>
      <c r="AI897" s="45">
        <v>0</v>
      </c>
      <c r="AJ897" s="45">
        <v>9</v>
      </c>
      <c r="AK897" s="46">
        <v>1308080</v>
      </c>
      <c r="AL897" s="45">
        <v>50</v>
      </c>
      <c r="AM897" s="45">
        <v>11</v>
      </c>
      <c r="AO897" s="46">
        <v>1284670</v>
      </c>
      <c r="AP897" s="45">
        <v>0</v>
      </c>
      <c r="AQ897" s="45">
        <v>10</v>
      </c>
      <c r="AR897" s="46">
        <v>1218870</v>
      </c>
      <c r="AS897" s="45">
        <v>0</v>
      </c>
      <c r="AT897" s="45">
        <v>9</v>
      </c>
      <c r="AU897" s="46">
        <v>1200850</v>
      </c>
      <c r="AV897" s="45">
        <v>0</v>
      </c>
      <c r="AW897" s="45">
        <v>14</v>
      </c>
      <c r="AX897" s="46">
        <v>1252560</v>
      </c>
      <c r="AY897" s="45">
        <v>0</v>
      </c>
      <c r="AZ897" s="45">
        <v>4</v>
      </c>
    </row>
    <row r="898" spans="2:52">
      <c r="B898" s="46">
        <v>1246280</v>
      </c>
      <c r="C898" s="45">
        <v>2</v>
      </c>
      <c r="D898" s="45">
        <v>9</v>
      </c>
      <c r="E898" s="46">
        <v>1247200</v>
      </c>
      <c r="F898" s="45">
        <v>0</v>
      </c>
      <c r="G898" s="45">
        <v>8</v>
      </c>
      <c r="H898" s="46">
        <v>1214010</v>
      </c>
      <c r="I898" s="45">
        <v>0</v>
      </c>
      <c r="J898" s="45">
        <v>15</v>
      </c>
      <c r="K898" s="46">
        <v>1317160</v>
      </c>
      <c r="L898" s="45">
        <v>105</v>
      </c>
      <c r="M898" s="45">
        <v>13</v>
      </c>
      <c r="O898" s="46">
        <v>1362630</v>
      </c>
      <c r="P898" s="45">
        <v>0</v>
      </c>
      <c r="Q898" s="45">
        <v>8</v>
      </c>
      <c r="R898" s="46">
        <v>1366360</v>
      </c>
      <c r="S898" s="45">
        <v>20</v>
      </c>
      <c r="T898" s="45">
        <v>8</v>
      </c>
      <c r="U898" s="46">
        <v>1334220</v>
      </c>
      <c r="V898" s="45">
        <v>0</v>
      </c>
      <c r="W898" s="45">
        <v>5</v>
      </c>
      <c r="X898" s="46">
        <v>1280660</v>
      </c>
      <c r="Y898" s="45">
        <v>0</v>
      </c>
      <c r="Z898" s="45">
        <v>7</v>
      </c>
      <c r="AB898" s="46">
        <v>1250570</v>
      </c>
      <c r="AC898" s="45">
        <v>0</v>
      </c>
      <c r="AD898" s="45">
        <v>22</v>
      </c>
      <c r="AE898" s="46">
        <v>1228990</v>
      </c>
      <c r="AF898" s="45">
        <v>0</v>
      </c>
      <c r="AG898" s="45">
        <v>14</v>
      </c>
      <c r="AH898" s="46">
        <v>1288330</v>
      </c>
      <c r="AI898" s="45">
        <v>0</v>
      </c>
      <c r="AJ898" s="45">
        <v>7</v>
      </c>
      <c r="AK898" s="46">
        <v>1291970</v>
      </c>
      <c r="AL898" s="45">
        <v>0</v>
      </c>
      <c r="AM898" s="45">
        <v>6</v>
      </c>
      <c r="AO898" s="46">
        <v>1267060</v>
      </c>
      <c r="AP898" s="45">
        <v>0</v>
      </c>
      <c r="AQ898" s="45">
        <v>16</v>
      </c>
      <c r="AR898" s="46">
        <v>1259500</v>
      </c>
      <c r="AS898" s="45">
        <v>0</v>
      </c>
      <c r="AT898" s="45">
        <v>8</v>
      </c>
      <c r="AU898" s="46">
        <v>1246360</v>
      </c>
      <c r="AV898" s="45">
        <v>0</v>
      </c>
      <c r="AW898" s="45">
        <v>9</v>
      </c>
      <c r="AX898" s="46">
        <v>1211870</v>
      </c>
      <c r="AY898" s="45">
        <v>0</v>
      </c>
      <c r="AZ898" s="45">
        <v>8</v>
      </c>
    </row>
    <row r="899" spans="2:52">
      <c r="B899" s="46">
        <v>1232850</v>
      </c>
      <c r="C899" s="45">
        <v>0</v>
      </c>
      <c r="D899" s="45">
        <v>10</v>
      </c>
      <c r="E899" s="46">
        <v>1195330</v>
      </c>
      <c r="F899" s="45">
        <v>0</v>
      </c>
      <c r="G899" s="45">
        <v>11</v>
      </c>
      <c r="H899" s="46">
        <v>1266480</v>
      </c>
      <c r="I899" s="45">
        <v>0</v>
      </c>
      <c r="J899" s="45">
        <v>5</v>
      </c>
      <c r="K899" s="46">
        <v>1209540</v>
      </c>
      <c r="L899" s="45">
        <v>0</v>
      </c>
      <c r="M899" s="45">
        <v>9</v>
      </c>
      <c r="O899" s="46">
        <v>1353000</v>
      </c>
      <c r="P899" s="45">
        <v>0</v>
      </c>
      <c r="Q899" s="45">
        <v>5</v>
      </c>
      <c r="R899" s="46">
        <v>1340330</v>
      </c>
      <c r="S899" s="45">
        <v>0</v>
      </c>
      <c r="T899" s="45">
        <v>6</v>
      </c>
      <c r="U899" s="46">
        <v>1388070</v>
      </c>
      <c r="V899" s="45">
        <v>0</v>
      </c>
      <c r="W899" s="45">
        <v>4</v>
      </c>
      <c r="X899" s="46">
        <v>1344490</v>
      </c>
      <c r="Y899" s="45">
        <v>0</v>
      </c>
      <c r="Z899" s="45">
        <v>5</v>
      </c>
      <c r="AB899" s="46">
        <v>1285280</v>
      </c>
      <c r="AC899" s="45">
        <v>11</v>
      </c>
      <c r="AD899" s="45">
        <v>13</v>
      </c>
      <c r="AE899" s="46">
        <v>1238240</v>
      </c>
      <c r="AF899" s="45">
        <v>0</v>
      </c>
      <c r="AG899" s="45">
        <v>14</v>
      </c>
      <c r="AH899" s="46">
        <v>1292990</v>
      </c>
      <c r="AI899" s="45">
        <v>43</v>
      </c>
      <c r="AJ899" s="45">
        <v>19</v>
      </c>
      <c r="AK899" s="46">
        <v>1306160</v>
      </c>
      <c r="AL899" s="45">
        <v>0</v>
      </c>
      <c r="AM899" s="45">
        <v>6</v>
      </c>
      <c r="AO899" s="46">
        <v>1245990</v>
      </c>
      <c r="AP899" s="45">
        <v>0</v>
      </c>
      <c r="AQ899" s="45">
        <v>11</v>
      </c>
      <c r="AR899" s="46">
        <v>1289360</v>
      </c>
      <c r="AS899" s="45">
        <v>22</v>
      </c>
      <c r="AT899" s="45">
        <v>11</v>
      </c>
      <c r="AU899" s="46">
        <v>1246200</v>
      </c>
      <c r="AV899" s="45">
        <v>15</v>
      </c>
      <c r="AW899" s="45">
        <v>11</v>
      </c>
      <c r="AX899" s="46">
        <v>1331100</v>
      </c>
      <c r="AY899" s="45">
        <v>91</v>
      </c>
      <c r="AZ899" s="45">
        <v>12</v>
      </c>
    </row>
    <row r="900" spans="2:52">
      <c r="B900" s="46">
        <v>1228320</v>
      </c>
      <c r="C900" s="45">
        <v>100</v>
      </c>
      <c r="D900" s="45">
        <v>22</v>
      </c>
      <c r="E900" s="46">
        <v>1273860</v>
      </c>
      <c r="F900" s="45">
        <v>80</v>
      </c>
      <c r="G900" s="45">
        <v>6</v>
      </c>
      <c r="H900" s="46">
        <v>1175070</v>
      </c>
      <c r="I900" s="45">
        <v>43</v>
      </c>
      <c r="J900" s="45">
        <v>6</v>
      </c>
      <c r="K900" s="46">
        <v>1149140</v>
      </c>
      <c r="L900" s="45">
        <v>0</v>
      </c>
      <c r="M900" s="45">
        <v>9</v>
      </c>
      <c r="O900" s="46">
        <v>1248480</v>
      </c>
      <c r="P900" s="45">
        <v>0</v>
      </c>
      <c r="Q900" s="45">
        <v>5</v>
      </c>
      <c r="R900" s="46">
        <v>1270490</v>
      </c>
      <c r="S900" s="45">
        <v>0</v>
      </c>
      <c r="T900" s="45">
        <v>8</v>
      </c>
      <c r="U900" s="46">
        <v>1257480</v>
      </c>
      <c r="V900" s="45">
        <v>0</v>
      </c>
      <c r="W900" s="45">
        <v>6</v>
      </c>
      <c r="X900" s="46">
        <v>1232220</v>
      </c>
      <c r="Y900" s="45">
        <v>0</v>
      </c>
      <c r="Z900" s="45">
        <v>5</v>
      </c>
      <c r="AB900" s="46">
        <v>1150300</v>
      </c>
      <c r="AC900" s="45">
        <v>0</v>
      </c>
      <c r="AD900" s="45">
        <v>16</v>
      </c>
      <c r="AE900" s="46">
        <v>1111950</v>
      </c>
      <c r="AF900" s="45">
        <v>0</v>
      </c>
      <c r="AG900" s="45">
        <v>20</v>
      </c>
      <c r="AH900" s="46">
        <v>1122430</v>
      </c>
      <c r="AI900" s="45">
        <v>0</v>
      </c>
      <c r="AJ900" s="45">
        <v>9</v>
      </c>
      <c r="AK900" s="46">
        <v>1165330</v>
      </c>
      <c r="AL900" s="45">
        <v>63</v>
      </c>
      <c r="AM900" s="45">
        <v>10</v>
      </c>
      <c r="AO900" s="46">
        <v>1119370</v>
      </c>
      <c r="AP900" s="45">
        <v>0</v>
      </c>
      <c r="AQ900" s="45">
        <v>19</v>
      </c>
      <c r="AR900" s="46">
        <v>1248890</v>
      </c>
      <c r="AS900" s="45">
        <v>66</v>
      </c>
      <c r="AT900" s="45">
        <v>8</v>
      </c>
      <c r="AU900" s="46">
        <v>1198670</v>
      </c>
      <c r="AV900" s="45">
        <v>72</v>
      </c>
      <c r="AW900" s="45">
        <v>10</v>
      </c>
      <c r="AX900" s="46">
        <v>1162430</v>
      </c>
      <c r="AY900" s="45">
        <v>6</v>
      </c>
      <c r="AZ900" s="45">
        <v>7</v>
      </c>
    </row>
    <row r="901" spans="2:52">
      <c r="B901" s="46">
        <v>1201600</v>
      </c>
      <c r="C901" s="45">
        <v>0</v>
      </c>
      <c r="D901" s="45">
        <v>9</v>
      </c>
      <c r="E901" s="46">
        <v>1194840</v>
      </c>
      <c r="F901" s="45">
        <v>0</v>
      </c>
      <c r="G901" s="45">
        <v>6</v>
      </c>
      <c r="H901" s="46">
        <v>1213120</v>
      </c>
      <c r="I901" s="45">
        <v>0</v>
      </c>
      <c r="J901" s="45">
        <v>12</v>
      </c>
      <c r="K901" s="46">
        <v>1283360</v>
      </c>
      <c r="L901" s="45">
        <v>55</v>
      </c>
      <c r="M901" s="45">
        <v>9</v>
      </c>
      <c r="O901" s="46">
        <v>1317240</v>
      </c>
      <c r="P901" s="45">
        <v>0</v>
      </c>
      <c r="Q901" s="45">
        <v>6</v>
      </c>
      <c r="R901" s="46">
        <v>1317930</v>
      </c>
      <c r="S901" s="45">
        <v>0</v>
      </c>
      <c r="T901" s="45">
        <v>9</v>
      </c>
      <c r="U901" s="46">
        <v>1297760</v>
      </c>
      <c r="V901" s="45">
        <v>0</v>
      </c>
      <c r="W901" s="45">
        <v>6</v>
      </c>
      <c r="X901" s="46">
        <v>1292760</v>
      </c>
      <c r="Y901" s="45">
        <v>0</v>
      </c>
      <c r="Z901" s="45">
        <v>4</v>
      </c>
      <c r="AB901" s="46">
        <v>1228000</v>
      </c>
      <c r="AC901" s="45">
        <v>0</v>
      </c>
      <c r="AD901" s="45">
        <v>22</v>
      </c>
      <c r="AE901" s="46">
        <v>1231740</v>
      </c>
      <c r="AF901" s="45">
        <v>11</v>
      </c>
      <c r="AG901" s="45">
        <v>8</v>
      </c>
      <c r="AH901" s="46">
        <v>1206700</v>
      </c>
      <c r="AI901" s="45">
        <v>0</v>
      </c>
      <c r="AJ901" s="45">
        <v>11</v>
      </c>
      <c r="AK901" s="46">
        <v>1183960</v>
      </c>
      <c r="AL901" s="45">
        <v>0</v>
      </c>
      <c r="AM901" s="45">
        <v>11</v>
      </c>
      <c r="AO901" s="46">
        <v>1229160</v>
      </c>
      <c r="AP901" s="45">
        <v>0</v>
      </c>
      <c r="AQ901" s="45">
        <v>6</v>
      </c>
      <c r="AR901" s="46">
        <v>1195940</v>
      </c>
      <c r="AS901" s="45">
        <v>0</v>
      </c>
      <c r="AT901" s="45">
        <v>11</v>
      </c>
      <c r="AU901" s="46">
        <v>1217430</v>
      </c>
      <c r="AV901" s="45">
        <v>8</v>
      </c>
      <c r="AW901" s="45">
        <v>9</v>
      </c>
      <c r="AX901" s="46">
        <v>1228530</v>
      </c>
      <c r="AY901" s="45">
        <v>0</v>
      </c>
      <c r="AZ901" s="45">
        <v>7</v>
      </c>
    </row>
    <row r="902" spans="2:52">
      <c r="B902" s="46">
        <v>1252890</v>
      </c>
      <c r="C902" s="45">
        <v>0</v>
      </c>
      <c r="D902" s="45">
        <v>7</v>
      </c>
      <c r="E902" s="46">
        <v>1234970</v>
      </c>
      <c r="F902" s="45">
        <v>0</v>
      </c>
      <c r="G902" s="45">
        <v>9</v>
      </c>
      <c r="H902" s="46">
        <v>1181840</v>
      </c>
      <c r="I902" s="45">
        <v>0</v>
      </c>
      <c r="J902" s="45">
        <v>6</v>
      </c>
      <c r="K902" s="46">
        <v>1270300</v>
      </c>
      <c r="L902" s="45">
        <v>0</v>
      </c>
      <c r="M902" s="45">
        <v>9</v>
      </c>
      <c r="O902" s="46">
        <v>1382030</v>
      </c>
      <c r="P902" s="45">
        <v>0</v>
      </c>
      <c r="Q902" s="45">
        <v>8</v>
      </c>
      <c r="R902" s="46">
        <v>1368320</v>
      </c>
      <c r="S902" s="45">
        <v>0</v>
      </c>
      <c r="T902" s="45">
        <v>7</v>
      </c>
      <c r="U902" s="46">
        <v>1294530</v>
      </c>
      <c r="V902" s="45">
        <v>0</v>
      </c>
      <c r="W902" s="45">
        <v>5</v>
      </c>
      <c r="X902" s="46">
        <v>1345800</v>
      </c>
      <c r="Y902" s="45">
        <v>0</v>
      </c>
      <c r="Z902" s="45">
        <v>5</v>
      </c>
      <c r="AB902" s="46">
        <v>1237510</v>
      </c>
      <c r="AC902" s="45">
        <v>0</v>
      </c>
      <c r="AD902" s="45">
        <v>20</v>
      </c>
      <c r="AE902" s="46">
        <v>1264670</v>
      </c>
      <c r="AF902" s="45">
        <v>0</v>
      </c>
      <c r="AG902" s="45">
        <v>17</v>
      </c>
      <c r="AH902" s="46">
        <v>1348580</v>
      </c>
      <c r="AI902" s="45">
        <v>100</v>
      </c>
      <c r="AJ902" s="45">
        <v>18</v>
      </c>
      <c r="AK902" s="46">
        <v>1265040</v>
      </c>
      <c r="AL902" s="45">
        <v>49</v>
      </c>
      <c r="AM902" s="45">
        <v>18</v>
      </c>
      <c r="AO902" s="46">
        <v>1248310</v>
      </c>
      <c r="AP902" s="45">
        <v>0</v>
      </c>
      <c r="AQ902" s="45">
        <v>11</v>
      </c>
      <c r="AR902" s="46">
        <v>1259340</v>
      </c>
      <c r="AS902" s="45">
        <v>31</v>
      </c>
      <c r="AT902" s="45">
        <v>15</v>
      </c>
      <c r="AU902" s="46">
        <v>1238060</v>
      </c>
      <c r="AV902" s="45">
        <v>0</v>
      </c>
      <c r="AW902" s="45">
        <v>14</v>
      </c>
      <c r="AX902" s="46">
        <v>1243460</v>
      </c>
      <c r="AY902" s="45">
        <v>28</v>
      </c>
      <c r="AZ902" s="45">
        <v>27</v>
      </c>
    </row>
    <row r="903" spans="2:52">
      <c r="B903" s="46">
        <v>1259490</v>
      </c>
      <c r="C903" s="45">
        <v>0</v>
      </c>
      <c r="D903" s="45">
        <v>9</v>
      </c>
      <c r="E903" s="46">
        <v>1255070</v>
      </c>
      <c r="F903" s="45">
        <v>0</v>
      </c>
      <c r="G903" s="45">
        <v>9</v>
      </c>
      <c r="H903" s="46">
        <v>1240140</v>
      </c>
      <c r="I903" s="45">
        <v>0</v>
      </c>
      <c r="J903" s="45">
        <v>5</v>
      </c>
      <c r="K903" s="46">
        <v>1262770</v>
      </c>
      <c r="L903" s="45">
        <v>0</v>
      </c>
      <c r="M903" s="45">
        <v>6</v>
      </c>
      <c r="O903" s="46">
        <v>1397950</v>
      </c>
      <c r="P903" s="45">
        <v>0</v>
      </c>
      <c r="Q903" s="45">
        <v>6</v>
      </c>
      <c r="R903" s="46">
        <v>1343980</v>
      </c>
      <c r="S903" s="45">
        <v>0</v>
      </c>
      <c r="T903" s="45">
        <v>5</v>
      </c>
      <c r="U903" s="46">
        <v>1317970</v>
      </c>
      <c r="V903" s="45">
        <v>0</v>
      </c>
      <c r="W903" s="45">
        <v>5</v>
      </c>
      <c r="X903" s="46">
        <v>1277600</v>
      </c>
      <c r="Y903" s="45">
        <v>0</v>
      </c>
      <c r="Z903" s="45">
        <v>7</v>
      </c>
      <c r="AB903" s="46">
        <v>1266240</v>
      </c>
      <c r="AC903" s="45">
        <v>0</v>
      </c>
      <c r="AD903" s="45">
        <v>14</v>
      </c>
      <c r="AE903" s="46">
        <v>1244630</v>
      </c>
      <c r="AF903" s="45">
        <v>0</v>
      </c>
      <c r="AG903" s="45">
        <v>10</v>
      </c>
      <c r="AH903" s="46">
        <v>1260130</v>
      </c>
      <c r="AI903" s="45">
        <v>0</v>
      </c>
      <c r="AJ903" s="45">
        <v>17</v>
      </c>
      <c r="AK903" s="46">
        <v>1229200</v>
      </c>
      <c r="AL903" s="45">
        <v>0</v>
      </c>
      <c r="AM903" s="45">
        <v>8</v>
      </c>
      <c r="AO903" s="46">
        <v>1387890</v>
      </c>
      <c r="AP903" s="45">
        <v>52</v>
      </c>
      <c r="AQ903" s="45">
        <v>10</v>
      </c>
      <c r="AR903" s="46">
        <v>1254770</v>
      </c>
      <c r="AS903" s="45">
        <v>0</v>
      </c>
      <c r="AT903" s="45">
        <v>9</v>
      </c>
      <c r="AU903" s="46">
        <v>1227540</v>
      </c>
      <c r="AV903" s="45">
        <v>0</v>
      </c>
      <c r="AW903" s="45">
        <v>7</v>
      </c>
      <c r="AX903" s="46">
        <v>1235500</v>
      </c>
      <c r="AY903" s="45">
        <v>0</v>
      </c>
      <c r="AZ903" s="45">
        <v>6</v>
      </c>
    </row>
    <row r="904" spans="2:52">
      <c r="B904" s="46">
        <v>1375710</v>
      </c>
      <c r="C904" s="45">
        <v>0</v>
      </c>
      <c r="D904" s="45">
        <v>11</v>
      </c>
      <c r="E904" s="46">
        <v>1452180</v>
      </c>
      <c r="F904" s="45">
        <v>43</v>
      </c>
      <c r="G904" s="45">
        <v>14</v>
      </c>
      <c r="H904" s="46">
        <v>1398580</v>
      </c>
      <c r="I904" s="45">
        <v>33</v>
      </c>
      <c r="J904" s="45">
        <v>15</v>
      </c>
      <c r="K904" s="46">
        <v>1403720</v>
      </c>
      <c r="L904" s="45">
        <v>0</v>
      </c>
      <c r="M904" s="45">
        <v>6</v>
      </c>
      <c r="O904" s="46">
        <v>1510990</v>
      </c>
      <c r="P904" s="45">
        <v>0</v>
      </c>
      <c r="Q904" s="45">
        <v>6</v>
      </c>
      <c r="R904" s="46">
        <v>1473590</v>
      </c>
      <c r="S904" s="45">
        <v>0</v>
      </c>
      <c r="T904" s="45">
        <v>3</v>
      </c>
      <c r="U904" s="46">
        <v>1459820</v>
      </c>
      <c r="V904" s="45">
        <v>0</v>
      </c>
      <c r="W904" s="45">
        <v>6</v>
      </c>
      <c r="X904" s="46">
        <v>1454420</v>
      </c>
      <c r="Y904" s="45">
        <v>0</v>
      </c>
      <c r="Z904" s="45">
        <v>7</v>
      </c>
      <c r="AB904" s="46">
        <v>1394880</v>
      </c>
      <c r="AC904" s="45">
        <v>0</v>
      </c>
      <c r="AD904" s="45">
        <v>11</v>
      </c>
      <c r="AE904" s="46">
        <v>1602850</v>
      </c>
      <c r="AF904" s="45">
        <v>192</v>
      </c>
      <c r="AG904" s="45">
        <v>20</v>
      </c>
      <c r="AH904" s="46">
        <v>1356650</v>
      </c>
      <c r="AI904" s="45">
        <v>0</v>
      </c>
      <c r="AJ904" s="45">
        <v>14</v>
      </c>
      <c r="AK904" s="46">
        <v>1362360</v>
      </c>
      <c r="AL904" s="45">
        <v>19</v>
      </c>
      <c r="AM904" s="45">
        <v>11</v>
      </c>
      <c r="AO904" s="46">
        <v>1453460</v>
      </c>
      <c r="AP904" s="45">
        <v>0</v>
      </c>
      <c r="AQ904" s="45">
        <v>11</v>
      </c>
      <c r="AR904" s="46">
        <v>1429420</v>
      </c>
      <c r="AS904" s="45">
        <v>12</v>
      </c>
      <c r="AT904" s="45">
        <v>21</v>
      </c>
      <c r="AU904" s="46">
        <v>1444340</v>
      </c>
      <c r="AV904" s="45">
        <v>0</v>
      </c>
      <c r="AW904" s="45">
        <v>11</v>
      </c>
      <c r="AX904" s="46">
        <v>1369900</v>
      </c>
      <c r="AY904" s="45">
        <v>0</v>
      </c>
      <c r="AZ904" s="45">
        <v>16</v>
      </c>
    </row>
    <row r="905" spans="2:52">
      <c r="B905" s="46">
        <v>1251970</v>
      </c>
      <c r="C905" s="45">
        <v>0</v>
      </c>
      <c r="D905" s="45">
        <v>6</v>
      </c>
      <c r="E905" s="46">
        <v>1201320</v>
      </c>
      <c r="F905" s="45">
        <v>0</v>
      </c>
      <c r="G905" s="45">
        <v>10</v>
      </c>
      <c r="H905" s="46">
        <v>1215390</v>
      </c>
      <c r="I905" s="45">
        <v>0</v>
      </c>
      <c r="J905" s="45">
        <v>5</v>
      </c>
      <c r="K905" s="46">
        <v>1200920</v>
      </c>
      <c r="L905" s="45">
        <v>0</v>
      </c>
      <c r="M905" s="45">
        <v>10</v>
      </c>
      <c r="O905" s="46">
        <v>1374550</v>
      </c>
      <c r="P905" s="45">
        <v>0</v>
      </c>
      <c r="Q905" s="45">
        <v>8</v>
      </c>
      <c r="R905" s="46">
        <v>1280070</v>
      </c>
      <c r="S905" s="45">
        <v>0</v>
      </c>
      <c r="T905" s="45">
        <v>5</v>
      </c>
      <c r="U905" s="46">
        <v>1306580</v>
      </c>
      <c r="V905" s="45">
        <v>0</v>
      </c>
      <c r="W905" s="45">
        <v>5</v>
      </c>
      <c r="X905" s="46">
        <v>1272840</v>
      </c>
      <c r="Y905" s="45">
        <v>0</v>
      </c>
      <c r="Z905" s="45">
        <v>13</v>
      </c>
      <c r="AB905" s="46">
        <v>1267940</v>
      </c>
      <c r="AC905" s="45">
        <v>0</v>
      </c>
      <c r="AD905" s="45">
        <v>12</v>
      </c>
      <c r="AE905" s="46">
        <v>1221410</v>
      </c>
      <c r="AF905" s="45">
        <v>0</v>
      </c>
      <c r="AG905" s="45">
        <v>24</v>
      </c>
      <c r="AH905" s="46">
        <v>1276900</v>
      </c>
      <c r="AI905" s="45">
        <v>18</v>
      </c>
      <c r="AJ905" s="45">
        <v>11</v>
      </c>
      <c r="AK905" s="46">
        <v>1219080</v>
      </c>
      <c r="AL905" s="45">
        <v>0</v>
      </c>
      <c r="AM905" s="45">
        <v>10</v>
      </c>
      <c r="AO905" s="46">
        <v>1235820</v>
      </c>
      <c r="AP905" s="45">
        <v>0</v>
      </c>
      <c r="AQ905" s="45">
        <v>19</v>
      </c>
      <c r="AR905" s="46">
        <v>1242690</v>
      </c>
      <c r="AS905" s="45">
        <v>3</v>
      </c>
      <c r="AT905" s="45">
        <v>26</v>
      </c>
      <c r="AU905" s="46">
        <v>1225730</v>
      </c>
      <c r="AV905" s="45">
        <v>0</v>
      </c>
      <c r="AW905" s="45">
        <v>16</v>
      </c>
      <c r="AX905" s="46">
        <v>1235340</v>
      </c>
      <c r="AY905" s="45">
        <v>19</v>
      </c>
      <c r="AZ905" s="45">
        <v>24</v>
      </c>
    </row>
    <row r="906" spans="2:52">
      <c r="B906" s="46">
        <v>1397390</v>
      </c>
      <c r="C906" s="45">
        <v>0</v>
      </c>
      <c r="D906" s="45">
        <v>12</v>
      </c>
      <c r="E906" s="46">
        <v>1322910</v>
      </c>
      <c r="F906" s="45">
        <v>0</v>
      </c>
      <c r="G906" s="45">
        <v>12</v>
      </c>
      <c r="H906" s="46">
        <v>1414470</v>
      </c>
      <c r="I906" s="45">
        <v>0</v>
      </c>
      <c r="J906" s="45">
        <v>6</v>
      </c>
      <c r="K906" s="46">
        <v>1408760</v>
      </c>
      <c r="L906" s="45">
        <v>0</v>
      </c>
      <c r="M906" s="45">
        <v>5</v>
      </c>
      <c r="O906" s="46">
        <v>1502680</v>
      </c>
      <c r="P906" s="45">
        <v>0</v>
      </c>
      <c r="Q906" s="45">
        <v>7</v>
      </c>
      <c r="R906" s="46">
        <v>1497510</v>
      </c>
      <c r="S906" s="45">
        <v>0</v>
      </c>
      <c r="T906" s="45">
        <v>6</v>
      </c>
      <c r="U906" s="46">
        <v>1472780</v>
      </c>
      <c r="V906" s="45">
        <v>0</v>
      </c>
      <c r="W906" s="45">
        <v>6</v>
      </c>
      <c r="X906" s="46">
        <v>1497390</v>
      </c>
      <c r="Y906" s="45">
        <v>0</v>
      </c>
      <c r="Z906" s="45">
        <v>4</v>
      </c>
      <c r="AB906" s="46">
        <v>1374640</v>
      </c>
      <c r="AC906" s="45">
        <v>0</v>
      </c>
      <c r="AD906" s="45">
        <v>18</v>
      </c>
      <c r="AE906" s="46">
        <v>1447390</v>
      </c>
      <c r="AF906" s="45">
        <v>24</v>
      </c>
      <c r="AG906" s="45">
        <v>16</v>
      </c>
      <c r="AH906" s="46">
        <v>1377570</v>
      </c>
      <c r="AI906" s="45">
        <v>0</v>
      </c>
      <c r="AJ906" s="45">
        <v>8</v>
      </c>
      <c r="AK906" s="46">
        <v>1377120</v>
      </c>
      <c r="AL906" s="45">
        <v>0</v>
      </c>
      <c r="AM906" s="45">
        <v>8</v>
      </c>
      <c r="AO906" s="46">
        <v>1403170</v>
      </c>
      <c r="AP906" s="45">
        <v>0</v>
      </c>
      <c r="AQ906" s="45">
        <v>20</v>
      </c>
      <c r="AR906" s="46">
        <v>1407470</v>
      </c>
      <c r="AS906" s="45">
        <v>0</v>
      </c>
      <c r="AT906" s="45">
        <v>12</v>
      </c>
      <c r="AU906" s="46">
        <v>1397100</v>
      </c>
      <c r="AV906" s="45">
        <v>0</v>
      </c>
      <c r="AW906" s="45">
        <v>20</v>
      </c>
      <c r="AX906" s="46">
        <v>1378660</v>
      </c>
      <c r="AY906" s="45">
        <v>0</v>
      </c>
      <c r="AZ906" s="45">
        <v>10</v>
      </c>
    </row>
    <row r="907" spans="2:52">
      <c r="B907" s="46">
        <v>1317780</v>
      </c>
      <c r="C907" s="45">
        <v>0</v>
      </c>
      <c r="D907" s="45">
        <v>14</v>
      </c>
      <c r="E907" s="46">
        <v>1312550</v>
      </c>
      <c r="F907" s="45">
        <v>0</v>
      </c>
      <c r="G907" s="45">
        <v>7</v>
      </c>
      <c r="H907" s="46">
        <v>1344840</v>
      </c>
      <c r="I907" s="45">
        <v>0</v>
      </c>
      <c r="J907" s="45">
        <v>6</v>
      </c>
      <c r="K907" s="46">
        <v>1347660</v>
      </c>
      <c r="L907" s="45">
        <v>0</v>
      </c>
      <c r="M907" s="45">
        <v>10</v>
      </c>
      <c r="O907" s="46">
        <v>1468760</v>
      </c>
      <c r="P907" s="45">
        <v>0</v>
      </c>
      <c r="Q907" s="45">
        <v>8</v>
      </c>
      <c r="R907" s="46">
        <v>1453660</v>
      </c>
      <c r="S907" s="45">
        <v>0</v>
      </c>
      <c r="T907" s="45">
        <v>5</v>
      </c>
      <c r="U907" s="46">
        <v>1450330</v>
      </c>
      <c r="V907" s="45">
        <v>0</v>
      </c>
      <c r="W907" s="45">
        <v>5</v>
      </c>
      <c r="X907" s="46">
        <v>1429720</v>
      </c>
      <c r="Y907" s="45">
        <v>0</v>
      </c>
      <c r="Z907" s="45">
        <v>5</v>
      </c>
      <c r="AB907" s="46">
        <v>1331060</v>
      </c>
      <c r="AC907" s="45">
        <v>0</v>
      </c>
      <c r="AD907" s="45">
        <v>18</v>
      </c>
      <c r="AE907" s="46">
        <v>1378000</v>
      </c>
      <c r="AF907" s="45">
        <v>0</v>
      </c>
      <c r="AG907" s="45">
        <v>11</v>
      </c>
      <c r="AH907" s="46">
        <v>1341940</v>
      </c>
      <c r="AI907" s="45">
        <v>0</v>
      </c>
      <c r="AJ907" s="45">
        <v>15</v>
      </c>
      <c r="AK907" s="46">
        <v>1336320</v>
      </c>
      <c r="AL907" s="45">
        <v>0</v>
      </c>
      <c r="AM907" s="45">
        <v>15</v>
      </c>
      <c r="AO907" s="46">
        <v>1326530</v>
      </c>
      <c r="AP907" s="45">
        <v>0</v>
      </c>
      <c r="AQ907" s="45">
        <v>17</v>
      </c>
      <c r="AR907" s="46">
        <v>1368350</v>
      </c>
      <c r="AS907" s="45">
        <v>68</v>
      </c>
      <c r="AT907" s="45">
        <v>42</v>
      </c>
      <c r="AU907" s="46">
        <v>1407850</v>
      </c>
      <c r="AV907" s="45">
        <v>12</v>
      </c>
      <c r="AW907" s="45">
        <v>14</v>
      </c>
      <c r="AX907" s="46">
        <v>1383090</v>
      </c>
      <c r="AY907" s="45">
        <v>0</v>
      </c>
      <c r="AZ907" s="45">
        <v>13</v>
      </c>
    </row>
    <row r="908" spans="2:52">
      <c r="B908" s="46">
        <v>1281290</v>
      </c>
      <c r="C908" s="45">
        <v>0</v>
      </c>
      <c r="D908" s="45">
        <v>10</v>
      </c>
      <c r="E908" s="46">
        <v>1341600</v>
      </c>
      <c r="F908" s="45">
        <v>0</v>
      </c>
      <c r="G908" s="45">
        <v>6</v>
      </c>
      <c r="H908" s="46">
        <v>1301530</v>
      </c>
      <c r="I908" s="45">
        <v>0</v>
      </c>
      <c r="J908" s="45">
        <v>8</v>
      </c>
      <c r="K908" s="46">
        <v>1290700</v>
      </c>
      <c r="L908" s="45">
        <v>0</v>
      </c>
      <c r="M908" s="45">
        <v>7</v>
      </c>
      <c r="O908" s="46">
        <v>1490060</v>
      </c>
      <c r="P908" s="45">
        <v>0</v>
      </c>
      <c r="Q908" s="45">
        <v>9</v>
      </c>
      <c r="R908" s="46">
        <v>1458710</v>
      </c>
      <c r="S908" s="45">
        <v>0</v>
      </c>
      <c r="T908" s="45">
        <v>6</v>
      </c>
      <c r="U908" s="46">
        <v>1477770</v>
      </c>
      <c r="V908" s="45">
        <v>0</v>
      </c>
      <c r="W908" s="45">
        <v>3</v>
      </c>
      <c r="X908" s="46">
        <v>1361910</v>
      </c>
      <c r="Y908" s="45">
        <v>0</v>
      </c>
      <c r="Z908" s="45">
        <v>5</v>
      </c>
      <c r="AB908" s="46">
        <v>1288080</v>
      </c>
      <c r="AC908" s="45">
        <v>0</v>
      </c>
      <c r="AD908" s="45">
        <v>19</v>
      </c>
      <c r="AE908" s="46">
        <v>1282560</v>
      </c>
      <c r="AF908" s="45">
        <v>0</v>
      </c>
      <c r="AG908" s="45">
        <v>25</v>
      </c>
      <c r="AH908" s="46">
        <v>1294870</v>
      </c>
      <c r="AI908" s="45">
        <v>0</v>
      </c>
      <c r="AJ908" s="45">
        <v>17</v>
      </c>
      <c r="AK908" s="46">
        <v>1368480</v>
      </c>
      <c r="AL908" s="45">
        <v>0</v>
      </c>
      <c r="AM908" s="45">
        <v>10</v>
      </c>
      <c r="AO908" s="46">
        <v>1368240</v>
      </c>
      <c r="AP908" s="45">
        <v>0</v>
      </c>
      <c r="AQ908" s="45">
        <v>8</v>
      </c>
      <c r="AR908" s="46">
        <v>1296040</v>
      </c>
      <c r="AS908" s="45">
        <v>0</v>
      </c>
      <c r="AT908" s="45">
        <v>17</v>
      </c>
      <c r="AU908" s="46">
        <v>1270290</v>
      </c>
      <c r="AV908" s="45">
        <v>0</v>
      </c>
      <c r="AW908" s="45">
        <v>26</v>
      </c>
      <c r="AX908" s="46">
        <v>1298970</v>
      </c>
      <c r="AY908" s="45">
        <v>0</v>
      </c>
      <c r="AZ908" s="45">
        <v>13</v>
      </c>
    </row>
    <row r="909" spans="2:52">
      <c r="B909" s="46">
        <v>1243280</v>
      </c>
      <c r="C909" s="45">
        <v>0</v>
      </c>
      <c r="D909" s="45">
        <v>8</v>
      </c>
      <c r="E909" s="46">
        <v>1305120</v>
      </c>
      <c r="F909" s="45">
        <v>0</v>
      </c>
      <c r="G909" s="45">
        <v>5</v>
      </c>
      <c r="H909" s="46">
        <v>1324320</v>
      </c>
      <c r="I909" s="45">
        <v>24</v>
      </c>
      <c r="J909" s="45">
        <v>8</v>
      </c>
      <c r="K909" s="46">
        <v>1290080</v>
      </c>
      <c r="L909" s="45">
        <v>66</v>
      </c>
      <c r="M909" s="45">
        <v>7</v>
      </c>
      <c r="O909" s="46">
        <v>1439030</v>
      </c>
      <c r="P909" s="45">
        <v>0</v>
      </c>
      <c r="Q909" s="45">
        <v>6</v>
      </c>
      <c r="R909" s="46">
        <v>1363000</v>
      </c>
      <c r="S909" s="45">
        <v>0</v>
      </c>
      <c r="T909" s="45">
        <v>4</v>
      </c>
      <c r="U909" s="46">
        <v>1364230</v>
      </c>
      <c r="V909" s="45">
        <v>0</v>
      </c>
      <c r="W909" s="45">
        <v>7</v>
      </c>
      <c r="X909" s="46">
        <v>1393330</v>
      </c>
      <c r="Y909" s="45">
        <v>0</v>
      </c>
      <c r="Z909" s="45">
        <v>7</v>
      </c>
      <c r="AB909" s="46">
        <v>1222300</v>
      </c>
      <c r="AC909" s="45">
        <v>0</v>
      </c>
      <c r="AD909" s="45">
        <v>23</v>
      </c>
      <c r="AE909" s="46">
        <v>1308070</v>
      </c>
      <c r="AF909" s="45">
        <v>0</v>
      </c>
      <c r="AG909" s="45">
        <v>16</v>
      </c>
      <c r="AH909" s="46">
        <v>1263080</v>
      </c>
      <c r="AI909" s="45">
        <v>0</v>
      </c>
      <c r="AJ909" s="45">
        <v>12</v>
      </c>
      <c r="AK909" s="46">
        <v>1252620</v>
      </c>
      <c r="AL909" s="45">
        <v>0</v>
      </c>
      <c r="AM909" s="45">
        <v>9</v>
      </c>
      <c r="AO909" s="46">
        <v>1307900</v>
      </c>
      <c r="AP909" s="45">
        <v>9</v>
      </c>
      <c r="AQ909" s="45">
        <v>21</v>
      </c>
      <c r="AR909" s="46">
        <v>1284730</v>
      </c>
      <c r="AS909" s="45">
        <v>0</v>
      </c>
      <c r="AT909" s="45">
        <v>15</v>
      </c>
      <c r="AU909" s="46">
        <v>1300780</v>
      </c>
      <c r="AV909" s="45">
        <v>0</v>
      </c>
      <c r="AW909" s="45">
        <v>13</v>
      </c>
      <c r="AX909" s="46">
        <v>1224970</v>
      </c>
      <c r="AY909" s="45">
        <v>0</v>
      </c>
      <c r="AZ909" s="45">
        <v>12</v>
      </c>
    </row>
    <row r="910" spans="2:52">
      <c r="B910" s="46">
        <v>1277190</v>
      </c>
      <c r="C910" s="45">
        <v>0</v>
      </c>
      <c r="D910" s="45">
        <v>9</v>
      </c>
      <c r="E910" s="46">
        <v>1279420</v>
      </c>
      <c r="F910" s="45">
        <v>0</v>
      </c>
      <c r="G910" s="45">
        <v>10</v>
      </c>
      <c r="H910" s="46">
        <v>1293790</v>
      </c>
      <c r="I910" s="45">
        <v>0</v>
      </c>
      <c r="J910" s="45">
        <v>7</v>
      </c>
      <c r="K910" s="46">
        <v>1203520</v>
      </c>
      <c r="L910" s="45">
        <v>0</v>
      </c>
      <c r="M910" s="45">
        <v>6</v>
      </c>
      <c r="O910" s="46">
        <v>1352560</v>
      </c>
      <c r="P910" s="45">
        <v>0</v>
      </c>
      <c r="Q910" s="45">
        <v>5</v>
      </c>
      <c r="R910" s="46">
        <v>1404040</v>
      </c>
      <c r="S910" s="45">
        <v>0</v>
      </c>
      <c r="T910" s="45">
        <v>5</v>
      </c>
      <c r="U910" s="46">
        <v>1356580</v>
      </c>
      <c r="V910" s="45">
        <v>0</v>
      </c>
      <c r="W910" s="45">
        <v>5</v>
      </c>
      <c r="X910" s="46">
        <v>1362480</v>
      </c>
      <c r="Y910" s="45">
        <v>0</v>
      </c>
      <c r="Z910" s="45">
        <v>6</v>
      </c>
      <c r="AB910" s="46">
        <v>1295990</v>
      </c>
      <c r="AC910" s="45">
        <v>0</v>
      </c>
      <c r="AD910" s="45">
        <v>20</v>
      </c>
      <c r="AE910" s="46">
        <v>1251910</v>
      </c>
      <c r="AF910" s="45">
        <v>0</v>
      </c>
      <c r="AG910" s="45">
        <v>12</v>
      </c>
      <c r="AH910" s="46">
        <v>1225580</v>
      </c>
      <c r="AI910" s="45">
        <v>0</v>
      </c>
      <c r="AJ910" s="45">
        <v>14</v>
      </c>
      <c r="AK910" s="46">
        <v>1302020</v>
      </c>
      <c r="AL910" s="45">
        <v>0</v>
      </c>
      <c r="AM910" s="45">
        <v>12</v>
      </c>
      <c r="AO910" s="46">
        <v>1262590</v>
      </c>
      <c r="AP910" s="45">
        <v>0</v>
      </c>
      <c r="AQ910" s="45">
        <v>22</v>
      </c>
      <c r="AR910" s="46">
        <v>1248890</v>
      </c>
      <c r="AS910" s="45">
        <v>0</v>
      </c>
      <c r="AT910" s="45">
        <v>17</v>
      </c>
      <c r="AU910" s="46">
        <v>1290370</v>
      </c>
      <c r="AV910" s="45">
        <v>0</v>
      </c>
      <c r="AW910" s="45">
        <v>17</v>
      </c>
      <c r="AX910" s="46">
        <v>1260630</v>
      </c>
      <c r="AY910" s="45">
        <v>0</v>
      </c>
      <c r="AZ910" s="45">
        <v>11</v>
      </c>
    </row>
    <row r="911" spans="2:52">
      <c r="B911" s="46">
        <v>1395250</v>
      </c>
      <c r="C911" s="45">
        <v>0</v>
      </c>
      <c r="D911" s="45">
        <v>11</v>
      </c>
      <c r="E911" s="46">
        <v>1414000</v>
      </c>
      <c r="F911" s="45">
        <v>41</v>
      </c>
      <c r="G911" s="45">
        <v>11</v>
      </c>
      <c r="H911" s="46">
        <v>1358320</v>
      </c>
      <c r="I911" s="45">
        <v>0</v>
      </c>
      <c r="J911" s="45">
        <v>6</v>
      </c>
      <c r="K911" s="46">
        <v>1352780</v>
      </c>
      <c r="L911" s="45">
        <v>0</v>
      </c>
      <c r="M911" s="45">
        <v>4</v>
      </c>
      <c r="O911" s="46">
        <v>1500750</v>
      </c>
      <c r="P911" s="45">
        <v>0</v>
      </c>
      <c r="Q911" s="45">
        <v>11</v>
      </c>
      <c r="R911" s="46">
        <v>1452970</v>
      </c>
      <c r="S911" s="45">
        <v>0</v>
      </c>
      <c r="T911" s="45">
        <v>5</v>
      </c>
      <c r="U911" s="46">
        <v>1465570</v>
      </c>
      <c r="V911" s="45">
        <v>0</v>
      </c>
      <c r="W911" s="45">
        <v>5</v>
      </c>
      <c r="X911" s="46">
        <v>1484710</v>
      </c>
      <c r="Y911" s="45">
        <v>5</v>
      </c>
      <c r="Z911" s="45">
        <v>9</v>
      </c>
      <c r="AB911" s="46">
        <v>1429430</v>
      </c>
      <c r="AC911" s="45">
        <v>0</v>
      </c>
      <c r="AD911" s="45">
        <v>23</v>
      </c>
      <c r="AE911" s="46">
        <v>1381640</v>
      </c>
      <c r="AF911" s="45">
        <v>0</v>
      </c>
      <c r="AG911" s="45">
        <v>13</v>
      </c>
      <c r="AH911" s="46">
        <v>1383920</v>
      </c>
      <c r="AI911" s="45">
        <v>0</v>
      </c>
      <c r="AJ911" s="45">
        <v>12</v>
      </c>
      <c r="AK911" s="46">
        <v>1395570</v>
      </c>
      <c r="AL911" s="45">
        <v>0</v>
      </c>
      <c r="AM911" s="45">
        <v>9</v>
      </c>
      <c r="AO911" s="46">
        <v>1401800</v>
      </c>
      <c r="AP911" s="45">
        <v>0</v>
      </c>
      <c r="AQ911" s="45">
        <v>21</v>
      </c>
      <c r="AR911" s="46">
        <v>1299950</v>
      </c>
      <c r="AS911" s="45">
        <v>0</v>
      </c>
      <c r="AT911" s="45">
        <v>14</v>
      </c>
      <c r="AU911" s="46">
        <v>1529380</v>
      </c>
      <c r="AV911" s="45">
        <v>124</v>
      </c>
      <c r="AW911" s="45">
        <v>10</v>
      </c>
      <c r="AX911" s="46">
        <v>1392230</v>
      </c>
      <c r="AY911" s="45">
        <v>0</v>
      </c>
      <c r="AZ911" s="45">
        <v>12</v>
      </c>
    </row>
    <row r="912" spans="2:52">
      <c r="B912" s="46">
        <v>1301510</v>
      </c>
      <c r="C912" s="45">
        <v>0</v>
      </c>
      <c r="D912" s="45">
        <v>17</v>
      </c>
      <c r="E912" s="46">
        <v>1307200</v>
      </c>
      <c r="F912" s="45">
        <v>34</v>
      </c>
      <c r="G912" s="45">
        <v>11</v>
      </c>
      <c r="H912" s="46">
        <v>1361480</v>
      </c>
      <c r="I912" s="45">
        <v>81</v>
      </c>
      <c r="J912" s="45">
        <v>16</v>
      </c>
      <c r="K912" s="46">
        <v>1377070</v>
      </c>
      <c r="L912" s="45">
        <v>62</v>
      </c>
      <c r="M912" s="45">
        <v>8</v>
      </c>
      <c r="O912" s="46">
        <v>1406230</v>
      </c>
      <c r="P912" s="45">
        <v>0</v>
      </c>
      <c r="Q912" s="45">
        <v>8</v>
      </c>
      <c r="R912" s="46">
        <v>1404530</v>
      </c>
      <c r="S912" s="45">
        <v>0</v>
      </c>
      <c r="T912" s="45">
        <v>5</v>
      </c>
      <c r="U912" s="46">
        <v>1380020</v>
      </c>
      <c r="V912" s="45">
        <v>13</v>
      </c>
      <c r="W912" s="45">
        <v>7</v>
      </c>
      <c r="X912" s="46">
        <v>1380150</v>
      </c>
      <c r="Y912" s="45">
        <v>0</v>
      </c>
      <c r="Z912" s="45">
        <v>6</v>
      </c>
      <c r="AB912" s="46">
        <v>1305520</v>
      </c>
      <c r="AC912" s="45">
        <v>0</v>
      </c>
      <c r="AD912" s="45">
        <v>15</v>
      </c>
      <c r="AE912" s="46">
        <v>1319530</v>
      </c>
      <c r="AF912" s="45">
        <v>0</v>
      </c>
      <c r="AG912" s="45">
        <v>11</v>
      </c>
      <c r="AH912" s="46">
        <v>1263180</v>
      </c>
      <c r="AI912" s="45">
        <v>0</v>
      </c>
      <c r="AJ912" s="45">
        <v>11</v>
      </c>
      <c r="AK912" s="46">
        <v>1270840</v>
      </c>
      <c r="AL912" s="45">
        <v>17</v>
      </c>
      <c r="AM912" s="45">
        <v>16</v>
      </c>
      <c r="AO912" s="46">
        <v>1355850</v>
      </c>
      <c r="AP912" s="45">
        <v>0</v>
      </c>
      <c r="AQ912" s="45">
        <v>12</v>
      </c>
      <c r="AR912" s="46">
        <v>1349360</v>
      </c>
      <c r="AS912" s="45">
        <v>33</v>
      </c>
      <c r="AT912" s="45">
        <v>13</v>
      </c>
      <c r="AU912" s="46">
        <v>1252680</v>
      </c>
      <c r="AV912" s="45">
        <v>0</v>
      </c>
      <c r="AW912" s="45">
        <v>18</v>
      </c>
      <c r="AX912" s="46">
        <v>1329190</v>
      </c>
      <c r="AY912" s="45">
        <v>26</v>
      </c>
      <c r="AZ912" s="45">
        <v>22</v>
      </c>
    </row>
    <row r="913" spans="2:52">
      <c r="B913" s="46">
        <v>1530670</v>
      </c>
      <c r="C913" s="45">
        <v>0</v>
      </c>
      <c r="D913" s="45">
        <v>9</v>
      </c>
      <c r="E913" s="46">
        <v>1568220</v>
      </c>
      <c r="F913" s="45">
        <v>0</v>
      </c>
      <c r="G913" s="45">
        <v>6</v>
      </c>
      <c r="H913" s="46">
        <v>1492190</v>
      </c>
      <c r="I913" s="45">
        <v>0</v>
      </c>
      <c r="J913" s="45">
        <v>6</v>
      </c>
      <c r="K913" s="46">
        <v>1528750</v>
      </c>
      <c r="L913" s="45">
        <v>0</v>
      </c>
      <c r="M913" s="45">
        <v>6</v>
      </c>
      <c r="O913" s="46">
        <v>1582810</v>
      </c>
      <c r="P913" s="45">
        <v>0</v>
      </c>
      <c r="Q913" s="45">
        <v>4</v>
      </c>
      <c r="R913" s="46">
        <v>1642680</v>
      </c>
      <c r="S913" s="45">
        <v>0</v>
      </c>
      <c r="T913" s="45">
        <v>5</v>
      </c>
      <c r="U913" s="46">
        <v>1610000</v>
      </c>
      <c r="V913" s="45">
        <v>0</v>
      </c>
      <c r="W913" s="45">
        <v>7</v>
      </c>
      <c r="X913" s="46">
        <v>1573510</v>
      </c>
      <c r="Y913" s="45">
        <v>0</v>
      </c>
      <c r="Z913" s="45">
        <v>6</v>
      </c>
      <c r="AB913" s="46">
        <v>1558520</v>
      </c>
      <c r="AC913" s="45">
        <v>0</v>
      </c>
      <c r="AD913" s="45">
        <v>12</v>
      </c>
      <c r="AE913" s="46">
        <v>1543130</v>
      </c>
      <c r="AF913" s="45">
        <v>0</v>
      </c>
      <c r="AG913" s="45">
        <v>12</v>
      </c>
      <c r="AH913" s="46">
        <v>1559270</v>
      </c>
      <c r="AI913" s="45">
        <v>0</v>
      </c>
      <c r="AJ913" s="45">
        <v>13</v>
      </c>
      <c r="AK913" s="46">
        <v>1520470</v>
      </c>
      <c r="AL913" s="45">
        <v>0</v>
      </c>
      <c r="AM913" s="45">
        <v>11</v>
      </c>
      <c r="AO913" s="46">
        <v>1528690</v>
      </c>
      <c r="AP913" s="45">
        <v>0</v>
      </c>
      <c r="AQ913" s="45">
        <v>13</v>
      </c>
      <c r="AR913" s="46">
        <v>1536030</v>
      </c>
      <c r="AS913" s="45">
        <v>0</v>
      </c>
      <c r="AT913" s="45">
        <v>13</v>
      </c>
      <c r="AU913" s="46">
        <v>1538040</v>
      </c>
      <c r="AV913" s="45">
        <v>0</v>
      </c>
      <c r="AW913" s="45">
        <v>16</v>
      </c>
      <c r="AX913" s="46">
        <v>1536900</v>
      </c>
      <c r="AY913" s="45">
        <v>0</v>
      </c>
      <c r="AZ913" s="45">
        <v>10</v>
      </c>
    </row>
    <row r="914" spans="2:52">
      <c r="B914" s="46">
        <v>1266180</v>
      </c>
      <c r="C914" s="45">
        <v>0</v>
      </c>
      <c r="D914" s="45">
        <v>8</v>
      </c>
      <c r="E914" s="46">
        <v>1230890</v>
      </c>
      <c r="F914" s="45">
        <v>0</v>
      </c>
      <c r="G914" s="45">
        <v>5</v>
      </c>
      <c r="H914" s="46">
        <v>1268940</v>
      </c>
      <c r="I914" s="45">
        <v>0</v>
      </c>
      <c r="J914" s="45">
        <v>4</v>
      </c>
      <c r="K914" s="46">
        <v>1248820</v>
      </c>
      <c r="L914" s="45">
        <v>0</v>
      </c>
      <c r="M914" s="45">
        <v>5</v>
      </c>
      <c r="O914" s="46">
        <v>1373390</v>
      </c>
      <c r="P914" s="45">
        <v>0</v>
      </c>
      <c r="Q914" s="45">
        <v>6</v>
      </c>
      <c r="R914" s="46">
        <v>1325920</v>
      </c>
      <c r="S914" s="45">
        <v>0</v>
      </c>
      <c r="T914" s="45">
        <v>11</v>
      </c>
      <c r="U914" s="46">
        <v>1351890</v>
      </c>
      <c r="V914" s="45">
        <v>0</v>
      </c>
      <c r="W914" s="45">
        <v>9</v>
      </c>
      <c r="X914" s="46">
        <v>1301170</v>
      </c>
      <c r="Y914" s="45">
        <v>0</v>
      </c>
      <c r="Z914" s="45">
        <v>4</v>
      </c>
      <c r="AB914" s="46">
        <v>1246440</v>
      </c>
      <c r="AC914" s="45">
        <v>0</v>
      </c>
      <c r="AD914" s="45">
        <v>25</v>
      </c>
      <c r="AE914" s="46">
        <v>1226080</v>
      </c>
      <c r="AF914" s="45">
        <v>0</v>
      </c>
      <c r="AG914" s="45">
        <v>12</v>
      </c>
      <c r="AH914" s="46">
        <v>1217960</v>
      </c>
      <c r="AI914" s="45">
        <v>0</v>
      </c>
      <c r="AJ914" s="45">
        <v>13</v>
      </c>
      <c r="AK914" s="46">
        <v>1247800</v>
      </c>
      <c r="AL914" s="45">
        <v>0</v>
      </c>
      <c r="AM914" s="45">
        <v>11</v>
      </c>
      <c r="AO914" s="46">
        <v>1311200</v>
      </c>
      <c r="AP914" s="45">
        <v>0</v>
      </c>
      <c r="AQ914" s="45">
        <v>12</v>
      </c>
      <c r="AR914" s="46">
        <v>1233340</v>
      </c>
      <c r="AS914" s="45">
        <v>0</v>
      </c>
      <c r="AT914" s="45">
        <v>16</v>
      </c>
      <c r="AU914" s="46">
        <v>1238890</v>
      </c>
      <c r="AV914" s="45">
        <v>0</v>
      </c>
      <c r="AW914" s="45">
        <v>16</v>
      </c>
      <c r="AX914" s="46">
        <v>1322680</v>
      </c>
      <c r="AY914" s="45">
        <v>0</v>
      </c>
      <c r="AZ914" s="45">
        <v>8</v>
      </c>
    </row>
    <row r="915" spans="2:52">
      <c r="B915" s="46">
        <v>1301710</v>
      </c>
      <c r="C915" s="45">
        <v>0</v>
      </c>
      <c r="D915" s="45">
        <v>16</v>
      </c>
      <c r="E915" s="46">
        <v>1262060</v>
      </c>
      <c r="F915" s="45">
        <v>21</v>
      </c>
      <c r="G915" s="45">
        <v>13</v>
      </c>
      <c r="H915" s="46">
        <v>1236040</v>
      </c>
      <c r="I915" s="45">
        <v>0</v>
      </c>
      <c r="J915" s="45">
        <v>7</v>
      </c>
      <c r="K915" s="46">
        <v>1296830</v>
      </c>
      <c r="L915" s="45">
        <v>105</v>
      </c>
      <c r="M915" s="45">
        <v>20</v>
      </c>
      <c r="O915" s="46">
        <v>1457380</v>
      </c>
      <c r="P915" s="45">
        <v>0</v>
      </c>
      <c r="Q915" s="45">
        <v>6</v>
      </c>
      <c r="R915" s="46">
        <v>1344920</v>
      </c>
      <c r="S915" s="45">
        <v>0</v>
      </c>
      <c r="T915" s="45">
        <v>6</v>
      </c>
      <c r="U915" s="46">
        <v>1358430</v>
      </c>
      <c r="V915" s="45">
        <v>0</v>
      </c>
      <c r="W915" s="45">
        <v>9</v>
      </c>
      <c r="X915" s="46">
        <v>1356740</v>
      </c>
      <c r="Y915" s="45">
        <v>0</v>
      </c>
      <c r="Z915" s="45">
        <v>5</v>
      </c>
      <c r="AB915" s="46">
        <v>1348390</v>
      </c>
      <c r="AC915" s="45">
        <v>0</v>
      </c>
      <c r="AD915" s="45">
        <v>8</v>
      </c>
      <c r="AE915" s="46">
        <v>1271570</v>
      </c>
      <c r="AF915" s="45">
        <v>0</v>
      </c>
      <c r="AG915" s="45">
        <v>14</v>
      </c>
      <c r="AH915" s="46">
        <v>1381170</v>
      </c>
      <c r="AI915" s="45">
        <v>113</v>
      </c>
      <c r="AJ915" s="45">
        <v>27</v>
      </c>
      <c r="AK915" s="46">
        <v>1227000</v>
      </c>
      <c r="AL915" s="45">
        <v>0</v>
      </c>
      <c r="AM915" s="45">
        <v>15</v>
      </c>
      <c r="AO915" s="46">
        <v>1279450</v>
      </c>
      <c r="AP915" s="45">
        <v>0</v>
      </c>
      <c r="AQ915" s="45">
        <v>14</v>
      </c>
      <c r="AR915" s="46">
        <v>1291200</v>
      </c>
      <c r="AS915" s="45">
        <v>0</v>
      </c>
      <c r="AT915" s="45">
        <v>9</v>
      </c>
      <c r="AU915" s="46">
        <v>1232950</v>
      </c>
      <c r="AV915" s="45">
        <v>0</v>
      </c>
      <c r="AW915" s="45">
        <v>22</v>
      </c>
      <c r="AX915" s="46">
        <v>1311420</v>
      </c>
      <c r="AY915" s="45">
        <v>9</v>
      </c>
      <c r="AZ915" s="45">
        <v>10</v>
      </c>
    </row>
    <row r="916" spans="2:52">
      <c r="B916" s="46">
        <v>1208390</v>
      </c>
      <c r="C916" s="45">
        <v>0</v>
      </c>
      <c r="D916" s="45">
        <v>11</v>
      </c>
      <c r="E916" s="46">
        <v>1212550</v>
      </c>
      <c r="F916" s="45">
        <v>0</v>
      </c>
      <c r="G916" s="45">
        <v>12</v>
      </c>
      <c r="H916" s="46">
        <v>1225840</v>
      </c>
      <c r="I916" s="45">
        <v>0</v>
      </c>
      <c r="J916" s="45">
        <v>5</v>
      </c>
      <c r="K916" s="46">
        <v>1196910</v>
      </c>
      <c r="L916" s="45">
        <v>0</v>
      </c>
      <c r="M916" s="45">
        <v>23</v>
      </c>
      <c r="O916" s="46">
        <v>1314700</v>
      </c>
      <c r="P916" s="45">
        <v>0</v>
      </c>
      <c r="Q916" s="45">
        <v>6</v>
      </c>
      <c r="R916" s="46">
        <v>1296810</v>
      </c>
      <c r="S916" s="45">
        <v>0</v>
      </c>
      <c r="T916" s="45">
        <v>6</v>
      </c>
      <c r="U916" s="46">
        <v>1239030</v>
      </c>
      <c r="V916" s="45">
        <v>0</v>
      </c>
      <c r="W916" s="45">
        <v>9</v>
      </c>
      <c r="X916" s="46">
        <v>1309740</v>
      </c>
      <c r="Y916" s="45">
        <v>0</v>
      </c>
      <c r="Z916" s="45">
        <v>4</v>
      </c>
      <c r="AB916" s="46">
        <v>1176920</v>
      </c>
      <c r="AC916" s="45">
        <v>0</v>
      </c>
      <c r="AD916" s="45">
        <v>16</v>
      </c>
      <c r="AE916" s="46">
        <v>1238810</v>
      </c>
      <c r="AF916" s="45">
        <v>0</v>
      </c>
      <c r="AG916" s="45">
        <v>9</v>
      </c>
      <c r="AH916" s="46">
        <v>1202180</v>
      </c>
      <c r="AI916" s="45">
        <v>0</v>
      </c>
      <c r="AJ916" s="45">
        <v>10</v>
      </c>
      <c r="AK916" s="46">
        <v>1187860</v>
      </c>
      <c r="AL916" s="45">
        <v>0</v>
      </c>
      <c r="AM916" s="45">
        <v>12</v>
      </c>
      <c r="AO916" s="46">
        <v>1221170</v>
      </c>
      <c r="AP916" s="45">
        <v>0</v>
      </c>
      <c r="AQ916" s="45">
        <v>14</v>
      </c>
      <c r="AR916" s="46">
        <v>1199590</v>
      </c>
      <c r="AS916" s="45">
        <v>0</v>
      </c>
      <c r="AT916" s="45">
        <v>15</v>
      </c>
      <c r="AU916" s="46">
        <v>1211220</v>
      </c>
      <c r="AV916" s="45">
        <v>0</v>
      </c>
      <c r="AW916" s="45">
        <v>6</v>
      </c>
      <c r="AX916" s="46">
        <v>1162450</v>
      </c>
      <c r="AY916" s="45">
        <v>0</v>
      </c>
      <c r="AZ916" s="45">
        <v>12</v>
      </c>
    </row>
    <row r="917" spans="2:52">
      <c r="B917" s="46">
        <v>1273760</v>
      </c>
      <c r="C917" s="45">
        <v>0</v>
      </c>
      <c r="D917" s="45">
        <v>28</v>
      </c>
      <c r="E917" s="46">
        <v>1324100</v>
      </c>
      <c r="F917" s="45">
        <v>24</v>
      </c>
      <c r="G917" s="45">
        <v>18</v>
      </c>
      <c r="H917" s="46">
        <v>1281400</v>
      </c>
      <c r="I917" s="45">
        <v>0</v>
      </c>
      <c r="J917" s="45">
        <v>14</v>
      </c>
      <c r="K917" s="46">
        <v>1257120</v>
      </c>
      <c r="L917" s="45">
        <v>0</v>
      </c>
      <c r="M917" s="45">
        <v>15</v>
      </c>
      <c r="O917" s="46">
        <v>1406080</v>
      </c>
      <c r="P917" s="45">
        <v>0</v>
      </c>
      <c r="Q917" s="45">
        <v>6</v>
      </c>
      <c r="R917" s="46">
        <v>1446750</v>
      </c>
      <c r="S917" s="45">
        <v>0</v>
      </c>
      <c r="T917" s="45">
        <v>6</v>
      </c>
      <c r="U917" s="46">
        <v>1364840</v>
      </c>
      <c r="V917" s="45">
        <v>0</v>
      </c>
      <c r="W917" s="45">
        <v>4</v>
      </c>
      <c r="X917" s="46">
        <v>1393030</v>
      </c>
      <c r="Y917" s="45">
        <v>0</v>
      </c>
      <c r="Z917" s="45">
        <v>5</v>
      </c>
      <c r="AB917" s="46">
        <v>1461200</v>
      </c>
      <c r="AC917" s="45">
        <v>60</v>
      </c>
      <c r="AD917" s="45">
        <v>10</v>
      </c>
      <c r="AE917" s="46">
        <v>1255820</v>
      </c>
      <c r="AF917" s="45">
        <v>0</v>
      </c>
      <c r="AG917" s="45">
        <v>16</v>
      </c>
      <c r="AH917" s="46">
        <v>1261750</v>
      </c>
      <c r="AI917" s="45">
        <v>0</v>
      </c>
      <c r="AJ917" s="45">
        <v>19</v>
      </c>
      <c r="AK917" s="46">
        <v>1378720</v>
      </c>
      <c r="AL917" s="45">
        <v>98</v>
      </c>
      <c r="AM917" s="45">
        <v>18</v>
      </c>
      <c r="AO917" s="46">
        <v>1313700</v>
      </c>
      <c r="AP917" s="45">
        <v>0</v>
      </c>
      <c r="AQ917" s="45">
        <v>13</v>
      </c>
      <c r="AR917" s="46">
        <v>1241240</v>
      </c>
      <c r="AS917" s="45">
        <v>0</v>
      </c>
      <c r="AT917" s="45">
        <v>15</v>
      </c>
      <c r="AU917" s="46">
        <v>1302450</v>
      </c>
      <c r="AV917" s="45">
        <v>0</v>
      </c>
      <c r="AW917" s="45">
        <v>15</v>
      </c>
      <c r="AX917" s="46">
        <v>1231980</v>
      </c>
      <c r="AY917" s="45">
        <v>0</v>
      </c>
      <c r="AZ917" s="45">
        <v>11</v>
      </c>
    </row>
    <row r="918" spans="2:52">
      <c r="B918" s="46">
        <v>1144760</v>
      </c>
      <c r="C918" s="45">
        <v>0</v>
      </c>
      <c r="D918" s="45">
        <v>15</v>
      </c>
      <c r="E918" s="46">
        <v>1062680</v>
      </c>
      <c r="F918" s="45">
        <v>0</v>
      </c>
      <c r="G918" s="45">
        <v>26</v>
      </c>
      <c r="H918" s="46">
        <v>1076900</v>
      </c>
      <c r="I918" s="45">
        <v>0</v>
      </c>
      <c r="J918" s="45">
        <v>18</v>
      </c>
      <c r="K918" s="46">
        <v>1062820</v>
      </c>
      <c r="L918" s="45">
        <v>0</v>
      </c>
      <c r="M918" s="45">
        <v>8</v>
      </c>
      <c r="O918" s="46">
        <v>1158640</v>
      </c>
      <c r="P918" s="45">
        <v>0</v>
      </c>
      <c r="Q918" s="45">
        <v>6</v>
      </c>
      <c r="R918" s="46">
        <v>1199140</v>
      </c>
      <c r="S918" s="45">
        <v>0</v>
      </c>
      <c r="T918" s="45">
        <v>4</v>
      </c>
      <c r="U918" s="46">
        <v>1213810</v>
      </c>
      <c r="V918" s="45">
        <v>0</v>
      </c>
      <c r="W918" s="45">
        <v>4</v>
      </c>
      <c r="X918" s="46">
        <v>1167980</v>
      </c>
      <c r="Y918" s="45">
        <v>0</v>
      </c>
      <c r="Z918" s="45">
        <v>6</v>
      </c>
      <c r="AB918" s="46">
        <v>1185180</v>
      </c>
      <c r="AC918" s="45">
        <v>47</v>
      </c>
      <c r="AD918" s="45">
        <v>14</v>
      </c>
      <c r="AE918" s="46">
        <v>1093470</v>
      </c>
      <c r="AF918" s="45">
        <v>0</v>
      </c>
      <c r="AG918" s="45">
        <v>25</v>
      </c>
      <c r="AH918" s="46">
        <v>1095170</v>
      </c>
      <c r="AI918" s="45">
        <v>0</v>
      </c>
      <c r="AJ918" s="45">
        <v>15</v>
      </c>
      <c r="AK918" s="46">
        <v>1092860</v>
      </c>
      <c r="AL918" s="45">
        <v>0</v>
      </c>
      <c r="AM918" s="45">
        <v>17</v>
      </c>
      <c r="AO918" s="46">
        <v>1133350</v>
      </c>
      <c r="AP918" s="45">
        <v>0</v>
      </c>
      <c r="AQ918" s="45">
        <v>10</v>
      </c>
      <c r="AR918" s="46">
        <v>1160320</v>
      </c>
      <c r="AS918" s="45">
        <v>0</v>
      </c>
      <c r="AT918" s="45">
        <v>6</v>
      </c>
      <c r="AU918" s="46">
        <v>1056100</v>
      </c>
      <c r="AV918" s="45">
        <v>0</v>
      </c>
      <c r="AW918" s="45">
        <v>10</v>
      </c>
      <c r="AX918" s="46">
        <v>1092870</v>
      </c>
      <c r="AY918" s="45">
        <v>0</v>
      </c>
      <c r="AZ918" s="45">
        <v>10</v>
      </c>
    </row>
    <row r="919" spans="2:52">
      <c r="B919" s="45">
        <v>994438</v>
      </c>
      <c r="C919" s="45">
        <v>0</v>
      </c>
      <c r="D919" s="45">
        <v>15</v>
      </c>
      <c r="E919" s="46">
        <v>1031250</v>
      </c>
      <c r="F919" s="45">
        <v>70</v>
      </c>
      <c r="G919" s="45">
        <v>20</v>
      </c>
      <c r="H919" s="46">
        <v>1013040</v>
      </c>
      <c r="I919" s="45">
        <v>38</v>
      </c>
      <c r="J919" s="45">
        <v>33</v>
      </c>
      <c r="K919" s="45">
        <v>982111</v>
      </c>
      <c r="L919" s="45">
        <v>0</v>
      </c>
      <c r="M919" s="45">
        <v>9</v>
      </c>
      <c r="O919" s="46">
        <v>1128690</v>
      </c>
      <c r="P919" s="45">
        <v>0</v>
      </c>
      <c r="Q919" s="45">
        <v>7</v>
      </c>
      <c r="R919" s="46">
        <v>1139260</v>
      </c>
      <c r="S919" s="45">
        <v>10</v>
      </c>
      <c r="T919" s="45">
        <v>9</v>
      </c>
      <c r="U919" s="46">
        <v>1081520</v>
      </c>
      <c r="V919" s="45">
        <v>0</v>
      </c>
      <c r="W919" s="45">
        <v>5</v>
      </c>
      <c r="X919" s="46">
        <v>1094310</v>
      </c>
      <c r="Y919" s="45">
        <v>0</v>
      </c>
      <c r="Z919" s="45">
        <v>6</v>
      </c>
      <c r="AB919" s="46">
        <v>1071000</v>
      </c>
      <c r="AC919" s="45">
        <v>0</v>
      </c>
      <c r="AD919" s="45">
        <v>5</v>
      </c>
      <c r="AE919" s="46">
        <v>1072310</v>
      </c>
      <c r="AF919" s="45">
        <v>62</v>
      </c>
      <c r="AG919" s="45">
        <v>15</v>
      </c>
      <c r="AH919" s="46">
        <v>1024330</v>
      </c>
      <c r="AI919" s="45">
        <v>0</v>
      </c>
      <c r="AJ919" s="45">
        <v>10</v>
      </c>
      <c r="AK919" s="46">
        <v>1118850</v>
      </c>
      <c r="AL919" s="45">
        <v>99</v>
      </c>
      <c r="AM919" s="45">
        <v>18</v>
      </c>
      <c r="AO919" s="46">
        <v>1039440</v>
      </c>
      <c r="AP919" s="45">
        <v>46</v>
      </c>
      <c r="AQ919" s="45">
        <v>30</v>
      </c>
      <c r="AR919" s="45">
        <v>999640</v>
      </c>
      <c r="AS919" s="45">
        <v>0</v>
      </c>
      <c r="AT919" s="45">
        <v>17</v>
      </c>
      <c r="AU919" s="46">
        <v>1089270</v>
      </c>
      <c r="AV919" s="45">
        <v>92</v>
      </c>
      <c r="AW919" s="45">
        <v>22</v>
      </c>
      <c r="AX919" s="46">
        <v>1045400</v>
      </c>
      <c r="AY919" s="45">
        <v>56</v>
      </c>
      <c r="AZ919" s="45">
        <v>13</v>
      </c>
    </row>
    <row r="920" spans="2:52">
      <c r="B920" s="46">
        <v>1129210</v>
      </c>
      <c r="C920" s="45">
        <v>0</v>
      </c>
      <c r="D920" s="45">
        <v>10</v>
      </c>
      <c r="E920" s="46">
        <v>1103640</v>
      </c>
      <c r="F920" s="45">
        <v>0</v>
      </c>
      <c r="G920" s="45">
        <v>14</v>
      </c>
      <c r="H920" s="46">
        <v>1139730</v>
      </c>
      <c r="I920" s="45">
        <v>0</v>
      </c>
      <c r="J920" s="45">
        <v>10</v>
      </c>
      <c r="K920" s="46">
        <v>1149530</v>
      </c>
      <c r="L920" s="45">
        <v>14</v>
      </c>
      <c r="M920" s="45">
        <v>8</v>
      </c>
      <c r="O920" s="46">
        <v>1213440</v>
      </c>
      <c r="P920" s="45">
        <v>0</v>
      </c>
      <c r="Q920" s="45">
        <v>6</v>
      </c>
      <c r="R920" s="46">
        <v>1179800</v>
      </c>
      <c r="S920" s="45">
        <v>0</v>
      </c>
      <c r="T920" s="45">
        <v>9</v>
      </c>
      <c r="U920" s="46">
        <v>1285550</v>
      </c>
      <c r="V920" s="45">
        <v>27</v>
      </c>
      <c r="W920" s="45">
        <v>9</v>
      </c>
      <c r="X920" s="46">
        <v>1229300</v>
      </c>
      <c r="Y920" s="45">
        <v>0</v>
      </c>
      <c r="Z920" s="45">
        <v>6</v>
      </c>
      <c r="AB920" s="46">
        <v>1103320</v>
      </c>
      <c r="AC920" s="45">
        <v>0</v>
      </c>
      <c r="AD920" s="45">
        <v>18</v>
      </c>
      <c r="AE920" s="46">
        <v>1152290</v>
      </c>
      <c r="AF920" s="45">
        <v>0</v>
      </c>
      <c r="AG920" s="45">
        <v>16</v>
      </c>
      <c r="AH920" s="46">
        <v>1153310</v>
      </c>
      <c r="AI920" s="45">
        <v>0</v>
      </c>
      <c r="AJ920" s="45">
        <v>15</v>
      </c>
      <c r="AK920" s="46">
        <v>1113840</v>
      </c>
      <c r="AL920" s="45">
        <v>0</v>
      </c>
      <c r="AM920" s="45">
        <v>10</v>
      </c>
      <c r="AO920" s="46">
        <v>1185950</v>
      </c>
      <c r="AP920" s="45">
        <v>0</v>
      </c>
      <c r="AQ920" s="45">
        <v>12</v>
      </c>
      <c r="AR920" s="46">
        <v>1194450</v>
      </c>
      <c r="AS920" s="45">
        <v>20</v>
      </c>
      <c r="AT920" s="45">
        <v>14</v>
      </c>
      <c r="AU920" s="46">
        <v>1113670</v>
      </c>
      <c r="AV920" s="45">
        <v>0</v>
      </c>
      <c r="AW920" s="45">
        <v>21</v>
      </c>
      <c r="AX920" s="46">
        <v>1101960</v>
      </c>
      <c r="AY920" s="45">
        <v>0</v>
      </c>
      <c r="AZ920" s="45">
        <v>15</v>
      </c>
    </row>
    <row r="921" spans="2:52">
      <c r="B921" s="46">
        <v>1233670</v>
      </c>
      <c r="C921" s="45">
        <v>23</v>
      </c>
      <c r="D921" s="45">
        <v>10</v>
      </c>
      <c r="E921" s="46">
        <v>1182980</v>
      </c>
      <c r="F921" s="45">
        <v>51</v>
      </c>
      <c r="G921" s="45">
        <v>18</v>
      </c>
      <c r="H921" s="46">
        <v>1251370</v>
      </c>
      <c r="I921" s="45">
        <v>90</v>
      </c>
      <c r="J921" s="45">
        <v>16</v>
      </c>
      <c r="K921" s="46">
        <v>1179060</v>
      </c>
      <c r="L921" s="45">
        <v>0</v>
      </c>
      <c r="M921" s="45">
        <v>10</v>
      </c>
      <c r="O921" s="46">
        <v>1328200</v>
      </c>
      <c r="P921" s="45">
        <v>0</v>
      </c>
      <c r="Q921" s="45">
        <v>5</v>
      </c>
      <c r="R921" s="46">
        <v>1282640</v>
      </c>
      <c r="S921" s="45">
        <v>0</v>
      </c>
      <c r="T921" s="45">
        <v>5</v>
      </c>
      <c r="U921" s="46">
        <v>1312000</v>
      </c>
      <c r="V921" s="45">
        <v>0</v>
      </c>
      <c r="W921" s="45">
        <v>5</v>
      </c>
      <c r="X921" s="46">
        <v>1238430</v>
      </c>
      <c r="Y921" s="45">
        <v>0</v>
      </c>
      <c r="Z921" s="45">
        <v>7</v>
      </c>
      <c r="AB921" s="46">
        <v>1269920</v>
      </c>
      <c r="AC921" s="45">
        <v>100</v>
      </c>
      <c r="AD921" s="45">
        <v>29</v>
      </c>
      <c r="AE921" s="46">
        <v>1220660</v>
      </c>
      <c r="AF921" s="45">
        <v>0</v>
      </c>
      <c r="AG921" s="45">
        <v>13</v>
      </c>
      <c r="AH921" s="46">
        <v>1148570</v>
      </c>
      <c r="AI921" s="45">
        <v>18</v>
      </c>
      <c r="AJ921" s="45">
        <v>27</v>
      </c>
      <c r="AK921" s="46">
        <v>1146500</v>
      </c>
      <c r="AL921" s="45">
        <v>0</v>
      </c>
      <c r="AM921" s="45">
        <v>10</v>
      </c>
      <c r="AO921" s="46">
        <v>1230210</v>
      </c>
      <c r="AP921" s="45">
        <v>0</v>
      </c>
      <c r="AQ921" s="45">
        <v>12</v>
      </c>
      <c r="AR921" s="46">
        <v>1193230</v>
      </c>
      <c r="AS921" s="45">
        <v>12</v>
      </c>
      <c r="AT921" s="45">
        <v>17</v>
      </c>
      <c r="AU921" s="46">
        <v>1181380</v>
      </c>
      <c r="AV921" s="45">
        <v>0</v>
      </c>
      <c r="AW921" s="45">
        <v>10</v>
      </c>
      <c r="AX921" s="46">
        <v>1228360</v>
      </c>
      <c r="AY921" s="45">
        <v>35</v>
      </c>
      <c r="AZ921" s="45">
        <v>10</v>
      </c>
    </row>
    <row r="922" spans="2:52">
      <c r="B922" s="46">
        <v>1137300</v>
      </c>
      <c r="C922" s="45">
        <v>0</v>
      </c>
      <c r="D922" s="45">
        <v>10</v>
      </c>
      <c r="E922" s="46">
        <v>1159030</v>
      </c>
      <c r="F922" s="45">
        <v>22</v>
      </c>
      <c r="G922" s="45">
        <v>14</v>
      </c>
      <c r="H922" s="46">
        <v>1171470</v>
      </c>
      <c r="I922" s="45">
        <v>0</v>
      </c>
      <c r="J922" s="45">
        <v>8</v>
      </c>
      <c r="K922" s="46">
        <v>1185850</v>
      </c>
      <c r="L922" s="45">
        <v>40</v>
      </c>
      <c r="M922" s="45">
        <v>8</v>
      </c>
      <c r="O922" s="46">
        <v>1268610</v>
      </c>
      <c r="P922" s="45">
        <v>0</v>
      </c>
      <c r="Q922" s="45">
        <v>7</v>
      </c>
      <c r="R922" s="46">
        <v>1266040</v>
      </c>
      <c r="S922" s="45">
        <v>0</v>
      </c>
      <c r="T922" s="45">
        <v>4</v>
      </c>
      <c r="U922" s="46">
        <v>1274670</v>
      </c>
      <c r="V922" s="45">
        <v>30</v>
      </c>
      <c r="W922" s="45">
        <v>12</v>
      </c>
      <c r="X922" s="46">
        <v>1194490</v>
      </c>
      <c r="Y922" s="45">
        <v>0</v>
      </c>
      <c r="Z922" s="45">
        <v>7</v>
      </c>
      <c r="AB922" s="46">
        <v>1203620</v>
      </c>
      <c r="AC922" s="45">
        <v>73</v>
      </c>
      <c r="AD922" s="45">
        <v>38</v>
      </c>
      <c r="AE922" s="46">
        <v>1163370</v>
      </c>
      <c r="AF922" s="45">
        <v>0</v>
      </c>
      <c r="AG922" s="45">
        <v>15</v>
      </c>
      <c r="AH922" s="46">
        <v>1180370</v>
      </c>
      <c r="AI922" s="45">
        <v>43</v>
      </c>
      <c r="AJ922" s="45">
        <v>12</v>
      </c>
      <c r="AK922" s="46">
        <v>1162470</v>
      </c>
      <c r="AL922" s="45">
        <v>63</v>
      </c>
      <c r="AM922" s="45">
        <v>27</v>
      </c>
      <c r="AO922" s="46">
        <v>1236550</v>
      </c>
      <c r="AP922" s="45">
        <v>74</v>
      </c>
      <c r="AQ922" s="45">
        <v>22</v>
      </c>
      <c r="AR922" s="46">
        <v>1225460</v>
      </c>
      <c r="AS922" s="45">
        <v>76</v>
      </c>
      <c r="AT922" s="45">
        <v>16</v>
      </c>
      <c r="AU922" s="46">
        <v>1204780</v>
      </c>
      <c r="AV922" s="45">
        <v>0</v>
      </c>
      <c r="AW922" s="45">
        <v>7</v>
      </c>
      <c r="AX922" s="46">
        <v>1176400</v>
      </c>
      <c r="AY922" s="45">
        <v>21</v>
      </c>
      <c r="AZ922" s="45">
        <v>28</v>
      </c>
    </row>
    <row r="923" spans="2:52">
      <c r="B923" s="46">
        <v>1197800</v>
      </c>
      <c r="C923" s="45">
        <v>0</v>
      </c>
      <c r="D923" s="45">
        <v>13</v>
      </c>
      <c r="E923" s="46">
        <v>1248910</v>
      </c>
      <c r="F923" s="45">
        <v>0</v>
      </c>
      <c r="G923" s="45">
        <v>9</v>
      </c>
      <c r="H923" s="46">
        <v>1230620</v>
      </c>
      <c r="I923" s="45">
        <v>39</v>
      </c>
      <c r="J923" s="45">
        <v>19</v>
      </c>
      <c r="K923" s="46">
        <v>1247900</v>
      </c>
      <c r="L923" s="45">
        <v>0</v>
      </c>
      <c r="M923" s="45">
        <v>11</v>
      </c>
      <c r="O923" s="46">
        <v>1337330</v>
      </c>
      <c r="P923" s="45">
        <v>0</v>
      </c>
      <c r="Q923" s="45">
        <v>6</v>
      </c>
      <c r="R923" s="46">
        <v>1365310</v>
      </c>
      <c r="S923" s="45">
        <v>0</v>
      </c>
      <c r="T923" s="45">
        <v>3</v>
      </c>
      <c r="U923" s="46">
        <v>1287190</v>
      </c>
      <c r="V923" s="45">
        <v>0</v>
      </c>
      <c r="W923" s="45">
        <v>6</v>
      </c>
      <c r="X923" s="46">
        <v>1305610</v>
      </c>
      <c r="Y923" s="45">
        <v>0</v>
      </c>
      <c r="Z923" s="45">
        <v>10</v>
      </c>
      <c r="AB923" s="46">
        <v>1213200</v>
      </c>
      <c r="AC923" s="45">
        <v>0</v>
      </c>
      <c r="AD923" s="45">
        <v>9</v>
      </c>
      <c r="AE923" s="46">
        <v>1249420</v>
      </c>
      <c r="AF923" s="45">
        <v>0</v>
      </c>
      <c r="AG923" s="45">
        <v>6</v>
      </c>
      <c r="AH923" s="46">
        <v>1256210</v>
      </c>
      <c r="AI923" s="45">
        <v>17</v>
      </c>
      <c r="AJ923" s="45">
        <v>13</v>
      </c>
      <c r="AK923" s="46">
        <v>1293480</v>
      </c>
      <c r="AL923" s="45">
        <v>81</v>
      </c>
      <c r="AM923" s="45">
        <v>14</v>
      </c>
      <c r="AO923" s="46">
        <v>1259320</v>
      </c>
      <c r="AP923" s="45">
        <v>27</v>
      </c>
      <c r="AQ923" s="45">
        <v>22</v>
      </c>
      <c r="AR923" s="46">
        <v>1203700</v>
      </c>
      <c r="AS923" s="45">
        <v>0</v>
      </c>
      <c r="AT923" s="45">
        <v>17</v>
      </c>
      <c r="AU923" s="46">
        <v>1237780</v>
      </c>
      <c r="AV923" s="45">
        <v>0</v>
      </c>
      <c r="AW923" s="45">
        <v>12</v>
      </c>
      <c r="AX923" s="46">
        <v>1213860</v>
      </c>
      <c r="AY923" s="45">
        <v>0</v>
      </c>
      <c r="AZ923" s="45">
        <v>17</v>
      </c>
    </row>
    <row r="924" spans="2:52">
      <c r="B924" s="46">
        <v>1108290</v>
      </c>
      <c r="C924" s="45">
        <v>117</v>
      </c>
      <c r="D924" s="45">
        <v>28</v>
      </c>
      <c r="E924" s="45">
        <v>987370</v>
      </c>
      <c r="F924" s="45">
        <v>3</v>
      </c>
      <c r="G924" s="45">
        <v>13</v>
      </c>
      <c r="H924" s="45">
        <v>986056</v>
      </c>
      <c r="I924" s="45">
        <v>16</v>
      </c>
      <c r="J924" s="45">
        <v>10</v>
      </c>
      <c r="K924" s="46">
        <v>1102350</v>
      </c>
      <c r="L924" s="45">
        <v>77</v>
      </c>
      <c r="M924" s="45">
        <v>13</v>
      </c>
      <c r="O924" s="46">
        <v>1108620</v>
      </c>
      <c r="P924" s="45">
        <v>0</v>
      </c>
      <c r="Q924" s="45">
        <v>4</v>
      </c>
      <c r="R924" s="46">
        <v>1086100</v>
      </c>
      <c r="S924" s="45">
        <v>0</v>
      </c>
      <c r="T924" s="45">
        <v>6</v>
      </c>
      <c r="U924" s="46">
        <v>1105970</v>
      </c>
      <c r="V924" s="45">
        <v>27</v>
      </c>
      <c r="W924" s="45">
        <v>16</v>
      </c>
      <c r="X924" s="46">
        <v>1037510</v>
      </c>
      <c r="Y924" s="45">
        <v>0</v>
      </c>
      <c r="Z924" s="45">
        <v>8</v>
      </c>
      <c r="AB924" s="46">
        <v>1017840</v>
      </c>
      <c r="AC924" s="45">
        <v>0</v>
      </c>
      <c r="AD924" s="45">
        <v>12</v>
      </c>
      <c r="AE924" s="46">
        <v>1098230</v>
      </c>
      <c r="AF924" s="45">
        <v>95</v>
      </c>
      <c r="AG924" s="45">
        <v>33</v>
      </c>
      <c r="AH924" s="45">
        <v>984358</v>
      </c>
      <c r="AI924" s="45">
        <v>6</v>
      </c>
      <c r="AJ924" s="45">
        <v>22</v>
      </c>
      <c r="AK924" s="46">
        <v>1010660</v>
      </c>
      <c r="AL924" s="45">
        <v>47</v>
      </c>
      <c r="AM924" s="45">
        <v>17</v>
      </c>
      <c r="AO924" s="46">
        <v>1068840</v>
      </c>
      <c r="AP924" s="45">
        <v>0</v>
      </c>
      <c r="AQ924" s="45">
        <v>11</v>
      </c>
      <c r="AR924" s="46">
        <v>1036780</v>
      </c>
      <c r="AS924" s="45">
        <v>40</v>
      </c>
      <c r="AT924" s="45">
        <v>14</v>
      </c>
      <c r="AU924" s="46">
        <v>1038580</v>
      </c>
      <c r="AV924" s="45">
        <v>5</v>
      </c>
      <c r="AW924" s="45">
        <v>13</v>
      </c>
      <c r="AX924" s="45">
        <v>985332</v>
      </c>
      <c r="AY924" s="45">
        <v>0</v>
      </c>
      <c r="AZ924" s="45">
        <v>8</v>
      </c>
    </row>
    <row r="925" spans="2:52">
      <c r="B925" s="46">
        <v>1217570</v>
      </c>
      <c r="C925" s="45">
        <v>42</v>
      </c>
      <c r="D925" s="45">
        <v>9</v>
      </c>
      <c r="E925" s="46">
        <v>1159340</v>
      </c>
      <c r="F925" s="45">
        <v>0</v>
      </c>
      <c r="G925" s="45">
        <v>13</v>
      </c>
      <c r="H925" s="46">
        <v>1222300</v>
      </c>
      <c r="I925" s="45">
        <v>61</v>
      </c>
      <c r="J925" s="45">
        <v>20</v>
      </c>
      <c r="K925" s="46">
        <v>1215590</v>
      </c>
      <c r="L925" s="45">
        <v>40</v>
      </c>
      <c r="M925" s="45">
        <v>12</v>
      </c>
      <c r="O925" s="46">
        <v>1394710</v>
      </c>
      <c r="P925" s="45">
        <v>81</v>
      </c>
      <c r="Q925" s="45">
        <v>6</v>
      </c>
      <c r="R925" s="46">
        <v>1302670</v>
      </c>
      <c r="S925" s="45">
        <v>0</v>
      </c>
      <c r="T925" s="45">
        <v>5</v>
      </c>
      <c r="U925" s="46">
        <v>1224110</v>
      </c>
      <c r="V925" s="45">
        <v>0</v>
      </c>
      <c r="W925" s="45">
        <v>10</v>
      </c>
      <c r="X925" s="46">
        <v>1296340</v>
      </c>
      <c r="Y925" s="45">
        <v>0</v>
      </c>
      <c r="Z925" s="45">
        <v>6</v>
      </c>
      <c r="AB925" s="46">
        <v>1251610</v>
      </c>
      <c r="AC925" s="45">
        <v>61</v>
      </c>
      <c r="AD925" s="45">
        <v>29</v>
      </c>
      <c r="AE925" s="46">
        <v>1215210</v>
      </c>
      <c r="AF925" s="45">
        <v>36</v>
      </c>
      <c r="AG925" s="45">
        <v>10</v>
      </c>
      <c r="AH925" s="46">
        <v>1141590</v>
      </c>
      <c r="AI925" s="45">
        <v>0</v>
      </c>
      <c r="AJ925" s="45">
        <v>16</v>
      </c>
      <c r="AK925" s="46">
        <v>1150500</v>
      </c>
      <c r="AL925" s="45">
        <v>0</v>
      </c>
      <c r="AM925" s="45">
        <v>24</v>
      </c>
      <c r="AO925" s="46">
        <v>1181650</v>
      </c>
      <c r="AP925" s="45">
        <v>0</v>
      </c>
      <c r="AQ925" s="45">
        <v>23</v>
      </c>
      <c r="AR925" s="46">
        <v>1181000</v>
      </c>
      <c r="AS925" s="45">
        <v>0</v>
      </c>
      <c r="AT925" s="45">
        <v>14</v>
      </c>
      <c r="AU925" s="46">
        <v>1194230</v>
      </c>
      <c r="AV925" s="45">
        <v>0</v>
      </c>
      <c r="AW925" s="45">
        <v>11</v>
      </c>
      <c r="AX925" s="46">
        <v>1127050</v>
      </c>
      <c r="AY925" s="45">
        <v>1</v>
      </c>
      <c r="AZ925" s="45">
        <v>26</v>
      </c>
    </row>
    <row r="926" spans="2:52">
      <c r="B926" s="46">
        <v>1248990</v>
      </c>
      <c r="C926" s="45">
        <v>46</v>
      </c>
      <c r="D926" s="45">
        <v>14</v>
      </c>
      <c r="E926" s="46">
        <v>1295760</v>
      </c>
      <c r="F926" s="45">
        <v>102</v>
      </c>
      <c r="G926" s="45">
        <v>21</v>
      </c>
      <c r="H926" s="46">
        <v>1245060</v>
      </c>
      <c r="I926" s="45">
        <v>23</v>
      </c>
      <c r="J926" s="45">
        <v>15</v>
      </c>
      <c r="K926" s="46">
        <v>1169400</v>
      </c>
      <c r="L926" s="45">
        <v>0</v>
      </c>
      <c r="M926" s="45">
        <v>16</v>
      </c>
      <c r="O926" s="46">
        <v>1332150</v>
      </c>
      <c r="P926" s="45">
        <v>26</v>
      </c>
      <c r="Q926" s="45">
        <v>5</v>
      </c>
      <c r="R926" s="46">
        <v>1328760</v>
      </c>
      <c r="S926" s="45">
        <v>0</v>
      </c>
      <c r="T926" s="45">
        <v>8</v>
      </c>
      <c r="U926" s="46">
        <v>1335250</v>
      </c>
      <c r="V926" s="45">
        <v>53</v>
      </c>
      <c r="W926" s="45">
        <v>7</v>
      </c>
      <c r="X926" s="46">
        <v>1336310</v>
      </c>
      <c r="Y926" s="45">
        <v>65</v>
      </c>
      <c r="Z926" s="45">
        <v>8</v>
      </c>
      <c r="AB926" s="46">
        <v>1312820</v>
      </c>
      <c r="AC926" s="45">
        <v>104</v>
      </c>
      <c r="AD926" s="45">
        <v>20</v>
      </c>
      <c r="AE926" s="46">
        <v>1222390</v>
      </c>
      <c r="AF926" s="45">
        <v>50</v>
      </c>
      <c r="AG926" s="45">
        <v>24</v>
      </c>
      <c r="AH926" s="46">
        <v>1319280</v>
      </c>
      <c r="AI926" s="45">
        <v>98</v>
      </c>
      <c r="AJ926" s="45">
        <v>12</v>
      </c>
      <c r="AK926" s="46">
        <v>1256830</v>
      </c>
      <c r="AL926" s="45">
        <v>0</v>
      </c>
      <c r="AM926" s="45">
        <v>8</v>
      </c>
      <c r="AO926" s="46">
        <v>1376460</v>
      </c>
      <c r="AP926" s="45">
        <v>144</v>
      </c>
      <c r="AQ926" s="45">
        <v>14</v>
      </c>
      <c r="AR926" s="46">
        <v>1194580</v>
      </c>
      <c r="AS926" s="45">
        <v>0</v>
      </c>
      <c r="AT926" s="45">
        <v>18</v>
      </c>
      <c r="AU926" s="46">
        <v>1324040</v>
      </c>
      <c r="AV926" s="45">
        <v>115</v>
      </c>
      <c r="AW926" s="45">
        <v>19</v>
      </c>
      <c r="AX926" s="46">
        <v>1239490</v>
      </c>
      <c r="AY926" s="45">
        <v>19</v>
      </c>
      <c r="AZ926" s="45">
        <v>10</v>
      </c>
    </row>
    <row r="927" spans="2:52">
      <c r="B927" s="46">
        <v>1111480</v>
      </c>
      <c r="C927" s="45">
        <v>0</v>
      </c>
      <c r="D927" s="45">
        <v>21</v>
      </c>
      <c r="E927" s="46">
        <v>1185260</v>
      </c>
      <c r="F927" s="45">
        <v>0</v>
      </c>
      <c r="G927" s="45">
        <v>8</v>
      </c>
      <c r="H927" s="46">
        <v>1109130</v>
      </c>
      <c r="I927" s="45">
        <v>0</v>
      </c>
      <c r="J927" s="45">
        <v>12</v>
      </c>
      <c r="K927" s="46">
        <v>1159660</v>
      </c>
      <c r="L927" s="45">
        <v>85</v>
      </c>
      <c r="M927" s="45">
        <v>15</v>
      </c>
      <c r="O927" s="46">
        <v>1282890</v>
      </c>
      <c r="P927" s="45">
        <v>0</v>
      </c>
      <c r="Q927" s="45">
        <v>6</v>
      </c>
      <c r="R927" s="46">
        <v>1295170</v>
      </c>
      <c r="S927" s="45">
        <v>0</v>
      </c>
      <c r="T927" s="45">
        <v>5</v>
      </c>
      <c r="U927" s="46">
        <v>1366440</v>
      </c>
      <c r="V927" s="45">
        <v>68</v>
      </c>
      <c r="W927" s="45">
        <v>6</v>
      </c>
      <c r="X927" s="46">
        <v>1248460</v>
      </c>
      <c r="Y927" s="45">
        <v>0</v>
      </c>
      <c r="Z927" s="45">
        <v>6</v>
      </c>
      <c r="AB927" s="46">
        <v>1267850</v>
      </c>
      <c r="AC927" s="45">
        <v>83</v>
      </c>
      <c r="AD927" s="45">
        <v>31</v>
      </c>
      <c r="AE927" s="46">
        <v>1284470</v>
      </c>
      <c r="AF927" s="45">
        <v>68</v>
      </c>
      <c r="AG927" s="45">
        <v>21</v>
      </c>
      <c r="AH927" s="46">
        <v>1147420</v>
      </c>
      <c r="AI927" s="45">
        <v>12</v>
      </c>
      <c r="AJ927" s="45">
        <v>22</v>
      </c>
      <c r="AK927" s="46">
        <v>1134280</v>
      </c>
      <c r="AL927" s="45">
        <v>0</v>
      </c>
      <c r="AM927" s="45">
        <v>14</v>
      </c>
      <c r="AO927" s="46">
        <v>1253330</v>
      </c>
      <c r="AP927" s="45">
        <v>70</v>
      </c>
      <c r="AQ927" s="45">
        <v>27</v>
      </c>
      <c r="AR927" s="46">
        <v>1127610</v>
      </c>
      <c r="AS927" s="45">
        <v>0</v>
      </c>
      <c r="AT927" s="45">
        <v>19</v>
      </c>
      <c r="AU927" s="46">
        <v>1160850</v>
      </c>
      <c r="AV927" s="45">
        <v>0</v>
      </c>
      <c r="AW927" s="45">
        <v>16</v>
      </c>
      <c r="AX927" s="46">
        <v>1168170</v>
      </c>
      <c r="AY927" s="45">
        <v>0</v>
      </c>
      <c r="AZ927" s="45">
        <v>13</v>
      </c>
    </row>
    <row r="928" spans="2:52">
      <c r="B928" s="46">
        <v>1247370</v>
      </c>
      <c r="C928" s="45">
        <v>0</v>
      </c>
      <c r="D928" s="45">
        <v>9</v>
      </c>
      <c r="E928" s="46">
        <v>1342090</v>
      </c>
      <c r="F928" s="45">
        <v>94</v>
      </c>
      <c r="G928" s="45">
        <v>13</v>
      </c>
      <c r="H928" s="46">
        <v>1259160</v>
      </c>
      <c r="I928" s="45">
        <v>10</v>
      </c>
      <c r="J928" s="45">
        <v>8</v>
      </c>
      <c r="K928" s="46">
        <v>1225580</v>
      </c>
      <c r="L928" s="45">
        <v>12</v>
      </c>
      <c r="M928" s="45">
        <v>10</v>
      </c>
      <c r="O928" s="46">
        <v>1345920</v>
      </c>
      <c r="P928" s="45">
        <v>0</v>
      </c>
      <c r="Q928" s="45">
        <v>12</v>
      </c>
      <c r="R928" s="46">
        <v>1355800</v>
      </c>
      <c r="S928" s="45">
        <v>0</v>
      </c>
      <c r="T928" s="45">
        <v>5</v>
      </c>
      <c r="U928" s="46">
        <v>1367540</v>
      </c>
      <c r="V928" s="45">
        <v>0</v>
      </c>
      <c r="W928" s="45">
        <v>5</v>
      </c>
      <c r="X928" s="46">
        <v>1340410</v>
      </c>
      <c r="Y928" s="45">
        <v>0</v>
      </c>
      <c r="Z928" s="45">
        <v>6</v>
      </c>
      <c r="AB928" s="46">
        <v>1326280</v>
      </c>
      <c r="AC928" s="45">
        <v>31</v>
      </c>
      <c r="AD928" s="45">
        <v>13</v>
      </c>
      <c r="AE928" s="46">
        <v>1231660</v>
      </c>
      <c r="AF928" s="45">
        <v>9</v>
      </c>
      <c r="AG928" s="45">
        <v>24</v>
      </c>
      <c r="AH928" s="46">
        <v>1289610</v>
      </c>
      <c r="AI928" s="45">
        <v>13</v>
      </c>
      <c r="AJ928" s="45">
        <v>19</v>
      </c>
      <c r="AK928" s="46">
        <v>1237130</v>
      </c>
      <c r="AL928" s="45">
        <v>0</v>
      </c>
      <c r="AM928" s="45">
        <v>11</v>
      </c>
      <c r="AO928" s="46">
        <v>1297080</v>
      </c>
      <c r="AP928" s="45">
        <v>76</v>
      </c>
      <c r="AQ928" s="45">
        <v>19</v>
      </c>
      <c r="AR928" s="46">
        <v>1226950</v>
      </c>
      <c r="AS928" s="45">
        <v>0</v>
      </c>
      <c r="AT928" s="45">
        <v>11</v>
      </c>
      <c r="AU928" s="46">
        <v>1209900</v>
      </c>
      <c r="AV928" s="45">
        <v>12</v>
      </c>
      <c r="AW928" s="45">
        <v>18</v>
      </c>
      <c r="AX928" s="46">
        <v>1262570</v>
      </c>
      <c r="AY928" s="45">
        <v>5</v>
      </c>
      <c r="AZ928" s="45">
        <v>15</v>
      </c>
    </row>
    <row r="929" spans="2:52">
      <c r="B929" s="46">
        <v>1190570</v>
      </c>
      <c r="C929" s="45">
        <v>0</v>
      </c>
      <c r="D929" s="45">
        <v>7</v>
      </c>
      <c r="E929" s="46">
        <v>1157000</v>
      </c>
      <c r="F929" s="45">
        <v>0</v>
      </c>
      <c r="G929" s="45">
        <v>15</v>
      </c>
      <c r="H929" s="46">
        <v>1196340</v>
      </c>
      <c r="I929" s="45">
        <v>0</v>
      </c>
      <c r="J929" s="45">
        <v>8</v>
      </c>
      <c r="K929" s="46">
        <v>1177330</v>
      </c>
      <c r="L929" s="45">
        <v>0</v>
      </c>
      <c r="M929" s="45">
        <v>9</v>
      </c>
      <c r="O929" s="46">
        <v>1303000</v>
      </c>
      <c r="P929" s="45">
        <v>0</v>
      </c>
      <c r="Q929" s="45">
        <v>9</v>
      </c>
      <c r="R929" s="46">
        <v>1298400</v>
      </c>
      <c r="S929" s="45">
        <v>0</v>
      </c>
      <c r="T929" s="45">
        <v>5</v>
      </c>
      <c r="U929" s="46">
        <v>1258690</v>
      </c>
      <c r="V929" s="45">
        <v>0</v>
      </c>
      <c r="W929" s="45">
        <v>7</v>
      </c>
      <c r="X929" s="46">
        <v>1289820</v>
      </c>
      <c r="Y929" s="45">
        <v>0</v>
      </c>
      <c r="Z929" s="45">
        <v>6</v>
      </c>
      <c r="AB929" s="46">
        <v>1176510</v>
      </c>
      <c r="AC929" s="45">
        <v>0</v>
      </c>
      <c r="AD929" s="45">
        <v>25</v>
      </c>
      <c r="AE929" s="46">
        <v>1139610</v>
      </c>
      <c r="AF929" s="45">
        <v>0</v>
      </c>
      <c r="AG929" s="45">
        <v>20</v>
      </c>
      <c r="AH929" s="46">
        <v>1122390</v>
      </c>
      <c r="AI929" s="45">
        <v>0</v>
      </c>
      <c r="AJ929" s="45">
        <v>10</v>
      </c>
      <c r="AK929" s="46">
        <v>1237740</v>
      </c>
      <c r="AL929" s="45">
        <v>23</v>
      </c>
      <c r="AM929" s="45">
        <v>13</v>
      </c>
      <c r="AO929" s="46">
        <v>1188120</v>
      </c>
      <c r="AP929" s="45">
        <v>0</v>
      </c>
      <c r="AQ929" s="45">
        <v>14</v>
      </c>
      <c r="AR929" s="46">
        <v>1199120</v>
      </c>
      <c r="AS929" s="45">
        <v>17</v>
      </c>
      <c r="AT929" s="45">
        <v>15</v>
      </c>
      <c r="AU929" s="46">
        <v>1172580</v>
      </c>
      <c r="AV929" s="45">
        <v>0</v>
      </c>
      <c r="AW929" s="45">
        <v>10</v>
      </c>
      <c r="AX929" s="46">
        <v>1250070</v>
      </c>
      <c r="AY929" s="45">
        <v>48</v>
      </c>
      <c r="AZ929" s="45">
        <v>22</v>
      </c>
    </row>
    <row r="930" spans="2:52">
      <c r="B930" s="46">
        <v>1044550</v>
      </c>
      <c r="C930" s="45">
        <v>0</v>
      </c>
      <c r="D930" s="45">
        <v>10</v>
      </c>
      <c r="E930" s="45">
        <v>992195</v>
      </c>
      <c r="F930" s="45">
        <v>0</v>
      </c>
      <c r="G930" s="45">
        <v>11</v>
      </c>
      <c r="H930" s="46">
        <v>1043850</v>
      </c>
      <c r="I930" s="45">
        <v>5</v>
      </c>
      <c r="J930" s="45">
        <v>6</v>
      </c>
      <c r="K930" s="46">
        <v>1067050</v>
      </c>
      <c r="L930" s="45">
        <v>55</v>
      </c>
      <c r="M930" s="45">
        <v>10</v>
      </c>
      <c r="O930" s="46">
        <v>1112810</v>
      </c>
      <c r="P930" s="45">
        <v>19</v>
      </c>
      <c r="Q930" s="45">
        <v>12</v>
      </c>
      <c r="R930" s="46">
        <v>1151670</v>
      </c>
      <c r="S930" s="45">
        <v>0</v>
      </c>
      <c r="T930" s="45">
        <v>4</v>
      </c>
      <c r="U930" s="46">
        <v>1154140</v>
      </c>
      <c r="V930" s="45">
        <v>0</v>
      </c>
      <c r="W930" s="45">
        <v>6</v>
      </c>
      <c r="X930" s="46">
        <v>1146030</v>
      </c>
      <c r="Y930" s="45">
        <v>0</v>
      </c>
      <c r="Z930" s="45">
        <v>6</v>
      </c>
      <c r="AB930" s="46">
        <v>1036560</v>
      </c>
      <c r="AC930" s="45">
        <v>0</v>
      </c>
      <c r="AD930" s="45">
        <v>19</v>
      </c>
      <c r="AE930" s="46">
        <v>1037030</v>
      </c>
      <c r="AF930" s="45">
        <v>0</v>
      </c>
      <c r="AG930" s="45">
        <v>10</v>
      </c>
      <c r="AH930" s="46">
        <v>1014230</v>
      </c>
      <c r="AI930" s="45">
        <v>0</v>
      </c>
      <c r="AJ930" s="45">
        <v>18</v>
      </c>
      <c r="AK930" s="46">
        <v>1044670</v>
      </c>
      <c r="AL930" s="45">
        <v>14</v>
      </c>
      <c r="AM930" s="45">
        <v>15</v>
      </c>
      <c r="AO930" s="46">
        <v>1117750</v>
      </c>
      <c r="AP930" s="45">
        <v>40</v>
      </c>
      <c r="AQ930" s="45">
        <v>26</v>
      </c>
      <c r="AR930" s="46">
        <v>1046250</v>
      </c>
      <c r="AS930" s="45">
        <v>0</v>
      </c>
      <c r="AT930" s="45">
        <v>16</v>
      </c>
      <c r="AU930" s="46">
        <v>1039320</v>
      </c>
      <c r="AV930" s="45">
        <v>0</v>
      </c>
      <c r="AW930" s="45">
        <v>9</v>
      </c>
      <c r="AX930" s="46">
        <v>1023300</v>
      </c>
      <c r="AY930" s="45">
        <v>11</v>
      </c>
      <c r="AZ930" s="45">
        <v>27</v>
      </c>
    </row>
    <row r="931" spans="2:52">
      <c r="B931" s="46">
        <v>1139670</v>
      </c>
      <c r="C931" s="45">
        <v>0</v>
      </c>
      <c r="D931" s="45">
        <v>10</v>
      </c>
      <c r="E931" s="46">
        <v>1131350</v>
      </c>
      <c r="F931" s="45">
        <v>22</v>
      </c>
      <c r="G931" s="45">
        <v>17</v>
      </c>
      <c r="H931" s="46">
        <v>1128230</v>
      </c>
      <c r="I931" s="45">
        <v>0</v>
      </c>
      <c r="J931" s="45">
        <v>10</v>
      </c>
      <c r="K931" s="46">
        <v>1103600</v>
      </c>
      <c r="L931" s="45">
        <v>4</v>
      </c>
      <c r="M931" s="45">
        <v>22</v>
      </c>
      <c r="O931" s="46">
        <v>1292120</v>
      </c>
      <c r="P931" s="45">
        <v>0</v>
      </c>
      <c r="Q931" s="45">
        <v>5</v>
      </c>
      <c r="R931" s="46">
        <v>1269690</v>
      </c>
      <c r="S931" s="45">
        <v>0</v>
      </c>
      <c r="T931" s="45">
        <v>4</v>
      </c>
      <c r="U931" s="46">
        <v>1227200</v>
      </c>
      <c r="V931" s="45">
        <v>0</v>
      </c>
      <c r="W931" s="45">
        <v>4</v>
      </c>
      <c r="X931" s="46">
        <v>1207650</v>
      </c>
      <c r="Y931" s="45">
        <v>0</v>
      </c>
      <c r="Z931" s="45">
        <v>5</v>
      </c>
      <c r="AB931" s="46">
        <v>1109390</v>
      </c>
      <c r="AC931" s="45">
        <v>0</v>
      </c>
      <c r="AD931" s="45">
        <v>15</v>
      </c>
      <c r="AE931" s="46">
        <v>1118900</v>
      </c>
      <c r="AF931" s="45">
        <v>32</v>
      </c>
      <c r="AG931" s="45">
        <v>21</v>
      </c>
      <c r="AH931" s="46">
        <v>1094010</v>
      </c>
      <c r="AI931" s="45">
        <v>0</v>
      </c>
      <c r="AJ931" s="45">
        <v>11</v>
      </c>
      <c r="AK931" s="46">
        <v>1113260</v>
      </c>
      <c r="AL931" s="45">
        <v>0</v>
      </c>
      <c r="AM931" s="45">
        <v>7</v>
      </c>
      <c r="AO931" s="46">
        <v>1114290</v>
      </c>
      <c r="AP931" s="45">
        <v>0</v>
      </c>
      <c r="AQ931" s="45">
        <v>20</v>
      </c>
      <c r="AR931" s="46">
        <v>1132970</v>
      </c>
      <c r="AS931" s="45">
        <v>0</v>
      </c>
      <c r="AT931" s="45">
        <v>18</v>
      </c>
      <c r="AU931" s="46">
        <v>1115370</v>
      </c>
      <c r="AV931" s="45">
        <v>0</v>
      </c>
      <c r="AW931" s="45">
        <v>12</v>
      </c>
      <c r="AX931" s="46">
        <v>1116320</v>
      </c>
      <c r="AY931" s="45">
        <v>0</v>
      </c>
      <c r="AZ931" s="45">
        <v>14</v>
      </c>
    </row>
    <row r="932" spans="2:52">
      <c r="B932" s="46">
        <v>1293780</v>
      </c>
      <c r="C932" s="45">
        <v>115</v>
      </c>
      <c r="D932" s="45">
        <v>17</v>
      </c>
      <c r="E932" s="46">
        <v>1223060</v>
      </c>
      <c r="F932" s="45">
        <v>81</v>
      </c>
      <c r="G932" s="45">
        <v>19</v>
      </c>
      <c r="H932" s="46">
        <v>1205090</v>
      </c>
      <c r="I932" s="45">
        <v>112</v>
      </c>
      <c r="J932" s="45">
        <v>19</v>
      </c>
      <c r="K932" s="46">
        <v>1141260</v>
      </c>
      <c r="L932" s="45">
        <v>0</v>
      </c>
      <c r="M932" s="45">
        <v>6</v>
      </c>
      <c r="O932" s="46">
        <v>1254540</v>
      </c>
      <c r="P932" s="45">
        <v>0</v>
      </c>
      <c r="Q932" s="45">
        <v>8</v>
      </c>
      <c r="R932" s="46">
        <v>1257980</v>
      </c>
      <c r="S932" s="45">
        <v>0</v>
      </c>
      <c r="T932" s="45">
        <v>8</v>
      </c>
      <c r="U932" s="46">
        <v>1267890</v>
      </c>
      <c r="V932" s="45">
        <v>0</v>
      </c>
      <c r="W932" s="45">
        <v>3</v>
      </c>
      <c r="X932" s="46">
        <v>1226160</v>
      </c>
      <c r="Y932" s="45">
        <v>0</v>
      </c>
      <c r="Z932" s="45">
        <v>6</v>
      </c>
      <c r="AB932" s="46">
        <v>1137140</v>
      </c>
      <c r="AC932" s="45">
        <v>0</v>
      </c>
      <c r="AD932" s="45">
        <v>8</v>
      </c>
      <c r="AE932" s="46">
        <v>1216840</v>
      </c>
      <c r="AF932" s="45">
        <v>96</v>
      </c>
      <c r="AG932" s="45">
        <v>12</v>
      </c>
      <c r="AH932" s="46">
        <v>1151540</v>
      </c>
      <c r="AI932" s="45">
        <v>32</v>
      </c>
      <c r="AJ932" s="45">
        <v>11</v>
      </c>
      <c r="AK932" s="46">
        <v>1126050</v>
      </c>
      <c r="AL932" s="45">
        <v>8</v>
      </c>
      <c r="AM932" s="45">
        <v>15</v>
      </c>
      <c r="AO932" s="46">
        <v>1245870</v>
      </c>
      <c r="AP932" s="45">
        <v>104</v>
      </c>
      <c r="AQ932" s="45">
        <v>24</v>
      </c>
      <c r="AR932" s="46">
        <v>1204640</v>
      </c>
      <c r="AS932" s="45">
        <v>39</v>
      </c>
      <c r="AT932" s="45">
        <v>14</v>
      </c>
      <c r="AU932" s="46">
        <v>1179690</v>
      </c>
      <c r="AV932" s="45">
        <v>99</v>
      </c>
      <c r="AW932" s="45">
        <v>28</v>
      </c>
      <c r="AX932" s="46">
        <v>1155250</v>
      </c>
      <c r="AY932" s="45">
        <v>54</v>
      </c>
      <c r="AZ932" s="45">
        <v>15</v>
      </c>
    </row>
    <row r="933" spans="2:52">
      <c r="B933" s="46">
        <v>1276990</v>
      </c>
      <c r="C933" s="45">
        <v>0</v>
      </c>
      <c r="D933" s="45">
        <v>16</v>
      </c>
      <c r="E933" s="46">
        <v>1290360</v>
      </c>
      <c r="F933" s="45">
        <v>3</v>
      </c>
      <c r="G933" s="45">
        <v>19</v>
      </c>
      <c r="H933" s="46">
        <v>1311390</v>
      </c>
      <c r="I933" s="45">
        <v>0</v>
      </c>
      <c r="J933" s="45">
        <v>6</v>
      </c>
      <c r="K933" s="46">
        <v>1277550</v>
      </c>
      <c r="L933" s="45">
        <v>0</v>
      </c>
      <c r="M933" s="45">
        <v>6</v>
      </c>
      <c r="O933" s="46">
        <v>1448150</v>
      </c>
      <c r="P933" s="45">
        <v>0</v>
      </c>
      <c r="Q933" s="45">
        <v>5</v>
      </c>
      <c r="R933" s="46">
        <v>1401670</v>
      </c>
      <c r="S933" s="45">
        <v>0</v>
      </c>
      <c r="T933" s="45">
        <v>6</v>
      </c>
      <c r="U933" s="46">
        <v>1407660</v>
      </c>
      <c r="V933" s="45">
        <v>0</v>
      </c>
      <c r="W933" s="45">
        <v>5</v>
      </c>
      <c r="X933" s="46">
        <v>1416420</v>
      </c>
      <c r="Y933" s="45">
        <v>36</v>
      </c>
      <c r="Z933" s="45">
        <v>7</v>
      </c>
      <c r="AB933" s="46">
        <v>1365930</v>
      </c>
      <c r="AC933" s="45">
        <v>0</v>
      </c>
      <c r="AD933" s="45">
        <v>8</v>
      </c>
      <c r="AE933" s="46">
        <v>1276460</v>
      </c>
      <c r="AF933" s="45">
        <v>0</v>
      </c>
      <c r="AG933" s="45">
        <v>10</v>
      </c>
      <c r="AH933" s="46">
        <v>1275390</v>
      </c>
      <c r="AI933" s="45">
        <v>0</v>
      </c>
      <c r="AJ933" s="45">
        <v>11</v>
      </c>
      <c r="AK933" s="46">
        <v>1274190</v>
      </c>
      <c r="AL933" s="45">
        <v>0</v>
      </c>
      <c r="AM933" s="45">
        <v>12</v>
      </c>
      <c r="AO933" s="46">
        <v>1333480</v>
      </c>
      <c r="AP933" s="45">
        <v>0</v>
      </c>
      <c r="AQ933" s="45">
        <v>13</v>
      </c>
      <c r="AR933" s="46">
        <v>1263810</v>
      </c>
      <c r="AS933" s="45">
        <v>17</v>
      </c>
      <c r="AT933" s="45">
        <v>30</v>
      </c>
      <c r="AU933" s="46">
        <v>1343570</v>
      </c>
      <c r="AV933" s="45">
        <v>0</v>
      </c>
      <c r="AW933" s="45">
        <v>8</v>
      </c>
      <c r="AX933" s="46">
        <v>1282030</v>
      </c>
      <c r="AY933" s="45">
        <v>0</v>
      </c>
      <c r="AZ933" s="45">
        <v>17</v>
      </c>
    </row>
    <row r="934" spans="2:52">
      <c r="B934" s="46">
        <v>1255780</v>
      </c>
      <c r="C934" s="45">
        <v>0</v>
      </c>
      <c r="D934" s="45">
        <v>8</v>
      </c>
      <c r="E934" s="46">
        <v>1205840</v>
      </c>
      <c r="F934" s="45">
        <v>0</v>
      </c>
      <c r="G934" s="45">
        <v>10</v>
      </c>
      <c r="H934" s="46">
        <v>1182770</v>
      </c>
      <c r="I934" s="45">
        <v>0</v>
      </c>
      <c r="J934" s="45">
        <v>12</v>
      </c>
      <c r="K934" s="46">
        <v>1229430</v>
      </c>
      <c r="L934" s="45">
        <v>14</v>
      </c>
      <c r="M934" s="45">
        <v>12</v>
      </c>
      <c r="O934" s="46">
        <v>1327310</v>
      </c>
      <c r="P934" s="45">
        <v>0</v>
      </c>
      <c r="Q934" s="45">
        <v>5</v>
      </c>
      <c r="R934" s="46">
        <v>1306720</v>
      </c>
      <c r="S934" s="45">
        <v>0</v>
      </c>
      <c r="T934" s="45">
        <v>8</v>
      </c>
      <c r="U934" s="46">
        <v>1322710</v>
      </c>
      <c r="V934" s="45">
        <v>0</v>
      </c>
      <c r="W934" s="45">
        <v>5</v>
      </c>
      <c r="X934" s="46">
        <v>1302640</v>
      </c>
      <c r="Y934" s="45">
        <v>0</v>
      </c>
      <c r="Z934" s="45">
        <v>6</v>
      </c>
      <c r="AB934" s="46">
        <v>1197600</v>
      </c>
      <c r="AC934" s="45">
        <v>0</v>
      </c>
      <c r="AD934" s="45">
        <v>15</v>
      </c>
      <c r="AE934" s="46">
        <v>1431520</v>
      </c>
      <c r="AF934" s="45">
        <v>224</v>
      </c>
      <c r="AG934" s="45">
        <v>17</v>
      </c>
      <c r="AH934" s="46">
        <v>1253110</v>
      </c>
      <c r="AI934" s="45">
        <v>56</v>
      </c>
      <c r="AJ934" s="45">
        <v>20</v>
      </c>
      <c r="AK934" s="46">
        <v>1219890</v>
      </c>
      <c r="AL934" s="45">
        <v>0</v>
      </c>
      <c r="AM934" s="45">
        <v>8</v>
      </c>
      <c r="AO934" s="46">
        <v>1280060</v>
      </c>
      <c r="AP934" s="45">
        <v>4</v>
      </c>
      <c r="AQ934" s="45">
        <v>9</v>
      </c>
      <c r="AR934" s="46">
        <v>1249790</v>
      </c>
      <c r="AS934" s="45">
        <v>20</v>
      </c>
      <c r="AT934" s="45">
        <v>17</v>
      </c>
      <c r="AU934" s="46">
        <v>1281000</v>
      </c>
      <c r="AV934" s="45">
        <v>42</v>
      </c>
      <c r="AW934" s="45">
        <v>14</v>
      </c>
      <c r="AX934" s="46">
        <v>1198610</v>
      </c>
      <c r="AY934" s="45">
        <v>0</v>
      </c>
      <c r="AZ934" s="45">
        <v>13</v>
      </c>
    </row>
    <row r="935" spans="2:52">
      <c r="B935" s="46">
        <v>1051860</v>
      </c>
      <c r="C935" s="45">
        <v>0</v>
      </c>
      <c r="D935" s="45">
        <v>18</v>
      </c>
      <c r="E935" s="46">
        <v>1044370</v>
      </c>
      <c r="F935" s="45">
        <v>0</v>
      </c>
      <c r="G935" s="45">
        <v>7</v>
      </c>
      <c r="H935" s="46">
        <v>1026220</v>
      </c>
      <c r="I935" s="45">
        <v>0</v>
      </c>
      <c r="J935" s="45">
        <v>10</v>
      </c>
      <c r="K935" s="46">
        <v>1033630</v>
      </c>
      <c r="L935" s="45">
        <v>0</v>
      </c>
      <c r="M935" s="45">
        <v>6</v>
      </c>
      <c r="O935" s="46">
        <v>1178610</v>
      </c>
      <c r="P935" s="45">
        <v>0</v>
      </c>
      <c r="Q935" s="45">
        <v>6</v>
      </c>
      <c r="R935" s="46">
        <v>1166290</v>
      </c>
      <c r="S935" s="45">
        <v>0</v>
      </c>
      <c r="T935" s="45">
        <v>5</v>
      </c>
      <c r="U935" s="46">
        <v>1179940</v>
      </c>
      <c r="V935" s="45">
        <v>0</v>
      </c>
      <c r="W935" s="45">
        <v>4</v>
      </c>
      <c r="X935" s="46">
        <v>1127680</v>
      </c>
      <c r="Y935" s="45">
        <v>0</v>
      </c>
      <c r="Z935" s="45">
        <v>4</v>
      </c>
      <c r="AB935" s="46">
        <v>1027090</v>
      </c>
      <c r="AC935" s="45">
        <v>0</v>
      </c>
      <c r="AD935" s="45">
        <v>16</v>
      </c>
      <c r="AE935" s="46">
        <v>1013270</v>
      </c>
      <c r="AF935" s="45">
        <v>0</v>
      </c>
      <c r="AG935" s="45">
        <v>13</v>
      </c>
      <c r="AH935" s="46">
        <v>1057410</v>
      </c>
      <c r="AI935" s="45">
        <v>0</v>
      </c>
      <c r="AJ935" s="45">
        <v>7</v>
      </c>
      <c r="AK935" s="46">
        <v>1041020</v>
      </c>
      <c r="AL935" s="45">
        <v>0</v>
      </c>
      <c r="AM935" s="45">
        <v>6</v>
      </c>
      <c r="AO935" s="46">
        <v>1071440</v>
      </c>
      <c r="AP935" s="45">
        <v>0</v>
      </c>
      <c r="AQ935" s="45">
        <v>12</v>
      </c>
      <c r="AR935" s="46">
        <v>1042970</v>
      </c>
      <c r="AS935" s="45">
        <v>0</v>
      </c>
      <c r="AT935" s="45">
        <v>20</v>
      </c>
      <c r="AU935" s="46">
        <v>1084810</v>
      </c>
      <c r="AV935" s="45">
        <v>0</v>
      </c>
      <c r="AW935" s="45">
        <v>15</v>
      </c>
      <c r="AX935" s="46">
        <v>1008590</v>
      </c>
      <c r="AY935" s="45">
        <v>0</v>
      </c>
      <c r="AZ935" s="45">
        <v>10</v>
      </c>
    </row>
    <row r="936" spans="2:52">
      <c r="B936" s="46">
        <v>1395430</v>
      </c>
      <c r="C936" s="45">
        <v>50</v>
      </c>
      <c r="D936" s="45">
        <v>10</v>
      </c>
      <c r="E936" s="46">
        <v>1275420</v>
      </c>
      <c r="F936" s="45">
        <v>0</v>
      </c>
      <c r="G936" s="45">
        <v>10</v>
      </c>
      <c r="H936" s="46">
        <v>1221080</v>
      </c>
      <c r="I936" s="45">
        <v>0</v>
      </c>
      <c r="J936" s="45">
        <v>11</v>
      </c>
      <c r="K936" s="46">
        <v>1237430</v>
      </c>
      <c r="L936" s="45">
        <v>0</v>
      </c>
      <c r="M936" s="45">
        <v>8</v>
      </c>
      <c r="O936" s="46">
        <v>1445190</v>
      </c>
      <c r="P936" s="45">
        <v>0</v>
      </c>
      <c r="Q936" s="45">
        <v>7</v>
      </c>
      <c r="R936" s="46">
        <v>1392930</v>
      </c>
      <c r="S936" s="45">
        <v>0</v>
      </c>
      <c r="T936" s="45">
        <v>7</v>
      </c>
      <c r="U936" s="46">
        <v>1452680</v>
      </c>
      <c r="V936" s="45">
        <v>0</v>
      </c>
      <c r="W936" s="45">
        <v>3</v>
      </c>
      <c r="X936" s="46">
        <v>1357870</v>
      </c>
      <c r="Y936" s="45">
        <v>32</v>
      </c>
      <c r="Z936" s="45">
        <v>8</v>
      </c>
      <c r="AB936" s="46">
        <v>1292560</v>
      </c>
      <c r="AC936" s="45">
        <v>0</v>
      </c>
      <c r="AD936" s="45">
        <v>12</v>
      </c>
      <c r="AE936" s="46">
        <v>1332240</v>
      </c>
      <c r="AF936" s="45">
        <v>0</v>
      </c>
      <c r="AG936" s="45">
        <v>6</v>
      </c>
      <c r="AH936" s="46">
        <v>1283920</v>
      </c>
      <c r="AI936" s="45">
        <v>0</v>
      </c>
      <c r="AJ936" s="45">
        <v>6</v>
      </c>
      <c r="AK936" s="46">
        <v>1213770</v>
      </c>
      <c r="AL936" s="45">
        <v>0</v>
      </c>
      <c r="AM936" s="45">
        <v>15</v>
      </c>
      <c r="AO936" s="46">
        <v>1290120</v>
      </c>
      <c r="AP936" s="45">
        <v>0</v>
      </c>
      <c r="AQ936" s="45">
        <v>18</v>
      </c>
      <c r="AR936" s="46">
        <v>1340330</v>
      </c>
      <c r="AS936" s="45">
        <v>55</v>
      </c>
      <c r="AT936" s="45">
        <v>17</v>
      </c>
      <c r="AU936" s="46">
        <v>1279920</v>
      </c>
      <c r="AV936" s="45">
        <v>0</v>
      </c>
      <c r="AW936" s="45">
        <v>8</v>
      </c>
      <c r="AX936" s="46">
        <v>1220520</v>
      </c>
      <c r="AY936" s="45">
        <v>0</v>
      </c>
      <c r="AZ936" s="45">
        <v>15</v>
      </c>
    </row>
    <row r="937" spans="2:52">
      <c r="B937" s="46">
        <v>1195780</v>
      </c>
      <c r="C937" s="45">
        <v>0</v>
      </c>
      <c r="D937" s="45">
        <v>10</v>
      </c>
      <c r="E937" s="46">
        <v>1196410</v>
      </c>
      <c r="F937" s="45">
        <v>0</v>
      </c>
      <c r="G937" s="45">
        <v>6</v>
      </c>
      <c r="H937" s="46">
        <v>1177740</v>
      </c>
      <c r="I937" s="45">
        <v>0</v>
      </c>
      <c r="J937" s="45">
        <v>11</v>
      </c>
      <c r="K937" s="46">
        <v>1141710</v>
      </c>
      <c r="L937" s="45">
        <v>0</v>
      </c>
      <c r="M937" s="45">
        <v>10</v>
      </c>
      <c r="O937" s="46">
        <v>1375140</v>
      </c>
      <c r="P937" s="45">
        <v>0</v>
      </c>
      <c r="Q937" s="45">
        <v>4</v>
      </c>
      <c r="R937" s="46">
        <v>1386200</v>
      </c>
      <c r="S937" s="45">
        <v>0</v>
      </c>
      <c r="T937" s="45">
        <v>5</v>
      </c>
      <c r="U937" s="46">
        <v>1286400</v>
      </c>
      <c r="V937" s="45">
        <v>0</v>
      </c>
      <c r="W937" s="45">
        <v>8</v>
      </c>
      <c r="X937" s="46">
        <v>1301810</v>
      </c>
      <c r="Y937" s="45">
        <v>0</v>
      </c>
      <c r="Z937" s="45">
        <v>5</v>
      </c>
      <c r="AB937" s="46">
        <v>1258340</v>
      </c>
      <c r="AC937" s="45">
        <v>0</v>
      </c>
      <c r="AD937" s="45">
        <v>9</v>
      </c>
      <c r="AE937" s="46">
        <v>1206280</v>
      </c>
      <c r="AF937" s="45">
        <v>7</v>
      </c>
      <c r="AG937" s="45">
        <v>11</v>
      </c>
      <c r="AH937" s="46">
        <v>1188400</v>
      </c>
      <c r="AI937" s="45">
        <v>0</v>
      </c>
      <c r="AJ937" s="45">
        <v>6</v>
      </c>
      <c r="AK937" s="46">
        <v>1205730</v>
      </c>
      <c r="AL937" s="45">
        <v>11</v>
      </c>
      <c r="AM937" s="45">
        <v>9</v>
      </c>
      <c r="AO937" s="46">
        <v>1236350</v>
      </c>
      <c r="AP937" s="45">
        <v>0</v>
      </c>
      <c r="AQ937" s="45">
        <v>10</v>
      </c>
      <c r="AR937" s="46">
        <v>1225980</v>
      </c>
      <c r="AS937" s="45">
        <v>0</v>
      </c>
      <c r="AT937" s="45">
        <v>19</v>
      </c>
      <c r="AU937" s="46">
        <v>1202350</v>
      </c>
      <c r="AV937" s="45">
        <v>0</v>
      </c>
      <c r="AW937" s="45">
        <v>10</v>
      </c>
      <c r="AX937" s="46">
        <v>1185150</v>
      </c>
      <c r="AY937" s="45">
        <v>0</v>
      </c>
      <c r="AZ937" s="45">
        <v>6</v>
      </c>
    </row>
    <row r="938" spans="2:52">
      <c r="B938" s="46">
        <v>1244400</v>
      </c>
      <c r="C938" s="45">
        <v>0</v>
      </c>
      <c r="D938" s="45">
        <v>7</v>
      </c>
      <c r="E938" s="46">
        <v>1241320</v>
      </c>
      <c r="F938" s="45">
        <v>0</v>
      </c>
      <c r="G938" s="45">
        <v>11</v>
      </c>
      <c r="H938" s="46">
        <v>1235860</v>
      </c>
      <c r="I938" s="45">
        <v>5</v>
      </c>
      <c r="J938" s="45">
        <v>10</v>
      </c>
      <c r="K938" s="46">
        <v>1233150</v>
      </c>
      <c r="L938" s="45">
        <v>0</v>
      </c>
      <c r="M938" s="45">
        <v>7</v>
      </c>
      <c r="O938" s="46">
        <v>1444390</v>
      </c>
      <c r="P938" s="45">
        <v>52</v>
      </c>
      <c r="Q938" s="45">
        <v>11</v>
      </c>
      <c r="R938" s="46">
        <v>1310620</v>
      </c>
      <c r="S938" s="45">
        <v>0</v>
      </c>
      <c r="T938" s="45">
        <v>4</v>
      </c>
      <c r="U938" s="46">
        <v>1337780</v>
      </c>
      <c r="V938" s="45">
        <v>0</v>
      </c>
      <c r="W938" s="45">
        <v>6</v>
      </c>
      <c r="X938" s="46">
        <v>1342000</v>
      </c>
      <c r="Y938" s="45">
        <v>0</v>
      </c>
      <c r="Z938" s="45">
        <v>6</v>
      </c>
      <c r="AB938" s="46">
        <v>1405210</v>
      </c>
      <c r="AC938" s="45">
        <v>98</v>
      </c>
      <c r="AD938" s="45">
        <v>13</v>
      </c>
      <c r="AE938" s="46">
        <v>1228290</v>
      </c>
      <c r="AF938" s="45">
        <v>17</v>
      </c>
      <c r="AG938" s="45">
        <v>15</v>
      </c>
      <c r="AH938" s="46">
        <v>1297000</v>
      </c>
      <c r="AI938" s="45">
        <v>40</v>
      </c>
      <c r="AJ938" s="45">
        <v>11</v>
      </c>
      <c r="AK938" s="46">
        <v>1245440</v>
      </c>
      <c r="AL938" s="45">
        <v>39</v>
      </c>
      <c r="AM938" s="45">
        <v>14</v>
      </c>
      <c r="AO938" s="46">
        <v>1264400</v>
      </c>
      <c r="AP938" s="45">
        <v>0</v>
      </c>
      <c r="AQ938" s="45">
        <v>9</v>
      </c>
      <c r="AR938" s="46">
        <v>1254470</v>
      </c>
      <c r="AS938" s="45">
        <v>19</v>
      </c>
      <c r="AT938" s="45">
        <v>14</v>
      </c>
      <c r="AU938" s="46">
        <v>1201160</v>
      </c>
      <c r="AV938" s="45">
        <v>0</v>
      </c>
      <c r="AW938" s="45">
        <v>11</v>
      </c>
      <c r="AX938" s="46">
        <v>1311440</v>
      </c>
      <c r="AY938" s="45">
        <v>66</v>
      </c>
      <c r="AZ938" s="45">
        <v>10</v>
      </c>
    </row>
    <row r="939" spans="2:52">
      <c r="B939" s="46">
        <v>1195070</v>
      </c>
      <c r="C939" s="45">
        <v>0</v>
      </c>
      <c r="D939" s="45">
        <v>16</v>
      </c>
      <c r="E939" s="46">
        <v>1235080</v>
      </c>
      <c r="F939" s="45">
        <v>0</v>
      </c>
      <c r="G939" s="45">
        <v>10</v>
      </c>
      <c r="H939" s="46">
        <v>1203440</v>
      </c>
      <c r="I939" s="45">
        <v>0</v>
      </c>
      <c r="J939" s="45">
        <v>11</v>
      </c>
      <c r="K939" s="46">
        <v>1277910</v>
      </c>
      <c r="L939" s="45">
        <v>27</v>
      </c>
      <c r="M939" s="45">
        <v>10</v>
      </c>
      <c r="O939" s="46">
        <v>1418130</v>
      </c>
      <c r="P939" s="45">
        <v>0</v>
      </c>
      <c r="Q939" s="45">
        <v>6</v>
      </c>
      <c r="R939" s="46">
        <v>1360500</v>
      </c>
      <c r="S939" s="45">
        <v>0</v>
      </c>
      <c r="T939" s="45">
        <v>8</v>
      </c>
      <c r="U939" s="46">
        <v>1339860</v>
      </c>
      <c r="V939" s="45">
        <v>0</v>
      </c>
      <c r="W939" s="45">
        <v>6</v>
      </c>
      <c r="X939" s="46">
        <v>1347040</v>
      </c>
      <c r="Y939" s="45">
        <v>0</v>
      </c>
      <c r="Z939" s="45">
        <v>6</v>
      </c>
      <c r="AB939" s="46">
        <v>1247870</v>
      </c>
      <c r="AC939" s="45">
        <v>0</v>
      </c>
      <c r="AD939" s="45">
        <v>9</v>
      </c>
      <c r="AE939" s="46">
        <v>1253450</v>
      </c>
      <c r="AF939" s="45">
        <v>0</v>
      </c>
      <c r="AG939" s="45">
        <v>8</v>
      </c>
      <c r="AH939" s="46">
        <v>1299570</v>
      </c>
      <c r="AI939" s="45">
        <v>43</v>
      </c>
      <c r="AJ939" s="45">
        <v>13</v>
      </c>
      <c r="AK939" s="46">
        <v>1268480</v>
      </c>
      <c r="AL939" s="45">
        <v>0</v>
      </c>
      <c r="AM939" s="45">
        <v>7</v>
      </c>
      <c r="AO939" s="46">
        <v>1265630</v>
      </c>
      <c r="AP939" s="45">
        <v>0</v>
      </c>
      <c r="AQ939" s="45">
        <v>8</v>
      </c>
      <c r="AR939" s="46">
        <v>1309140</v>
      </c>
      <c r="AS939" s="45">
        <v>34</v>
      </c>
      <c r="AT939" s="45">
        <v>12</v>
      </c>
      <c r="AU939" s="46">
        <v>1178600</v>
      </c>
      <c r="AV939" s="45">
        <v>0</v>
      </c>
      <c r="AW939" s="45">
        <v>22</v>
      </c>
      <c r="AX939" s="46">
        <v>1240760</v>
      </c>
      <c r="AY939" s="45">
        <v>0</v>
      </c>
      <c r="AZ939" s="45">
        <v>9</v>
      </c>
    </row>
    <row r="940" spans="2:52">
      <c r="B940" s="46">
        <v>1263150</v>
      </c>
      <c r="C940" s="45">
        <v>0</v>
      </c>
      <c r="D940" s="45">
        <v>17</v>
      </c>
      <c r="E940" s="46">
        <v>1334060</v>
      </c>
      <c r="F940" s="45">
        <v>127</v>
      </c>
      <c r="G940" s="45">
        <v>20</v>
      </c>
      <c r="H940" s="46">
        <v>1248280</v>
      </c>
      <c r="I940" s="45">
        <v>4</v>
      </c>
      <c r="J940" s="45">
        <v>18</v>
      </c>
      <c r="K940" s="46">
        <v>1245760</v>
      </c>
      <c r="L940" s="45">
        <v>0</v>
      </c>
      <c r="M940" s="45">
        <v>7</v>
      </c>
      <c r="O940" s="46">
        <v>1410370</v>
      </c>
      <c r="P940" s="45">
        <v>0</v>
      </c>
      <c r="Q940" s="45">
        <v>6</v>
      </c>
      <c r="R940" s="46">
        <v>1343210</v>
      </c>
      <c r="S940" s="45">
        <v>0</v>
      </c>
      <c r="T940" s="45">
        <v>6</v>
      </c>
      <c r="U940" s="46">
        <v>1349080</v>
      </c>
      <c r="V940" s="45">
        <v>0</v>
      </c>
      <c r="W940" s="45">
        <v>5</v>
      </c>
      <c r="X940" s="46">
        <v>1334490</v>
      </c>
      <c r="Y940" s="45">
        <v>0</v>
      </c>
      <c r="Z940" s="45">
        <v>6</v>
      </c>
      <c r="AB940" s="46">
        <v>1212710</v>
      </c>
      <c r="AC940" s="45">
        <v>0</v>
      </c>
      <c r="AD940" s="45">
        <v>13</v>
      </c>
      <c r="AE940" s="46">
        <v>1257010</v>
      </c>
      <c r="AF940" s="45">
        <v>0</v>
      </c>
      <c r="AG940" s="45">
        <v>8</v>
      </c>
      <c r="AH940" s="46">
        <v>1247630</v>
      </c>
      <c r="AI940" s="45">
        <v>0</v>
      </c>
      <c r="AJ940" s="45">
        <v>9</v>
      </c>
      <c r="AK940" s="46">
        <v>1423240</v>
      </c>
      <c r="AL940" s="45">
        <v>105</v>
      </c>
      <c r="AM940" s="45">
        <v>13</v>
      </c>
      <c r="AO940" s="46">
        <v>1299750</v>
      </c>
      <c r="AP940" s="45">
        <v>18</v>
      </c>
      <c r="AQ940" s="45">
        <v>15</v>
      </c>
      <c r="AR940" s="46">
        <v>1273830</v>
      </c>
      <c r="AS940" s="45">
        <v>0</v>
      </c>
      <c r="AT940" s="45">
        <v>9</v>
      </c>
      <c r="AU940" s="46">
        <v>1262850</v>
      </c>
      <c r="AV940" s="45">
        <v>0</v>
      </c>
      <c r="AW940" s="45">
        <v>16</v>
      </c>
      <c r="AX940" s="46">
        <v>1260050</v>
      </c>
      <c r="AY940" s="45">
        <v>0</v>
      </c>
      <c r="AZ940" s="45">
        <v>7</v>
      </c>
    </row>
    <row r="941" spans="2:52">
      <c r="B941" s="46">
        <v>1132970</v>
      </c>
      <c r="C941" s="45">
        <v>0</v>
      </c>
      <c r="D941" s="45">
        <v>17</v>
      </c>
      <c r="E941" s="46">
        <v>1181800</v>
      </c>
      <c r="F941" s="45">
        <v>49</v>
      </c>
      <c r="G941" s="45">
        <v>12</v>
      </c>
      <c r="H941" s="46">
        <v>1151680</v>
      </c>
      <c r="I941" s="45">
        <v>0</v>
      </c>
      <c r="J941" s="45">
        <v>10</v>
      </c>
      <c r="K941" s="46">
        <v>1231620</v>
      </c>
      <c r="L941" s="45">
        <v>66</v>
      </c>
      <c r="M941" s="45">
        <v>6</v>
      </c>
      <c r="O941" s="46">
        <v>1257450</v>
      </c>
      <c r="P941" s="45">
        <v>0</v>
      </c>
      <c r="Q941" s="45">
        <v>9</v>
      </c>
      <c r="R941" s="46">
        <v>1261110</v>
      </c>
      <c r="S941" s="45">
        <v>0</v>
      </c>
      <c r="T941" s="45">
        <v>5</v>
      </c>
      <c r="U941" s="46">
        <v>1256030</v>
      </c>
      <c r="V941" s="45">
        <v>0</v>
      </c>
      <c r="W941" s="45">
        <v>5</v>
      </c>
      <c r="X941" s="46">
        <v>1231070</v>
      </c>
      <c r="Y941" s="45">
        <v>14</v>
      </c>
      <c r="Z941" s="45">
        <v>9</v>
      </c>
      <c r="AB941" s="46">
        <v>1159020</v>
      </c>
      <c r="AC941" s="45">
        <v>0</v>
      </c>
      <c r="AD941" s="45">
        <v>11</v>
      </c>
      <c r="AE941" s="46">
        <v>1140000</v>
      </c>
      <c r="AF941" s="45">
        <v>0</v>
      </c>
      <c r="AG941" s="45">
        <v>12</v>
      </c>
      <c r="AH941" s="46">
        <v>1187130</v>
      </c>
      <c r="AI941" s="45">
        <v>0</v>
      </c>
      <c r="AJ941" s="45">
        <v>9</v>
      </c>
      <c r="AK941" s="46">
        <v>1293050</v>
      </c>
      <c r="AL941" s="45">
        <v>186</v>
      </c>
      <c r="AM941" s="45">
        <v>23</v>
      </c>
      <c r="AO941" s="46">
        <v>1229330</v>
      </c>
      <c r="AP941" s="45">
        <v>28</v>
      </c>
      <c r="AQ941" s="45">
        <v>8</v>
      </c>
      <c r="AR941" s="46">
        <v>1144060</v>
      </c>
      <c r="AS941" s="45">
        <v>0</v>
      </c>
      <c r="AT941" s="45">
        <v>17</v>
      </c>
      <c r="AU941" s="46">
        <v>1171490</v>
      </c>
      <c r="AV941" s="45">
        <v>0</v>
      </c>
      <c r="AW941" s="45">
        <v>8</v>
      </c>
      <c r="AX941" s="46">
        <v>1151580</v>
      </c>
      <c r="AY941" s="45">
        <v>0</v>
      </c>
      <c r="AZ941" s="45">
        <v>11</v>
      </c>
    </row>
    <row r="942" spans="2:52">
      <c r="B942" s="46">
        <v>1131930</v>
      </c>
      <c r="C942" s="45">
        <v>8</v>
      </c>
      <c r="D942" s="45">
        <v>17</v>
      </c>
      <c r="E942" s="46">
        <v>1187240</v>
      </c>
      <c r="F942" s="45">
        <v>3</v>
      </c>
      <c r="G942" s="45">
        <v>8</v>
      </c>
      <c r="H942" s="46">
        <v>1203730</v>
      </c>
      <c r="I942" s="45">
        <v>44</v>
      </c>
      <c r="J942" s="45">
        <v>11</v>
      </c>
      <c r="K942" s="46">
        <v>1189690</v>
      </c>
      <c r="L942" s="45">
        <v>0</v>
      </c>
      <c r="M942" s="45">
        <v>7</v>
      </c>
      <c r="O942" s="46">
        <v>1250900</v>
      </c>
      <c r="P942" s="45">
        <v>0</v>
      </c>
      <c r="Q942" s="45">
        <v>6</v>
      </c>
      <c r="R942" s="46">
        <v>1269300</v>
      </c>
      <c r="S942" s="45">
        <v>0</v>
      </c>
      <c r="T942" s="45">
        <v>7</v>
      </c>
      <c r="U942" s="46">
        <v>1223120</v>
      </c>
      <c r="V942" s="45">
        <v>0</v>
      </c>
      <c r="W942" s="45">
        <v>9</v>
      </c>
      <c r="X942" s="46">
        <v>1233150</v>
      </c>
      <c r="Y942" s="45">
        <v>0</v>
      </c>
      <c r="Z942" s="45">
        <v>7</v>
      </c>
      <c r="AB942" s="46">
        <v>1143590</v>
      </c>
      <c r="AC942" s="45">
        <v>0</v>
      </c>
      <c r="AD942" s="45">
        <v>10</v>
      </c>
      <c r="AE942" s="46">
        <v>1147440</v>
      </c>
      <c r="AF942" s="45">
        <v>0</v>
      </c>
      <c r="AG942" s="45">
        <v>8</v>
      </c>
      <c r="AH942" s="46">
        <v>1165410</v>
      </c>
      <c r="AI942" s="45">
        <v>8</v>
      </c>
      <c r="AJ942" s="45">
        <v>7</v>
      </c>
      <c r="AK942" s="46">
        <v>1189360</v>
      </c>
      <c r="AL942" s="45">
        <v>59</v>
      </c>
      <c r="AM942" s="45">
        <v>11</v>
      </c>
      <c r="AO942" s="46">
        <v>1199260</v>
      </c>
      <c r="AP942" s="45">
        <v>0</v>
      </c>
      <c r="AQ942" s="45">
        <v>9</v>
      </c>
      <c r="AR942" s="46">
        <v>1165370</v>
      </c>
      <c r="AS942" s="45">
        <v>0</v>
      </c>
      <c r="AT942" s="45">
        <v>9</v>
      </c>
      <c r="AU942" s="46">
        <v>1164990</v>
      </c>
      <c r="AV942" s="45">
        <v>0</v>
      </c>
      <c r="AW942" s="45">
        <v>5</v>
      </c>
      <c r="AX942" s="46">
        <v>1173660</v>
      </c>
      <c r="AY942" s="45">
        <v>16</v>
      </c>
      <c r="AZ942" s="45">
        <v>5</v>
      </c>
    </row>
    <row r="943" spans="2:52">
      <c r="B943" s="46">
        <v>1361600</v>
      </c>
      <c r="C943" s="45">
        <v>0</v>
      </c>
      <c r="D943" s="45">
        <v>5</v>
      </c>
      <c r="E943" s="46">
        <v>1329060</v>
      </c>
      <c r="F943" s="45">
        <v>66</v>
      </c>
      <c r="G943" s="45">
        <v>15</v>
      </c>
      <c r="H943" s="46">
        <v>1280010</v>
      </c>
      <c r="I943" s="45">
        <v>0</v>
      </c>
      <c r="J943" s="45">
        <v>17</v>
      </c>
      <c r="K943" s="46">
        <v>1238780</v>
      </c>
      <c r="L943" s="45">
        <v>0</v>
      </c>
      <c r="M943" s="45">
        <v>12</v>
      </c>
      <c r="O943" s="46">
        <v>1452290</v>
      </c>
      <c r="P943" s="45">
        <v>0</v>
      </c>
      <c r="Q943" s="45">
        <v>4</v>
      </c>
      <c r="R943" s="46">
        <v>1459200</v>
      </c>
      <c r="S943" s="45">
        <v>0</v>
      </c>
      <c r="T943" s="45">
        <v>3</v>
      </c>
      <c r="U943" s="46">
        <v>1353630</v>
      </c>
      <c r="V943" s="45">
        <v>0</v>
      </c>
      <c r="W943" s="45">
        <v>6</v>
      </c>
      <c r="X943" s="46">
        <v>1325890</v>
      </c>
      <c r="Y943" s="45">
        <v>0</v>
      </c>
      <c r="Z943" s="45">
        <v>9</v>
      </c>
      <c r="AB943" s="46">
        <v>1372960</v>
      </c>
      <c r="AC943" s="45">
        <v>80</v>
      </c>
      <c r="AD943" s="45">
        <v>17</v>
      </c>
      <c r="AE943" s="46">
        <v>1333000</v>
      </c>
      <c r="AF943" s="45">
        <v>44</v>
      </c>
      <c r="AG943" s="45">
        <v>12</v>
      </c>
      <c r="AH943" s="46">
        <v>1276790</v>
      </c>
      <c r="AI943" s="45">
        <v>0</v>
      </c>
      <c r="AJ943" s="45">
        <v>9</v>
      </c>
      <c r="AK943" s="46">
        <v>1382830</v>
      </c>
      <c r="AL943" s="45">
        <v>156</v>
      </c>
      <c r="AM943" s="45">
        <v>16</v>
      </c>
      <c r="AO943" s="46">
        <v>1279510</v>
      </c>
      <c r="AP943" s="45">
        <v>5</v>
      </c>
      <c r="AQ943" s="45">
        <v>14</v>
      </c>
      <c r="AR943" s="46">
        <v>1289420</v>
      </c>
      <c r="AS943" s="45">
        <v>11</v>
      </c>
      <c r="AT943" s="45">
        <v>10</v>
      </c>
      <c r="AU943" s="46">
        <v>1285820</v>
      </c>
      <c r="AV943" s="45">
        <v>0</v>
      </c>
      <c r="AW943" s="45">
        <v>5</v>
      </c>
      <c r="AX943" s="46">
        <v>1381470</v>
      </c>
      <c r="AY943" s="45">
        <v>45</v>
      </c>
      <c r="AZ943" s="45">
        <v>8</v>
      </c>
    </row>
    <row r="944" spans="2:52">
      <c r="B944" s="46">
        <v>1237060</v>
      </c>
      <c r="C944" s="45">
        <v>0</v>
      </c>
      <c r="D944" s="45">
        <v>15</v>
      </c>
      <c r="E944" s="46">
        <v>1236230</v>
      </c>
      <c r="F944" s="45">
        <v>10</v>
      </c>
      <c r="G944" s="45">
        <v>11</v>
      </c>
      <c r="H944" s="46">
        <v>1203130</v>
      </c>
      <c r="I944" s="45">
        <v>17</v>
      </c>
      <c r="J944" s="45">
        <v>26</v>
      </c>
      <c r="K944" s="46">
        <v>1216070</v>
      </c>
      <c r="L944" s="45">
        <v>0</v>
      </c>
      <c r="M944" s="45">
        <v>10</v>
      </c>
      <c r="O944" s="46">
        <v>1418570</v>
      </c>
      <c r="P944" s="45">
        <v>52</v>
      </c>
      <c r="Q944" s="45">
        <v>17</v>
      </c>
      <c r="R944" s="46">
        <v>1397640</v>
      </c>
      <c r="S944" s="45">
        <v>0</v>
      </c>
      <c r="T944" s="45">
        <v>5</v>
      </c>
      <c r="U944" s="46">
        <v>1393290</v>
      </c>
      <c r="V944" s="45">
        <v>0</v>
      </c>
      <c r="W944" s="45">
        <v>5</v>
      </c>
      <c r="X944" s="46">
        <v>1364900</v>
      </c>
      <c r="Y944" s="45">
        <v>0</v>
      </c>
      <c r="Z944" s="45">
        <v>5</v>
      </c>
      <c r="AB944" s="46">
        <v>1210210</v>
      </c>
      <c r="AC944" s="45">
        <v>0</v>
      </c>
      <c r="AD944" s="45">
        <v>11</v>
      </c>
      <c r="AE944" s="46">
        <v>1193270</v>
      </c>
      <c r="AF944" s="45">
        <v>0</v>
      </c>
      <c r="AG944" s="45">
        <v>9</v>
      </c>
      <c r="AH944" s="46">
        <v>1253620</v>
      </c>
      <c r="AI944" s="45">
        <v>0</v>
      </c>
      <c r="AJ944" s="45">
        <v>11</v>
      </c>
      <c r="AK944" s="46">
        <v>1318950</v>
      </c>
      <c r="AL944" s="45">
        <v>75</v>
      </c>
      <c r="AM944" s="45">
        <v>6</v>
      </c>
      <c r="AO944" s="46">
        <v>1242620</v>
      </c>
      <c r="AP944" s="45">
        <v>0</v>
      </c>
      <c r="AQ944" s="45">
        <v>10</v>
      </c>
      <c r="AR944" s="46">
        <v>1247550</v>
      </c>
      <c r="AS944" s="45">
        <v>0</v>
      </c>
      <c r="AT944" s="45">
        <v>15</v>
      </c>
      <c r="AU944" s="46">
        <v>1265490</v>
      </c>
      <c r="AV944" s="45">
        <v>46</v>
      </c>
      <c r="AW944" s="45">
        <v>14</v>
      </c>
      <c r="AX944" s="46">
        <v>1221910</v>
      </c>
      <c r="AY944" s="45">
        <v>0</v>
      </c>
      <c r="AZ944" s="45">
        <v>9</v>
      </c>
    </row>
    <row r="945" spans="2:52">
      <c r="B945" s="46">
        <v>1246580</v>
      </c>
      <c r="C945" s="45">
        <v>0</v>
      </c>
      <c r="D945" s="45">
        <v>13</v>
      </c>
      <c r="E945" s="46">
        <v>1283440</v>
      </c>
      <c r="F945" s="45">
        <v>0</v>
      </c>
      <c r="G945" s="45">
        <v>8</v>
      </c>
      <c r="H945" s="46">
        <v>1238660</v>
      </c>
      <c r="I945" s="45">
        <v>0</v>
      </c>
      <c r="J945" s="45">
        <v>9</v>
      </c>
      <c r="K945" s="46">
        <v>1293830</v>
      </c>
      <c r="L945" s="45">
        <v>25</v>
      </c>
      <c r="M945" s="45">
        <v>13</v>
      </c>
      <c r="O945" s="46">
        <v>1382100</v>
      </c>
      <c r="P945" s="45">
        <v>0</v>
      </c>
      <c r="Q945" s="45">
        <v>6</v>
      </c>
      <c r="R945" s="46">
        <v>1361470</v>
      </c>
      <c r="S945" s="45">
        <v>0</v>
      </c>
      <c r="T945" s="45">
        <v>4</v>
      </c>
      <c r="U945" s="46">
        <v>1383280</v>
      </c>
      <c r="V945" s="45">
        <v>0</v>
      </c>
      <c r="W945" s="45">
        <v>4</v>
      </c>
      <c r="X945" s="46">
        <v>1355760</v>
      </c>
      <c r="Y945" s="45">
        <v>25</v>
      </c>
      <c r="Z945" s="45">
        <v>6</v>
      </c>
      <c r="AB945" s="46">
        <v>1352880</v>
      </c>
      <c r="AC945" s="45">
        <v>64</v>
      </c>
      <c r="AD945" s="45">
        <v>20</v>
      </c>
      <c r="AE945" s="46">
        <v>1286190</v>
      </c>
      <c r="AF945" s="45">
        <v>0</v>
      </c>
      <c r="AG945" s="45">
        <v>9</v>
      </c>
      <c r="AH945" s="46">
        <v>1249630</v>
      </c>
      <c r="AI945" s="45">
        <v>0</v>
      </c>
      <c r="AJ945" s="45">
        <v>6</v>
      </c>
      <c r="AK945" s="46">
        <v>1281570</v>
      </c>
      <c r="AL945" s="45">
        <v>0</v>
      </c>
      <c r="AM945" s="45">
        <v>5</v>
      </c>
      <c r="AO945" s="46">
        <v>1409490</v>
      </c>
      <c r="AP945" s="45">
        <v>111</v>
      </c>
      <c r="AQ945" s="45">
        <v>19</v>
      </c>
      <c r="AR945" s="46">
        <v>1288380</v>
      </c>
      <c r="AS945" s="45">
        <v>0</v>
      </c>
      <c r="AT945" s="45">
        <v>14</v>
      </c>
      <c r="AU945" s="46">
        <v>1281460</v>
      </c>
      <c r="AV945" s="45">
        <v>0</v>
      </c>
      <c r="AW945" s="45">
        <v>10</v>
      </c>
      <c r="AX945" s="46">
        <v>1271170</v>
      </c>
      <c r="AY945" s="45">
        <v>0</v>
      </c>
      <c r="AZ945" s="45">
        <v>7</v>
      </c>
    </row>
    <row r="946" spans="2:52">
      <c r="B946" s="46">
        <v>1125900</v>
      </c>
      <c r="C946" s="45">
        <v>0</v>
      </c>
      <c r="D946" s="45">
        <v>19</v>
      </c>
      <c r="E946" s="46">
        <v>1131650</v>
      </c>
      <c r="F946" s="45">
        <v>0</v>
      </c>
      <c r="G946" s="45">
        <v>9</v>
      </c>
      <c r="H946" s="46">
        <v>1070400</v>
      </c>
      <c r="I946" s="45">
        <v>0</v>
      </c>
      <c r="J946" s="45">
        <v>11</v>
      </c>
      <c r="K946" s="46">
        <v>1125830</v>
      </c>
      <c r="L946" s="45">
        <v>0</v>
      </c>
      <c r="M946" s="45">
        <v>10</v>
      </c>
      <c r="O946" s="46">
        <v>1268380</v>
      </c>
      <c r="P946" s="45">
        <v>0</v>
      </c>
      <c r="Q946" s="45">
        <v>7</v>
      </c>
      <c r="R946" s="46">
        <v>1200910</v>
      </c>
      <c r="S946" s="45">
        <v>6</v>
      </c>
      <c r="T946" s="45">
        <v>7</v>
      </c>
      <c r="U946" s="46">
        <v>1241740</v>
      </c>
      <c r="V946" s="45">
        <v>0</v>
      </c>
      <c r="W946" s="45">
        <v>5</v>
      </c>
      <c r="X946" s="46">
        <v>1222040</v>
      </c>
      <c r="Y946" s="45">
        <v>0</v>
      </c>
      <c r="Z946" s="45">
        <v>6</v>
      </c>
      <c r="AB946" s="46">
        <v>1138440</v>
      </c>
      <c r="AC946" s="45">
        <v>0</v>
      </c>
      <c r="AD946" s="45">
        <v>16</v>
      </c>
      <c r="AE946" s="46">
        <v>1132120</v>
      </c>
      <c r="AF946" s="45">
        <v>0</v>
      </c>
      <c r="AG946" s="45">
        <v>16</v>
      </c>
      <c r="AH946" s="46">
        <v>1210500</v>
      </c>
      <c r="AI946" s="45">
        <v>87</v>
      </c>
      <c r="AJ946" s="45">
        <v>11</v>
      </c>
      <c r="AK946" s="46">
        <v>1146980</v>
      </c>
      <c r="AL946" s="45">
        <v>0</v>
      </c>
      <c r="AM946" s="45">
        <v>5</v>
      </c>
      <c r="AO946" s="46">
        <v>1140490</v>
      </c>
      <c r="AP946" s="45">
        <v>21</v>
      </c>
      <c r="AQ946" s="45">
        <v>8</v>
      </c>
      <c r="AR946" s="46">
        <v>1179520</v>
      </c>
      <c r="AS946" s="45">
        <v>0</v>
      </c>
      <c r="AT946" s="45">
        <v>4</v>
      </c>
      <c r="AU946" s="46">
        <v>1182950</v>
      </c>
      <c r="AV946" s="45">
        <v>0</v>
      </c>
      <c r="AW946" s="45">
        <v>4</v>
      </c>
      <c r="AX946" s="46">
        <v>1137350</v>
      </c>
      <c r="AY946" s="45">
        <v>0</v>
      </c>
      <c r="AZ946" s="45">
        <v>8</v>
      </c>
    </row>
    <row r="947" spans="2:52">
      <c r="B947" s="46">
        <v>1177990</v>
      </c>
      <c r="C947" s="45">
        <v>0</v>
      </c>
      <c r="D947" s="45">
        <v>13</v>
      </c>
      <c r="E947" s="46">
        <v>1223590</v>
      </c>
      <c r="F947" s="45">
        <v>0</v>
      </c>
      <c r="G947" s="45">
        <v>9</v>
      </c>
      <c r="H947" s="46">
        <v>1262850</v>
      </c>
      <c r="I947" s="45">
        <v>29</v>
      </c>
      <c r="J947" s="45">
        <v>20</v>
      </c>
      <c r="K947" s="46">
        <v>1210770</v>
      </c>
      <c r="L947" s="45">
        <v>0</v>
      </c>
      <c r="M947" s="45">
        <v>7</v>
      </c>
      <c r="O947" s="46">
        <v>1337550</v>
      </c>
      <c r="P947" s="45">
        <v>0</v>
      </c>
      <c r="Q947" s="45">
        <v>7</v>
      </c>
      <c r="R947" s="46">
        <v>1276440</v>
      </c>
      <c r="S947" s="45">
        <v>0</v>
      </c>
      <c r="T947" s="45">
        <v>7</v>
      </c>
      <c r="U947" s="46">
        <v>1328880</v>
      </c>
      <c r="V947" s="45">
        <v>17</v>
      </c>
      <c r="W947" s="45">
        <v>7</v>
      </c>
      <c r="X947" s="46">
        <v>1272750</v>
      </c>
      <c r="Y947" s="45">
        <v>0</v>
      </c>
      <c r="Z947" s="45">
        <v>7</v>
      </c>
      <c r="AB947" s="46">
        <v>1207830</v>
      </c>
      <c r="AC947" s="45">
        <v>0</v>
      </c>
      <c r="AD947" s="45">
        <v>9</v>
      </c>
      <c r="AE947" s="46">
        <v>1188490</v>
      </c>
      <c r="AF947" s="45">
        <v>0</v>
      </c>
      <c r="AG947" s="45">
        <v>14</v>
      </c>
      <c r="AH947" s="46">
        <v>1203890</v>
      </c>
      <c r="AI947" s="45">
        <v>0</v>
      </c>
      <c r="AJ947" s="45">
        <v>8</v>
      </c>
      <c r="AK947" s="46">
        <v>1210760</v>
      </c>
      <c r="AL947" s="45">
        <v>0</v>
      </c>
      <c r="AM947" s="45">
        <v>6</v>
      </c>
      <c r="AO947" s="46">
        <v>1361160</v>
      </c>
      <c r="AP947" s="45">
        <v>44</v>
      </c>
      <c r="AQ947" s="45">
        <v>9</v>
      </c>
      <c r="AR947" s="46">
        <v>1182110</v>
      </c>
      <c r="AS947" s="45">
        <v>0</v>
      </c>
      <c r="AT947" s="45">
        <v>11</v>
      </c>
      <c r="AU947" s="46">
        <v>1198870</v>
      </c>
      <c r="AV947" s="45">
        <v>0</v>
      </c>
      <c r="AW947" s="45">
        <v>8</v>
      </c>
      <c r="AX947" s="46">
        <v>1221630</v>
      </c>
      <c r="AY947" s="45">
        <v>0</v>
      </c>
      <c r="AZ947" s="45">
        <v>7</v>
      </c>
    </row>
    <row r="948" spans="2:52">
      <c r="B948" s="46">
        <v>1388750</v>
      </c>
      <c r="C948" s="45">
        <v>0</v>
      </c>
      <c r="D948" s="45">
        <v>10</v>
      </c>
      <c r="E948" s="46">
        <v>1417480</v>
      </c>
      <c r="F948" s="45">
        <v>56</v>
      </c>
      <c r="G948" s="45">
        <v>19</v>
      </c>
      <c r="H948" s="46">
        <v>1394040</v>
      </c>
      <c r="I948" s="45">
        <v>25</v>
      </c>
      <c r="J948" s="45">
        <v>7</v>
      </c>
      <c r="K948" s="46">
        <v>1355700</v>
      </c>
      <c r="L948" s="45">
        <v>0</v>
      </c>
      <c r="M948" s="45">
        <v>7</v>
      </c>
      <c r="O948" s="46">
        <v>1511350</v>
      </c>
      <c r="P948" s="45">
        <v>0</v>
      </c>
      <c r="Q948" s="45">
        <v>7</v>
      </c>
      <c r="R948" s="46">
        <v>1445670</v>
      </c>
      <c r="S948" s="45">
        <v>0</v>
      </c>
      <c r="T948" s="45">
        <v>5</v>
      </c>
      <c r="U948" s="46">
        <v>1436440</v>
      </c>
      <c r="V948" s="45">
        <v>0</v>
      </c>
      <c r="W948" s="45">
        <v>5</v>
      </c>
      <c r="X948" s="46">
        <v>1429250</v>
      </c>
      <c r="Y948" s="45">
        <v>0</v>
      </c>
      <c r="Z948" s="45">
        <v>7</v>
      </c>
      <c r="AB948" s="46">
        <v>1396300</v>
      </c>
      <c r="AC948" s="45">
        <v>0</v>
      </c>
      <c r="AD948" s="45">
        <v>10</v>
      </c>
      <c r="AE948" s="46">
        <v>1403200</v>
      </c>
      <c r="AF948" s="45">
        <v>0</v>
      </c>
      <c r="AG948" s="45">
        <v>8</v>
      </c>
      <c r="AH948" s="46">
        <v>1378250</v>
      </c>
      <c r="AI948" s="45">
        <v>0</v>
      </c>
      <c r="AJ948" s="45">
        <v>8</v>
      </c>
      <c r="AK948" s="46">
        <v>1362240</v>
      </c>
      <c r="AL948" s="45">
        <v>0</v>
      </c>
      <c r="AM948" s="45">
        <v>6</v>
      </c>
      <c r="AO948" s="46">
        <v>1372560</v>
      </c>
      <c r="AP948" s="45">
        <v>0</v>
      </c>
      <c r="AQ948" s="45">
        <v>14</v>
      </c>
      <c r="AR948" s="46">
        <v>1355280</v>
      </c>
      <c r="AS948" s="45">
        <v>0</v>
      </c>
      <c r="AT948" s="45">
        <v>8</v>
      </c>
      <c r="AU948" s="46">
        <v>1419900</v>
      </c>
      <c r="AV948" s="45">
        <v>0</v>
      </c>
      <c r="AW948" s="45">
        <v>12</v>
      </c>
      <c r="AX948" s="46">
        <v>1336690</v>
      </c>
      <c r="AY948" s="45">
        <v>0</v>
      </c>
      <c r="AZ948" s="45">
        <v>13</v>
      </c>
    </row>
    <row r="949" spans="2:52">
      <c r="B949" s="46">
        <v>1322320</v>
      </c>
      <c r="C949" s="45">
        <v>0</v>
      </c>
      <c r="D949" s="45">
        <v>15</v>
      </c>
      <c r="E949" s="46">
        <v>1275260</v>
      </c>
      <c r="F949" s="45">
        <v>0</v>
      </c>
      <c r="G949" s="45">
        <v>12</v>
      </c>
      <c r="H949" s="46">
        <v>1259230</v>
      </c>
      <c r="I949" s="45">
        <v>0</v>
      </c>
      <c r="J949" s="45">
        <v>11</v>
      </c>
      <c r="K949" s="46">
        <v>1300520</v>
      </c>
      <c r="L949" s="45">
        <v>0</v>
      </c>
      <c r="M949" s="45">
        <v>6</v>
      </c>
      <c r="O949" s="46">
        <v>1421110</v>
      </c>
      <c r="P949" s="45">
        <v>0</v>
      </c>
      <c r="Q949" s="45">
        <v>5</v>
      </c>
      <c r="R949" s="46">
        <v>1397820</v>
      </c>
      <c r="S949" s="45">
        <v>0</v>
      </c>
      <c r="T949" s="45">
        <v>5</v>
      </c>
      <c r="U949" s="46">
        <v>1400490</v>
      </c>
      <c r="V949" s="45">
        <v>0</v>
      </c>
      <c r="W949" s="45">
        <v>4</v>
      </c>
      <c r="X949" s="46">
        <v>1388980</v>
      </c>
      <c r="Y949" s="45">
        <v>0</v>
      </c>
      <c r="Z949" s="45">
        <v>5</v>
      </c>
      <c r="AB949" s="46">
        <v>1361450</v>
      </c>
      <c r="AC949" s="45">
        <v>4</v>
      </c>
      <c r="AD949" s="45">
        <v>11</v>
      </c>
      <c r="AE949" s="46">
        <v>1294610</v>
      </c>
      <c r="AF949" s="45">
        <v>0</v>
      </c>
      <c r="AG949" s="45">
        <v>7</v>
      </c>
      <c r="AH949" s="46">
        <v>1314840</v>
      </c>
      <c r="AI949" s="45">
        <v>0</v>
      </c>
      <c r="AJ949" s="45">
        <v>6</v>
      </c>
      <c r="AK949" s="46">
        <v>1287470</v>
      </c>
      <c r="AL949" s="45">
        <v>1</v>
      </c>
      <c r="AM949" s="45">
        <v>6</v>
      </c>
      <c r="AO949" s="46">
        <v>1247340</v>
      </c>
      <c r="AP949" s="45">
        <v>0</v>
      </c>
      <c r="AQ949" s="45">
        <v>15</v>
      </c>
      <c r="AR949" s="46">
        <v>1256260</v>
      </c>
      <c r="AS949" s="45">
        <v>0</v>
      </c>
      <c r="AT949" s="45">
        <v>9</v>
      </c>
      <c r="AU949" s="46">
        <v>1314600</v>
      </c>
      <c r="AV949" s="45">
        <v>0</v>
      </c>
      <c r="AW949" s="45">
        <v>11</v>
      </c>
      <c r="AX949" s="46">
        <v>1269880</v>
      </c>
      <c r="AY949" s="45">
        <v>0</v>
      </c>
      <c r="AZ949" s="45">
        <v>10</v>
      </c>
    </row>
    <row r="950" spans="2:52">
      <c r="B950" s="46">
        <v>1292450</v>
      </c>
      <c r="C950" s="45">
        <v>0</v>
      </c>
      <c r="D950" s="45">
        <v>11</v>
      </c>
      <c r="E950" s="46">
        <v>1319830</v>
      </c>
      <c r="F950" s="45">
        <v>0</v>
      </c>
      <c r="G950" s="45">
        <v>6</v>
      </c>
      <c r="H950" s="46">
        <v>1287980</v>
      </c>
      <c r="I950" s="45">
        <v>0</v>
      </c>
      <c r="J950" s="45">
        <v>8</v>
      </c>
      <c r="K950" s="46">
        <v>1305770</v>
      </c>
      <c r="L950" s="45">
        <v>0</v>
      </c>
      <c r="M950" s="45">
        <v>5</v>
      </c>
      <c r="O950" s="46">
        <v>1404650</v>
      </c>
      <c r="P950" s="45">
        <v>0</v>
      </c>
      <c r="Q950" s="45">
        <v>8</v>
      </c>
      <c r="R950" s="46">
        <v>1415520</v>
      </c>
      <c r="S950" s="45">
        <v>0</v>
      </c>
      <c r="T950" s="45">
        <v>5</v>
      </c>
      <c r="U950" s="46">
        <v>1431970</v>
      </c>
      <c r="V950" s="45">
        <v>0</v>
      </c>
      <c r="W950" s="45">
        <v>7</v>
      </c>
      <c r="X950" s="46">
        <v>1357450</v>
      </c>
      <c r="Y950" s="45">
        <v>0</v>
      </c>
      <c r="Z950" s="45">
        <v>7</v>
      </c>
      <c r="AB950" s="46">
        <v>1327170</v>
      </c>
      <c r="AC950" s="45">
        <v>0</v>
      </c>
      <c r="AD950" s="45">
        <v>8</v>
      </c>
      <c r="AE950" s="46">
        <v>1293790</v>
      </c>
      <c r="AF950" s="45">
        <v>0</v>
      </c>
      <c r="AG950" s="45">
        <v>13</v>
      </c>
      <c r="AH950" s="46">
        <v>1310760</v>
      </c>
      <c r="AI950" s="45">
        <v>0</v>
      </c>
      <c r="AJ950" s="45">
        <v>6</v>
      </c>
      <c r="AK950" s="46">
        <v>1310740</v>
      </c>
      <c r="AL950" s="45">
        <v>0</v>
      </c>
      <c r="AM950" s="45">
        <v>11</v>
      </c>
      <c r="AO950" s="46">
        <v>1329980</v>
      </c>
      <c r="AP950" s="45">
        <v>0</v>
      </c>
      <c r="AQ950" s="45">
        <v>10</v>
      </c>
      <c r="AR950" s="46">
        <v>1329780</v>
      </c>
      <c r="AS950" s="45">
        <v>0</v>
      </c>
      <c r="AT950" s="45">
        <v>10</v>
      </c>
      <c r="AU950" s="46">
        <v>1363530</v>
      </c>
      <c r="AV950" s="45">
        <v>51</v>
      </c>
      <c r="AW950" s="45">
        <v>10</v>
      </c>
      <c r="AX950" s="46">
        <v>1304010</v>
      </c>
      <c r="AY950" s="45">
        <v>0</v>
      </c>
      <c r="AZ950" s="45">
        <v>7</v>
      </c>
    </row>
    <row r="951" spans="2:52">
      <c r="B951" s="46">
        <v>1254110</v>
      </c>
      <c r="C951" s="45">
        <v>0</v>
      </c>
      <c r="D951" s="45">
        <v>17</v>
      </c>
      <c r="E951" s="46">
        <v>1211520</v>
      </c>
      <c r="F951" s="45">
        <v>0</v>
      </c>
      <c r="G951" s="45">
        <v>7</v>
      </c>
      <c r="H951" s="46">
        <v>1235350</v>
      </c>
      <c r="I951" s="45">
        <v>9</v>
      </c>
      <c r="J951" s="45">
        <v>12</v>
      </c>
      <c r="K951" s="46">
        <v>1242940</v>
      </c>
      <c r="L951" s="45">
        <v>0</v>
      </c>
      <c r="M951" s="45">
        <v>9</v>
      </c>
      <c r="O951" s="46">
        <v>1357250</v>
      </c>
      <c r="P951" s="45">
        <v>4</v>
      </c>
      <c r="Q951" s="45">
        <v>9</v>
      </c>
      <c r="R951" s="46">
        <v>1303230</v>
      </c>
      <c r="S951" s="45">
        <v>0</v>
      </c>
      <c r="T951" s="45">
        <v>4</v>
      </c>
      <c r="U951" s="46">
        <v>1350270</v>
      </c>
      <c r="V951" s="45">
        <v>12</v>
      </c>
      <c r="W951" s="45">
        <v>8</v>
      </c>
      <c r="X951" s="46">
        <v>1249970</v>
      </c>
      <c r="Y951" s="45">
        <v>0</v>
      </c>
      <c r="Z951" s="45">
        <v>6</v>
      </c>
      <c r="AB951" s="46">
        <v>1289500</v>
      </c>
      <c r="AC951" s="45">
        <v>0</v>
      </c>
      <c r="AD951" s="45">
        <v>7</v>
      </c>
      <c r="AE951" s="46">
        <v>1264750</v>
      </c>
      <c r="AF951" s="45">
        <v>0</v>
      </c>
      <c r="AG951" s="45">
        <v>6</v>
      </c>
      <c r="AH951" s="46">
        <v>1248310</v>
      </c>
      <c r="AI951" s="45">
        <v>17</v>
      </c>
      <c r="AJ951" s="45">
        <v>11</v>
      </c>
      <c r="AK951" s="46">
        <v>1229640</v>
      </c>
      <c r="AL951" s="45">
        <v>0</v>
      </c>
      <c r="AM951" s="45">
        <v>6</v>
      </c>
      <c r="AO951" s="46">
        <v>1300180</v>
      </c>
      <c r="AP951" s="45">
        <v>33</v>
      </c>
      <c r="AQ951" s="45">
        <v>6</v>
      </c>
      <c r="AR951" s="46">
        <v>1347200</v>
      </c>
      <c r="AS951" s="45">
        <v>121</v>
      </c>
      <c r="AT951" s="45">
        <v>10</v>
      </c>
      <c r="AU951" s="46">
        <v>1218190</v>
      </c>
      <c r="AV951" s="45">
        <v>0</v>
      </c>
      <c r="AW951" s="45">
        <v>7</v>
      </c>
      <c r="AX951" s="46">
        <v>1247740</v>
      </c>
      <c r="AY951" s="45">
        <v>0</v>
      </c>
      <c r="AZ951" s="45">
        <v>6</v>
      </c>
    </row>
    <row r="952" spans="2:52">
      <c r="B952" s="46">
        <v>1187710</v>
      </c>
      <c r="C952" s="45">
        <v>0</v>
      </c>
      <c r="D952" s="45">
        <v>18</v>
      </c>
      <c r="E952" s="46">
        <v>1147200</v>
      </c>
      <c r="F952" s="45">
        <v>0</v>
      </c>
      <c r="G952" s="45">
        <v>18</v>
      </c>
      <c r="H952" s="46">
        <v>1243490</v>
      </c>
      <c r="I952" s="45">
        <v>36</v>
      </c>
      <c r="J952" s="45">
        <v>10</v>
      </c>
      <c r="K952" s="46">
        <v>1159960</v>
      </c>
      <c r="L952" s="45">
        <v>0</v>
      </c>
      <c r="M952" s="45">
        <v>9</v>
      </c>
      <c r="O952" s="46">
        <v>1316460</v>
      </c>
      <c r="P952" s="45">
        <v>0</v>
      </c>
      <c r="Q952" s="45">
        <v>5</v>
      </c>
      <c r="R952" s="46">
        <v>1272470</v>
      </c>
      <c r="S952" s="45">
        <v>0</v>
      </c>
      <c r="T952" s="45">
        <v>5</v>
      </c>
      <c r="U952" s="46">
        <v>1319580</v>
      </c>
      <c r="V952" s="45">
        <v>0</v>
      </c>
      <c r="W952" s="45">
        <v>7</v>
      </c>
      <c r="X952" s="46">
        <v>1280050</v>
      </c>
      <c r="Y952" s="45">
        <v>0</v>
      </c>
      <c r="Z952" s="45">
        <v>8</v>
      </c>
      <c r="AB952" s="46">
        <v>1241050</v>
      </c>
      <c r="AC952" s="45">
        <v>0</v>
      </c>
      <c r="AD952" s="45">
        <v>12</v>
      </c>
      <c r="AE952" s="46">
        <v>1203060</v>
      </c>
      <c r="AF952" s="45">
        <v>0</v>
      </c>
      <c r="AG952" s="45">
        <v>11</v>
      </c>
      <c r="AH952" s="46">
        <v>1141230</v>
      </c>
      <c r="AI952" s="45">
        <v>0</v>
      </c>
      <c r="AJ952" s="45">
        <v>9</v>
      </c>
      <c r="AK952" s="46">
        <v>1181110</v>
      </c>
      <c r="AL952" s="45">
        <v>0</v>
      </c>
      <c r="AM952" s="45">
        <v>6</v>
      </c>
      <c r="AO952" s="46">
        <v>1146560</v>
      </c>
      <c r="AP952" s="45">
        <v>0</v>
      </c>
      <c r="AQ952" s="45">
        <v>16</v>
      </c>
      <c r="AR952" s="46">
        <v>1233810</v>
      </c>
      <c r="AS952" s="45">
        <v>0</v>
      </c>
      <c r="AT952" s="45">
        <v>17</v>
      </c>
      <c r="AU952" s="46">
        <v>1193820</v>
      </c>
      <c r="AV952" s="45">
        <v>0</v>
      </c>
      <c r="AW952" s="45">
        <v>10</v>
      </c>
      <c r="AX952" s="46">
        <v>1245870</v>
      </c>
      <c r="AY952" s="45">
        <v>87</v>
      </c>
      <c r="AZ952" s="45">
        <v>17</v>
      </c>
    </row>
    <row r="953" spans="2:52">
      <c r="B953" s="46">
        <v>1331770</v>
      </c>
      <c r="C953" s="45">
        <v>0</v>
      </c>
      <c r="D953" s="45">
        <v>7</v>
      </c>
      <c r="E953" s="46">
        <v>1285750</v>
      </c>
      <c r="F953" s="45">
        <v>0</v>
      </c>
      <c r="G953" s="45">
        <v>15</v>
      </c>
      <c r="H953" s="46">
        <v>1305600</v>
      </c>
      <c r="I953" s="45">
        <v>0</v>
      </c>
      <c r="J953" s="45">
        <v>10</v>
      </c>
      <c r="K953" s="46">
        <v>1302180</v>
      </c>
      <c r="L953" s="45">
        <v>0</v>
      </c>
      <c r="M953" s="45">
        <v>10</v>
      </c>
      <c r="O953" s="46">
        <v>1436850</v>
      </c>
      <c r="P953" s="45">
        <v>0</v>
      </c>
      <c r="Q953" s="45">
        <v>5</v>
      </c>
      <c r="R953" s="46">
        <v>1496310</v>
      </c>
      <c r="S953" s="45">
        <v>0</v>
      </c>
      <c r="T953" s="45">
        <v>4</v>
      </c>
      <c r="U953" s="46">
        <v>1445770</v>
      </c>
      <c r="V953" s="45">
        <v>0</v>
      </c>
      <c r="W953" s="45">
        <v>5</v>
      </c>
      <c r="X953" s="46">
        <v>1413100</v>
      </c>
      <c r="Y953" s="45">
        <v>23</v>
      </c>
      <c r="Z953" s="45">
        <v>7</v>
      </c>
      <c r="AB953" s="46">
        <v>1410480</v>
      </c>
      <c r="AC953" s="45">
        <v>12</v>
      </c>
      <c r="AD953" s="45">
        <v>7</v>
      </c>
      <c r="AE953" s="46">
        <v>1354400</v>
      </c>
      <c r="AF953" s="45">
        <v>0</v>
      </c>
      <c r="AG953" s="45">
        <v>12</v>
      </c>
      <c r="AH953" s="46">
        <v>1340170</v>
      </c>
      <c r="AI953" s="45">
        <v>0</v>
      </c>
      <c r="AJ953" s="45">
        <v>8</v>
      </c>
      <c r="AK953" s="46">
        <v>1303530</v>
      </c>
      <c r="AL953" s="45">
        <v>0</v>
      </c>
      <c r="AM953" s="45">
        <v>12</v>
      </c>
      <c r="AO953" s="46">
        <v>1288900</v>
      </c>
      <c r="AP953" s="45">
        <v>0</v>
      </c>
      <c r="AQ953" s="45">
        <v>13</v>
      </c>
      <c r="AR953" s="46">
        <v>1403440</v>
      </c>
      <c r="AS953" s="45">
        <v>75</v>
      </c>
      <c r="AT953" s="45">
        <v>11</v>
      </c>
      <c r="AU953" s="46">
        <v>1396060</v>
      </c>
      <c r="AV953" s="45">
        <v>46</v>
      </c>
      <c r="AW953" s="45">
        <v>7</v>
      </c>
      <c r="AX953" s="46">
        <v>1281860</v>
      </c>
      <c r="AY953" s="45">
        <v>0</v>
      </c>
      <c r="AZ953" s="45">
        <v>10</v>
      </c>
    </row>
    <row r="954" spans="2:52">
      <c r="B954" s="46">
        <v>1359880</v>
      </c>
      <c r="C954" s="45">
        <v>0</v>
      </c>
      <c r="D954" s="45">
        <v>15</v>
      </c>
      <c r="E954" s="46">
        <v>1285840</v>
      </c>
      <c r="F954" s="45">
        <v>0</v>
      </c>
      <c r="G954" s="45">
        <v>8</v>
      </c>
      <c r="H954" s="46">
        <v>1241650</v>
      </c>
      <c r="I954" s="45">
        <v>0</v>
      </c>
      <c r="J954" s="45">
        <v>13</v>
      </c>
      <c r="K954" s="46">
        <v>1314390</v>
      </c>
      <c r="L954" s="45">
        <v>10</v>
      </c>
      <c r="M954" s="45">
        <v>14</v>
      </c>
      <c r="O954" s="46">
        <v>1375020</v>
      </c>
      <c r="P954" s="45">
        <v>0</v>
      </c>
      <c r="Q954" s="45">
        <v>6</v>
      </c>
      <c r="R954" s="46">
        <v>1400440</v>
      </c>
      <c r="S954" s="45">
        <v>0</v>
      </c>
      <c r="T954" s="45">
        <v>4</v>
      </c>
      <c r="U954" s="46">
        <v>1437720</v>
      </c>
      <c r="V954" s="45">
        <v>0</v>
      </c>
      <c r="W954" s="45">
        <v>7</v>
      </c>
      <c r="X954" s="46">
        <v>1442040</v>
      </c>
      <c r="Y954" s="45">
        <v>7</v>
      </c>
      <c r="Z954" s="45">
        <v>7</v>
      </c>
      <c r="AB954" s="46">
        <v>1331930</v>
      </c>
      <c r="AC954" s="45">
        <v>0</v>
      </c>
      <c r="AD954" s="45">
        <v>13</v>
      </c>
      <c r="AE954" s="46">
        <v>1328110</v>
      </c>
      <c r="AF954" s="45">
        <v>0</v>
      </c>
      <c r="AG954" s="45">
        <v>9</v>
      </c>
      <c r="AH954" s="46">
        <v>1277540</v>
      </c>
      <c r="AI954" s="45">
        <v>0</v>
      </c>
      <c r="AJ954" s="45">
        <v>13</v>
      </c>
      <c r="AK954" s="46">
        <v>1298570</v>
      </c>
      <c r="AL954" s="45">
        <v>29</v>
      </c>
      <c r="AM954" s="45">
        <v>13</v>
      </c>
      <c r="AO954" s="46">
        <v>1333300</v>
      </c>
      <c r="AP954" s="45">
        <v>0</v>
      </c>
      <c r="AQ954" s="45">
        <v>9</v>
      </c>
      <c r="AR954" s="46">
        <v>1275200</v>
      </c>
      <c r="AS954" s="45">
        <v>0</v>
      </c>
      <c r="AT954" s="45">
        <v>11</v>
      </c>
      <c r="AU954" s="46">
        <v>1301520</v>
      </c>
      <c r="AV954" s="45">
        <v>0</v>
      </c>
      <c r="AW954" s="45">
        <v>9</v>
      </c>
      <c r="AX954" s="46">
        <v>1312500</v>
      </c>
      <c r="AY954" s="45">
        <v>0</v>
      </c>
      <c r="AZ954" s="45">
        <v>7</v>
      </c>
    </row>
    <row r="955" spans="2:52">
      <c r="B955" s="46">
        <v>1363620</v>
      </c>
      <c r="C955" s="45">
        <v>27</v>
      </c>
      <c r="D955" s="45">
        <v>14</v>
      </c>
      <c r="E955" s="46">
        <v>1302120</v>
      </c>
      <c r="F955" s="45">
        <v>0</v>
      </c>
      <c r="G955" s="45">
        <v>9</v>
      </c>
      <c r="H955" s="46">
        <v>1308750</v>
      </c>
      <c r="I955" s="45">
        <v>0</v>
      </c>
      <c r="J955" s="45">
        <v>6</v>
      </c>
      <c r="K955" s="46">
        <v>1299970</v>
      </c>
      <c r="L955" s="45">
        <v>0</v>
      </c>
      <c r="M955" s="45">
        <v>11</v>
      </c>
      <c r="O955" s="46">
        <v>1455530</v>
      </c>
      <c r="P955" s="45">
        <v>0</v>
      </c>
      <c r="Q955" s="45">
        <v>4</v>
      </c>
      <c r="R955" s="46">
        <v>1411430</v>
      </c>
      <c r="S955" s="45">
        <v>0</v>
      </c>
      <c r="T955" s="45">
        <v>6</v>
      </c>
      <c r="U955" s="46">
        <v>1372770</v>
      </c>
      <c r="V955" s="45">
        <v>0</v>
      </c>
      <c r="W955" s="45">
        <v>5</v>
      </c>
      <c r="X955" s="46">
        <v>1402240</v>
      </c>
      <c r="Y955" s="45">
        <v>0</v>
      </c>
      <c r="Z955" s="45">
        <v>5</v>
      </c>
      <c r="AB955" s="46">
        <v>1321810</v>
      </c>
      <c r="AC955" s="45">
        <v>0</v>
      </c>
      <c r="AD955" s="45">
        <v>12</v>
      </c>
      <c r="AE955" s="46">
        <v>1301740</v>
      </c>
      <c r="AF955" s="45">
        <v>0</v>
      </c>
      <c r="AG955" s="45">
        <v>10</v>
      </c>
      <c r="AH955" s="46">
        <v>1303210</v>
      </c>
      <c r="AI955" s="45">
        <v>0</v>
      </c>
      <c r="AJ955" s="45">
        <v>7</v>
      </c>
      <c r="AK955" s="46">
        <v>1287740</v>
      </c>
      <c r="AL955" s="45">
        <v>0</v>
      </c>
      <c r="AM955" s="45">
        <v>10</v>
      </c>
      <c r="AO955" s="46">
        <v>1334250</v>
      </c>
      <c r="AP955" s="45">
        <v>0</v>
      </c>
      <c r="AQ955" s="45">
        <v>6</v>
      </c>
      <c r="AR955" s="46">
        <v>1324600</v>
      </c>
      <c r="AS955" s="45">
        <v>0</v>
      </c>
      <c r="AT955" s="45">
        <v>8</v>
      </c>
      <c r="AU955" s="46">
        <v>1306780</v>
      </c>
      <c r="AV955" s="45">
        <v>0</v>
      </c>
      <c r="AW955" s="45">
        <v>10</v>
      </c>
      <c r="AX955" s="46">
        <v>1281760</v>
      </c>
      <c r="AY955" s="45">
        <v>0</v>
      </c>
      <c r="AZ955" s="45">
        <v>6</v>
      </c>
    </row>
    <row r="956" spans="2:52">
      <c r="B956" s="46">
        <v>1454770</v>
      </c>
      <c r="C956" s="45">
        <v>0</v>
      </c>
      <c r="D956" s="45">
        <v>6</v>
      </c>
      <c r="E956" s="46">
        <v>1401540</v>
      </c>
      <c r="F956" s="45">
        <v>0</v>
      </c>
      <c r="G956" s="45">
        <v>7</v>
      </c>
      <c r="H956" s="46">
        <v>1411060</v>
      </c>
      <c r="I956" s="45">
        <v>0</v>
      </c>
      <c r="J956" s="45">
        <v>9</v>
      </c>
      <c r="K956" s="46">
        <v>1414470</v>
      </c>
      <c r="L956" s="45">
        <v>0</v>
      </c>
      <c r="M956" s="45">
        <v>8</v>
      </c>
      <c r="O956" s="46">
        <v>1471480</v>
      </c>
      <c r="P956" s="45">
        <v>0</v>
      </c>
      <c r="Q956" s="45">
        <v>6</v>
      </c>
      <c r="R956" s="46">
        <v>1550370</v>
      </c>
      <c r="S956" s="45">
        <v>0</v>
      </c>
      <c r="T956" s="45">
        <v>5</v>
      </c>
      <c r="U956" s="46">
        <v>1488710</v>
      </c>
      <c r="V956" s="45">
        <v>0</v>
      </c>
      <c r="W956" s="45">
        <v>5</v>
      </c>
      <c r="X956" s="46">
        <v>1475660</v>
      </c>
      <c r="Y956" s="45">
        <v>0</v>
      </c>
      <c r="Z956" s="45">
        <v>6</v>
      </c>
      <c r="AB956" s="46">
        <v>1435810</v>
      </c>
      <c r="AC956" s="45">
        <v>0</v>
      </c>
      <c r="AD956" s="45">
        <v>8</v>
      </c>
      <c r="AE956" s="46">
        <v>1407500</v>
      </c>
      <c r="AF956" s="45">
        <v>0</v>
      </c>
      <c r="AG956" s="45">
        <v>8</v>
      </c>
      <c r="AH956" s="46">
        <v>1410370</v>
      </c>
      <c r="AI956" s="45">
        <v>0</v>
      </c>
      <c r="AJ956" s="45">
        <v>7</v>
      </c>
      <c r="AK956" s="46">
        <v>1382740</v>
      </c>
      <c r="AL956" s="45">
        <v>9</v>
      </c>
      <c r="AM956" s="45">
        <v>15</v>
      </c>
      <c r="AO956" s="46">
        <v>1425150</v>
      </c>
      <c r="AP956" s="45">
        <v>0</v>
      </c>
      <c r="AQ956" s="45">
        <v>10</v>
      </c>
      <c r="AR956" s="46">
        <v>1521940</v>
      </c>
      <c r="AS956" s="45">
        <v>91</v>
      </c>
      <c r="AT956" s="45">
        <v>18</v>
      </c>
      <c r="AU956" s="46">
        <v>1374510</v>
      </c>
      <c r="AV956" s="45">
        <v>0</v>
      </c>
      <c r="AW956" s="45">
        <v>8</v>
      </c>
      <c r="AX956" s="46">
        <v>1408910</v>
      </c>
      <c r="AY956" s="45">
        <v>0</v>
      </c>
      <c r="AZ956" s="45">
        <v>4</v>
      </c>
    </row>
    <row r="957" spans="2:52">
      <c r="B957" s="46">
        <v>1236500</v>
      </c>
      <c r="C957" s="45">
        <v>0</v>
      </c>
      <c r="D957" s="45">
        <v>14</v>
      </c>
      <c r="E957" s="46">
        <v>1192260</v>
      </c>
      <c r="F957" s="45">
        <v>0</v>
      </c>
      <c r="G957" s="45">
        <v>11</v>
      </c>
      <c r="H957" s="46">
        <v>1219160</v>
      </c>
      <c r="I957" s="45">
        <v>0</v>
      </c>
      <c r="J957" s="45">
        <v>8</v>
      </c>
      <c r="K957" s="46">
        <v>1214500</v>
      </c>
      <c r="L957" s="45">
        <v>0</v>
      </c>
      <c r="M957" s="45">
        <v>11</v>
      </c>
      <c r="O957" s="46">
        <v>1364850</v>
      </c>
      <c r="P957" s="45">
        <v>0</v>
      </c>
      <c r="Q957" s="45">
        <v>6</v>
      </c>
      <c r="R957" s="46">
        <v>1400930</v>
      </c>
      <c r="S957" s="45">
        <v>22</v>
      </c>
      <c r="T957" s="45">
        <v>7</v>
      </c>
      <c r="U957" s="46">
        <v>1326410</v>
      </c>
      <c r="V957" s="45">
        <v>0</v>
      </c>
      <c r="W957" s="45">
        <v>4</v>
      </c>
      <c r="X957" s="46">
        <v>1350580</v>
      </c>
      <c r="Y957" s="45">
        <v>0</v>
      </c>
      <c r="Z957" s="45">
        <v>4</v>
      </c>
      <c r="AB957" s="46">
        <v>1216310</v>
      </c>
      <c r="AC957" s="45">
        <v>0</v>
      </c>
      <c r="AD957" s="45">
        <v>9</v>
      </c>
      <c r="AE957" s="46">
        <v>1264840</v>
      </c>
      <c r="AF957" s="45">
        <v>0</v>
      </c>
      <c r="AG957" s="45">
        <v>10</v>
      </c>
      <c r="AH957" s="46">
        <v>1234530</v>
      </c>
      <c r="AI957" s="45">
        <v>0</v>
      </c>
      <c r="AJ957" s="45">
        <v>11</v>
      </c>
      <c r="AK957" s="46">
        <v>1239300</v>
      </c>
      <c r="AL957" s="45">
        <v>0</v>
      </c>
      <c r="AM957" s="45">
        <v>9</v>
      </c>
      <c r="AO957" s="46">
        <v>1304270</v>
      </c>
      <c r="AP957" s="45">
        <v>59</v>
      </c>
      <c r="AQ957" s="45">
        <v>9</v>
      </c>
      <c r="AR957" s="46">
        <v>1237930</v>
      </c>
      <c r="AS957" s="45">
        <v>0</v>
      </c>
      <c r="AT957" s="45">
        <v>11</v>
      </c>
      <c r="AU957" s="46">
        <v>1195480</v>
      </c>
      <c r="AV957" s="45">
        <v>0</v>
      </c>
      <c r="AW957" s="45">
        <v>10</v>
      </c>
      <c r="AX957" s="46">
        <v>1230290</v>
      </c>
      <c r="AY957" s="45">
        <v>0</v>
      </c>
      <c r="AZ957" s="45">
        <v>7</v>
      </c>
    </row>
    <row r="958" spans="2:52">
      <c r="B958" s="46">
        <v>1195720</v>
      </c>
      <c r="C958" s="45">
        <v>0</v>
      </c>
      <c r="D958" s="45">
        <v>10</v>
      </c>
      <c r="E958" s="46">
        <v>1216450</v>
      </c>
      <c r="F958" s="45">
        <v>0</v>
      </c>
      <c r="G958" s="45">
        <v>7</v>
      </c>
      <c r="H958" s="46">
        <v>1204530</v>
      </c>
      <c r="I958" s="45">
        <v>0</v>
      </c>
      <c r="J958" s="45">
        <v>9</v>
      </c>
      <c r="K958" s="46">
        <v>1154990</v>
      </c>
      <c r="L958" s="45">
        <v>0</v>
      </c>
      <c r="M958" s="45">
        <v>10</v>
      </c>
      <c r="O958" s="46">
        <v>1302750</v>
      </c>
      <c r="P958" s="45">
        <v>0</v>
      </c>
      <c r="Q958" s="45">
        <v>5</v>
      </c>
      <c r="R958" s="46">
        <v>1309650</v>
      </c>
      <c r="S958" s="45">
        <v>0</v>
      </c>
      <c r="T958" s="45">
        <v>7</v>
      </c>
      <c r="U958" s="46">
        <v>1306400</v>
      </c>
      <c r="V958" s="45">
        <v>0</v>
      </c>
      <c r="W958" s="45">
        <v>3</v>
      </c>
      <c r="X958" s="46">
        <v>1294210</v>
      </c>
      <c r="Y958" s="45">
        <v>38</v>
      </c>
      <c r="Z958" s="45">
        <v>6</v>
      </c>
      <c r="AB958" s="46">
        <v>1203460</v>
      </c>
      <c r="AC958" s="45">
        <v>3</v>
      </c>
      <c r="AD958" s="45">
        <v>9</v>
      </c>
      <c r="AE958" s="46">
        <v>1233520</v>
      </c>
      <c r="AF958" s="45">
        <v>44</v>
      </c>
      <c r="AG958" s="45">
        <v>13</v>
      </c>
      <c r="AH958" s="46">
        <v>1194150</v>
      </c>
      <c r="AI958" s="45">
        <v>0</v>
      </c>
      <c r="AJ958" s="45">
        <v>6</v>
      </c>
      <c r="AK958" s="46">
        <v>1213050</v>
      </c>
      <c r="AL958" s="45">
        <v>0</v>
      </c>
      <c r="AM958" s="45">
        <v>8</v>
      </c>
      <c r="AO958" s="46">
        <v>1233750</v>
      </c>
      <c r="AP958" s="45">
        <v>15</v>
      </c>
      <c r="AQ958" s="45">
        <v>14</v>
      </c>
      <c r="AR958" s="46">
        <v>1259370</v>
      </c>
      <c r="AS958" s="45">
        <v>0</v>
      </c>
      <c r="AT958" s="45">
        <v>8</v>
      </c>
      <c r="AU958" s="46">
        <v>1206710</v>
      </c>
      <c r="AV958" s="45">
        <v>0</v>
      </c>
      <c r="AW958" s="45">
        <v>4</v>
      </c>
      <c r="AX958" s="46">
        <v>1185430</v>
      </c>
      <c r="AY958" s="45">
        <v>0</v>
      </c>
      <c r="AZ958" s="45">
        <v>10</v>
      </c>
    </row>
    <row r="959" spans="2:52">
      <c r="B959" s="46">
        <v>1090460</v>
      </c>
      <c r="C959" s="45">
        <v>0</v>
      </c>
      <c r="D959" s="45">
        <v>19</v>
      </c>
      <c r="E959" s="46">
        <v>1127380</v>
      </c>
      <c r="F959" s="45">
        <v>0</v>
      </c>
      <c r="G959" s="45">
        <v>11</v>
      </c>
      <c r="H959" s="46">
        <v>1143190</v>
      </c>
      <c r="I959" s="45">
        <v>0</v>
      </c>
      <c r="J959" s="45">
        <v>9</v>
      </c>
      <c r="K959" s="46">
        <v>1094660</v>
      </c>
      <c r="L959" s="45">
        <v>0</v>
      </c>
      <c r="M959" s="45">
        <v>7</v>
      </c>
      <c r="O959" s="46">
        <v>1249310</v>
      </c>
      <c r="P959" s="45">
        <v>0</v>
      </c>
      <c r="Q959" s="45">
        <v>6</v>
      </c>
      <c r="R959" s="46">
        <v>1211230</v>
      </c>
      <c r="S959" s="45">
        <v>0</v>
      </c>
      <c r="T959" s="45">
        <v>5</v>
      </c>
      <c r="U959" s="46">
        <v>1198480</v>
      </c>
      <c r="V959" s="45">
        <v>0</v>
      </c>
      <c r="W959" s="45">
        <v>6</v>
      </c>
      <c r="X959" s="46">
        <v>1166480</v>
      </c>
      <c r="Y959" s="45">
        <v>0</v>
      </c>
      <c r="Z959" s="45">
        <v>7</v>
      </c>
      <c r="AB959" s="46">
        <v>1104230</v>
      </c>
      <c r="AC959" s="45">
        <v>0</v>
      </c>
      <c r="AD959" s="45">
        <v>7</v>
      </c>
      <c r="AE959" s="46">
        <v>1099750</v>
      </c>
      <c r="AF959" s="45">
        <v>0</v>
      </c>
      <c r="AG959" s="45">
        <v>11</v>
      </c>
      <c r="AH959" s="46">
        <v>1067610</v>
      </c>
      <c r="AI959" s="45">
        <v>0</v>
      </c>
      <c r="AJ959" s="45">
        <v>11</v>
      </c>
      <c r="AK959" s="46">
        <v>1091610</v>
      </c>
      <c r="AL959" s="45">
        <v>0</v>
      </c>
      <c r="AM959" s="45">
        <v>8</v>
      </c>
      <c r="AO959" s="46">
        <v>1227640</v>
      </c>
      <c r="AP959" s="45">
        <v>89</v>
      </c>
      <c r="AQ959" s="45">
        <v>15</v>
      </c>
      <c r="AR959" s="46">
        <v>1100850</v>
      </c>
      <c r="AS959" s="45">
        <v>0</v>
      </c>
      <c r="AT959" s="45">
        <v>16</v>
      </c>
      <c r="AU959" s="46">
        <v>1083060</v>
      </c>
      <c r="AV959" s="45">
        <v>0</v>
      </c>
      <c r="AW959" s="45">
        <v>11</v>
      </c>
      <c r="AX959" s="46">
        <v>1096250</v>
      </c>
      <c r="AY959" s="45">
        <v>0</v>
      </c>
      <c r="AZ959" s="45">
        <v>5</v>
      </c>
    </row>
    <row r="960" spans="2:52">
      <c r="B960" s="46">
        <v>1384890</v>
      </c>
      <c r="C960" s="45">
        <v>0</v>
      </c>
      <c r="D960" s="45">
        <v>16</v>
      </c>
      <c r="E960" s="46">
        <v>1424190</v>
      </c>
      <c r="F960" s="45">
        <v>0</v>
      </c>
      <c r="G960" s="45">
        <v>6</v>
      </c>
      <c r="H960" s="46">
        <v>1396640</v>
      </c>
      <c r="I960" s="45">
        <v>0</v>
      </c>
      <c r="J960" s="45">
        <v>6</v>
      </c>
      <c r="K960" s="46">
        <v>1378110</v>
      </c>
      <c r="L960" s="45">
        <v>0</v>
      </c>
      <c r="M960" s="45">
        <v>10</v>
      </c>
      <c r="O960" s="46">
        <v>1501050</v>
      </c>
      <c r="P960" s="45">
        <v>0</v>
      </c>
      <c r="Q960" s="45">
        <v>9</v>
      </c>
      <c r="R960" s="46">
        <v>1558280</v>
      </c>
      <c r="S960" s="45">
        <v>0</v>
      </c>
      <c r="T960" s="45">
        <v>5</v>
      </c>
      <c r="U960" s="46">
        <v>1470670</v>
      </c>
      <c r="V960" s="45">
        <v>0</v>
      </c>
      <c r="W960" s="45">
        <v>11</v>
      </c>
      <c r="X960" s="46">
        <v>1464790</v>
      </c>
      <c r="Y960" s="45">
        <v>0</v>
      </c>
      <c r="Z960" s="45">
        <v>5</v>
      </c>
      <c r="AB960" s="46">
        <v>1421610</v>
      </c>
      <c r="AC960" s="45">
        <v>0</v>
      </c>
      <c r="AD960" s="45">
        <v>5</v>
      </c>
      <c r="AE960" s="46">
        <v>1427360</v>
      </c>
      <c r="AF960" s="45">
        <v>0</v>
      </c>
      <c r="AG960" s="45">
        <v>8</v>
      </c>
      <c r="AH960" s="46">
        <v>1406270</v>
      </c>
      <c r="AI960" s="45">
        <v>0</v>
      </c>
      <c r="AJ960" s="45">
        <v>8</v>
      </c>
      <c r="AK960" s="46">
        <v>1376390</v>
      </c>
      <c r="AL960" s="45">
        <v>0</v>
      </c>
      <c r="AM960" s="45">
        <v>6</v>
      </c>
      <c r="AO960" s="46">
        <v>1424510</v>
      </c>
      <c r="AP960" s="45">
        <v>0</v>
      </c>
      <c r="AQ960" s="45">
        <v>8</v>
      </c>
      <c r="AR960" s="46">
        <v>1409240</v>
      </c>
      <c r="AS960" s="45">
        <v>11</v>
      </c>
      <c r="AT960" s="45">
        <v>24</v>
      </c>
      <c r="AU960" s="46">
        <v>1392800</v>
      </c>
      <c r="AV960" s="45">
        <v>0</v>
      </c>
      <c r="AW960" s="45">
        <v>10</v>
      </c>
      <c r="AX960" s="46">
        <v>1339710</v>
      </c>
      <c r="AY960" s="45">
        <v>0</v>
      </c>
      <c r="AZ960" s="45">
        <v>17</v>
      </c>
    </row>
    <row r="961" spans="2:52">
      <c r="B961" s="46">
        <v>1211410</v>
      </c>
      <c r="C961" s="45">
        <v>0</v>
      </c>
      <c r="D961" s="45">
        <v>11</v>
      </c>
      <c r="E961" s="46">
        <v>1189210</v>
      </c>
      <c r="F961" s="45">
        <v>15</v>
      </c>
      <c r="G961" s="45">
        <v>10</v>
      </c>
      <c r="H961" s="46">
        <v>1219870</v>
      </c>
      <c r="I961" s="45">
        <v>0</v>
      </c>
      <c r="J961" s="45">
        <v>5</v>
      </c>
      <c r="K961" s="46">
        <v>1237110</v>
      </c>
      <c r="L961" s="45">
        <v>0</v>
      </c>
      <c r="M961" s="45">
        <v>5</v>
      </c>
      <c r="O961" s="46">
        <v>1333090</v>
      </c>
      <c r="P961" s="45">
        <v>0</v>
      </c>
      <c r="Q961" s="45">
        <v>7</v>
      </c>
      <c r="R961" s="46">
        <v>1264520</v>
      </c>
      <c r="S961" s="45">
        <v>0</v>
      </c>
      <c r="T961" s="45">
        <v>8</v>
      </c>
      <c r="U961" s="46">
        <v>1271250</v>
      </c>
      <c r="V961" s="45">
        <v>0</v>
      </c>
      <c r="W961" s="45">
        <v>6</v>
      </c>
      <c r="X961" s="46">
        <v>1325270</v>
      </c>
      <c r="Y961" s="45">
        <v>0</v>
      </c>
      <c r="Z961" s="45">
        <v>4</v>
      </c>
      <c r="AB961" s="46">
        <v>1374870</v>
      </c>
      <c r="AC961" s="45">
        <v>140</v>
      </c>
      <c r="AD961" s="45">
        <v>11</v>
      </c>
      <c r="AE961" s="46">
        <v>1198520</v>
      </c>
      <c r="AF961" s="45">
        <v>0</v>
      </c>
      <c r="AG961" s="45">
        <v>8</v>
      </c>
      <c r="AH961" s="46">
        <v>1204160</v>
      </c>
      <c r="AI961" s="45">
        <v>0</v>
      </c>
      <c r="AJ961" s="45">
        <v>10</v>
      </c>
      <c r="AK961" s="46">
        <v>1206970</v>
      </c>
      <c r="AL961" s="45">
        <v>0</v>
      </c>
      <c r="AM961" s="45">
        <v>5</v>
      </c>
      <c r="AO961" s="46">
        <v>1263360</v>
      </c>
      <c r="AP961" s="45">
        <v>0</v>
      </c>
      <c r="AQ961" s="45">
        <v>15</v>
      </c>
      <c r="AR961" s="46">
        <v>1323430</v>
      </c>
      <c r="AS961" s="45">
        <v>78</v>
      </c>
      <c r="AT961" s="45">
        <v>7</v>
      </c>
      <c r="AU961" s="46">
        <v>1201720</v>
      </c>
      <c r="AV961" s="45">
        <v>12</v>
      </c>
      <c r="AW961" s="45">
        <v>17</v>
      </c>
      <c r="AX961" s="46">
        <v>1276500</v>
      </c>
      <c r="AY961" s="45">
        <v>46</v>
      </c>
      <c r="AZ961" s="45">
        <v>8</v>
      </c>
    </row>
    <row r="962" spans="2:52">
      <c r="B962" s="46">
        <v>1316260</v>
      </c>
      <c r="C962" s="45">
        <v>0</v>
      </c>
      <c r="D962" s="45">
        <v>9</v>
      </c>
      <c r="E962" s="46">
        <v>1266500</v>
      </c>
      <c r="F962" s="45">
        <v>0</v>
      </c>
      <c r="G962" s="45">
        <v>13</v>
      </c>
      <c r="H962" s="46">
        <v>1292720</v>
      </c>
      <c r="I962" s="45">
        <v>0</v>
      </c>
      <c r="J962" s="45">
        <v>11</v>
      </c>
      <c r="K962" s="46">
        <v>1274740</v>
      </c>
      <c r="L962" s="45">
        <v>0</v>
      </c>
      <c r="M962" s="45">
        <v>5</v>
      </c>
      <c r="O962" s="46">
        <v>1459980</v>
      </c>
      <c r="P962" s="45">
        <v>0</v>
      </c>
      <c r="Q962" s="45">
        <v>4</v>
      </c>
      <c r="R962" s="46">
        <v>1443050</v>
      </c>
      <c r="S962" s="45">
        <v>0</v>
      </c>
      <c r="T962" s="45">
        <v>5</v>
      </c>
      <c r="U962" s="46">
        <v>1398780</v>
      </c>
      <c r="V962" s="45">
        <v>0</v>
      </c>
      <c r="W962" s="45">
        <v>4</v>
      </c>
      <c r="X962" s="46">
        <v>1346560</v>
      </c>
      <c r="Y962" s="45">
        <v>0</v>
      </c>
      <c r="Z962" s="45">
        <v>6</v>
      </c>
      <c r="AB962" s="46">
        <v>1285440</v>
      </c>
      <c r="AC962" s="45">
        <v>0</v>
      </c>
      <c r="AD962" s="45">
        <v>6</v>
      </c>
      <c r="AE962" s="46">
        <v>1304970</v>
      </c>
      <c r="AF962" s="45">
        <v>0</v>
      </c>
      <c r="AG962" s="45">
        <v>5</v>
      </c>
      <c r="AH962" s="46">
        <v>1285800</v>
      </c>
      <c r="AI962" s="45">
        <v>0</v>
      </c>
      <c r="AJ962" s="45">
        <v>8</v>
      </c>
      <c r="AK962" s="46">
        <v>1306480</v>
      </c>
      <c r="AL962" s="45">
        <v>0</v>
      </c>
      <c r="AM962" s="45">
        <v>6</v>
      </c>
      <c r="AO962" s="46">
        <v>1294930</v>
      </c>
      <c r="AP962" s="45">
        <v>0</v>
      </c>
      <c r="AQ962" s="45">
        <v>11</v>
      </c>
      <c r="AR962" s="46">
        <v>1299180</v>
      </c>
      <c r="AS962" s="45">
        <v>0</v>
      </c>
      <c r="AT962" s="45">
        <v>16</v>
      </c>
      <c r="AU962" s="46">
        <v>1328400</v>
      </c>
      <c r="AV962" s="45">
        <v>0</v>
      </c>
      <c r="AW962" s="45">
        <v>4</v>
      </c>
      <c r="AX962" s="46">
        <v>1249480</v>
      </c>
      <c r="AY962" s="45">
        <v>0</v>
      </c>
      <c r="AZ962" s="45">
        <v>11</v>
      </c>
    </row>
  </sheetData>
  <mergeCells count="4">
    <mergeCell ref="B1:M1"/>
    <mergeCell ref="O1:Z1"/>
    <mergeCell ref="AB1:AM1"/>
    <mergeCell ref="AO1:AZ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62"/>
  <sheetViews>
    <sheetView tabSelected="1" workbookViewId="0">
      <selection activeCell="R15" sqref="R15"/>
    </sheetView>
  </sheetViews>
  <sheetFormatPr defaultColWidth="14.42578125" defaultRowHeight="15" customHeight="1"/>
  <sheetData>
    <row r="1" spans="2:29" ht="15" customHeight="1">
      <c r="I1" s="114" t="s">
        <v>45</v>
      </c>
      <c r="J1" s="115"/>
      <c r="K1" s="115"/>
      <c r="L1" s="116"/>
      <c r="T1" s="114" t="s">
        <v>46</v>
      </c>
      <c r="U1" s="115"/>
      <c r="V1" s="115"/>
      <c r="W1" s="116"/>
    </row>
    <row r="2" spans="2:29" s="49" customFormat="1" ht="15" customHeight="1" thickBot="1">
      <c r="B2" s="71" t="s">
        <v>38</v>
      </c>
      <c r="C2" s="71" t="s">
        <v>37</v>
      </c>
      <c r="D2" s="71" t="s">
        <v>39</v>
      </c>
      <c r="E2" s="71" t="s">
        <v>40</v>
      </c>
      <c r="F2"/>
      <c r="G2" s="71" t="s">
        <v>41</v>
      </c>
      <c r="H2"/>
      <c r="I2" s="99" t="s">
        <v>1</v>
      </c>
      <c r="J2" s="100" t="s">
        <v>2</v>
      </c>
      <c r="K2" s="101" t="s">
        <v>28</v>
      </c>
      <c r="L2" s="102" t="s">
        <v>29</v>
      </c>
      <c r="T2" s="103">
        <v>0.1</v>
      </c>
      <c r="U2" s="104">
        <v>0.2</v>
      </c>
      <c r="V2" s="104">
        <v>0.3</v>
      </c>
      <c r="W2" s="105">
        <v>0.5</v>
      </c>
    </row>
    <row r="3" spans="2:29" ht="15" customHeight="1" thickTop="1">
      <c r="B3">
        <f>MIN('GA Arroyo'!B3,'GA Arroyo'!E3,'GA Arroyo'!H3,'GA Arroyo'!K3)</f>
        <v>11316.2</v>
      </c>
      <c r="C3">
        <f>MIN('GA Arroyo'!O3, 'GA Arroyo'!R3, 'GA Arroyo'!U3, 'GA Arroyo'!X3)</f>
        <v>11316.2</v>
      </c>
      <c r="D3">
        <f>MIN('GA Arroyo'!AB3, 'GA Arroyo'!AE3, 'GA Arroyo'!AH3, 'GA Arroyo'!AK3)</f>
        <v>11795</v>
      </c>
      <c r="E3">
        <f>MIN('GA Arroyo'!AO3, 'GA Arroyo'!AR3, 'GA Arroyo'!AU3, 'GA Arroyo'!AX3)</f>
        <v>11161.6</v>
      </c>
      <c r="G3">
        <f>MIN(B3,C3,D3,E3)</f>
        <v>11161.6</v>
      </c>
      <c r="I3">
        <f>(100*(B3-G3))/G3</f>
        <v>1.3851060779816546</v>
      </c>
      <c r="J3" s="49">
        <f>(100*(C3-G3))/G3</f>
        <v>1.3851060779816546</v>
      </c>
      <c r="K3" s="49">
        <f>(100*(D3-G3))/G3</f>
        <v>5.6748136467889871</v>
      </c>
      <c r="L3" s="49">
        <f>(100*(E3-G3))/G3</f>
        <v>0</v>
      </c>
      <c r="N3" s="117" t="s">
        <v>42</v>
      </c>
      <c r="O3" s="118"/>
      <c r="P3" s="118"/>
      <c r="Q3" s="118"/>
      <c r="R3" s="119"/>
      <c r="T3" s="49">
        <f>(100*('GA Arroyo'!AO3-E3))/E3</f>
        <v>0</v>
      </c>
      <c r="U3" s="49">
        <f>(100*('GA Arroyo'!AR3-E3))/E3</f>
        <v>4.6973552178899016</v>
      </c>
      <c r="V3" s="49">
        <f>(100*('GA Arroyo'!AU3-E3))/E3</f>
        <v>24.190080275229356</v>
      </c>
      <c r="W3" s="49">
        <f>(100*('GA Arroyo'!AX3-E3))/E3</f>
        <v>1.3851060779816546</v>
      </c>
      <c r="Y3" s="117" t="s">
        <v>44</v>
      </c>
      <c r="Z3" s="118"/>
      <c r="AA3" s="118"/>
      <c r="AB3" s="118"/>
      <c r="AC3" s="119"/>
    </row>
    <row r="4" spans="2:29" ht="15" customHeight="1">
      <c r="B4">
        <f>MIN('GA Arroyo'!B4,'GA Arroyo'!E4,'GA Arroyo'!H4,'GA Arroyo'!K4)</f>
        <v>9568.9</v>
      </c>
      <c r="C4">
        <f>MIN('GA Arroyo'!O4, 'GA Arroyo'!R4, 'GA Arroyo'!U4, 'GA Arroyo'!X4)</f>
        <v>9568.9</v>
      </c>
      <c r="D4">
        <f>MIN('GA Arroyo'!AB4, 'GA Arroyo'!AE4, 'GA Arroyo'!AH4, 'GA Arroyo'!AK4)</f>
        <v>10560.5</v>
      </c>
      <c r="E4">
        <f>MIN('GA Arroyo'!AO4, 'GA Arroyo'!AR4, 'GA Arroyo'!AU4, 'GA Arroyo'!AX4)</f>
        <v>9568.9</v>
      </c>
      <c r="G4" s="45">
        <f t="shared" ref="G4:G67" si="0">MIN(B4,C4,D4,E4)</f>
        <v>9568.9</v>
      </c>
      <c r="I4" s="49">
        <f t="shared" ref="I4:I67" si="1">(100*(B4-G4))/G4</f>
        <v>0</v>
      </c>
      <c r="J4" s="49">
        <f t="shared" ref="J4:J67" si="2">(100*(C4-G4))/G4</f>
        <v>0</v>
      </c>
      <c r="K4" s="49">
        <f t="shared" ref="K4:K67" si="3">(100*(D4-G4))/G4</f>
        <v>10.36273761874406</v>
      </c>
      <c r="L4" s="49">
        <f t="shared" ref="L4:L67" si="4">(100*(E4-G4))/G4</f>
        <v>0</v>
      </c>
      <c r="N4" s="60"/>
      <c r="O4" s="90" t="s">
        <v>1</v>
      </c>
      <c r="P4" s="90" t="s">
        <v>2</v>
      </c>
      <c r="Q4" s="90" t="s">
        <v>28</v>
      </c>
      <c r="R4" s="91" t="s">
        <v>29</v>
      </c>
      <c r="T4" s="49">
        <f>(100*('GA Arroyo'!AO4-E4))/E4</f>
        <v>6.1250509462947713</v>
      </c>
      <c r="U4" s="49">
        <f>(100*('GA Arroyo'!AR4-E4))/E4</f>
        <v>0</v>
      </c>
      <c r="V4" s="49">
        <f>(100*('GA Arroyo'!AU4-E4))/E4</f>
        <v>0</v>
      </c>
      <c r="W4" s="49">
        <f>(100*('GA Arroyo'!AX4-E4))/E4</f>
        <v>0</v>
      </c>
      <c r="Y4" s="60"/>
      <c r="Z4" s="92">
        <v>0.1</v>
      </c>
      <c r="AA4" s="92">
        <v>0.2</v>
      </c>
      <c r="AB4" s="92">
        <v>0.3</v>
      </c>
      <c r="AC4" s="93">
        <v>0.5</v>
      </c>
    </row>
    <row r="5" spans="2:29" ht="15" customHeight="1">
      <c r="B5">
        <f>MIN('GA Arroyo'!B5,'GA Arroyo'!E5,'GA Arroyo'!H5,'GA Arroyo'!K5)</f>
        <v>10637.1</v>
      </c>
      <c r="C5">
        <f>MIN('GA Arroyo'!O5, 'GA Arroyo'!R5, 'GA Arroyo'!U5, 'GA Arroyo'!X5)</f>
        <v>10637.1</v>
      </c>
      <c r="D5">
        <f>MIN('GA Arroyo'!AB5, 'GA Arroyo'!AE5, 'GA Arroyo'!AH5, 'GA Arroyo'!AK5)</f>
        <v>10637.1</v>
      </c>
      <c r="E5">
        <f>MIN('GA Arroyo'!AO5, 'GA Arroyo'!AR5, 'GA Arroyo'!AU5, 'GA Arroyo'!AX5)</f>
        <v>10637.1</v>
      </c>
      <c r="G5" s="45">
        <f t="shared" si="0"/>
        <v>10637.1</v>
      </c>
      <c r="I5" s="49">
        <f t="shared" si="1"/>
        <v>0</v>
      </c>
      <c r="J5" s="49">
        <f t="shared" si="2"/>
        <v>0</v>
      </c>
      <c r="K5" s="49">
        <f t="shared" si="3"/>
        <v>0</v>
      </c>
      <c r="L5" s="49">
        <f t="shared" si="4"/>
        <v>0</v>
      </c>
      <c r="N5" s="61" t="s">
        <v>11</v>
      </c>
      <c r="O5" s="57">
        <f>AVERAGE(I3:I302)</f>
        <v>1.1108944265907525</v>
      </c>
      <c r="P5" s="55">
        <f>AVERAGE(J3:J302)</f>
        <v>0.57684810524258112</v>
      </c>
      <c r="Q5" s="16">
        <f>AVERAGE(K3:K302)</f>
        <v>7.3465052648067894</v>
      </c>
      <c r="R5" s="62">
        <f>AVERAGE(L3:L302)</f>
        <v>2.0765892874566587</v>
      </c>
      <c r="T5" s="49">
        <f>(100*('GA Arroyo'!AO5-E5))/E5</f>
        <v>3.2085812862528251</v>
      </c>
      <c r="U5" s="49">
        <f>(100*('GA Arroyo'!AR5-E5))/E5</f>
        <v>1.0604394054770498</v>
      </c>
      <c r="V5" s="49">
        <f>(100*('GA Arroyo'!AU5-E5))/E5</f>
        <v>3.2085812862528251</v>
      </c>
      <c r="W5" s="49">
        <f>(100*('GA Arroyo'!AX5-E5))/E5</f>
        <v>0</v>
      </c>
      <c r="Y5" s="61" t="s">
        <v>11</v>
      </c>
      <c r="Z5" s="57">
        <f>AVERAGE(T3:T302)</f>
        <v>4.7142493296388892</v>
      </c>
      <c r="AA5" s="57">
        <f>AVERAGE(U3:U302)</f>
        <v>4.1939385393287729</v>
      </c>
      <c r="AB5" s="57">
        <f>AVERAGE(V3:V302)</f>
        <v>3.4361797623285466</v>
      </c>
      <c r="AC5" s="86">
        <f>AVERAGE(W3:W302)</f>
        <v>2.5149069922731502</v>
      </c>
    </row>
    <row r="6" spans="2:29" ht="15" customHeight="1">
      <c r="B6">
        <f>MIN('GA Arroyo'!B6,'GA Arroyo'!E6,'GA Arroyo'!H6,'GA Arroyo'!K6)</f>
        <v>11446.7</v>
      </c>
      <c r="C6">
        <f>MIN('GA Arroyo'!O6, 'GA Arroyo'!R6, 'GA Arroyo'!U6, 'GA Arroyo'!X6)</f>
        <v>11446.7</v>
      </c>
      <c r="D6">
        <f>MIN('GA Arroyo'!AB6, 'GA Arroyo'!AE6, 'GA Arroyo'!AH6, 'GA Arroyo'!AK6)</f>
        <v>12626.9</v>
      </c>
      <c r="E6">
        <f>MIN('GA Arroyo'!AO6, 'GA Arroyo'!AR6, 'GA Arroyo'!AU6, 'GA Arroyo'!AX6)</f>
        <v>11446.7</v>
      </c>
      <c r="G6" s="45">
        <f t="shared" si="0"/>
        <v>11446.7</v>
      </c>
      <c r="I6" s="49">
        <f t="shared" si="1"/>
        <v>0</v>
      </c>
      <c r="J6" s="49">
        <f t="shared" si="2"/>
        <v>0</v>
      </c>
      <c r="K6" s="49">
        <f t="shared" si="3"/>
        <v>10.310395135715959</v>
      </c>
      <c r="L6" s="49">
        <f t="shared" si="4"/>
        <v>0</v>
      </c>
      <c r="N6" s="63" t="s">
        <v>12</v>
      </c>
      <c r="O6" s="54">
        <f>AVERAGE(I303:I602)</f>
        <v>5.745465837350145</v>
      </c>
      <c r="P6" s="58">
        <f>AVERAGE(J303:J602)</f>
        <v>6.6238939686565894</v>
      </c>
      <c r="Q6" s="59">
        <f>AVERAGE(K303:K602)</f>
        <v>3.63758802241377</v>
      </c>
      <c r="R6" s="64">
        <f>AVERAGE(L303:L602)</f>
        <v>3.9370245458713629</v>
      </c>
      <c r="T6" s="49">
        <f>(100*('GA Arroyo'!AO6-E6))/E6</f>
        <v>3.919907047445979</v>
      </c>
      <c r="U6" s="49">
        <f>(100*('GA Arroyo'!AR6-E6))/E6</f>
        <v>4.3855434317314161</v>
      </c>
      <c r="V6" s="49">
        <f>(100*('GA Arroyo'!AU6-E6))/E6</f>
        <v>0</v>
      </c>
      <c r="W6" s="49">
        <f>(100*('GA Arroyo'!AX6-E6))/E6</f>
        <v>16.598670359142808</v>
      </c>
      <c r="Y6" s="63" t="s">
        <v>12</v>
      </c>
      <c r="Z6" s="54">
        <f>AVERAGE(T303:T602)</f>
        <v>14.662745040458512</v>
      </c>
      <c r="AA6" s="54">
        <f>AVERAGE(U303:U602)</f>
        <v>13.826513853454923</v>
      </c>
      <c r="AB6" s="54">
        <f>AVERAGE(V303:V602)</f>
        <v>10.851248478831254</v>
      </c>
      <c r="AC6" s="88">
        <f>AVERAGE(W303:W602)</f>
        <v>7.7840152773173124</v>
      </c>
    </row>
    <row r="7" spans="2:29" ht="15" customHeight="1">
      <c r="B7">
        <f>MIN('GA Arroyo'!B7,'GA Arroyo'!E7,'GA Arroyo'!H7,'GA Arroyo'!K7)</f>
        <v>6723.9</v>
      </c>
      <c r="C7">
        <f>MIN('GA Arroyo'!O7, 'GA Arroyo'!R7, 'GA Arroyo'!U7, 'GA Arroyo'!X7)</f>
        <v>6723.9</v>
      </c>
      <c r="D7">
        <f>MIN('GA Arroyo'!AB7, 'GA Arroyo'!AE7, 'GA Arroyo'!AH7, 'GA Arroyo'!AK7)</f>
        <v>7060.1</v>
      </c>
      <c r="E7">
        <f>MIN('GA Arroyo'!AO7, 'GA Arroyo'!AR7, 'GA Arroyo'!AU7, 'GA Arroyo'!AX7)</f>
        <v>6723.9</v>
      </c>
      <c r="G7" s="45">
        <f t="shared" si="0"/>
        <v>6723.9</v>
      </c>
      <c r="I7" s="49">
        <f t="shared" si="1"/>
        <v>0</v>
      </c>
      <c r="J7" s="49">
        <f t="shared" si="2"/>
        <v>0</v>
      </c>
      <c r="K7" s="49">
        <f t="shared" si="3"/>
        <v>5.0000743616056269</v>
      </c>
      <c r="L7" s="49">
        <f t="shared" si="4"/>
        <v>0</v>
      </c>
      <c r="M7" s="94"/>
      <c r="N7" s="56" t="s">
        <v>13</v>
      </c>
      <c r="O7" s="54">
        <f>AVERAGE(I603:I782)</f>
        <v>1.3410434876230881</v>
      </c>
      <c r="P7" s="58">
        <f>AVERAGE(J603:J782)</f>
        <v>7.411201944606872</v>
      </c>
      <c r="Q7" s="58">
        <f>AVERAGE(K603:K782)</f>
        <v>20.13038968512393</v>
      </c>
      <c r="R7" s="65">
        <f>AVERAGE(L603:L782)</f>
        <v>1.3213030808965758</v>
      </c>
      <c r="T7" s="49">
        <f>(100*('GA Arroyo'!AO7-E7))/E7</f>
        <v>0</v>
      </c>
      <c r="U7" s="49">
        <f>(100*('GA Arroyo'!AR7-E7))/E7</f>
        <v>6.9067059295944411</v>
      </c>
      <c r="V7" s="49">
        <f>(100*('GA Arroyo'!AU7-E7))/E7</f>
        <v>0.63207364773420194</v>
      </c>
      <c r="W7" s="49">
        <f>(100*('GA Arroyo'!AX7-E7))/E7</f>
        <v>0.63207364773420194</v>
      </c>
      <c r="Y7" s="63" t="s">
        <v>13</v>
      </c>
      <c r="Z7" s="54">
        <f>AVERAGE(T603:T782)</f>
        <v>5.0752607189054642</v>
      </c>
      <c r="AA7" s="54">
        <f>AVERAGE(U603:U782)</f>
        <v>4.1990376961090741</v>
      </c>
      <c r="AB7" s="87">
        <f>AVERAGE(V603:V782)</f>
        <v>3.294332789088835</v>
      </c>
      <c r="AC7" s="84">
        <f>AVERAGE(W603:W782)</f>
        <v>3.3663971150360044</v>
      </c>
    </row>
    <row r="8" spans="2:29" ht="15" customHeight="1" thickBot="1">
      <c r="B8">
        <f>MIN('GA Arroyo'!B8,'GA Arroyo'!E8,'GA Arroyo'!H8,'GA Arroyo'!K8)</f>
        <v>6140.1</v>
      </c>
      <c r="C8">
        <f>MIN('GA Arroyo'!O8, 'GA Arroyo'!R8, 'GA Arroyo'!U8, 'GA Arroyo'!X8)</f>
        <v>6140.1</v>
      </c>
      <c r="D8">
        <f>MIN('GA Arroyo'!AB8, 'GA Arroyo'!AE8, 'GA Arroyo'!AH8, 'GA Arroyo'!AK8)</f>
        <v>6231.5</v>
      </c>
      <c r="E8">
        <f>MIN('GA Arroyo'!AO8, 'GA Arroyo'!AR8, 'GA Arroyo'!AU8, 'GA Arroyo'!AX8)</f>
        <v>6140.1</v>
      </c>
      <c r="G8" s="45">
        <f t="shared" si="0"/>
        <v>6140.1</v>
      </c>
      <c r="I8" s="49">
        <f t="shared" si="1"/>
        <v>0</v>
      </c>
      <c r="J8" s="49">
        <f t="shared" si="2"/>
        <v>0</v>
      </c>
      <c r="K8" s="49">
        <f t="shared" si="3"/>
        <v>1.4885751046399835</v>
      </c>
      <c r="L8" s="49">
        <f t="shared" si="4"/>
        <v>0</v>
      </c>
      <c r="M8" s="94"/>
      <c r="N8" s="66" t="s">
        <v>14</v>
      </c>
      <c r="O8" s="67">
        <f>AVERAGE(I783:I962)</f>
        <v>1.3744495925577853</v>
      </c>
      <c r="P8" s="68">
        <f>AVERAGE(J783:J962)</f>
        <v>8.0258493964027409</v>
      </c>
      <c r="Q8" s="68">
        <f>AVERAGE(K783:K962)</f>
        <v>1.7349571268455859</v>
      </c>
      <c r="R8" s="69">
        <f>AVERAGE(L783:L962)</f>
        <v>1.8397302714451602</v>
      </c>
      <c r="T8" s="49">
        <f>(100*('GA Arroyo'!AO8-E8))/E8</f>
        <v>0</v>
      </c>
      <c r="U8" s="49">
        <f>(100*('GA Arroyo'!AR8-E8))/E8</f>
        <v>6.117164215566512</v>
      </c>
      <c r="V8" s="49">
        <f>(100*('GA Arroyo'!AU8-E8))/E8</f>
        <v>0</v>
      </c>
      <c r="W8" s="49">
        <f>(100*('GA Arroyo'!AX8-E8))/E8</f>
        <v>0</v>
      </c>
      <c r="Y8" s="66" t="s">
        <v>14</v>
      </c>
      <c r="Z8" s="85">
        <f>AVERAGE(T783:T962)</f>
        <v>5.4075370321931597</v>
      </c>
      <c r="AA8" s="85">
        <f>AVERAGE(U783:U962)</f>
        <v>3.6341816255166162</v>
      </c>
      <c r="AB8" s="85">
        <f>AVERAGE(V783:V962)</f>
        <v>3.2601920819804322</v>
      </c>
      <c r="AC8" s="89">
        <f>AVERAGE(W783:W962)</f>
        <v>2.7364520860077661</v>
      </c>
    </row>
    <row r="9" spans="2:29" ht="15" customHeight="1" thickTop="1" thickBot="1">
      <c r="B9">
        <f>MIN('GA Arroyo'!B9,'GA Arroyo'!E9,'GA Arroyo'!H9,'GA Arroyo'!K9)</f>
        <v>10149.200000000001</v>
      </c>
      <c r="C9">
        <f>MIN('GA Arroyo'!O9, 'GA Arroyo'!R9, 'GA Arroyo'!U9, 'GA Arroyo'!X9)</f>
        <v>9986.9</v>
      </c>
      <c r="D9">
        <f>MIN('GA Arroyo'!AB9, 'GA Arroyo'!AE9, 'GA Arroyo'!AH9, 'GA Arroyo'!AK9)</f>
        <v>9986.9</v>
      </c>
      <c r="E9">
        <f>MIN('GA Arroyo'!AO9, 'GA Arroyo'!AR9, 'GA Arroyo'!AU9, 'GA Arroyo'!AX9)</f>
        <v>9986.9</v>
      </c>
      <c r="G9" s="45">
        <f t="shared" si="0"/>
        <v>9986.9</v>
      </c>
      <c r="I9" s="49">
        <f t="shared" si="1"/>
        <v>1.6251289188837488</v>
      </c>
      <c r="J9" s="49">
        <f t="shared" si="2"/>
        <v>0</v>
      </c>
      <c r="K9" s="49">
        <f t="shared" si="3"/>
        <v>0</v>
      </c>
      <c r="L9" s="49">
        <f t="shared" si="4"/>
        <v>0</v>
      </c>
      <c r="M9" s="94"/>
      <c r="N9" s="95" t="s">
        <v>43</v>
      </c>
      <c r="O9" s="96">
        <f>AVERAGE(O5:O8)</f>
        <v>2.3929633360304425</v>
      </c>
      <c r="P9" s="96">
        <f t="shared" ref="P9:R9" si="5">AVERAGE(P5:P8)</f>
        <v>5.6594483537271962</v>
      </c>
      <c r="Q9" s="96">
        <f t="shared" si="5"/>
        <v>8.212360024797519</v>
      </c>
      <c r="R9" s="97">
        <f t="shared" si="5"/>
        <v>2.2936617964174393</v>
      </c>
      <c r="T9" s="49">
        <f>(100*('GA Arroyo'!AO9-E9))/E9</f>
        <v>0</v>
      </c>
      <c r="U9" s="49">
        <f>(100*('GA Arroyo'!AR9-E9))/E9</f>
        <v>4.2896194014158509</v>
      </c>
      <c r="V9" s="49">
        <f>(100*('GA Arroyo'!AU9-E9))/E9</f>
        <v>0</v>
      </c>
      <c r="W9" s="49">
        <f>(100*('GA Arroyo'!AX9-E9))/E9</f>
        <v>0</v>
      </c>
      <c r="Y9" s="98" t="s">
        <v>43</v>
      </c>
      <c r="Z9" s="96">
        <f>AVERAGE(Z5:Z8)</f>
        <v>7.4649480302990057</v>
      </c>
      <c r="AA9" s="96">
        <f t="shared" ref="AA9" si="6">AVERAGE(AA5:AA8)</f>
        <v>6.4634179286023468</v>
      </c>
      <c r="AB9" s="96">
        <f t="shared" ref="AB9" si="7">AVERAGE(AB5:AB8)</f>
        <v>5.2104882780572668</v>
      </c>
      <c r="AC9" s="106">
        <f t="shared" ref="AC9" si="8">AVERAGE(AC5:AC8)</f>
        <v>4.1004428676585585</v>
      </c>
    </row>
    <row r="10" spans="2:29" ht="15" customHeight="1" thickTop="1">
      <c r="B10">
        <f>MIN('GA Arroyo'!B10,'GA Arroyo'!E10,'GA Arroyo'!H10,'GA Arroyo'!K10)</f>
        <v>10193.6</v>
      </c>
      <c r="C10">
        <f>MIN('GA Arroyo'!O10, 'GA Arroyo'!R10, 'GA Arroyo'!U10, 'GA Arroyo'!X10)</f>
        <v>10193.6</v>
      </c>
      <c r="D10">
        <f>MIN('GA Arroyo'!AB10, 'GA Arroyo'!AE10, 'GA Arroyo'!AH10, 'GA Arroyo'!AK10)</f>
        <v>10818.1</v>
      </c>
      <c r="E10">
        <f>MIN('GA Arroyo'!AO10, 'GA Arroyo'!AR10, 'GA Arroyo'!AU10, 'GA Arroyo'!AX10)</f>
        <v>10541</v>
      </c>
      <c r="G10" s="45">
        <f t="shared" si="0"/>
        <v>10193.6</v>
      </c>
      <c r="I10" s="49">
        <f t="shared" si="1"/>
        <v>0</v>
      </c>
      <c r="J10" s="49">
        <f t="shared" si="2"/>
        <v>0</v>
      </c>
      <c r="K10" s="49">
        <f t="shared" si="3"/>
        <v>6.1263930309213626</v>
      </c>
      <c r="L10" s="49">
        <f t="shared" si="4"/>
        <v>3.4080207188824323</v>
      </c>
      <c r="S10" s="49"/>
      <c r="T10" s="49">
        <f>(100*('GA Arroyo'!AO10-E10))/E10</f>
        <v>2.3052841286405465</v>
      </c>
      <c r="U10" s="49">
        <f>(100*('GA Arroyo'!AR10-E10))/E10</f>
        <v>0</v>
      </c>
      <c r="V10" s="49">
        <f>(100*('GA Arroyo'!AU10-E10))/E10</f>
        <v>2.3052841286405465</v>
      </c>
      <c r="W10" s="49">
        <f>(100*('GA Arroyo'!AX10-E10))/E10</f>
        <v>2.3052841286405465</v>
      </c>
    </row>
    <row r="11" spans="2:29" ht="15" customHeight="1">
      <c r="B11">
        <f>MIN('GA Arroyo'!B11,'GA Arroyo'!E11,'GA Arroyo'!H11,'GA Arroyo'!K11)</f>
        <v>10227</v>
      </c>
      <c r="C11">
        <f>MIN('GA Arroyo'!O11, 'GA Arroyo'!R11, 'GA Arroyo'!U11, 'GA Arroyo'!X11)</f>
        <v>10601.5</v>
      </c>
      <c r="D11">
        <f>MIN('GA Arroyo'!AB11, 'GA Arroyo'!AE11, 'GA Arroyo'!AH11, 'GA Arroyo'!AK11)</f>
        <v>10494.4</v>
      </c>
      <c r="E11">
        <f>MIN('GA Arroyo'!AO11, 'GA Arroyo'!AR11, 'GA Arroyo'!AU11, 'GA Arroyo'!AX11)</f>
        <v>10418.1</v>
      </c>
      <c r="G11" s="45">
        <f t="shared" si="0"/>
        <v>10227</v>
      </c>
      <c r="I11" s="49">
        <f t="shared" si="1"/>
        <v>0</v>
      </c>
      <c r="J11" s="49">
        <f t="shared" si="2"/>
        <v>3.6618754277891856</v>
      </c>
      <c r="K11" s="49">
        <f t="shared" si="3"/>
        <v>2.6146475017111532</v>
      </c>
      <c r="L11" s="49">
        <f t="shared" si="4"/>
        <v>1.8685831622176627</v>
      </c>
      <c r="T11" s="49">
        <f>(100*('GA Arroyo'!AO11-E11))/E11</f>
        <v>0</v>
      </c>
      <c r="U11" s="49">
        <f>(100*('GA Arroyo'!AR11-E11))/E11</f>
        <v>3.437287029304771</v>
      </c>
      <c r="V11" s="49">
        <f>(100*('GA Arroyo'!AU11-E11))/E11</f>
        <v>2.8392893137904154</v>
      </c>
      <c r="W11" s="49">
        <f>(100*('GA Arroyo'!AX11-E11))/E11</f>
        <v>7.5167256985438833</v>
      </c>
    </row>
    <row r="12" spans="2:29" ht="15" customHeight="1">
      <c r="B12">
        <f>MIN('GA Arroyo'!B12,'GA Arroyo'!E12,'GA Arroyo'!H12,'GA Arroyo'!K12)</f>
        <v>7665.7</v>
      </c>
      <c r="C12">
        <f>MIN('GA Arroyo'!O12, 'GA Arroyo'!R12, 'GA Arroyo'!U12, 'GA Arroyo'!X12)</f>
        <v>7665.7</v>
      </c>
      <c r="D12">
        <f>MIN('GA Arroyo'!AB12, 'GA Arroyo'!AE12, 'GA Arroyo'!AH12, 'GA Arroyo'!AK12)</f>
        <v>7911.6</v>
      </c>
      <c r="E12">
        <f>MIN('GA Arroyo'!AO12, 'GA Arroyo'!AR12, 'GA Arroyo'!AU12, 'GA Arroyo'!AX12)</f>
        <v>7665.7</v>
      </c>
      <c r="G12" s="45">
        <f t="shared" si="0"/>
        <v>7665.7</v>
      </c>
      <c r="I12" s="49">
        <f t="shared" si="1"/>
        <v>0</v>
      </c>
      <c r="J12" s="49">
        <f t="shared" si="2"/>
        <v>0</v>
      </c>
      <c r="K12" s="49">
        <f t="shared" si="3"/>
        <v>3.2077957655530551</v>
      </c>
      <c r="L12" s="49">
        <f t="shared" si="4"/>
        <v>0</v>
      </c>
      <c r="T12" s="49">
        <f>(100*('GA Arroyo'!AO12-E12))/E12</f>
        <v>3.2077957655530551</v>
      </c>
      <c r="U12" s="49">
        <f>(100*('GA Arroyo'!AR12-E12))/E12</f>
        <v>0</v>
      </c>
      <c r="V12" s="49">
        <f>(100*('GA Arroyo'!AU12-E12))/E12</f>
        <v>0</v>
      </c>
      <c r="W12" s="49">
        <f>(100*('GA Arroyo'!AX12-E12))/E12</f>
        <v>0</v>
      </c>
    </row>
    <row r="13" spans="2:29" ht="15" customHeight="1">
      <c r="B13">
        <f>MIN('GA Arroyo'!B13,'GA Arroyo'!E13,'GA Arroyo'!H13,'GA Arroyo'!K13)</f>
        <v>5682.8</v>
      </c>
      <c r="C13">
        <f>MIN('GA Arroyo'!O13, 'GA Arroyo'!R13, 'GA Arroyo'!U13, 'GA Arroyo'!X13)</f>
        <v>5476.6</v>
      </c>
      <c r="D13">
        <f>MIN('GA Arroyo'!AB13, 'GA Arroyo'!AE13, 'GA Arroyo'!AH13, 'GA Arroyo'!AK13)</f>
        <v>6605.8</v>
      </c>
      <c r="E13">
        <f>MIN('GA Arroyo'!AO13, 'GA Arroyo'!AR13, 'GA Arroyo'!AU13, 'GA Arroyo'!AX13)</f>
        <v>5476.6</v>
      </c>
      <c r="G13" s="45">
        <f t="shared" si="0"/>
        <v>5476.6</v>
      </c>
      <c r="I13" s="49">
        <f t="shared" si="1"/>
        <v>3.7651097396194682</v>
      </c>
      <c r="J13" s="49">
        <f t="shared" si="2"/>
        <v>0</v>
      </c>
      <c r="K13" s="49">
        <f t="shared" si="3"/>
        <v>20.618631997954932</v>
      </c>
      <c r="L13" s="49">
        <f t="shared" si="4"/>
        <v>0</v>
      </c>
      <c r="O13" s="47"/>
      <c r="T13" s="49">
        <f>(100*('GA Arroyo'!AO13-E13))/E13</f>
        <v>5.8357375013694526</v>
      </c>
      <c r="U13" s="49">
        <f>(100*('GA Arroyo'!AR13-E13))/E13</f>
        <v>0</v>
      </c>
      <c r="V13" s="49">
        <f>(100*('GA Arroyo'!AU13-E13))/E13</f>
        <v>6.6008107219807908</v>
      </c>
      <c r="W13" s="49">
        <f>(100*('GA Arroyo'!AX13-E13))/E13</f>
        <v>5.8357375013694526</v>
      </c>
    </row>
    <row r="14" spans="2:29" ht="15" customHeight="1">
      <c r="B14">
        <f>MIN('GA Arroyo'!B14,'GA Arroyo'!E14,'GA Arroyo'!H14,'GA Arroyo'!K14)</f>
        <v>9014.7999999999993</v>
      </c>
      <c r="C14">
        <f>MIN('GA Arroyo'!O14, 'GA Arroyo'!R14, 'GA Arroyo'!U14, 'GA Arroyo'!X14)</f>
        <v>8986.4</v>
      </c>
      <c r="D14">
        <f>MIN('GA Arroyo'!AB14, 'GA Arroyo'!AE14, 'GA Arroyo'!AH14, 'GA Arroyo'!AK14)</f>
        <v>8932.2000000000007</v>
      </c>
      <c r="E14">
        <f>MIN('GA Arroyo'!AO14, 'GA Arroyo'!AR14, 'GA Arroyo'!AU14, 'GA Arroyo'!AX14)</f>
        <v>8846.9</v>
      </c>
      <c r="G14" s="45">
        <f t="shared" si="0"/>
        <v>8846.9</v>
      </c>
      <c r="I14" s="49">
        <f t="shared" si="1"/>
        <v>1.897839921328371</v>
      </c>
      <c r="J14" s="49">
        <f t="shared" si="2"/>
        <v>1.5768235201030871</v>
      </c>
      <c r="K14" s="49">
        <f t="shared" si="3"/>
        <v>0.96417954311681031</v>
      </c>
      <c r="L14" s="49">
        <f t="shared" si="4"/>
        <v>0</v>
      </c>
      <c r="T14" s="49">
        <f>(100*('GA Arroyo'!AO14-E14))/E14</f>
        <v>1.5768235201030871</v>
      </c>
      <c r="U14" s="49">
        <f>(100*('GA Arroyo'!AR14-E14))/E14</f>
        <v>0</v>
      </c>
      <c r="V14" s="49">
        <f>(100*('GA Arroyo'!AU14-E14))/E14</f>
        <v>0</v>
      </c>
      <c r="W14" s="49">
        <f>(100*('GA Arroyo'!AX14-E14))/E14</f>
        <v>26.55506448586512</v>
      </c>
    </row>
    <row r="15" spans="2:29" ht="15" customHeight="1">
      <c r="B15">
        <f>MIN('GA Arroyo'!B15,'GA Arroyo'!E15,'GA Arroyo'!H15,'GA Arroyo'!K15)</f>
        <v>9704.7000000000007</v>
      </c>
      <c r="C15">
        <f>MIN('GA Arroyo'!O15, 'GA Arroyo'!R15, 'GA Arroyo'!U15, 'GA Arroyo'!X15)</f>
        <v>9704.7000000000007</v>
      </c>
      <c r="D15">
        <f>MIN('GA Arroyo'!AB15, 'GA Arroyo'!AE15, 'GA Arroyo'!AH15, 'GA Arroyo'!AK15)</f>
        <v>9704.7000000000007</v>
      </c>
      <c r="E15">
        <f>MIN('GA Arroyo'!AO15, 'GA Arroyo'!AR15, 'GA Arroyo'!AU15, 'GA Arroyo'!AX15)</f>
        <v>9727.2000000000007</v>
      </c>
      <c r="G15" s="45">
        <f t="shared" si="0"/>
        <v>9704.7000000000007</v>
      </c>
      <c r="I15" s="49">
        <f t="shared" si="1"/>
        <v>0</v>
      </c>
      <c r="J15" s="49">
        <f t="shared" si="2"/>
        <v>0</v>
      </c>
      <c r="K15" s="49">
        <f t="shared" si="3"/>
        <v>0</v>
      </c>
      <c r="L15" s="49">
        <f t="shared" si="4"/>
        <v>0.2318464249281276</v>
      </c>
      <c r="O15" s="70"/>
      <c r="P15" s="70"/>
      <c r="Q15" s="70"/>
      <c r="R15" s="70"/>
      <c r="T15" s="49">
        <f>(100*('GA Arroyo'!AO15-E15))/E15</f>
        <v>6.8066864051319858</v>
      </c>
      <c r="U15" s="49">
        <f>(100*('GA Arroyo'!AR15-E15))/E15</f>
        <v>0</v>
      </c>
      <c r="V15" s="49">
        <f>(100*('GA Arroyo'!AU15-E15))/E15</f>
        <v>8.5461386627189651</v>
      </c>
      <c r="W15" s="49">
        <f>(100*('GA Arroyo'!AX15-E15))/E15</f>
        <v>0</v>
      </c>
    </row>
    <row r="16" spans="2:29" ht="15" customHeight="1">
      <c r="B16">
        <f>MIN('GA Arroyo'!B16,'GA Arroyo'!E16,'GA Arroyo'!H16,'GA Arroyo'!K16)</f>
        <v>8289.5</v>
      </c>
      <c r="C16">
        <f>MIN('GA Arroyo'!O16, 'GA Arroyo'!R16, 'GA Arroyo'!U16, 'GA Arroyo'!X16)</f>
        <v>8289.5</v>
      </c>
      <c r="D16">
        <f>MIN('GA Arroyo'!AB16, 'GA Arroyo'!AE16, 'GA Arroyo'!AH16, 'GA Arroyo'!AK16)</f>
        <v>8289.5</v>
      </c>
      <c r="E16">
        <f>MIN('GA Arroyo'!AO16, 'GA Arroyo'!AR16, 'GA Arroyo'!AU16, 'GA Arroyo'!AX16)</f>
        <v>8289.5</v>
      </c>
      <c r="G16" s="45">
        <f t="shared" si="0"/>
        <v>8289.5</v>
      </c>
      <c r="I16" s="49">
        <f t="shared" si="1"/>
        <v>0</v>
      </c>
      <c r="J16" s="49">
        <f t="shared" si="2"/>
        <v>0</v>
      </c>
      <c r="K16" s="49">
        <f t="shared" si="3"/>
        <v>0</v>
      </c>
      <c r="L16" s="49">
        <f t="shared" si="4"/>
        <v>0</v>
      </c>
      <c r="T16" s="49">
        <f>(100*('GA Arroyo'!AO16-E16))/E16</f>
        <v>38.777972133421798</v>
      </c>
      <c r="U16" s="49">
        <f>(100*('GA Arroyo'!AR16-E16))/E16</f>
        <v>0</v>
      </c>
      <c r="V16" s="49">
        <f>(100*('GA Arroyo'!AU16-E16))/E16</f>
        <v>0</v>
      </c>
      <c r="W16" s="49">
        <f>(100*('GA Arroyo'!AX16-E16))/E16</f>
        <v>36.950358887749566</v>
      </c>
    </row>
    <row r="17" spans="2:23" ht="15" customHeight="1">
      <c r="B17">
        <f>MIN('GA Arroyo'!B17,'GA Arroyo'!E17,'GA Arroyo'!H17,'GA Arroyo'!K17)</f>
        <v>12173.5</v>
      </c>
      <c r="C17">
        <f>MIN('GA Arroyo'!O17, 'GA Arroyo'!R17, 'GA Arroyo'!U17, 'GA Arroyo'!X17)</f>
        <v>9904.6</v>
      </c>
      <c r="D17">
        <f>MIN('GA Arroyo'!AB17, 'GA Arroyo'!AE17, 'GA Arroyo'!AH17, 'GA Arroyo'!AK17)</f>
        <v>9904.6</v>
      </c>
      <c r="E17">
        <f>MIN('GA Arroyo'!AO17, 'GA Arroyo'!AR17, 'GA Arroyo'!AU17, 'GA Arroyo'!AX17)</f>
        <v>9887.6</v>
      </c>
      <c r="G17" s="45">
        <f t="shared" si="0"/>
        <v>9887.6</v>
      </c>
      <c r="I17" s="49">
        <f t="shared" si="1"/>
        <v>23.118855940774299</v>
      </c>
      <c r="J17" s="49">
        <f t="shared" si="2"/>
        <v>0.17193252154213357</v>
      </c>
      <c r="K17" s="49">
        <f t="shared" si="3"/>
        <v>0.17193252154213357</v>
      </c>
      <c r="L17" s="49">
        <f t="shared" si="4"/>
        <v>0</v>
      </c>
      <c r="T17" s="49">
        <f>(100*('GA Arroyo'!AO17-E17))/E17</f>
        <v>13.005178203001735</v>
      </c>
      <c r="U17" s="49">
        <f>(100*('GA Arroyo'!AR17-E17))/E17</f>
        <v>0</v>
      </c>
      <c r="V17" s="49">
        <f>(100*('GA Arroyo'!AU17-E17))/E17</f>
        <v>26.793155062907061</v>
      </c>
      <c r="W17" s="49">
        <f>(100*('GA Arroyo'!AX17-E17))/E17</f>
        <v>13.005178203001735</v>
      </c>
    </row>
    <row r="18" spans="2:23" ht="15" customHeight="1">
      <c r="B18">
        <f>MIN('GA Arroyo'!B18,'GA Arroyo'!E18,'GA Arroyo'!H18,'GA Arroyo'!K18)</f>
        <v>7658.5</v>
      </c>
      <c r="C18">
        <f>MIN('GA Arroyo'!O18, 'GA Arroyo'!R18, 'GA Arroyo'!U18, 'GA Arroyo'!X18)</f>
        <v>7658.5</v>
      </c>
      <c r="D18">
        <f>MIN('GA Arroyo'!AB18, 'GA Arroyo'!AE18, 'GA Arroyo'!AH18, 'GA Arroyo'!AK18)</f>
        <v>8402.6</v>
      </c>
      <c r="E18">
        <f>MIN('GA Arroyo'!AO18, 'GA Arroyo'!AR18, 'GA Arroyo'!AU18, 'GA Arroyo'!AX18)</f>
        <v>7658.5</v>
      </c>
      <c r="G18" s="45">
        <f t="shared" si="0"/>
        <v>7658.5</v>
      </c>
      <c r="I18" s="49">
        <f t="shared" si="1"/>
        <v>0</v>
      </c>
      <c r="J18" s="49">
        <f t="shared" si="2"/>
        <v>0</v>
      </c>
      <c r="K18" s="49">
        <f t="shared" si="3"/>
        <v>9.716001828034214</v>
      </c>
      <c r="L18" s="49">
        <f t="shared" si="4"/>
        <v>0</v>
      </c>
      <c r="T18" s="49">
        <f>(100*('GA Arroyo'!AO18-E18))/E18</f>
        <v>6.0063981197362404</v>
      </c>
      <c r="U18" s="49">
        <f>(100*('GA Arroyo'!AR18-E18))/E18</f>
        <v>0</v>
      </c>
      <c r="V18" s="49">
        <f>(100*('GA Arroyo'!AU18-E18))/E18</f>
        <v>0.81216948488607188</v>
      </c>
      <c r="W18" s="49">
        <f>(100*('GA Arroyo'!AX18-E18))/E18</f>
        <v>0.21805836652085681</v>
      </c>
    </row>
    <row r="19" spans="2:23" ht="15" customHeight="1">
      <c r="B19">
        <f>MIN('GA Arroyo'!B19,'GA Arroyo'!E19,'GA Arroyo'!H19,'GA Arroyo'!K19)</f>
        <v>7825.4</v>
      </c>
      <c r="C19">
        <f>MIN('GA Arroyo'!O19, 'GA Arroyo'!R19, 'GA Arroyo'!U19, 'GA Arroyo'!X19)</f>
        <v>7825.4</v>
      </c>
      <c r="D19">
        <f>MIN('GA Arroyo'!AB19, 'GA Arroyo'!AE19, 'GA Arroyo'!AH19, 'GA Arroyo'!AK19)</f>
        <v>8384.2000000000007</v>
      </c>
      <c r="E19">
        <f>MIN('GA Arroyo'!AO19, 'GA Arroyo'!AR19, 'GA Arroyo'!AU19, 'GA Arroyo'!AX19)</f>
        <v>7825.4</v>
      </c>
      <c r="G19" s="45">
        <f t="shared" si="0"/>
        <v>7825.4</v>
      </c>
      <c r="I19" s="49">
        <f t="shared" si="1"/>
        <v>0</v>
      </c>
      <c r="J19" s="49">
        <f t="shared" si="2"/>
        <v>0</v>
      </c>
      <c r="K19" s="49">
        <f t="shared" si="3"/>
        <v>7.1408490300815437</v>
      </c>
      <c r="L19" s="49">
        <f t="shared" si="4"/>
        <v>0</v>
      </c>
      <c r="T19" s="49">
        <f>(100*('GA Arroyo'!AO19-E19))/E19</f>
        <v>8.8608889002479074</v>
      </c>
      <c r="U19" s="49">
        <f>(100*('GA Arroyo'!AR19-E19))/E19</f>
        <v>8.8608889002479074</v>
      </c>
      <c r="V19" s="49">
        <f>(100*('GA Arroyo'!AU19-E19))/E19</f>
        <v>0</v>
      </c>
      <c r="W19" s="49">
        <f>(100*('GA Arroyo'!AX19-E19))/E19</f>
        <v>0</v>
      </c>
    </row>
    <row r="20" spans="2:23" ht="15" customHeight="1">
      <c r="B20">
        <f>MIN('GA Arroyo'!B20,'GA Arroyo'!E20,'GA Arroyo'!H20,'GA Arroyo'!K20)</f>
        <v>6558.7</v>
      </c>
      <c r="C20">
        <f>MIN('GA Arroyo'!O20, 'GA Arroyo'!R20, 'GA Arroyo'!U20, 'GA Arroyo'!X20)</f>
        <v>6558.7</v>
      </c>
      <c r="D20">
        <f>MIN('GA Arroyo'!AB20, 'GA Arroyo'!AE20, 'GA Arroyo'!AH20, 'GA Arroyo'!AK20)</f>
        <v>6558.7</v>
      </c>
      <c r="E20">
        <f>MIN('GA Arroyo'!AO20, 'GA Arroyo'!AR20, 'GA Arroyo'!AU20, 'GA Arroyo'!AX20)</f>
        <v>6658.7</v>
      </c>
      <c r="G20" s="45">
        <f t="shared" si="0"/>
        <v>6558.7</v>
      </c>
      <c r="I20" s="49">
        <f t="shared" si="1"/>
        <v>0</v>
      </c>
      <c r="J20" s="49">
        <f t="shared" si="2"/>
        <v>0</v>
      </c>
      <c r="K20" s="49">
        <f t="shared" si="3"/>
        <v>0</v>
      </c>
      <c r="L20" s="49">
        <f t="shared" si="4"/>
        <v>1.5246923933096499</v>
      </c>
      <c r="T20" s="49">
        <f>(100*('GA Arroyo'!AO20-E20))/E20</f>
        <v>0</v>
      </c>
      <c r="U20" s="49">
        <f>(100*('GA Arroyo'!AR20-E20))/E20</f>
        <v>4.0127952903719919</v>
      </c>
      <c r="V20" s="49">
        <f>(100*('GA Arroyo'!AU20-E20))/E20</f>
        <v>12.613573219997907</v>
      </c>
      <c r="W20" s="49">
        <f>(100*('GA Arroyo'!AX20-E20))/E20</f>
        <v>3.2904320663192572</v>
      </c>
    </row>
    <row r="21" spans="2:23" ht="15" customHeight="1">
      <c r="B21">
        <f>MIN('GA Arroyo'!B21,'GA Arroyo'!E21,'GA Arroyo'!H21,'GA Arroyo'!K21)</f>
        <v>6620.1</v>
      </c>
      <c r="C21">
        <f>MIN('GA Arroyo'!O21, 'GA Arroyo'!R21, 'GA Arroyo'!U21, 'GA Arroyo'!X21)</f>
        <v>6620.1</v>
      </c>
      <c r="D21">
        <f>MIN('GA Arroyo'!AB21, 'GA Arroyo'!AE21, 'GA Arroyo'!AH21, 'GA Arroyo'!AK21)</f>
        <v>6740.7</v>
      </c>
      <c r="E21">
        <f>MIN('GA Arroyo'!AO21, 'GA Arroyo'!AR21, 'GA Arroyo'!AU21, 'GA Arroyo'!AX21)</f>
        <v>6620.1</v>
      </c>
      <c r="G21" s="45">
        <f t="shared" si="0"/>
        <v>6620.1</v>
      </c>
      <c r="I21" s="49">
        <f t="shared" si="1"/>
        <v>0</v>
      </c>
      <c r="J21" s="49">
        <f t="shared" si="2"/>
        <v>0</v>
      </c>
      <c r="K21" s="49">
        <f t="shared" si="3"/>
        <v>1.8217247473603035</v>
      </c>
      <c r="L21" s="49">
        <f t="shared" si="4"/>
        <v>0</v>
      </c>
      <c r="T21" s="49">
        <f>(100*('GA Arroyo'!AO21-E21))/E21</f>
        <v>0.554372290448782</v>
      </c>
      <c r="U21" s="49">
        <f>(100*('GA Arroyo'!AR21-E21))/E21</f>
        <v>3.332275947493232</v>
      </c>
      <c r="V21" s="49">
        <f>(100*('GA Arroyo'!AU21-E21))/E21</f>
        <v>0</v>
      </c>
      <c r="W21" s="49">
        <f>(100*('GA Arroyo'!AX21-E21))/E21</f>
        <v>1.8217247473603035</v>
      </c>
    </row>
    <row r="22" spans="2:23" ht="15" customHeight="1">
      <c r="B22">
        <f>MIN('GA Arroyo'!B22,'GA Arroyo'!E22,'GA Arroyo'!H22,'GA Arroyo'!K22)</f>
        <v>5444.4</v>
      </c>
      <c r="C22">
        <f>MIN('GA Arroyo'!O22, 'GA Arroyo'!R22, 'GA Arroyo'!U22, 'GA Arroyo'!X22)</f>
        <v>5444.4</v>
      </c>
      <c r="D22">
        <f>MIN('GA Arroyo'!AB22, 'GA Arroyo'!AE22, 'GA Arroyo'!AH22, 'GA Arroyo'!AK22)</f>
        <v>5444.4</v>
      </c>
      <c r="E22">
        <f>MIN('GA Arroyo'!AO22, 'GA Arroyo'!AR22, 'GA Arroyo'!AU22, 'GA Arroyo'!AX22)</f>
        <v>5444.4</v>
      </c>
      <c r="G22" s="45">
        <f t="shared" si="0"/>
        <v>5444.4</v>
      </c>
      <c r="I22" s="49">
        <f t="shared" si="1"/>
        <v>0</v>
      </c>
      <c r="J22" s="49">
        <f t="shared" si="2"/>
        <v>0</v>
      </c>
      <c r="K22" s="49">
        <f t="shared" si="3"/>
        <v>0</v>
      </c>
      <c r="L22" s="49">
        <f t="shared" si="4"/>
        <v>0</v>
      </c>
      <c r="T22" s="49">
        <f>(100*('GA Arroyo'!AO22-E22))/E22</f>
        <v>0</v>
      </c>
      <c r="U22" s="49">
        <f>(100*('GA Arroyo'!AR22-E22))/E22</f>
        <v>0</v>
      </c>
      <c r="V22" s="49">
        <f>(100*('GA Arroyo'!AU22-E22))/E22</f>
        <v>8.3627213283373774</v>
      </c>
      <c r="W22" s="49">
        <f>(100*('GA Arroyo'!AX22-E22))/E22</f>
        <v>0</v>
      </c>
    </row>
    <row r="23" spans="2:23" ht="15" customHeight="1">
      <c r="B23">
        <f>MIN('GA Arroyo'!B23,'GA Arroyo'!E23,'GA Arroyo'!H23,'GA Arroyo'!K23)</f>
        <v>8137.8</v>
      </c>
      <c r="C23">
        <f>MIN('GA Arroyo'!O23, 'GA Arroyo'!R23, 'GA Arroyo'!U23, 'GA Arroyo'!X23)</f>
        <v>8137.8</v>
      </c>
      <c r="D23">
        <f>MIN('GA Arroyo'!AB23, 'GA Arroyo'!AE23, 'GA Arroyo'!AH23, 'GA Arroyo'!AK23)</f>
        <v>8474.2000000000007</v>
      </c>
      <c r="E23">
        <f>MIN('GA Arroyo'!AO23, 'GA Arroyo'!AR23, 'GA Arroyo'!AU23, 'GA Arroyo'!AX23)</f>
        <v>8137.8</v>
      </c>
      <c r="G23" s="45">
        <f t="shared" si="0"/>
        <v>8137.8</v>
      </c>
      <c r="I23" s="49">
        <f t="shared" si="1"/>
        <v>0</v>
      </c>
      <c r="J23" s="49">
        <f t="shared" si="2"/>
        <v>0</v>
      </c>
      <c r="K23" s="49">
        <f t="shared" si="3"/>
        <v>4.1337953746712941</v>
      </c>
      <c r="L23" s="49">
        <f t="shared" si="4"/>
        <v>0</v>
      </c>
      <c r="T23" s="49">
        <f>(100*('GA Arroyo'!AO23-E23))/E23</f>
        <v>6.6062080660620737</v>
      </c>
      <c r="U23" s="49">
        <f>(100*('GA Arroyo'!AR23-E23))/E23</f>
        <v>0</v>
      </c>
      <c r="V23" s="49">
        <f>(100*('GA Arroyo'!AU23-E23))/E23</f>
        <v>4.9153333824866561</v>
      </c>
      <c r="W23" s="49">
        <f>(100*('GA Arroyo'!AX23-E23))/E23</f>
        <v>0</v>
      </c>
    </row>
    <row r="24" spans="2:23" ht="15" customHeight="1">
      <c r="B24">
        <f>MIN('GA Arroyo'!B24,'GA Arroyo'!E24,'GA Arroyo'!H24,'GA Arroyo'!K24)</f>
        <v>8669.7000000000007</v>
      </c>
      <c r="C24">
        <f>MIN('GA Arroyo'!O24, 'GA Arroyo'!R24, 'GA Arroyo'!U24, 'GA Arroyo'!X24)</f>
        <v>8669.7000000000007</v>
      </c>
      <c r="D24">
        <f>MIN('GA Arroyo'!AB24, 'GA Arroyo'!AE24, 'GA Arroyo'!AH24, 'GA Arroyo'!AK24)</f>
        <v>8669.7000000000007</v>
      </c>
      <c r="E24">
        <f>MIN('GA Arroyo'!AO24, 'GA Arroyo'!AR24, 'GA Arroyo'!AU24, 'GA Arroyo'!AX24)</f>
        <v>8669.7000000000007</v>
      </c>
      <c r="G24" s="45">
        <f t="shared" si="0"/>
        <v>8669.7000000000007</v>
      </c>
      <c r="I24" s="49">
        <f t="shared" si="1"/>
        <v>0</v>
      </c>
      <c r="J24" s="49">
        <f t="shared" si="2"/>
        <v>0</v>
      </c>
      <c r="K24" s="49">
        <f t="shared" si="3"/>
        <v>0</v>
      </c>
      <c r="L24" s="49">
        <f t="shared" si="4"/>
        <v>0</v>
      </c>
      <c r="T24" s="49">
        <f>(100*('GA Arroyo'!AO24-E24))/E24</f>
        <v>17.564621613204601</v>
      </c>
      <c r="U24" s="49">
        <f>(100*('GA Arroyo'!AR24-E24))/E24</f>
        <v>14.994751836857098</v>
      </c>
      <c r="V24" s="49">
        <f>(100*('GA Arroyo'!AU24-E24))/E24</f>
        <v>0</v>
      </c>
      <c r="W24" s="49">
        <f>(100*('GA Arroyo'!AX24-E24))/E24</f>
        <v>0</v>
      </c>
    </row>
    <row r="25" spans="2:23" ht="15" customHeight="1">
      <c r="B25">
        <f>MIN('GA Arroyo'!B25,'GA Arroyo'!E25,'GA Arroyo'!H25,'GA Arroyo'!K25)</f>
        <v>8667.9</v>
      </c>
      <c r="C25">
        <f>MIN('GA Arroyo'!O25, 'GA Arroyo'!R25, 'GA Arroyo'!U25, 'GA Arroyo'!X25)</f>
        <v>8667.9</v>
      </c>
      <c r="D25">
        <f>MIN('GA Arroyo'!AB25, 'GA Arroyo'!AE25, 'GA Arroyo'!AH25, 'GA Arroyo'!AK25)</f>
        <v>8667.9</v>
      </c>
      <c r="E25">
        <f>MIN('GA Arroyo'!AO25, 'GA Arroyo'!AR25, 'GA Arroyo'!AU25, 'GA Arroyo'!AX25)</f>
        <v>8667.9</v>
      </c>
      <c r="G25" s="45">
        <f t="shared" si="0"/>
        <v>8667.9</v>
      </c>
      <c r="I25" s="49">
        <f t="shared" si="1"/>
        <v>0</v>
      </c>
      <c r="J25" s="49">
        <f t="shared" si="2"/>
        <v>0</v>
      </c>
      <c r="K25" s="49">
        <f t="shared" si="3"/>
        <v>0</v>
      </c>
      <c r="L25" s="49">
        <f t="shared" si="4"/>
        <v>0</v>
      </c>
      <c r="T25" s="49">
        <f>(100*('GA Arroyo'!AO25-E25))/E25</f>
        <v>3.5406499844252894</v>
      </c>
      <c r="U25" s="49">
        <f>(100*('GA Arroyo'!AR25-E25))/E25</f>
        <v>0</v>
      </c>
      <c r="V25" s="49">
        <f>(100*('GA Arroyo'!AU25-E25))/E25</f>
        <v>0</v>
      </c>
      <c r="W25" s="49">
        <f>(100*('GA Arroyo'!AX25-E25))/E25</f>
        <v>3.5406499844252894</v>
      </c>
    </row>
    <row r="26" spans="2:23" ht="15" customHeight="1">
      <c r="B26">
        <f>MIN('GA Arroyo'!B26,'GA Arroyo'!E26,'GA Arroyo'!H26,'GA Arroyo'!K26)</f>
        <v>10881.6</v>
      </c>
      <c r="C26">
        <f>MIN('GA Arroyo'!O26, 'GA Arroyo'!R26, 'GA Arroyo'!U26, 'GA Arroyo'!X26)</f>
        <v>10881.6</v>
      </c>
      <c r="D26">
        <f>MIN('GA Arroyo'!AB26, 'GA Arroyo'!AE26, 'GA Arroyo'!AH26, 'GA Arroyo'!AK26)</f>
        <v>11417</v>
      </c>
      <c r="E26">
        <f>MIN('GA Arroyo'!AO26, 'GA Arroyo'!AR26, 'GA Arroyo'!AU26, 'GA Arroyo'!AX26)</f>
        <v>10881.6</v>
      </c>
      <c r="G26" s="45">
        <f t="shared" si="0"/>
        <v>10881.6</v>
      </c>
      <c r="I26" s="49">
        <f t="shared" si="1"/>
        <v>0</v>
      </c>
      <c r="J26" s="49">
        <f t="shared" si="2"/>
        <v>0</v>
      </c>
      <c r="K26" s="49">
        <f t="shared" si="3"/>
        <v>4.9202323187766472</v>
      </c>
      <c r="L26" s="49">
        <f t="shared" si="4"/>
        <v>0</v>
      </c>
      <c r="T26" s="49">
        <f>(100*('GA Arroyo'!AO26-E26))/E26</f>
        <v>0</v>
      </c>
      <c r="U26" s="49">
        <f>(100*('GA Arroyo'!AR26-E26))/E26</f>
        <v>0</v>
      </c>
      <c r="V26" s="49">
        <f>(100*('GA Arroyo'!AU26-E26))/E26</f>
        <v>0</v>
      </c>
      <c r="W26" s="49">
        <f>(100*('GA Arroyo'!AX26-E26))/E26</f>
        <v>0</v>
      </c>
    </row>
    <row r="27" spans="2:23" ht="15" customHeight="1">
      <c r="B27">
        <f>MIN('GA Arroyo'!B27,'GA Arroyo'!E27,'GA Arroyo'!H27,'GA Arroyo'!K27)</f>
        <v>8778.4</v>
      </c>
      <c r="C27">
        <f>MIN('GA Arroyo'!O27, 'GA Arroyo'!R27, 'GA Arroyo'!U27, 'GA Arroyo'!X27)</f>
        <v>8791.1</v>
      </c>
      <c r="D27">
        <f>MIN('GA Arroyo'!AB27, 'GA Arroyo'!AE27, 'GA Arroyo'!AH27, 'GA Arroyo'!AK27)</f>
        <v>8918</v>
      </c>
      <c r="E27">
        <f>MIN('GA Arroyo'!AO27, 'GA Arroyo'!AR27, 'GA Arroyo'!AU27, 'GA Arroyo'!AX27)</f>
        <v>8778.4</v>
      </c>
      <c r="G27" s="45">
        <f t="shared" si="0"/>
        <v>8778.4</v>
      </c>
      <c r="I27" s="49">
        <f t="shared" si="1"/>
        <v>0</v>
      </c>
      <c r="J27" s="49">
        <f t="shared" si="2"/>
        <v>0.14467328898205514</v>
      </c>
      <c r="K27" s="49">
        <f t="shared" si="3"/>
        <v>1.5902670190467554</v>
      </c>
      <c r="L27" s="49">
        <f t="shared" si="4"/>
        <v>0</v>
      </c>
      <c r="T27" s="49">
        <f>(100*('GA Arroyo'!AO27-E27))/E27</f>
        <v>1.5902670190467554</v>
      </c>
      <c r="U27" s="49">
        <f>(100*('GA Arroyo'!AR27-E27))/E27</f>
        <v>0</v>
      </c>
      <c r="V27" s="49">
        <f>(100*('GA Arroyo'!AU27-E27))/E27</f>
        <v>0</v>
      </c>
      <c r="W27" s="49">
        <f>(100*('GA Arroyo'!AX27-E27))/E27</f>
        <v>0.14467328898205514</v>
      </c>
    </row>
    <row r="28" spans="2:23" ht="15" customHeight="1">
      <c r="B28">
        <f>MIN('GA Arroyo'!B28,'GA Arroyo'!E28,'GA Arroyo'!H28,'GA Arroyo'!K28)</f>
        <v>7163.3</v>
      </c>
      <c r="C28">
        <f>MIN('GA Arroyo'!O28, 'GA Arroyo'!R28, 'GA Arroyo'!U28, 'GA Arroyo'!X28)</f>
        <v>7163.3</v>
      </c>
      <c r="D28">
        <f>MIN('GA Arroyo'!AB28, 'GA Arroyo'!AE28, 'GA Arroyo'!AH28, 'GA Arroyo'!AK28)</f>
        <v>7429.5</v>
      </c>
      <c r="E28">
        <f>MIN('GA Arroyo'!AO28, 'GA Arroyo'!AR28, 'GA Arroyo'!AU28, 'GA Arroyo'!AX28)</f>
        <v>7163.3</v>
      </c>
      <c r="G28" s="45">
        <f t="shared" si="0"/>
        <v>7163.3</v>
      </c>
      <c r="I28" s="49">
        <f t="shared" si="1"/>
        <v>0</v>
      </c>
      <c r="J28" s="49">
        <f t="shared" si="2"/>
        <v>0</v>
      </c>
      <c r="K28" s="49">
        <f t="shared" si="3"/>
        <v>3.7161643376655986</v>
      </c>
      <c r="L28" s="49">
        <f t="shared" si="4"/>
        <v>0</v>
      </c>
      <c r="T28" s="49">
        <f>(100*('GA Arroyo'!AO28-E28))/E28</f>
        <v>6.5514497508131742</v>
      </c>
      <c r="U28" s="49">
        <f>(100*('GA Arroyo'!AR28-E28))/E28</f>
        <v>19.909818100596091</v>
      </c>
      <c r="V28" s="49">
        <f>(100*('GA Arroyo'!AU28-E28))/E28</f>
        <v>7.8916142001591467</v>
      </c>
      <c r="W28" s="49">
        <f>(100*('GA Arroyo'!AX28-E28))/E28</f>
        <v>0</v>
      </c>
    </row>
    <row r="29" spans="2:23" ht="15" customHeight="1">
      <c r="B29">
        <f>MIN('GA Arroyo'!B29,'GA Arroyo'!E29,'GA Arroyo'!H29,'GA Arroyo'!K29)</f>
        <v>10432.700000000001</v>
      </c>
      <c r="C29">
        <f>MIN('GA Arroyo'!O29, 'GA Arroyo'!R29, 'GA Arroyo'!U29, 'GA Arroyo'!X29)</f>
        <v>10432.700000000001</v>
      </c>
      <c r="D29">
        <f>MIN('GA Arroyo'!AB29, 'GA Arroyo'!AE29, 'GA Arroyo'!AH29, 'GA Arroyo'!AK29)</f>
        <v>10432.700000000001</v>
      </c>
      <c r="E29">
        <f>MIN('GA Arroyo'!AO29, 'GA Arroyo'!AR29, 'GA Arroyo'!AU29, 'GA Arroyo'!AX29)</f>
        <v>10432.700000000001</v>
      </c>
      <c r="G29" s="45">
        <f t="shared" si="0"/>
        <v>10432.700000000001</v>
      </c>
      <c r="I29" s="49">
        <f t="shared" si="1"/>
        <v>0</v>
      </c>
      <c r="J29" s="49">
        <f t="shared" si="2"/>
        <v>0</v>
      </c>
      <c r="K29" s="49">
        <f t="shared" si="3"/>
        <v>0</v>
      </c>
      <c r="L29" s="49">
        <f t="shared" si="4"/>
        <v>0</v>
      </c>
      <c r="T29" s="49">
        <f>(100*('GA Arroyo'!AO29-E29))/E29</f>
        <v>3.5379144420907198</v>
      </c>
      <c r="U29" s="49">
        <f>(100*('GA Arroyo'!AR29-E29))/E29</f>
        <v>0</v>
      </c>
      <c r="V29" s="49">
        <f>(100*('GA Arroyo'!AU29-E29))/E29</f>
        <v>0</v>
      </c>
      <c r="W29" s="49">
        <f>(100*('GA Arroyo'!AX29-E29))/E29</f>
        <v>0</v>
      </c>
    </row>
    <row r="30" spans="2:23" ht="15" customHeight="1">
      <c r="B30">
        <f>MIN('GA Arroyo'!B30,'GA Arroyo'!E30,'GA Arroyo'!H30,'GA Arroyo'!K30)</f>
        <v>7164</v>
      </c>
      <c r="C30">
        <f>MIN('GA Arroyo'!O30, 'GA Arroyo'!R30, 'GA Arroyo'!U30, 'GA Arroyo'!X30)</f>
        <v>7164</v>
      </c>
      <c r="D30">
        <f>MIN('GA Arroyo'!AB30, 'GA Arroyo'!AE30, 'GA Arroyo'!AH30, 'GA Arroyo'!AK30)</f>
        <v>7256.6</v>
      </c>
      <c r="E30">
        <f>MIN('GA Arroyo'!AO30, 'GA Arroyo'!AR30, 'GA Arroyo'!AU30, 'GA Arroyo'!AX30)</f>
        <v>7164</v>
      </c>
      <c r="G30" s="45">
        <f t="shared" si="0"/>
        <v>7164</v>
      </c>
      <c r="I30" s="49">
        <f t="shared" si="1"/>
        <v>0</v>
      </c>
      <c r="J30" s="49">
        <f t="shared" si="2"/>
        <v>0</v>
      </c>
      <c r="K30" s="49">
        <f t="shared" si="3"/>
        <v>1.2925739810161971</v>
      </c>
      <c r="L30" s="49">
        <f t="shared" si="4"/>
        <v>0</v>
      </c>
      <c r="T30" s="49">
        <f>(100*('GA Arroyo'!AO30-E30))/E30</f>
        <v>8.0443886097152451</v>
      </c>
      <c r="U30" s="49">
        <f>(100*('GA Arroyo'!AR30-E30))/E30</f>
        <v>0</v>
      </c>
      <c r="V30" s="49">
        <f>(100*('GA Arroyo'!AU30-E30))/E30</f>
        <v>1.0650474595198238</v>
      </c>
      <c r="W30" s="49">
        <f>(100*('GA Arroyo'!AX30-E30))/E30</f>
        <v>1.0650474595198238</v>
      </c>
    </row>
    <row r="31" spans="2:23" ht="15" customHeight="1">
      <c r="B31">
        <f>MIN('GA Arroyo'!B31,'GA Arroyo'!E31,'GA Arroyo'!H31,'GA Arroyo'!K31)</f>
        <v>8605.2999999999993</v>
      </c>
      <c r="C31">
        <f>MIN('GA Arroyo'!O31, 'GA Arroyo'!R31, 'GA Arroyo'!U31, 'GA Arroyo'!X31)</f>
        <v>8605.2999999999993</v>
      </c>
      <c r="D31">
        <f>MIN('GA Arroyo'!AB31, 'GA Arroyo'!AE31, 'GA Arroyo'!AH31, 'GA Arroyo'!AK31)</f>
        <v>8605.2999999999993</v>
      </c>
      <c r="E31">
        <f>MIN('GA Arroyo'!AO31, 'GA Arroyo'!AR31, 'GA Arroyo'!AU31, 'GA Arroyo'!AX31)</f>
        <v>8605.2999999999993</v>
      </c>
      <c r="G31" s="45">
        <f t="shared" si="0"/>
        <v>8605.2999999999993</v>
      </c>
      <c r="I31" s="49">
        <f t="shared" si="1"/>
        <v>0</v>
      </c>
      <c r="J31" s="49">
        <f t="shared" si="2"/>
        <v>0</v>
      </c>
      <c r="K31" s="49">
        <f t="shared" si="3"/>
        <v>0</v>
      </c>
      <c r="L31" s="49">
        <f t="shared" si="4"/>
        <v>0</v>
      </c>
      <c r="T31" s="49">
        <f>(100*('GA Arroyo'!AO31-E31))/E31</f>
        <v>5.8928799693212373</v>
      </c>
      <c r="U31" s="49">
        <f>(100*('GA Arroyo'!AR31-E31))/E31</f>
        <v>4.9643824154881386</v>
      </c>
      <c r="V31" s="49">
        <f>(100*('GA Arroyo'!AU31-E31))/E31</f>
        <v>5.8928799693212373</v>
      </c>
      <c r="W31" s="49">
        <f>(100*('GA Arroyo'!AX31-E31))/E31</f>
        <v>0</v>
      </c>
    </row>
    <row r="32" spans="2:23" ht="15" customHeight="1">
      <c r="B32">
        <f>MIN('GA Arroyo'!B32,'GA Arroyo'!E32,'GA Arroyo'!H32,'GA Arroyo'!K32)</f>
        <v>9022.9</v>
      </c>
      <c r="C32">
        <f>MIN('GA Arroyo'!O32, 'GA Arroyo'!R32, 'GA Arroyo'!U32, 'GA Arroyo'!X32)</f>
        <v>8953.2000000000007</v>
      </c>
      <c r="D32">
        <f>MIN('GA Arroyo'!AB32, 'GA Arroyo'!AE32, 'GA Arroyo'!AH32, 'GA Arroyo'!AK32)</f>
        <v>9131.5</v>
      </c>
      <c r="E32">
        <f>MIN('GA Arroyo'!AO32, 'GA Arroyo'!AR32, 'GA Arroyo'!AU32, 'GA Arroyo'!AX32)</f>
        <v>8953.2000000000007</v>
      </c>
      <c r="G32" s="45">
        <f t="shared" si="0"/>
        <v>8953.2000000000007</v>
      </c>
      <c r="I32" s="49">
        <f t="shared" si="1"/>
        <v>0.77849260599560943</v>
      </c>
      <c r="J32" s="49">
        <f t="shared" si="2"/>
        <v>0</v>
      </c>
      <c r="K32" s="49">
        <f t="shared" si="3"/>
        <v>1.9914667381494802</v>
      </c>
      <c r="L32" s="49">
        <f t="shared" si="4"/>
        <v>0</v>
      </c>
      <c r="T32" s="49">
        <f>(100*('GA Arroyo'!AO32-E32))/E32</f>
        <v>0</v>
      </c>
      <c r="U32" s="49">
        <f>(100*('GA Arroyo'!AR32-E32))/E32</f>
        <v>8.866103739445105</v>
      </c>
      <c r="V32" s="49">
        <f>(100*('GA Arroyo'!AU32-E32))/E32</f>
        <v>1.9914667381494802</v>
      </c>
      <c r="W32" s="49">
        <f>(100*('GA Arroyo'!AX32-E32))/E32</f>
        <v>1.9914667381494802</v>
      </c>
    </row>
    <row r="33" spans="2:23" ht="15" customHeight="1">
      <c r="B33">
        <f>MIN('GA Arroyo'!B33,'GA Arroyo'!E33,'GA Arroyo'!H33,'GA Arroyo'!K33)</f>
        <v>10558.2</v>
      </c>
      <c r="C33">
        <f>MIN('GA Arroyo'!O33, 'GA Arroyo'!R33, 'GA Arroyo'!U33, 'GA Arroyo'!X33)</f>
        <v>10604.4</v>
      </c>
      <c r="D33">
        <f>MIN('GA Arroyo'!AB33, 'GA Arroyo'!AE33, 'GA Arroyo'!AH33, 'GA Arroyo'!AK33)</f>
        <v>10558.2</v>
      </c>
      <c r="E33">
        <f>MIN('GA Arroyo'!AO33, 'GA Arroyo'!AR33, 'GA Arroyo'!AU33, 'GA Arroyo'!AX33)</f>
        <v>10558.2</v>
      </c>
      <c r="G33" s="45">
        <f t="shared" si="0"/>
        <v>10558.2</v>
      </c>
      <c r="I33" s="49">
        <f t="shared" si="1"/>
        <v>0</v>
      </c>
      <c r="J33" s="49">
        <f t="shared" si="2"/>
        <v>0.43757458657724713</v>
      </c>
      <c r="K33" s="49">
        <f t="shared" si="3"/>
        <v>0</v>
      </c>
      <c r="L33" s="49">
        <f t="shared" si="4"/>
        <v>0</v>
      </c>
      <c r="T33" s="49">
        <f>(100*('GA Arroyo'!AO33-E33))/E33</f>
        <v>0.43757458657724713</v>
      </c>
      <c r="U33" s="49">
        <f>(100*('GA Arroyo'!AR33-E33))/E33</f>
        <v>0</v>
      </c>
      <c r="V33" s="49">
        <f>(100*('GA Arroyo'!AU33-E33))/E33</f>
        <v>0.43757458657724713</v>
      </c>
      <c r="W33" s="49">
        <f>(100*('GA Arroyo'!AX33-E33))/E33</f>
        <v>10.721524502282586</v>
      </c>
    </row>
    <row r="34" spans="2:23" ht="15" customHeight="1">
      <c r="B34">
        <f>MIN('GA Arroyo'!B34,'GA Arroyo'!E34,'GA Arroyo'!H34,'GA Arroyo'!K34)</f>
        <v>9156.9</v>
      </c>
      <c r="C34">
        <f>MIN('GA Arroyo'!O34, 'GA Arroyo'!R34, 'GA Arroyo'!U34, 'GA Arroyo'!X34)</f>
        <v>8882</v>
      </c>
      <c r="D34">
        <f>MIN('GA Arroyo'!AB34, 'GA Arroyo'!AE34, 'GA Arroyo'!AH34, 'GA Arroyo'!AK34)</f>
        <v>9492</v>
      </c>
      <c r="E34">
        <f>MIN('GA Arroyo'!AO34, 'GA Arroyo'!AR34, 'GA Arroyo'!AU34, 'GA Arroyo'!AX34)</f>
        <v>9156.9</v>
      </c>
      <c r="G34" s="45">
        <f t="shared" si="0"/>
        <v>8882</v>
      </c>
      <c r="I34" s="49">
        <f t="shared" si="1"/>
        <v>3.0950236433235716</v>
      </c>
      <c r="J34" s="49">
        <f t="shared" si="2"/>
        <v>0</v>
      </c>
      <c r="K34" s="49">
        <f t="shared" si="3"/>
        <v>6.8678225624859266</v>
      </c>
      <c r="L34" s="49">
        <f t="shared" si="4"/>
        <v>3.0950236433235716</v>
      </c>
      <c r="T34" s="49">
        <f>(100*('GA Arroyo'!AO34-E34))/E34</f>
        <v>4.4097893391868546</v>
      </c>
      <c r="U34" s="49">
        <f>(100*('GA Arroyo'!AR34-E34))/E34</f>
        <v>3.6857451757690924</v>
      </c>
      <c r="V34" s="49">
        <f>(100*('GA Arroyo'!AU34-E34))/E34</f>
        <v>8.1785320359510294</v>
      </c>
      <c r="W34" s="49">
        <f>(100*('GA Arroyo'!AX34-E34))/E34</f>
        <v>0</v>
      </c>
    </row>
    <row r="35" spans="2:23" ht="15" customHeight="1">
      <c r="B35">
        <f>MIN('GA Arroyo'!B35,'GA Arroyo'!E35,'GA Arroyo'!H35,'GA Arroyo'!K35)</f>
        <v>7333.5</v>
      </c>
      <c r="C35">
        <f>MIN('GA Arroyo'!O35, 'GA Arroyo'!R35, 'GA Arroyo'!U35, 'GA Arroyo'!X35)</f>
        <v>7333.5</v>
      </c>
      <c r="D35">
        <f>MIN('GA Arroyo'!AB35, 'GA Arroyo'!AE35, 'GA Arroyo'!AH35, 'GA Arroyo'!AK35)</f>
        <v>8811.2999999999993</v>
      </c>
      <c r="E35">
        <f>MIN('GA Arroyo'!AO35, 'GA Arroyo'!AR35, 'GA Arroyo'!AU35, 'GA Arroyo'!AX35)</f>
        <v>7333.5</v>
      </c>
      <c r="G35" s="45">
        <f t="shared" si="0"/>
        <v>7333.5</v>
      </c>
      <c r="I35" s="49">
        <f t="shared" si="1"/>
        <v>0</v>
      </c>
      <c r="J35" s="49">
        <f t="shared" si="2"/>
        <v>0</v>
      </c>
      <c r="K35" s="49">
        <f t="shared" si="3"/>
        <v>20.151360196359164</v>
      </c>
      <c r="L35" s="49">
        <f t="shared" si="4"/>
        <v>0</v>
      </c>
      <c r="T35" s="49">
        <f>(100*('GA Arroyo'!AO35-E35))/E35</f>
        <v>0</v>
      </c>
      <c r="U35" s="49">
        <f>(100*('GA Arroyo'!AR35-E35))/E35</f>
        <v>8.9138883207199822</v>
      </c>
      <c r="V35" s="49">
        <f>(100*('GA Arroyo'!AU35-E35))/E35</f>
        <v>8.9138883207199822</v>
      </c>
      <c r="W35" s="49">
        <f>(100*('GA Arroyo'!AX35-E35))/E35</f>
        <v>8.9138883207199822</v>
      </c>
    </row>
    <row r="36" spans="2:23" ht="15" customHeight="1">
      <c r="B36">
        <f>MIN('GA Arroyo'!B36,'GA Arroyo'!E36,'GA Arroyo'!H36,'GA Arroyo'!K36)</f>
        <v>10561.9</v>
      </c>
      <c r="C36">
        <f>MIN('GA Arroyo'!O36, 'GA Arroyo'!R36, 'GA Arroyo'!U36, 'GA Arroyo'!X36)</f>
        <v>10561.9</v>
      </c>
      <c r="D36">
        <f>MIN('GA Arroyo'!AB36, 'GA Arroyo'!AE36, 'GA Arroyo'!AH36, 'GA Arroyo'!AK36)</f>
        <v>12161.4</v>
      </c>
      <c r="E36">
        <f>MIN('GA Arroyo'!AO36, 'GA Arroyo'!AR36, 'GA Arroyo'!AU36, 'GA Arroyo'!AX36)</f>
        <v>10561.9</v>
      </c>
      <c r="G36" s="45">
        <f t="shared" si="0"/>
        <v>10561.9</v>
      </c>
      <c r="I36" s="49">
        <f t="shared" si="1"/>
        <v>0</v>
      </c>
      <c r="J36" s="49">
        <f t="shared" si="2"/>
        <v>0</v>
      </c>
      <c r="K36" s="49">
        <f t="shared" si="3"/>
        <v>15.14405552031358</v>
      </c>
      <c r="L36" s="49">
        <f t="shared" si="4"/>
        <v>0</v>
      </c>
      <c r="T36" s="49">
        <f>(100*('GA Arroyo'!AO36-E36))/E36</f>
        <v>28.524223861237093</v>
      </c>
      <c r="U36" s="49">
        <f>(100*('GA Arroyo'!AR36-E36))/E36</f>
        <v>5.412851854306524</v>
      </c>
      <c r="V36" s="49">
        <f>(100*('GA Arroyo'!AU36-E36))/E36</f>
        <v>0</v>
      </c>
      <c r="W36" s="49">
        <f>(100*('GA Arroyo'!AX36-E36))/E36</f>
        <v>0</v>
      </c>
    </row>
    <row r="37" spans="2:23" ht="15" customHeight="1">
      <c r="B37">
        <f>MIN('GA Arroyo'!B37,'GA Arroyo'!E37,'GA Arroyo'!H37,'GA Arroyo'!K37)</f>
        <v>10350.4</v>
      </c>
      <c r="C37">
        <f>MIN('GA Arroyo'!O37, 'GA Arroyo'!R37, 'GA Arroyo'!U37, 'GA Arroyo'!X37)</f>
        <v>10350.4</v>
      </c>
      <c r="D37">
        <f>MIN('GA Arroyo'!AB37, 'GA Arroyo'!AE37, 'GA Arroyo'!AH37, 'GA Arroyo'!AK37)</f>
        <v>10524.6</v>
      </c>
      <c r="E37">
        <f>MIN('GA Arroyo'!AO37, 'GA Arroyo'!AR37, 'GA Arroyo'!AU37, 'GA Arroyo'!AX37)</f>
        <v>10524.6</v>
      </c>
      <c r="G37" s="45">
        <f t="shared" si="0"/>
        <v>10350.4</v>
      </c>
      <c r="I37" s="49">
        <f t="shared" si="1"/>
        <v>0</v>
      </c>
      <c r="J37" s="49">
        <f t="shared" si="2"/>
        <v>0</v>
      </c>
      <c r="K37" s="49">
        <f t="shared" si="3"/>
        <v>1.6830267429278167</v>
      </c>
      <c r="L37" s="49">
        <f t="shared" si="4"/>
        <v>1.6830267429278167</v>
      </c>
      <c r="T37" s="49">
        <f>(100*('GA Arroyo'!AO37-E37))/E37</f>
        <v>4.7507743762233243E-3</v>
      </c>
      <c r="U37" s="49">
        <f>(100*('GA Arroyo'!AR37-E37))/E37</f>
        <v>1.1734412709271611</v>
      </c>
      <c r="V37" s="49">
        <f>(100*('GA Arroyo'!AU37-E37))/E37</f>
        <v>1.1734412709271611</v>
      </c>
      <c r="W37" s="49">
        <f>(100*('GA Arroyo'!AX37-E37))/E37</f>
        <v>0</v>
      </c>
    </row>
    <row r="38" spans="2:23" ht="15" customHeight="1">
      <c r="B38">
        <f>MIN('GA Arroyo'!B38,'GA Arroyo'!E38,'GA Arroyo'!H38,'GA Arroyo'!K38)</f>
        <v>7959.6</v>
      </c>
      <c r="C38">
        <f>MIN('GA Arroyo'!O38, 'GA Arroyo'!R38, 'GA Arroyo'!U38, 'GA Arroyo'!X38)</f>
        <v>7959.6</v>
      </c>
      <c r="D38">
        <f>MIN('GA Arroyo'!AB38, 'GA Arroyo'!AE38, 'GA Arroyo'!AH38, 'GA Arroyo'!AK38)</f>
        <v>7959.6</v>
      </c>
      <c r="E38">
        <f>MIN('GA Arroyo'!AO38, 'GA Arroyo'!AR38, 'GA Arroyo'!AU38, 'GA Arroyo'!AX38)</f>
        <v>7959.6</v>
      </c>
      <c r="G38" s="45">
        <f t="shared" si="0"/>
        <v>7959.6</v>
      </c>
      <c r="I38" s="49">
        <f t="shared" si="1"/>
        <v>0</v>
      </c>
      <c r="J38" s="49">
        <f t="shared" si="2"/>
        <v>0</v>
      </c>
      <c r="K38" s="49">
        <f t="shared" si="3"/>
        <v>0</v>
      </c>
      <c r="L38" s="49">
        <f t="shared" si="4"/>
        <v>0</v>
      </c>
      <c r="T38" s="49">
        <f>(100*('GA Arroyo'!AO38-E38))/E38</f>
        <v>3.8733102165937892</v>
      </c>
      <c r="U38" s="49">
        <f>(100*('GA Arroyo'!AR38-E38))/E38</f>
        <v>5.6460123624302678</v>
      </c>
      <c r="V38" s="49">
        <f>(100*('GA Arroyo'!AU38-E38))/E38</f>
        <v>2.8016483240363836</v>
      </c>
      <c r="W38" s="49">
        <f>(100*('GA Arroyo'!AX38-E38))/E38</f>
        <v>0</v>
      </c>
    </row>
    <row r="39" spans="2:23" ht="15" customHeight="1">
      <c r="B39">
        <f>MIN('GA Arroyo'!B39,'GA Arroyo'!E39,'GA Arroyo'!H39,'GA Arroyo'!K39)</f>
        <v>11258.6</v>
      </c>
      <c r="C39">
        <f>MIN('GA Arroyo'!O39, 'GA Arroyo'!R39, 'GA Arroyo'!U39, 'GA Arroyo'!X39)</f>
        <v>11252.7</v>
      </c>
      <c r="D39">
        <f>MIN('GA Arroyo'!AB39, 'GA Arroyo'!AE39, 'GA Arroyo'!AH39, 'GA Arroyo'!AK39)</f>
        <v>11252.7</v>
      </c>
      <c r="E39">
        <f>MIN('GA Arroyo'!AO39, 'GA Arroyo'!AR39, 'GA Arroyo'!AU39, 'GA Arroyo'!AX39)</f>
        <v>11252.7</v>
      </c>
      <c r="G39" s="45">
        <f t="shared" si="0"/>
        <v>11252.7</v>
      </c>
      <c r="I39" s="49">
        <f t="shared" si="1"/>
        <v>5.2431860797849721E-2</v>
      </c>
      <c r="J39" s="49">
        <f t="shared" si="2"/>
        <v>0</v>
      </c>
      <c r="K39" s="49">
        <f t="shared" si="3"/>
        <v>0</v>
      </c>
      <c r="L39" s="49">
        <f t="shared" si="4"/>
        <v>0</v>
      </c>
      <c r="T39" s="49">
        <f>(100*('GA Arroyo'!AO39-E39))/E39</f>
        <v>2.3363281701280547</v>
      </c>
      <c r="U39" s="49">
        <f>(100*('GA Arroyo'!AR39-E39))/E39</f>
        <v>0</v>
      </c>
      <c r="V39" s="49">
        <f>(100*('GA Arroyo'!AU39-E39))/E39</f>
        <v>0</v>
      </c>
      <c r="W39" s="49">
        <f>(100*('GA Arroyo'!AX39-E39))/E39</f>
        <v>1.443209185351068</v>
      </c>
    </row>
    <row r="40" spans="2:23" ht="15" customHeight="1">
      <c r="B40">
        <f>MIN('GA Arroyo'!B40,'GA Arroyo'!E40,'GA Arroyo'!H40,'GA Arroyo'!K40)</f>
        <v>7619.4</v>
      </c>
      <c r="C40">
        <f>MIN('GA Arroyo'!O40, 'GA Arroyo'!R40, 'GA Arroyo'!U40, 'GA Arroyo'!X40)</f>
        <v>7619.4</v>
      </c>
      <c r="D40">
        <f>MIN('GA Arroyo'!AB40, 'GA Arroyo'!AE40, 'GA Arroyo'!AH40, 'GA Arroyo'!AK40)</f>
        <v>7801</v>
      </c>
      <c r="E40">
        <f>MIN('GA Arroyo'!AO40, 'GA Arroyo'!AR40, 'GA Arroyo'!AU40, 'GA Arroyo'!AX40)</f>
        <v>7619.4</v>
      </c>
      <c r="G40" s="45">
        <f t="shared" si="0"/>
        <v>7619.4</v>
      </c>
      <c r="I40" s="49">
        <f t="shared" si="1"/>
        <v>0</v>
      </c>
      <c r="J40" s="49">
        <f t="shared" si="2"/>
        <v>0</v>
      </c>
      <c r="K40" s="49">
        <f t="shared" si="3"/>
        <v>2.3833897682232243</v>
      </c>
      <c r="L40" s="49">
        <f t="shared" si="4"/>
        <v>0</v>
      </c>
      <c r="T40" s="49">
        <f>(100*('GA Arroyo'!AO40-E40))/E40</f>
        <v>0</v>
      </c>
      <c r="U40" s="49">
        <f>(100*('GA Arroyo'!AR40-E40))/E40</f>
        <v>2.3833897682232243</v>
      </c>
      <c r="V40" s="49">
        <f>(100*('GA Arroyo'!AU40-E40))/E40</f>
        <v>7.8090138331102192</v>
      </c>
      <c r="W40" s="49">
        <f>(100*('GA Arroyo'!AX40-E40))/E40</f>
        <v>0</v>
      </c>
    </row>
    <row r="41" spans="2:23" ht="15" customHeight="1">
      <c r="B41">
        <f>MIN('GA Arroyo'!B41,'GA Arroyo'!E41,'GA Arroyo'!H41,'GA Arroyo'!K41)</f>
        <v>7561.6</v>
      </c>
      <c r="C41">
        <f>MIN('GA Arroyo'!O41, 'GA Arroyo'!R41, 'GA Arroyo'!U41, 'GA Arroyo'!X41)</f>
        <v>7561.6</v>
      </c>
      <c r="D41">
        <f>MIN('GA Arroyo'!AB41, 'GA Arroyo'!AE41, 'GA Arroyo'!AH41, 'GA Arroyo'!AK41)</f>
        <v>7833.9</v>
      </c>
      <c r="E41">
        <f>MIN('GA Arroyo'!AO41, 'GA Arroyo'!AR41, 'GA Arroyo'!AU41, 'GA Arroyo'!AX41)</f>
        <v>7612.1</v>
      </c>
      <c r="G41" s="45">
        <f t="shared" si="0"/>
        <v>7561.6</v>
      </c>
      <c r="I41" s="49">
        <f t="shared" si="1"/>
        <v>0</v>
      </c>
      <c r="J41" s="49">
        <f t="shared" si="2"/>
        <v>0</v>
      </c>
      <c r="K41" s="49">
        <f t="shared" si="3"/>
        <v>3.6010897164621145</v>
      </c>
      <c r="L41" s="49">
        <f t="shared" si="4"/>
        <v>0.66784807448159111</v>
      </c>
      <c r="T41" s="49">
        <f>(100*('GA Arroyo'!AO41-E41))/E41</f>
        <v>3.139738048633097</v>
      </c>
      <c r="U41" s="49">
        <f>(100*('GA Arroyo'!AR41-E41))/E41</f>
        <v>5.3598875474573378</v>
      </c>
      <c r="V41" s="49">
        <f>(100*('GA Arroyo'!AU41-E41))/E41</f>
        <v>0</v>
      </c>
      <c r="W41" s="49">
        <f>(100*('GA Arroyo'!AX41-E41))/E41</f>
        <v>0</v>
      </c>
    </row>
    <row r="42" spans="2:23" ht="15" customHeight="1">
      <c r="B42">
        <f>MIN('GA Arroyo'!B42,'GA Arroyo'!E42,'GA Arroyo'!H42,'GA Arroyo'!K42)</f>
        <v>6214.5</v>
      </c>
      <c r="C42">
        <f>MIN('GA Arroyo'!O42, 'GA Arroyo'!R42, 'GA Arroyo'!U42, 'GA Arroyo'!X42)</f>
        <v>6150.3</v>
      </c>
      <c r="D42">
        <f>MIN('GA Arroyo'!AB42, 'GA Arroyo'!AE42, 'GA Arroyo'!AH42, 'GA Arroyo'!AK42)</f>
        <v>6150.3</v>
      </c>
      <c r="E42">
        <f>MIN('GA Arroyo'!AO42, 'GA Arroyo'!AR42, 'GA Arroyo'!AU42, 'GA Arroyo'!AX42)</f>
        <v>6214.5</v>
      </c>
      <c r="G42" s="45">
        <f t="shared" si="0"/>
        <v>6150.3</v>
      </c>
      <c r="I42" s="49">
        <f t="shared" si="1"/>
        <v>1.0438515194380733</v>
      </c>
      <c r="J42" s="49">
        <f t="shared" si="2"/>
        <v>0</v>
      </c>
      <c r="K42" s="49">
        <f t="shared" si="3"/>
        <v>0</v>
      </c>
      <c r="L42" s="49">
        <f t="shared" si="4"/>
        <v>1.0438515194380733</v>
      </c>
      <c r="T42" s="49">
        <f>(100*('GA Arroyo'!AO42-E42))/E42</f>
        <v>1.6686780915600583</v>
      </c>
      <c r="U42" s="49">
        <f>(100*('GA Arroyo'!AR42-E42))/E42</f>
        <v>1.6686780915600583</v>
      </c>
      <c r="V42" s="49">
        <f>(100*('GA Arroyo'!AU42-E42))/E42</f>
        <v>5.4742939898624163</v>
      </c>
      <c r="W42" s="49">
        <f>(100*('GA Arroyo'!AX42-E42))/E42</f>
        <v>0</v>
      </c>
    </row>
    <row r="43" spans="2:23" ht="15" customHeight="1">
      <c r="B43">
        <f>MIN('GA Arroyo'!B43,'GA Arroyo'!E43,'GA Arroyo'!H43,'GA Arroyo'!K43)</f>
        <v>8494.2999999999993</v>
      </c>
      <c r="C43">
        <f>MIN('GA Arroyo'!O43, 'GA Arroyo'!R43, 'GA Arroyo'!U43, 'GA Arroyo'!X43)</f>
        <v>8494.2999999999993</v>
      </c>
      <c r="D43">
        <f>MIN('GA Arroyo'!AB43, 'GA Arroyo'!AE43, 'GA Arroyo'!AH43, 'GA Arroyo'!AK43)</f>
        <v>9114.5</v>
      </c>
      <c r="E43">
        <f>MIN('GA Arroyo'!AO43, 'GA Arroyo'!AR43, 'GA Arroyo'!AU43, 'GA Arroyo'!AX43)</f>
        <v>8494.2999999999993</v>
      </c>
      <c r="G43" s="45">
        <f t="shared" si="0"/>
        <v>8494.2999999999993</v>
      </c>
      <c r="I43" s="49">
        <f t="shared" si="1"/>
        <v>0</v>
      </c>
      <c r="J43" s="49">
        <f t="shared" si="2"/>
        <v>0</v>
      </c>
      <c r="K43" s="49">
        <f t="shared" si="3"/>
        <v>7.3013667989122206</v>
      </c>
      <c r="L43" s="49">
        <f t="shared" si="4"/>
        <v>0</v>
      </c>
      <c r="T43" s="49">
        <f>(100*('GA Arroyo'!AO43-E43))/E43</f>
        <v>5.2858976019212891</v>
      </c>
      <c r="U43" s="49">
        <f>(100*('GA Arroyo'!AR43-E43))/E43</f>
        <v>5.2858976019212891</v>
      </c>
      <c r="V43" s="49">
        <f>(100*('GA Arroyo'!AU43-E43))/E43</f>
        <v>4.8479568651919651</v>
      </c>
      <c r="W43" s="49">
        <f>(100*('GA Arroyo'!AX43-E43))/E43</f>
        <v>0</v>
      </c>
    </row>
    <row r="44" spans="2:23" ht="15" customHeight="1">
      <c r="B44">
        <f>MIN('GA Arroyo'!B44,'GA Arroyo'!E44,'GA Arroyo'!H44,'GA Arroyo'!K44)</f>
        <v>9605.2000000000007</v>
      </c>
      <c r="C44">
        <f>MIN('GA Arroyo'!O44, 'GA Arroyo'!R44, 'GA Arroyo'!U44, 'GA Arroyo'!X44)</f>
        <v>9605.2000000000007</v>
      </c>
      <c r="D44">
        <f>MIN('GA Arroyo'!AB44, 'GA Arroyo'!AE44, 'GA Arroyo'!AH44, 'GA Arroyo'!AK44)</f>
        <v>9904.5</v>
      </c>
      <c r="E44">
        <f>MIN('GA Arroyo'!AO44, 'GA Arroyo'!AR44, 'GA Arroyo'!AU44, 'GA Arroyo'!AX44)</f>
        <v>9583.1</v>
      </c>
      <c r="G44" s="45">
        <f t="shared" si="0"/>
        <v>9583.1</v>
      </c>
      <c r="I44" s="49">
        <f t="shared" si="1"/>
        <v>0.23061431060930557</v>
      </c>
      <c r="J44" s="49">
        <f t="shared" si="2"/>
        <v>0.23061431060930557</v>
      </c>
      <c r="K44" s="49">
        <f t="shared" si="3"/>
        <v>3.3538207886800682</v>
      </c>
      <c r="L44" s="49">
        <f t="shared" si="4"/>
        <v>0</v>
      </c>
      <c r="T44" s="49">
        <f>(100*('GA Arroyo'!AO44-E44))/E44</f>
        <v>0.44557606619986129</v>
      </c>
      <c r="U44" s="49">
        <f>(100*('GA Arroyo'!AR44-E44))/E44</f>
        <v>2.8529390280806797</v>
      </c>
      <c r="V44" s="49">
        <f>(100*('GA Arroyo'!AU44-E44))/E44</f>
        <v>0.44557606619986129</v>
      </c>
      <c r="W44" s="49">
        <f>(100*('GA Arroyo'!AX44-E44))/E44</f>
        <v>0</v>
      </c>
    </row>
    <row r="45" spans="2:23" ht="15" customHeight="1">
      <c r="B45">
        <f>MIN('GA Arroyo'!B45,'GA Arroyo'!E45,'GA Arroyo'!H45,'GA Arroyo'!K45)</f>
        <v>9346.2999999999993</v>
      </c>
      <c r="C45">
        <f>MIN('GA Arroyo'!O45, 'GA Arroyo'!R45, 'GA Arroyo'!U45, 'GA Arroyo'!X45)</f>
        <v>9346.2999999999993</v>
      </c>
      <c r="D45">
        <f>MIN('GA Arroyo'!AB45, 'GA Arroyo'!AE45, 'GA Arroyo'!AH45, 'GA Arroyo'!AK45)</f>
        <v>9346.2999999999993</v>
      </c>
      <c r="E45">
        <f>MIN('GA Arroyo'!AO45, 'GA Arroyo'!AR45, 'GA Arroyo'!AU45, 'GA Arroyo'!AX45)</f>
        <v>9346.2999999999993</v>
      </c>
      <c r="G45" s="45">
        <f t="shared" si="0"/>
        <v>9346.2999999999993</v>
      </c>
      <c r="I45" s="49">
        <f t="shared" si="1"/>
        <v>0</v>
      </c>
      <c r="J45" s="49">
        <f t="shared" si="2"/>
        <v>0</v>
      </c>
      <c r="K45" s="49">
        <f t="shared" si="3"/>
        <v>0</v>
      </c>
      <c r="L45" s="49">
        <f t="shared" si="4"/>
        <v>0</v>
      </c>
      <c r="T45" s="49">
        <f>(100*('GA Arroyo'!AO45-E45))/E45</f>
        <v>0.53925082653030032</v>
      </c>
      <c r="U45" s="49">
        <f>(100*('GA Arroyo'!AR45-E45))/E45</f>
        <v>9.8092293206937633</v>
      </c>
      <c r="V45" s="49">
        <f>(100*('GA Arroyo'!AU45-E45))/E45</f>
        <v>0.53925082653030032</v>
      </c>
      <c r="W45" s="49">
        <f>(100*('GA Arroyo'!AX45-E45))/E45</f>
        <v>0</v>
      </c>
    </row>
    <row r="46" spans="2:23" ht="15" customHeight="1">
      <c r="B46">
        <f>MIN('GA Arroyo'!B46,'GA Arroyo'!E46,'GA Arroyo'!H46,'GA Arroyo'!K46)</f>
        <v>7126.5</v>
      </c>
      <c r="C46">
        <f>MIN('GA Arroyo'!O46, 'GA Arroyo'!R46, 'GA Arroyo'!U46, 'GA Arroyo'!X46)</f>
        <v>7084.2</v>
      </c>
      <c r="D46">
        <f>MIN('GA Arroyo'!AB46, 'GA Arroyo'!AE46, 'GA Arroyo'!AH46, 'GA Arroyo'!AK46)</f>
        <v>7566.1</v>
      </c>
      <c r="E46">
        <f>MIN('GA Arroyo'!AO46, 'GA Arroyo'!AR46, 'GA Arroyo'!AU46, 'GA Arroyo'!AX46)</f>
        <v>7126.5</v>
      </c>
      <c r="G46" s="45">
        <f t="shared" si="0"/>
        <v>7084.2</v>
      </c>
      <c r="I46" s="49">
        <f t="shared" si="1"/>
        <v>0.59710341322944271</v>
      </c>
      <c r="J46" s="49">
        <f t="shared" si="2"/>
        <v>0</v>
      </c>
      <c r="K46" s="49">
        <f t="shared" si="3"/>
        <v>6.802461816436586</v>
      </c>
      <c r="L46" s="49">
        <f t="shared" si="4"/>
        <v>0.59710341322944271</v>
      </c>
      <c r="T46" s="49">
        <f>(100*('GA Arroyo'!AO46-E46))/E46</f>
        <v>5.6886269557286138</v>
      </c>
      <c r="U46" s="49">
        <f>(100*('GA Arroyo'!AR46-E46))/E46</f>
        <v>13.595734231389878</v>
      </c>
      <c r="V46" s="49">
        <f>(100*('GA Arroyo'!AU46-E46))/E46</f>
        <v>0</v>
      </c>
      <c r="W46" s="49">
        <f>(100*('GA Arroyo'!AX46-E46))/E46</f>
        <v>0</v>
      </c>
    </row>
    <row r="47" spans="2:23" ht="15" customHeight="1">
      <c r="B47">
        <f>MIN('GA Arroyo'!B47,'GA Arroyo'!E47,'GA Arroyo'!H47,'GA Arroyo'!K47)</f>
        <v>8918.2999999999993</v>
      </c>
      <c r="C47">
        <f>MIN('GA Arroyo'!O47, 'GA Arroyo'!R47, 'GA Arroyo'!U47, 'GA Arroyo'!X47)</f>
        <v>8437.4</v>
      </c>
      <c r="D47">
        <f>MIN('GA Arroyo'!AB47, 'GA Arroyo'!AE47, 'GA Arroyo'!AH47, 'GA Arroyo'!AK47)</f>
        <v>9210</v>
      </c>
      <c r="E47">
        <f>MIN('GA Arroyo'!AO47, 'GA Arroyo'!AR47, 'GA Arroyo'!AU47, 'GA Arroyo'!AX47)</f>
        <v>8829</v>
      </c>
      <c r="G47" s="45">
        <f t="shared" si="0"/>
        <v>8437.4</v>
      </c>
      <c r="I47" s="49">
        <f t="shared" si="1"/>
        <v>5.6996231066442231</v>
      </c>
      <c r="J47" s="49">
        <f t="shared" si="2"/>
        <v>0</v>
      </c>
      <c r="K47" s="49">
        <f t="shared" si="3"/>
        <v>9.1568492663616787</v>
      </c>
      <c r="L47" s="49">
        <f t="shared" si="4"/>
        <v>4.64124019247636</v>
      </c>
      <c r="T47" s="49">
        <f>(100*('GA Arroyo'!AO47-E47))/E47</f>
        <v>0.43039981877902367</v>
      </c>
      <c r="U47" s="49">
        <f>(100*('GA Arroyo'!AR47-E47))/E47</f>
        <v>1.6989466530750934E-2</v>
      </c>
      <c r="V47" s="49">
        <f>(100*('GA Arroyo'!AU47-E47))/E47</f>
        <v>0</v>
      </c>
      <c r="W47" s="49">
        <f>(100*('GA Arroyo'!AX47-E47))/E47</f>
        <v>1.0114395741306974</v>
      </c>
    </row>
    <row r="48" spans="2:23" ht="15" customHeight="1">
      <c r="B48">
        <f>MIN('GA Arroyo'!B48,'GA Arroyo'!E48,'GA Arroyo'!H48,'GA Arroyo'!K48)</f>
        <v>7622.6</v>
      </c>
      <c r="C48">
        <f>MIN('GA Arroyo'!O48, 'GA Arroyo'!R48, 'GA Arroyo'!U48, 'GA Arroyo'!X48)</f>
        <v>7622.6</v>
      </c>
      <c r="D48">
        <f>MIN('GA Arroyo'!AB48, 'GA Arroyo'!AE48, 'GA Arroyo'!AH48, 'GA Arroyo'!AK48)</f>
        <v>8306.6</v>
      </c>
      <c r="E48">
        <f>MIN('GA Arroyo'!AO48, 'GA Arroyo'!AR48, 'GA Arroyo'!AU48, 'GA Arroyo'!AX48)</f>
        <v>7622.6</v>
      </c>
      <c r="G48" s="45">
        <f t="shared" si="0"/>
        <v>7622.6</v>
      </c>
      <c r="I48" s="49">
        <f t="shared" si="1"/>
        <v>0</v>
      </c>
      <c r="J48" s="49">
        <f t="shared" si="2"/>
        <v>0</v>
      </c>
      <c r="K48" s="49">
        <f t="shared" si="3"/>
        <v>8.9733161913257931</v>
      </c>
      <c r="L48" s="49">
        <f t="shared" si="4"/>
        <v>0</v>
      </c>
      <c r="T48" s="49">
        <f>(100*('GA Arroyo'!AO48-E48))/E48</f>
        <v>0.15480282318368105</v>
      </c>
      <c r="U48" s="49">
        <f>(100*('GA Arroyo'!AR48-E48))/E48</f>
        <v>0.15480282318368105</v>
      </c>
      <c r="V48" s="49">
        <f>(100*('GA Arroyo'!AU48-E48))/E48</f>
        <v>9.9926534253404196</v>
      </c>
      <c r="W48" s="49">
        <f>(100*('GA Arroyo'!AX48-E48))/E48</f>
        <v>0</v>
      </c>
    </row>
    <row r="49" spans="2:23" ht="15" customHeight="1">
      <c r="B49">
        <f>MIN('GA Arroyo'!B49,'GA Arroyo'!E49,'GA Arroyo'!H49,'GA Arroyo'!K49)</f>
        <v>7714.3</v>
      </c>
      <c r="C49">
        <f>MIN('GA Arroyo'!O49, 'GA Arroyo'!R49, 'GA Arroyo'!U49, 'GA Arroyo'!X49)</f>
        <v>7714.3</v>
      </c>
      <c r="D49">
        <f>MIN('GA Arroyo'!AB49, 'GA Arroyo'!AE49, 'GA Arroyo'!AH49, 'GA Arroyo'!AK49)</f>
        <v>8546.7999999999993</v>
      </c>
      <c r="E49">
        <f>MIN('GA Arroyo'!AO49, 'GA Arroyo'!AR49, 'GA Arroyo'!AU49, 'GA Arroyo'!AX49)</f>
        <v>7914.3</v>
      </c>
      <c r="G49" s="45">
        <f t="shared" si="0"/>
        <v>7714.3</v>
      </c>
      <c r="I49" s="49">
        <f t="shared" si="1"/>
        <v>0</v>
      </c>
      <c r="J49" s="49">
        <f t="shared" si="2"/>
        <v>0</v>
      </c>
      <c r="K49" s="49">
        <f t="shared" si="3"/>
        <v>10.791646682135763</v>
      </c>
      <c r="L49" s="49">
        <f t="shared" si="4"/>
        <v>2.5925877915040898</v>
      </c>
      <c r="T49" s="49">
        <f>(100*('GA Arroyo'!AO49-E49))/E49</f>
        <v>17.333181709058291</v>
      </c>
      <c r="U49" s="49">
        <f>(100*('GA Arroyo'!AR49-E49))/E49</f>
        <v>2.9996335746686329</v>
      </c>
      <c r="V49" s="49">
        <f>(100*('GA Arroyo'!AU49-E49))/E49</f>
        <v>2.9996335746686329</v>
      </c>
      <c r="W49" s="49">
        <f>(100*('GA Arroyo'!AX49-E49))/E49</f>
        <v>0</v>
      </c>
    </row>
    <row r="50" spans="2:23" ht="15" customHeight="1">
      <c r="B50">
        <f>MIN('GA Arroyo'!B50,'GA Arroyo'!E50,'GA Arroyo'!H50,'GA Arroyo'!K50)</f>
        <v>6140.7</v>
      </c>
      <c r="C50">
        <f>MIN('GA Arroyo'!O50, 'GA Arroyo'!R50, 'GA Arroyo'!U50, 'GA Arroyo'!X50)</f>
        <v>6140.7</v>
      </c>
      <c r="D50">
        <f>MIN('GA Arroyo'!AB50, 'GA Arroyo'!AE50, 'GA Arroyo'!AH50, 'GA Arroyo'!AK50)</f>
        <v>6249.1</v>
      </c>
      <c r="E50">
        <f>MIN('GA Arroyo'!AO50, 'GA Arroyo'!AR50, 'GA Arroyo'!AU50, 'GA Arroyo'!AX50)</f>
        <v>6140.7</v>
      </c>
      <c r="G50" s="45">
        <f t="shared" si="0"/>
        <v>6140.7</v>
      </c>
      <c r="I50" s="49">
        <f t="shared" si="1"/>
        <v>0</v>
      </c>
      <c r="J50" s="49">
        <f t="shared" si="2"/>
        <v>0</v>
      </c>
      <c r="K50" s="49">
        <f t="shared" si="3"/>
        <v>1.7652710603025803</v>
      </c>
      <c r="L50" s="49">
        <f t="shared" si="4"/>
        <v>0</v>
      </c>
      <c r="T50" s="49">
        <f>(100*('GA Arroyo'!AO50-E50))/E50</f>
        <v>1.7652710603025803</v>
      </c>
      <c r="U50" s="49">
        <f>(100*('GA Arroyo'!AR50-E50))/E50</f>
        <v>0</v>
      </c>
      <c r="V50" s="49">
        <f>(100*('GA Arroyo'!AU50-E50))/E50</f>
        <v>0</v>
      </c>
      <c r="W50" s="49">
        <f>(100*('GA Arroyo'!AX50-E50))/E50</f>
        <v>0</v>
      </c>
    </row>
    <row r="51" spans="2:23" ht="15" customHeight="1">
      <c r="B51">
        <f>MIN('GA Arroyo'!B51,'GA Arroyo'!E51,'GA Arroyo'!H51,'GA Arroyo'!K51)</f>
        <v>9326.1</v>
      </c>
      <c r="C51">
        <f>MIN('GA Arroyo'!O51, 'GA Arroyo'!R51, 'GA Arroyo'!U51, 'GA Arroyo'!X51)</f>
        <v>9326.1</v>
      </c>
      <c r="D51">
        <f>MIN('GA Arroyo'!AB51, 'GA Arroyo'!AE51, 'GA Arroyo'!AH51, 'GA Arroyo'!AK51)</f>
        <v>9510.7000000000007</v>
      </c>
      <c r="E51">
        <f>MIN('GA Arroyo'!AO51, 'GA Arroyo'!AR51, 'GA Arroyo'!AU51, 'GA Arroyo'!AX51)</f>
        <v>9326.1</v>
      </c>
      <c r="G51" s="45">
        <f t="shared" si="0"/>
        <v>9326.1</v>
      </c>
      <c r="I51" s="49">
        <f t="shared" si="1"/>
        <v>0</v>
      </c>
      <c r="J51" s="49">
        <f t="shared" si="2"/>
        <v>0</v>
      </c>
      <c r="K51" s="49">
        <f t="shared" si="3"/>
        <v>1.979391171014683</v>
      </c>
      <c r="L51" s="49">
        <f t="shared" si="4"/>
        <v>0</v>
      </c>
      <c r="T51" s="49">
        <f>(100*('GA Arroyo'!AO51-E51))/E51</f>
        <v>6.3606437846473751</v>
      </c>
      <c r="U51" s="49">
        <f>(100*('GA Arroyo'!AR51-E51))/E51</f>
        <v>1.979391171014683</v>
      </c>
      <c r="V51" s="49">
        <f>(100*('GA Arroyo'!AU51-E51))/E51</f>
        <v>0</v>
      </c>
      <c r="W51" s="49">
        <f>(100*('GA Arroyo'!AX51-E51))/E51</f>
        <v>1.979391171014683</v>
      </c>
    </row>
    <row r="52" spans="2:23" ht="15" customHeight="1">
      <c r="B52">
        <f>MIN('GA Arroyo'!B52,'GA Arroyo'!E52,'GA Arroyo'!H52,'GA Arroyo'!K52)</f>
        <v>6925.3</v>
      </c>
      <c r="C52">
        <f>MIN('GA Arroyo'!O52, 'GA Arroyo'!R52, 'GA Arroyo'!U52, 'GA Arroyo'!X52)</f>
        <v>6925.3</v>
      </c>
      <c r="D52">
        <f>MIN('GA Arroyo'!AB52, 'GA Arroyo'!AE52, 'GA Arroyo'!AH52, 'GA Arroyo'!AK52)</f>
        <v>7339.1</v>
      </c>
      <c r="E52">
        <f>MIN('GA Arroyo'!AO52, 'GA Arroyo'!AR52, 'GA Arroyo'!AU52, 'GA Arroyo'!AX52)</f>
        <v>6925.3</v>
      </c>
      <c r="G52" s="45">
        <f t="shared" si="0"/>
        <v>6925.3</v>
      </c>
      <c r="I52" s="49">
        <f t="shared" si="1"/>
        <v>0</v>
      </c>
      <c r="J52" s="49">
        <f t="shared" si="2"/>
        <v>0</v>
      </c>
      <c r="K52" s="49">
        <f t="shared" si="3"/>
        <v>5.9751924104370948</v>
      </c>
      <c r="L52" s="49">
        <f t="shared" si="4"/>
        <v>0</v>
      </c>
      <c r="T52" s="49">
        <f>(100*('GA Arroyo'!AO52-E52))/E52</f>
        <v>8.5267064242704294</v>
      </c>
      <c r="U52" s="49">
        <f>(100*('GA Arroyo'!AR52-E52))/E52</f>
        <v>0</v>
      </c>
      <c r="V52" s="49">
        <f>(100*('GA Arroyo'!AU52-E52))/E52</f>
        <v>0</v>
      </c>
      <c r="W52" s="49">
        <f>(100*('GA Arroyo'!AX52-E52))/E52</f>
        <v>6.697182793525192</v>
      </c>
    </row>
    <row r="53" spans="2:23" ht="15" customHeight="1">
      <c r="B53">
        <f>MIN('GA Arroyo'!B53,'GA Arroyo'!E53,'GA Arroyo'!H53,'GA Arroyo'!K53)</f>
        <v>9333.2999999999993</v>
      </c>
      <c r="C53">
        <f>MIN('GA Arroyo'!O53, 'GA Arroyo'!R53, 'GA Arroyo'!U53, 'GA Arroyo'!X53)</f>
        <v>9333.2999999999993</v>
      </c>
      <c r="D53">
        <f>MIN('GA Arroyo'!AB53, 'GA Arroyo'!AE53, 'GA Arroyo'!AH53, 'GA Arroyo'!AK53)</f>
        <v>10413.9</v>
      </c>
      <c r="E53">
        <f>MIN('GA Arroyo'!AO53, 'GA Arroyo'!AR53, 'GA Arroyo'!AU53, 'GA Arroyo'!AX53)</f>
        <v>9333.2999999999993</v>
      </c>
      <c r="G53" s="45">
        <f t="shared" si="0"/>
        <v>9333.2999999999993</v>
      </c>
      <c r="I53" s="49">
        <f t="shared" si="1"/>
        <v>0</v>
      </c>
      <c r="J53" s="49">
        <f t="shared" si="2"/>
        <v>0</v>
      </c>
      <c r="K53" s="49">
        <f t="shared" si="3"/>
        <v>11.57789849249462</v>
      </c>
      <c r="L53" s="49">
        <f t="shared" si="4"/>
        <v>0</v>
      </c>
      <c r="T53" s="49">
        <f>(100*('GA Arroyo'!AO53-E53))/E53</f>
        <v>9.488605316447563</v>
      </c>
      <c r="U53" s="49">
        <f>(100*('GA Arroyo'!AR53-E53))/E53</f>
        <v>0</v>
      </c>
      <c r="V53" s="49">
        <f>(100*('GA Arroyo'!AU53-E53))/E53</f>
        <v>9.4082478865995984</v>
      </c>
      <c r="W53" s="49">
        <f>(100*('GA Arroyo'!AX53-E53))/E53</f>
        <v>0</v>
      </c>
    </row>
    <row r="54" spans="2:23" ht="15" customHeight="1">
      <c r="B54">
        <f>MIN('GA Arroyo'!B54,'GA Arroyo'!E54,'GA Arroyo'!H54,'GA Arroyo'!K54)</f>
        <v>9771.7000000000007</v>
      </c>
      <c r="C54">
        <f>MIN('GA Arroyo'!O54, 'GA Arroyo'!R54, 'GA Arroyo'!U54, 'GA Arroyo'!X54)</f>
        <v>9887.7999999999993</v>
      </c>
      <c r="D54">
        <f>MIN('GA Arroyo'!AB54, 'GA Arroyo'!AE54, 'GA Arroyo'!AH54, 'GA Arroyo'!AK54)</f>
        <v>9771.7000000000007</v>
      </c>
      <c r="E54">
        <f>MIN('GA Arroyo'!AO54, 'GA Arroyo'!AR54, 'GA Arroyo'!AU54, 'GA Arroyo'!AX54)</f>
        <v>9771.7000000000007</v>
      </c>
      <c r="G54" s="45">
        <f t="shared" si="0"/>
        <v>9771.7000000000007</v>
      </c>
      <c r="I54" s="49">
        <f t="shared" si="1"/>
        <v>0</v>
      </c>
      <c r="J54" s="49">
        <f t="shared" si="2"/>
        <v>1.1881248912676252</v>
      </c>
      <c r="K54" s="49">
        <f t="shared" si="3"/>
        <v>0</v>
      </c>
      <c r="L54" s="49">
        <f t="shared" si="4"/>
        <v>0</v>
      </c>
      <c r="T54" s="49">
        <f>(100*('GA Arroyo'!AO54-E54))/E54</f>
        <v>7.5872161445807755</v>
      </c>
      <c r="U54" s="49">
        <f>(100*('GA Arroyo'!AR54-E54))/E54</f>
        <v>5.0369945864076762</v>
      </c>
      <c r="V54" s="49">
        <f>(100*('GA Arroyo'!AU54-E54))/E54</f>
        <v>0</v>
      </c>
      <c r="W54" s="49">
        <f>(100*('GA Arroyo'!AX54-E54))/E54</f>
        <v>1.1881248912676252</v>
      </c>
    </row>
    <row r="55" spans="2:23" ht="15" customHeight="1">
      <c r="B55">
        <f>MIN('GA Arroyo'!B55,'GA Arroyo'!E55,'GA Arroyo'!H55,'GA Arroyo'!K55)</f>
        <v>7462.9</v>
      </c>
      <c r="C55">
        <f>MIN('GA Arroyo'!O55, 'GA Arroyo'!R55, 'GA Arroyo'!U55, 'GA Arroyo'!X55)</f>
        <v>7467.1</v>
      </c>
      <c r="D55">
        <f>MIN('GA Arroyo'!AB55, 'GA Arroyo'!AE55, 'GA Arroyo'!AH55, 'GA Arroyo'!AK55)</f>
        <v>7661.7</v>
      </c>
      <c r="E55">
        <f>MIN('GA Arroyo'!AO55, 'GA Arroyo'!AR55, 'GA Arroyo'!AU55, 'GA Arroyo'!AX55)</f>
        <v>7467.1</v>
      </c>
      <c r="G55" s="45">
        <f t="shared" si="0"/>
        <v>7462.9</v>
      </c>
      <c r="I55" s="49">
        <f t="shared" si="1"/>
        <v>0</v>
      </c>
      <c r="J55" s="49">
        <f t="shared" si="2"/>
        <v>5.6278390438043224E-2</v>
      </c>
      <c r="K55" s="49">
        <f t="shared" si="3"/>
        <v>2.6638438140669201</v>
      </c>
      <c r="L55" s="49">
        <f t="shared" si="4"/>
        <v>5.6278390438043224E-2</v>
      </c>
      <c r="T55" s="49">
        <f>(100*('GA Arroyo'!AO55-E55))/E55</f>
        <v>2.3690589385437404</v>
      </c>
      <c r="U55" s="49">
        <f>(100*('GA Arroyo'!AR55-E55))/E55</f>
        <v>2.3690589385437404</v>
      </c>
      <c r="V55" s="49">
        <f>(100*('GA Arroyo'!AU55-E55))/E55</f>
        <v>0</v>
      </c>
      <c r="W55" s="49">
        <f>(100*('GA Arroyo'!AX55-E55))/E55</f>
        <v>0.3736390298777254</v>
      </c>
    </row>
    <row r="56" spans="2:23" ht="15" customHeight="1">
      <c r="B56">
        <f>MIN('GA Arroyo'!B56,'GA Arroyo'!E56,'GA Arroyo'!H56,'GA Arroyo'!K56)</f>
        <v>10780.7</v>
      </c>
      <c r="C56">
        <f>MIN('GA Arroyo'!O56, 'GA Arroyo'!R56, 'GA Arroyo'!U56, 'GA Arroyo'!X56)</f>
        <v>10780.7</v>
      </c>
      <c r="D56">
        <f>MIN('GA Arroyo'!AB56, 'GA Arroyo'!AE56, 'GA Arroyo'!AH56, 'GA Arroyo'!AK56)</f>
        <v>10780.7</v>
      </c>
      <c r="E56">
        <f>MIN('GA Arroyo'!AO56, 'GA Arroyo'!AR56, 'GA Arroyo'!AU56, 'GA Arroyo'!AX56)</f>
        <v>11032.1</v>
      </c>
      <c r="G56" s="45">
        <f t="shared" si="0"/>
        <v>10780.7</v>
      </c>
      <c r="I56" s="49">
        <f t="shared" si="1"/>
        <v>0</v>
      </c>
      <c r="J56" s="49">
        <f t="shared" si="2"/>
        <v>0</v>
      </c>
      <c r="K56" s="49">
        <f t="shared" si="3"/>
        <v>0</v>
      </c>
      <c r="L56" s="49">
        <f t="shared" si="4"/>
        <v>2.3319450499503707</v>
      </c>
      <c r="T56" s="49">
        <f>(100*('GA Arroyo'!AO56-E56))/E56</f>
        <v>6.6188667615413097</v>
      </c>
      <c r="U56" s="49">
        <f>(100*('GA Arroyo'!AR56-E56))/E56</f>
        <v>2.4093327652939989</v>
      </c>
      <c r="V56" s="49">
        <f>(100*('GA Arroyo'!AU56-E56))/E56</f>
        <v>3.4308971093445488</v>
      </c>
      <c r="W56" s="49">
        <f>(100*('GA Arroyo'!AX56-E56))/E56</f>
        <v>0</v>
      </c>
    </row>
    <row r="57" spans="2:23" ht="15" customHeight="1">
      <c r="B57">
        <f>MIN('GA Arroyo'!B57,'GA Arroyo'!E57,'GA Arroyo'!H57,'GA Arroyo'!K57)</f>
        <v>7719</v>
      </c>
      <c r="C57">
        <f>MIN('GA Arroyo'!O57, 'GA Arroyo'!R57, 'GA Arroyo'!U57, 'GA Arroyo'!X57)</f>
        <v>7858.3</v>
      </c>
      <c r="D57">
        <f>MIN('GA Arroyo'!AB57, 'GA Arroyo'!AE57, 'GA Arroyo'!AH57, 'GA Arroyo'!AK57)</f>
        <v>8694.7999999999993</v>
      </c>
      <c r="E57">
        <f>MIN('GA Arroyo'!AO57, 'GA Arroyo'!AR57, 'GA Arroyo'!AU57, 'GA Arroyo'!AX57)</f>
        <v>7719</v>
      </c>
      <c r="G57" s="45">
        <f t="shared" si="0"/>
        <v>7719</v>
      </c>
      <c r="I57" s="49">
        <f t="shared" si="1"/>
        <v>0</v>
      </c>
      <c r="J57" s="49">
        <f t="shared" si="2"/>
        <v>1.8046379064645703</v>
      </c>
      <c r="K57" s="49">
        <f t="shared" si="3"/>
        <v>12.641533877445255</v>
      </c>
      <c r="L57" s="49">
        <f t="shared" si="4"/>
        <v>0</v>
      </c>
      <c r="T57" s="49">
        <f>(100*('GA Arroyo'!AO57-E57))/E57</f>
        <v>11.18538670812281</v>
      </c>
      <c r="U57" s="49">
        <f>(100*('GA Arroyo'!AR57-E57))/E57</f>
        <v>0</v>
      </c>
      <c r="V57" s="49">
        <f>(100*('GA Arroyo'!AU57-E57))/E57</f>
        <v>0</v>
      </c>
      <c r="W57" s="49">
        <f>(100*('GA Arroyo'!AX57-E57))/E57</f>
        <v>10.158051561083045</v>
      </c>
    </row>
    <row r="58" spans="2:23" ht="15" customHeight="1">
      <c r="B58">
        <f>MIN('GA Arroyo'!B58,'GA Arroyo'!E58,'GA Arroyo'!H58,'GA Arroyo'!K58)</f>
        <v>10185.9</v>
      </c>
      <c r="C58">
        <f>MIN('GA Arroyo'!O58, 'GA Arroyo'!R58, 'GA Arroyo'!U58, 'GA Arroyo'!X58)</f>
        <v>10185.9</v>
      </c>
      <c r="D58">
        <f>MIN('GA Arroyo'!AB58, 'GA Arroyo'!AE58, 'GA Arroyo'!AH58, 'GA Arroyo'!AK58)</f>
        <v>10228.200000000001</v>
      </c>
      <c r="E58">
        <f>MIN('GA Arroyo'!AO58, 'GA Arroyo'!AR58, 'GA Arroyo'!AU58, 'GA Arroyo'!AX58)</f>
        <v>10185.9</v>
      </c>
      <c r="G58" s="45">
        <f t="shared" si="0"/>
        <v>10185.9</v>
      </c>
      <c r="I58" s="49">
        <f t="shared" si="1"/>
        <v>0</v>
      </c>
      <c r="J58" s="49">
        <f t="shared" si="2"/>
        <v>0</v>
      </c>
      <c r="K58" s="49">
        <f t="shared" si="3"/>
        <v>0.41527994580745042</v>
      </c>
      <c r="L58" s="49">
        <f t="shared" si="4"/>
        <v>0</v>
      </c>
      <c r="T58" s="49">
        <f>(100*('GA Arroyo'!AO58-E58))/E58</f>
        <v>0</v>
      </c>
      <c r="U58" s="49">
        <f>(100*('GA Arroyo'!AR58-E58))/E58</f>
        <v>0</v>
      </c>
      <c r="V58" s="49">
        <f>(100*('GA Arroyo'!AU58-E58))/E58</f>
        <v>0.14824414141116998</v>
      </c>
      <c r="W58" s="49">
        <f>(100*('GA Arroyo'!AX58-E58))/E58</f>
        <v>0</v>
      </c>
    </row>
    <row r="59" spans="2:23" ht="15" customHeight="1">
      <c r="B59">
        <f>MIN('GA Arroyo'!B59,'GA Arroyo'!E59,'GA Arroyo'!H59,'GA Arroyo'!K59)</f>
        <v>10168.9</v>
      </c>
      <c r="C59">
        <f>MIN('GA Arroyo'!O59, 'GA Arroyo'!R59, 'GA Arroyo'!U59, 'GA Arroyo'!X59)</f>
        <v>10168.9</v>
      </c>
      <c r="D59">
        <f>MIN('GA Arroyo'!AB59, 'GA Arroyo'!AE59, 'GA Arroyo'!AH59, 'GA Arroyo'!AK59)</f>
        <v>10346.4</v>
      </c>
      <c r="E59">
        <f>MIN('GA Arroyo'!AO59, 'GA Arroyo'!AR59, 'GA Arroyo'!AU59, 'GA Arroyo'!AX59)</f>
        <v>10346.4</v>
      </c>
      <c r="G59" s="45">
        <f t="shared" si="0"/>
        <v>10168.9</v>
      </c>
      <c r="I59" s="49">
        <f t="shared" si="1"/>
        <v>0</v>
      </c>
      <c r="J59" s="49">
        <f t="shared" si="2"/>
        <v>0</v>
      </c>
      <c r="K59" s="49">
        <f t="shared" si="3"/>
        <v>1.7455181976418295</v>
      </c>
      <c r="L59" s="49">
        <f t="shared" si="4"/>
        <v>1.7455181976418295</v>
      </c>
      <c r="T59" s="49">
        <f>(100*('GA Arroyo'!AO59-E59))/E59</f>
        <v>1.2893373540555135</v>
      </c>
      <c r="U59" s="49">
        <f>(100*('GA Arroyo'!AR59-E59))/E59</f>
        <v>0</v>
      </c>
      <c r="V59" s="49">
        <f>(100*('GA Arroyo'!AU59-E59))/E59</f>
        <v>0</v>
      </c>
      <c r="W59" s="49">
        <f>(100*('GA Arroyo'!AX59-E59))/E59</f>
        <v>0.72778937601485627</v>
      </c>
    </row>
    <row r="60" spans="2:23" ht="15" customHeight="1">
      <c r="B60">
        <f>MIN('GA Arroyo'!B60,'GA Arroyo'!E60,'GA Arroyo'!H60,'GA Arroyo'!K60)</f>
        <v>11521.4</v>
      </c>
      <c r="C60">
        <f>MIN('GA Arroyo'!O60, 'GA Arroyo'!R60, 'GA Arroyo'!U60, 'GA Arroyo'!X60)</f>
        <v>11444.9</v>
      </c>
      <c r="D60">
        <f>MIN('GA Arroyo'!AB60, 'GA Arroyo'!AE60, 'GA Arroyo'!AH60, 'GA Arroyo'!AK60)</f>
        <v>11521.4</v>
      </c>
      <c r="E60">
        <f>MIN('GA Arroyo'!AO60, 'GA Arroyo'!AR60, 'GA Arroyo'!AU60, 'GA Arroyo'!AX60)</f>
        <v>11521.4</v>
      </c>
      <c r="G60" s="45">
        <f t="shared" si="0"/>
        <v>11444.9</v>
      </c>
      <c r="I60" s="49">
        <f t="shared" si="1"/>
        <v>0.66841999493224058</v>
      </c>
      <c r="J60" s="49">
        <f t="shared" si="2"/>
        <v>0</v>
      </c>
      <c r="K60" s="49">
        <f t="shared" si="3"/>
        <v>0.66841999493224058</v>
      </c>
      <c r="L60" s="49">
        <f t="shared" si="4"/>
        <v>0.66841999493224058</v>
      </c>
      <c r="T60" s="49">
        <f>(100*('GA Arroyo'!AO60-E60))/E60</f>
        <v>0</v>
      </c>
      <c r="U60" s="49">
        <f>(100*('GA Arroyo'!AR60-E60))/E60</f>
        <v>1.0172374884996678</v>
      </c>
      <c r="V60" s="49">
        <f>(100*('GA Arroyo'!AU60-E60))/E60</f>
        <v>2.2419150450466185</v>
      </c>
      <c r="W60" s="49">
        <f>(100*('GA Arroyo'!AX60-E60))/E60</f>
        <v>0</v>
      </c>
    </row>
    <row r="61" spans="2:23" ht="15" customHeight="1">
      <c r="B61">
        <f>MIN('GA Arroyo'!B61,'GA Arroyo'!E61,'GA Arroyo'!H61,'GA Arroyo'!K61)</f>
        <v>10909.3</v>
      </c>
      <c r="C61">
        <f>MIN('GA Arroyo'!O61, 'GA Arroyo'!R61, 'GA Arroyo'!U61, 'GA Arroyo'!X61)</f>
        <v>10824</v>
      </c>
      <c r="D61">
        <f>MIN('GA Arroyo'!AB61, 'GA Arroyo'!AE61, 'GA Arroyo'!AH61, 'GA Arroyo'!AK61)</f>
        <v>11369.4</v>
      </c>
      <c r="E61">
        <f>MIN('GA Arroyo'!AO61, 'GA Arroyo'!AR61, 'GA Arroyo'!AU61, 'GA Arroyo'!AX61)</f>
        <v>10909.3</v>
      </c>
      <c r="G61" s="45">
        <f t="shared" si="0"/>
        <v>10824</v>
      </c>
      <c r="I61" s="49">
        <f t="shared" si="1"/>
        <v>0.7880635624537996</v>
      </c>
      <c r="J61" s="49">
        <f t="shared" si="2"/>
        <v>0</v>
      </c>
      <c r="K61" s="49">
        <f t="shared" si="3"/>
        <v>5.0388026607538769</v>
      </c>
      <c r="L61" s="49">
        <f t="shared" si="4"/>
        <v>0.7880635624537996</v>
      </c>
      <c r="T61" s="49">
        <f>(100*('GA Arroyo'!AO61-E61))/E61</f>
        <v>1.1430614246560342</v>
      </c>
      <c r="U61" s="49">
        <f>(100*('GA Arroyo'!AR61-E61))/E61</f>
        <v>0</v>
      </c>
      <c r="V61" s="49">
        <f>(100*('GA Arroyo'!AU61-E61))/E61</f>
        <v>0</v>
      </c>
      <c r="W61" s="49">
        <f>(100*('GA Arroyo'!AX61-E61))/E61</f>
        <v>0.65632075385222122</v>
      </c>
    </row>
    <row r="62" spans="2:23" ht="15" customHeight="1">
      <c r="B62">
        <f>MIN('GA Arroyo'!B62,'GA Arroyo'!E62,'GA Arroyo'!H62,'GA Arroyo'!K62)</f>
        <v>12605.6</v>
      </c>
      <c r="C62">
        <f>MIN('GA Arroyo'!O62, 'GA Arroyo'!R62, 'GA Arroyo'!U62, 'GA Arroyo'!X62)</f>
        <v>12496.2</v>
      </c>
      <c r="D62">
        <f>MIN('GA Arroyo'!AB62, 'GA Arroyo'!AE62, 'GA Arroyo'!AH62, 'GA Arroyo'!AK62)</f>
        <v>12496.2</v>
      </c>
      <c r="E62">
        <f>MIN('GA Arroyo'!AO62, 'GA Arroyo'!AR62, 'GA Arroyo'!AU62, 'GA Arroyo'!AX62)</f>
        <v>12782.1</v>
      </c>
      <c r="G62" s="45">
        <f t="shared" si="0"/>
        <v>12496.2</v>
      </c>
      <c r="I62" s="49">
        <f t="shared" si="1"/>
        <v>0.87546614170707604</v>
      </c>
      <c r="J62" s="49">
        <f t="shared" si="2"/>
        <v>0</v>
      </c>
      <c r="K62" s="49">
        <f t="shared" si="3"/>
        <v>0</v>
      </c>
      <c r="L62" s="49">
        <f t="shared" si="4"/>
        <v>2.2878955202381492</v>
      </c>
      <c r="T62" s="49">
        <f>(100*('GA Arroyo'!AO62-E62))/E62</f>
        <v>2.1099819278522221</v>
      </c>
      <c r="U62" s="49">
        <f>(100*('GA Arroyo'!AR62-E62))/E62</f>
        <v>0</v>
      </c>
      <c r="V62" s="49">
        <f>(100*('GA Arroyo'!AU62-E62))/E62</f>
        <v>1.7148981779206773</v>
      </c>
      <c r="W62" s="49">
        <f>(100*('GA Arroyo'!AX62-E62))/E62</f>
        <v>2.1099819278522221</v>
      </c>
    </row>
    <row r="63" spans="2:23" ht="15" customHeight="1">
      <c r="B63">
        <f>MIN('GA Arroyo'!B63,'GA Arroyo'!E63,'GA Arroyo'!H63,'GA Arroyo'!K63)</f>
        <v>10115.4</v>
      </c>
      <c r="C63">
        <f>MIN('GA Arroyo'!O63, 'GA Arroyo'!R63, 'GA Arroyo'!U63, 'GA Arroyo'!X63)</f>
        <v>9880.9</v>
      </c>
      <c r="D63">
        <f>MIN('GA Arroyo'!AB63, 'GA Arroyo'!AE63, 'GA Arroyo'!AH63, 'GA Arroyo'!AK63)</f>
        <v>11016</v>
      </c>
      <c r="E63">
        <f>MIN('GA Arroyo'!AO63, 'GA Arroyo'!AR63, 'GA Arroyo'!AU63, 'GA Arroyo'!AX63)</f>
        <v>9880.9</v>
      </c>
      <c r="G63" s="45">
        <f t="shared" si="0"/>
        <v>9880.9</v>
      </c>
      <c r="I63" s="49">
        <f t="shared" si="1"/>
        <v>2.3732655932151929</v>
      </c>
      <c r="J63" s="49">
        <f t="shared" si="2"/>
        <v>0</v>
      </c>
      <c r="K63" s="49">
        <f t="shared" si="3"/>
        <v>11.487819935430986</v>
      </c>
      <c r="L63" s="49">
        <f t="shared" si="4"/>
        <v>0</v>
      </c>
      <c r="T63" s="49">
        <f>(100*('GA Arroyo'!AO63-E63))/E63</f>
        <v>0</v>
      </c>
      <c r="U63" s="49">
        <f>(100*('GA Arroyo'!AR63-E63))/E63</f>
        <v>3.0634861196854613</v>
      </c>
      <c r="V63" s="49">
        <f>(100*('GA Arroyo'!AU63-E63))/E63</f>
        <v>0</v>
      </c>
      <c r="W63" s="49">
        <f>(100*('GA Arroyo'!AX63-E63))/E63</f>
        <v>4.5754941351496363</v>
      </c>
    </row>
    <row r="64" spans="2:23" ht="15" customHeight="1">
      <c r="B64">
        <f>MIN('GA Arroyo'!B64,'GA Arroyo'!E64,'GA Arroyo'!H64,'GA Arroyo'!K64)</f>
        <v>12274</v>
      </c>
      <c r="C64">
        <f>MIN('GA Arroyo'!O64, 'GA Arroyo'!R64, 'GA Arroyo'!U64, 'GA Arroyo'!X64)</f>
        <v>12272.8</v>
      </c>
      <c r="D64">
        <f>MIN('GA Arroyo'!AB64, 'GA Arroyo'!AE64, 'GA Arroyo'!AH64, 'GA Arroyo'!AK64)</f>
        <v>12827.5</v>
      </c>
      <c r="E64">
        <f>MIN('GA Arroyo'!AO64, 'GA Arroyo'!AR64, 'GA Arroyo'!AU64, 'GA Arroyo'!AX64)</f>
        <v>12272.8</v>
      </c>
      <c r="G64" s="45">
        <f t="shared" si="0"/>
        <v>12272.8</v>
      </c>
      <c r="I64" s="49">
        <f t="shared" si="1"/>
        <v>9.7777198357402364E-3</v>
      </c>
      <c r="J64" s="49">
        <f t="shared" si="2"/>
        <v>0</v>
      </c>
      <c r="K64" s="49">
        <f t="shared" si="3"/>
        <v>4.5197509940681897</v>
      </c>
      <c r="L64" s="49">
        <f t="shared" si="4"/>
        <v>0</v>
      </c>
      <c r="T64" s="49">
        <f>(100*('GA Arroyo'!AO64-E64))/E64</f>
        <v>9.7777198357402364E-3</v>
      </c>
      <c r="U64" s="49">
        <f>(100*('GA Arroyo'!AR64-E64))/E64</f>
        <v>5.3834495795580537</v>
      </c>
      <c r="V64" s="49">
        <f>(100*('GA Arroyo'!AU64-E64))/E64</f>
        <v>3.272276905025751</v>
      </c>
      <c r="W64" s="49">
        <f>(100*('GA Arroyo'!AX64-E64))/E64</f>
        <v>0</v>
      </c>
    </row>
    <row r="65" spans="2:23" ht="15" customHeight="1">
      <c r="B65">
        <f>MIN('GA Arroyo'!B65,'GA Arroyo'!E65,'GA Arroyo'!H65,'GA Arroyo'!K65)</f>
        <v>11017.5</v>
      </c>
      <c r="C65">
        <f>MIN('GA Arroyo'!O65, 'GA Arroyo'!R65, 'GA Arroyo'!U65, 'GA Arroyo'!X65)</f>
        <v>11017.5</v>
      </c>
      <c r="D65">
        <f>MIN('GA Arroyo'!AB65, 'GA Arroyo'!AE65, 'GA Arroyo'!AH65, 'GA Arroyo'!AK65)</f>
        <v>11557.9</v>
      </c>
      <c r="E65">
        <f>MIN('GA Arroyo'!AO65, 'GA Arroyo'!AR65, 'GA Arroyo'!AU65, 'GA Arroyo'!AX65)</f>
        <v>11017.5</v>
      </c>
      <c r="G65" s="45">
        <f t="shared" si="0"/>
        <v>11017.5</v>
      </c>
      <c r="I65" s="49">
        <f t="shared" si="1"/>
        <v>0</v>
      </c>
      <c r="J65" s="49">
        <f t="shared" si="2"/>
        <v>0</v>
      </c>
      <c r="K65" s="49">
        <f t="shared" si="3"/>
        <v>4.904923984569999</v>
      </c>
      <c r="L65" s="49">
        <f t="shared" si="4"/>
        <v>0</v>
      </c>
      <c r="T65" s="49">
        <f>(100*('GA Arroyo'!AO65-E65))/E65</f>
        <v>4.3585205355116923</v>
      </c>
      <c r="U65" s="49">
        <f>(100*('GA Arroyo'!AR65-E65))/E65</f>
        <v>7.5262083049693738</v>
      </c>
      <c r="V65" s="49">
        <f>(100*('GA Arroyo'!AU65-E65))/E65</f>
        <v>0</v>
      </c>
      <c r="W65" s="49">
        <f>(100*('GA Arroyo'!AX65-E65))/E65</f>
        <v>0</v>
      </c>
    </row>
    <row r="66" spans="2:23" ht="15" customHeight="1">
      <c r="B66">
        <f>MIN('GA Arroyo'!B66,'GA Arroyo'!E66,'GA Arroyo'!H66,'GA Arroyo'!K66)</f>
        <v>9386.5</v>
      </c>
      <c r="C66">
        <f>MIN('GA Arroyo'!O66, 'GA Arroyo'!R66, 'GA Arroyo'!U66, 'GA Arroyo'!X66)</f>
        <v>9386.5</v>
      </c>
      <c r="D66">
        <f>MIN('GA Arroyo'!AB66, 'GA Arroyo'!AE66, 'GA Arroyo'!AH66, 'GA Arroyo'!AK66)</f>
        <v>10343.700000000001</v>
      </c>
      <c r="E66">
        <f>MIN('GA Arroyo'!AO66, 'GA Arroyo'!AR66, 'GA Arroyo'!AU66, 'GA Arroyo'!AX66)</f>
        <v>9386.5</v>
      </c>
      <c r="G66" s="45">
        <f t="shared" si="0"/>
        <v>9386.5</v>
      </c>
      <c r="I66" s="49">
        <f t="shared" si="1"/>
        <v>0</v>
      </c>
      <c r="J66" s="49">
        <f t="shared" si="2"/>
        <v>0</v>
      </c>
      <c r="K66" s="49">
        <f t="shared" si="3"/>
        <v>10.197624247589632</v>
      </c>
      <c r="L66" s="49">
        <f t="shared" si="4"/>
        <v>0</v>
      </c>
      <c r="T66" s="49">
        <f>(100*('GA Arroyo'!AO66-E66))/E66</f>
        <v>0</v>
      </c>
      <c r="U66" s="49">
        <f>(100*('GA Arroyo'!AR66-E66))/E66</f>
        <v>0</v>
      </c>
      <c r="V66" s="49">
        <f>(100*('GA Arroyo'!AU66-E66))/E66</f>
        <v>4.3306876897672186</v>
      </c>
      <c r="W66" s="49">
        <f>(100*('GA Arroyo'!AX66-E66))/E66</f>
        <v>4.3828903212059833</v>
      </c>
    </row>
    <row r="67" spans="2:23" ht="15" customHeight="1">
      <c r="B67">
        <f>MIN('GA Arroyo'!B67,'GA Arroyo'!E67,'GA Arroyo'!H67,'GA Arroyo'!K67)</f>
        <v>12113.7</v>
      </c>
      <c r="C67">
        <f>MIN('GA Arroyo'!O67, 'GA Arroyo'!R67, 'GA Arroyo'!U67, 'GA Arroyo'!X67)</f>
        <v>12113.7</v>
      </c>
      <c r="D67">
        <f>MIN('GA Arroyo'!AB67, 'GA Arroyo'!AE67, 'GA Arroyo'!AH67, 'GA Arroyo'!AK67)</f>
        <v>12941.5</v>
      </c>
      <c r="E67">
        <f>MIN('GA Arroyo'!AO67, 'GA Arroyo'!AR67, 'GA Arroyo'!AU67, 'GA Arroyo'!AX67)</f>
        <v>12113.7</v>
      </c>
      <c r="G67" s="45">
        <f t="shared" si="0"/>
        <v>12113.7</v>
      </c>
      <c r="I67" s="49">
        <f t="shared" si="1"/>
        <v>0</v>
      </c>
      <c r="J67" s="49">
        <f t="shared" si="2"/>
        <v>0</v>
      </c>
      <c r="K67" s="49">
        <f t="shared" si="3"/>
        <v>6.8335851143746273</v>
      </c>
      <c r="L67" s="49">
        <f t="shared" si="4"/>
        <v>0</v>
      </c>
      <c r="T67" s="49">
        <f>(100*('GA Arroyo'!AO67-E67))/E67</f>
        <v>0</v>
      </c>
      <c r="U67" s="49">
        <f>(100*('GA Arroyo'!AR67-E67))/E67</f>
        <v>5.1421118238027983</v>
      </c>
      <c r="V67" s="49">
        <f>(100*('GA Arroyo'!AU67-E67))/E67</f>
        <v>13.502893418195917</v>
      </c>
      <c r="W67" s="49">
        <f>(100*('GA Arroyo'!AX67-E67))/E67</f>
        <v>0</v>
      </c>
    </row>
    <row r="68" spans="2:23" ht="15" customHeight="1">
      <c r="B68">
        <f>MIN('GA Arroyo'!B68,'GA Arroyo'!E68,'GA Arroyo'!H68,'GA Arroyo'!K68)</f>
        <v>9255.2999999999993</v>
      </c>
      <c r="C68">
        <f>MIN('GA Arroyo'!O68, 'GA Arroyo'!R68, 'GA Arroyo'!U68, 'GA Arroyo'!X68)</f>
        <v>9255.2999999999993</v>
      </c>
      <c r="D68">
        <f>MIN('GA Arroyo'!AB68, 'GA Arroyo'!AE68, 'GA Arroyo'!AH68, 'GA Arroyo'!AK68)</f>
        <v>9623.5</v>
      </c>
      <c r="E68">
        <f>MIN('GA Arroyo'!AO68, 'GA Arroyo'!AR68, 'GA Arroyo'!AU68, 'GA Arroyo'!AX68)</f>
        <v>9255.2999999999993</v>
      </c>
      <c r="G68" s="45">
        <f t="shared" ref="G68:G131" si="9">MIN(B68,C68,D68,E68)</f>
        <v>9255.2999999999993</v>
      </c>
      <c r="I68" s="49">
        <f t="shared" ref="I68:I131" si="10">(100*(B68-G68))/G68</f>
        <v>0</v>
      </c>
      <c r="J68" s="49">
        <f t="shared" ref="J68:J131" si="11">(100*(C68-G68))/G68</f>
        <v>0</v>
      </c>
      <c r="K68" s="49">
        <f t="shared" ref="K68:K131" si="12">(100*(D68-G68))/G68</f>
        <v>3.9782611044482703</v>
      </c>
      <c r="L68" s="49">
        <f t="shared" ref="L68:L131" si="13">(100*(E68-G68))/G68</f>
        <v>0</v>
      </c>
      <c r="T68" s="49">
        <f>(100*('GA Arroyo'!AO68-E68))/E68</f>
        <v>0</v>
      </c>
      <c r="U68" s="49">
        <f>(100*('GA Arroyo'!AR68-E68))/E68</f>
        <v>10.571240262336191</v>
      </c>
      <c r="V68" s="49">
        <f>(100*('GA Arroyo'!AU68-E68))/E68</f>
        <v>0</v>
      </c>
      <c r="W68" s="49">
        <f>(100*('GA Arroyo'!AX68-E68))/E68</f>
        <v>0</v>
      </c>
    </row>
    <row r="69" spans="2:23" ht="15" customHeight="1">
      <c r="B69">
        <f>MIN('GA Arroyo'!B69,'GA Arroyo'!E69,'GA Arroyo'!H69,'GA Arroyo'!K69)</f>
        <v>9607.7999999999993</v>
      </c>
      <c r="C69">
        <f>MIN('GA Arroyo'!O69, 'GA Arroyo'!R69, 'GA Arroyo'!U69, 'GA Arroyo'!X69)</f>
        <v>9607.7999999999993</v>
      </c>
      <c r="D69">
        <f>MIN('GA Arroyo'!AB69, 'GA Arroyo'!AE69, 'GA Arroyo'!AH69, 'GA Arroyo'!AK69)</f>
        <v>9652.7000000000007</v>
      </c>
      <c r="E69">
        <f>MIN('GA Arroyo'!AO69, 'GA Arroyo'!AR69, 'GA Arroyo'!AU69, 'GA Arroyo'!AX69)</f>
        <v>9607.7999999999993</v>
      </c>
      <c r="G69" s="45">
        <f t="shared" si="9"/>
        <v>9607.7999999999993</v>
      </c>
      <c r="I69" s="49">
        <f t="shared" si="10"/>
        <v>0</v>
      </c>
      <c r="J69" s="49">
        <f t="shared" si="11"/>
        <v>0</v>
      </c>
      <c r="K69" s="49">
        <f t="shared" si="12"/>
        <v>0.46732862882243031</v>
      </c>
      <c r="L69" s="49">
        <f t="shared" si="13"/>
        <v>0</v>
      </c>
      <c r="T69" s="49">
        <f>(100*('GA Arroyo'!AO69-E69))/E69</f>
        <v>0</v>
      </c>
      <c r="U69" s="49">
        <f>(100*('GA Arroyo'!AR69-E69))/E69</f>
        <v>0.13218426694977756</v>
      </c>
      <c r="V69" s="49">
        <f>(100*('GA Arroyo'!AU69-E69))/E69</f>
        <v>0.55371677178959522</v>
      </c>
      <c r="W69" s="49">
        <f>(100*('GA Arroyo'!AX69-E69))/E69</f>
        <v>0.46732862882243031</v>
      </c>
    </row>
    <row r="70" spans="2:23" ht="15" customHeight="1">
      <c r="B70">
        <f>MIN('GA Arroyo'!B70,'GA Arroyo'!E70,'GA Arroyo'!H70,'GA Arroyo'!K70)</f>
        <v>10362.799999999999</v>
      </c>
      <c r="C70">
        <f>MIN('GA Arroyo'!O70, 'GA Arroyo'!R70, 'GA Arroyo'!U70, 'GA Arroyo'!X70)</f>
        <v>10362.799999999999</v>
      </c>
      <c r="D70">
        <f>MIN('GA Arroyo'!AB70, 'GA Arroyo'!AE70, 'GA Arroyo'!AH70, 'GA Arroyo'!AK70)</f>
        <v>11053.6</v>
      </c>
      <c r="E70">
        <f>MIN('GA Arroyo'!AO70, 'GA Arroyo'!AR70, 'GA Arroyo'!AU70, 'GA Arroyo'!AX70)</f>
        <v>10362.799999999999</v>
      </c>
      <c r="G70" s="45">
        <f t="shared" si="9"/>
        <v>10362.799999999999</v>
      </c>
      <c r="I70" s="49">
        <f t="shared" si="10"/>
        <v>0</v>
      </c>
      <c r="J70" s="49">
        <f t="shared" si="11"/>
        <v>0</v>
      </c>
      <c r="K70" s="49">
        <f t="shared" si="12"/>
        <v>6.6661520052495584</v>
      </c>
      <c r="L70" s="49">
        <f t="shared" si="13"/>
        <v>0</v>
      </c>
      <c r="T70" s="49">
        <f>(100*('GA Arroyo'!AO70-E70))/E70</f>
        <v>4.5518585710425823</v>
      </c>
      <c r="U70" s="49">
        <f>(100*('GA Arroyo'!AR70-E70))/E70</f>
        <v>5.4029798896051409</v>
      </c>
      <c r="V70" s="49">
        <f>(100*('GA Arroyo'!AU70-E70))/E70</f>
        <v>3.9207550082989262</v>
      </c>
      <c r="W70" s="49">
        <f>(100*('GA Arroyo'!AX70-E70))/E70</f>
        <v>0</v>
      </c>
    </row>
    <row r="71" spans="2:23" ht="15" customHeight="1">
      <c r="B71">
        <f>MIN('GA Arroyo'!B71,'GA Arroyo'!E71,'GA Arroyo'!H71,'GA Arroyo'!K71)</f>
        <v>11923.6</v>
      </c>
      <c r="C71">
        <f>MIN('GA Arroyo'!O71, 'GA Arroyo'!R71, 'GA Arroyo'!U71, 'GA Arroyo'!X71)</f>
        <v>11923.6</v>
      </c>
      <c r="D71">
        <f>MIN('GA Arroyo'!AB71, 'GA Arroyo'!AE71, 'GA Arroyo'!AH71, 'GA Arroyo'!AK71)</f>
        <v>11923.6</v>
      </c>
      <c r="E71">
        <f>MIN('GA Arroyo'!AO71, 'GA Arroyo'!AR71, 'GA Arroyo'!AU71, 'GA Arroyo'!AX71)</f>
        <v>11923.6</v>
      </c>
      <c r="G71" s="45">
        <f t="shared" si="9"/>
        <v>11923.6</v>
      </c>
      <c r="I71" s="49">
        <f t="shared" si="10"/>
        <v>0</v>
      </c>
      <c r="J71" s="49">
        <f t="shared" si="11"/>
        <v>0</v>
      </c>
      <c r="K71" s="49">
        <f t="shared" si="12"/>
        <v>0</v>
      </c>
      <c r="L71" s="49">
        <f t="shared" si="13"/>
        <v>0</v>
      </c>
      <c r="T71" s="49">
        <f>(100*('GA Arroyo'!AO71-E71))/E71</f>
        <v>6.2003086316213158</v>
      </c>
      <c r="U71" s="49">
        <f>(100*('GA Arroyo'!AR71-E71))/E71</f>
        <v>0</v>
      </c>
      <c r="V71" s="49">
        <f>(100*('GA Arroyo'!AU71-E71))/E71</f>
        <v>0</v>
      </c>
      <c r="W71" s="49">
        <f>(100*('GA Arroyo'!AX71-E71))/E71</f>
        <v>0</v>
      </c>
    </row>
    <row r="72" spans="2:23" ht="15" customHeight="1">
      <c r="B72">
        <f>MIN('GA Arroyo'!B72,'GA Arroyo'!E72,'GA Arroyo'!H72,'GA Arroyo'!K72)</f>
        <v>5805</v>
      </c>
      <c r="C72">
        <f>MIN('GA Arroyo'!O72, 'GA Arroyo'!R72, 'GA Arroyo'!U72, 'GA Arroyo'!X72)</f>
        <v>5805</v>
      </c>
      <c r="D72">
        <f>MIN('GA Arroyo'!AB72, 'GA Arroyo'!AE72, 'GA Arroyo'!AH72, 'GA Arroyo'!AK72)</f>
        <v>5805</v>
      </c>
      <c r="E72">
        <f>MIN('GA Arroyo'!AO72, 'GA Arroyo'!AR72, 'GA Arroyo'!AU72, 'GA Arroyo'!AX72)</f>
        <v>5805</v>
      </c>
      <c r="G72" s="45">
        <f t="shared" si="9"/>
        <v>5805</v>
      </c>
      <c r="I72" s="49">
        <f t="shared" si="10"/>
        <v>0</v>
      </c>
      <c r="J72" s="49">
        <f t="shared" si="11"/>
        <v>0</v>
      </c>
      <c r="K72" s="49">
        <f t="shared" si="12"/>
        <v>0</v>
      </c>
      <c r="L72" s="49">
        <f t="shared" si="13"/>
        <v>0</v>
      </c>
      <c r="T72" s="49">
        <f>(100*('GA Arroyo'!AO72-E72))/E72</f>
        <v>3.7571059431524612</v>
      </c>
      <c r="U72" s="49">
        <f>(100*('GA Arroyo'!AR72-E72))/E72</f>
        <v>7.8587424633936234</v>
      </c>
      <c r="V72" s="49">
        <f>(100*('GA Arroyo'!AU72-E72))/E72</f>
        <v>3.7571059431524612</v>
      </c>
      <c r="W72" s="49">
        <f>(100*('GA Arroyo'!AX72-E72))/E72</f>
        <v>0</v>
      </c>
    </row>
    <row r="73" spans="2:23" ht="15" customHeight="1">
      <c r="B73">
        <f>MIN('GA Arroyo'!B73,'GA Arroyo'!E73,'GA Arroyo'!H73,'GA Arroyo'!K73)</f>
        <v>10330</v>
      </c>
      <c r="C73">
        <f>MIN('GA Arroyo'!O73, 'GA Arroyo'!R73, 'GA Arroyo'!U73, 'GA Arroyo'!X73)</f>
        <v>10327.799999999999</v>
      </c>
      <c r="D73">
        <f>MIN('GA Arroyo'!AB73, 'GA Arroyo'!AE73, 'GA Arroyo'!AH73, 'GA Arroyo'!AK73)</f>
        <v>10483.200000000001</v>
      </c>
      <c r="E73">
        <f>MIN('GA Arroyo'!AO73, 'GA Arroyo'!AR73, 'GA Arroyo'!AU73, 'GA Arroyo'!AX73)</f>
        <v>10327.799999999999</v>
      </c>
      <c r="G73" s="45">
        <f t="shared" si="9"/>
        <v>10327.799999999999</v>
      </c>
      <c r="I73" s="49">
        <f t="shared" si="10"/>
        <v>2.1301729313123102E-2</v>
      </c>
      <c r="J73" s="49">
        <f t="shared" si="11"/>
        <v>0</v>
      </c>
      <c r="K73" s="49">
        <f t="shared" si="12"/>
        <v>1.5046766978446664</v>
      </c>
      <c r="L73" s="49">
        <f t="shared" si="13"/>
        <v>0</v>
      </c>
      <c r="T73" s="49">
        <f>(100*('GA Arroyo'!AO73-E73))/E73</f>
        <v>0</v>
      </c>
      <c r="U73" s="49">
        <f>(100*('GA Arroyo'!AR73-E73))/E73</f>
        <v>1.2955324464067963</v>
      </c>
      <c r="V73" s="49">
        <f>(100*('GA Arroyo'!AU73-E73))/E73</f>
        <v>0</v>
      </c>
      <c r="W73" s="49">
        <f>(100*('GA Arroyo'!AX73-E73))/E73</f>
        <v>0</v>
      </c>
    </row>
    <row r="74" spans="2:23" ht="15" customHeight="1">
      <c r="B74">
        <f>MIN('GA Arroyo'!B74,'GA Arroyo'!E74,'GA Arroyo'!H74,'GA Arroyo'!K74)</f>
        <v>9364.2000000000007</v>
      </c>
      <c r="C74">
        <f>MIN('GA Arroyo'!O74, 'GA Arroyo'!R74, 'GA Arroyo'!U74, 'GA Arroyo'!X74)</f>
        <v>9137</v>
      </c>
      <c r="D74">
        <f>MIN('GA Arroyo'!AB74, 'GA Arroyo'!AE74, 'GA Arroyo'!AH74, 'GA Arroyo'!AK74)</f>
        <v>9137</v>
      </c>
      <c r="E74">
        <f>MIN('GA Arroyo'!AO74, 'GA Arroyo'!AR74, 'GA Arroyo'!AU74, 'GA Arroyo'!AX74)</f>
        <v>9137</v>
      </c>
      <c r="G74" s="45">
        <f t="shared" si="9"/>
        <v>9137</v>
      </c>
      <c r="I74" s="49">
        <f t="shared" si="10"/>
        <v>2.4865929736237358</v>
      </c>
      <c r="J74" s="49">
        <f t="shared" si="11"/>
        <v>0</v>
      </c>
      <c r="K74" s="49">
        <f t="shared" si="12"/>
        <v>0</v>
      </c>
      <c r="L74" s="49">
        <f t="shared" si="13"/>
        <v>0</v>
      </c>
      <c r="T74" s="49">
        <f>(100*('GA Arroyo'!AO74-E74))/E74</f>
        <v>6.7527634891102108</v>
      </c>
      <c r="U74" s="49">
        <f>(100*('GA Arroyo'!AR74-E74))/E74</f>
        <v>6.9136478056254864</v>
      </c>
      <c r="V74" s="49">
        <f>(100*('GA Arroyo'!AU74-E74))/E74</f>
        <v>0</v>
      </c>
      <c r="W74" s="49">
        <f>(100*('GA Arroyo'!AX74-E74))/E74</f>
        <v>5.7196016197876807</v>
      </c>
    </row>
    <row r="75" spans="2:23" ht="15" customHeight="1">
      <c r="B75">
        <f>MIN('GA Arroyo'!B75,'GA Arroyo'!E75,'GA Arroyo'!H75,'GA Arroyo'!K75)</f>
        <v>6301.1</v>
      </c>
      <c r="C75">
        <f>MIN('GA Arroyo'!O75, 'GA Arroyo'!R75, 'GA Arroyo'!U75, 'GA Arroyo'!X75)</f>
        <v>5932.4</v>
      </c>
      <c r="D75">
        <f>MIN('GA Arroyo'!AB75, 'GA Arroyo'!AE75, 'GA Arroyo'!AH75, 'GA Arroyo'!AK75)</f>
        <v>6448.4</v>
      </c>
      <c r="E75">
        <f>MIN('GA Arroyo'!AO75, 'GA Arroyo'!AR75, 'GA Arroyo'!AU75, 'GA Arroyo'!AX75)</f>
        <v>5932.4</v>
      </c>
      <c r="G75" s="45">
        <f t="shared" si="9"/>
        <v>5932.4</v>
      </c>
      <c r="I75" s="49">
        <f t="shared" si="10"/>
        <v>6.2150225878228165</v>
      </c>
      <c r="J75" s="49">
        <f t="shared" si="11"/>
        <v>0</v>
      </c>
      <c r="K75" s="49">
        <f t="shared" si="12"/>
        <v>8.6979974377992058</v>
      </c>
      <c r="L75" s="49">
        <f t="shared" si="13"/>
        <v>0</v>
      </c>
      <c r="T75" s="49">
        <f>(100*('GA Arroyo'!AO75-E75))/E75</f>
        <v>11.799608927246984</v>
      </c>
      <c r="U75" s="49">
        <f>(100*('GA Arroyo'!AR75-E75))/E75</f>
        <v>8.6979974377992058</v>
      </c>
      <c r="V75" s="49">
        <f>(100*('GA Arroyo'!AU75-E75))/E75</f>
        <v>53.673049693210181</v>
      </c>
      <c r="W75" s="49">
        <f>(100*('GA Arroyo'!AX75-E75))/E75</f>
        <v>0</v>
      </c>
    </row>
    <row r="76" spans="2:23" ht="15" customHeight="1">
      <c r="B76">
        <f>MIN('GA Arroyo'!B76,'GA Arroyo'!E76,'GA Arroyo'!H76,'GA Arroyo'!K76)</f>
        <v>10875.4</v>
      </c>
      <c r="C76">
        <f>MIN('GA Arroyo'!O76, 'GA Arroyo'!R76, 'GA Arroyo'!U76, 'GA Arroyo'!X76)</f>
        <v>10483.4</v>
      </c>
      <c r="D76">
        <f>MIN('GA Arroyo'!AB76, 'GA Arroyo'!AE76, 'GA Arroyo'!AH76, 'GA Arroyo'!AK76)</f>
        <v>11354.6</v>
      </c>
      <c r="E76">
        <f>MIN('GA Arroyo'!AO76, 'GA Arroyo'!AR76, 'GA Arroyo'!AU76, 'GA Arroyo'!AX76)</f>
        <v>10483.4</v>
      </c>
      <c r="G76" s="45">
        <f t="shared" si="9"/>
        <v>10483.4</v>
      </c>
      <c r="I76" s="49">
        <f t="shared" si="10"/>
        <v>3.739244901463266</v>
      </c>
      <c r="J76" s="49">
        <f t="shared" si="11"/>
        <v>0</v>
      </c>
      <c r="K76" s="49">
        <f t="shared" si="12"/>
        <v>8.3102810157010207</v>
      </c>
      <c r="L76" s="49">
        <f t="shared" si="13"/>
        <v>0</v>
      </c>
      <c r="T76" s="49">
        <f>(100*('GA Arroyo'!AO76-E76))/E76</f>
        <v>8.7252227330827861</v>
      </c>
      <c r="U76" s="49">
        <f>(100*('GA Arroyo'!AR76-E76))/E76</f>
        <v>9.117271114333148</v>
      </c>
      <c r="V76" s="49">
        <f>(100*('GA Arroyo'!AU76-E76))/E76</f>
        <v>0</v>
      </c>
      <c r="W76" s="49">
        <f>(100*('GA Arroyo'!AX76-E76))/E76</f>
        <v>0</v>
      </c>
    </row>
    <row r="77" spans="2:23" ht="15" customHeight="1">
      <c r="B77">
        <f>MIN('GA Arroyo'!B77,'GA Arroyo'!E77,'GA Arroyo'!H77,'GA Arroyo'!K77)</f>
        <v>6623.4</v>
      </c>
      <c r="C77">
        <f>MIN('GA Arroyo'!O77, 'GA Arroyo'!R77, 'GA Arroyo'!U77, 'GA Arroyo'!X77)</f>
        <v>6623.4</v>
      </c>
      <c r="D77">
        <f>MIN('GA Arroyo'!AB77, 'GA Arroyo'!AE77, 'GA Arroyo'!AH77, 'GA Arroyo'!AK77)</f>
        <v>7481.4</v>
      </c>
      <c r="E77">
        <f>MIN('GA Arroyo'!AO77, 'GA Arroyo'!AR77, 'GA Arroyo'!AU77, 'GA Arroyo'!AX77)</f>
        <v>6754.9</v>
      </c>
      <c r="G77" s="45">
        <f t="shared" si="9"/>
        <v>6623.4</v>
      </c>
      <c r="I77" s="49">
        <f t="shared" si="10"/>
        <v>0</v>
      </c>
      <c r="J77" s="49">
        <f t="shared" si="11"/>
        <v>0</v>
      </c>
      <c r="K77" s="49">
        <f t="shared" si="12"/>
        <v>12.954071926804964</v>
      </c>
      <c r="L77" s="49">
        <f t="shared" si="13"/>
        <v>1.9853851496210406</v>
      </c>
      <c r="T77" s="49">
        <f>(100*('GA Arroyo'!AO77-E77))/E77</f>
        <v>0</v>
      </c>
      <c r="U77" s="49">
        <f>(100*('GA Arroyo'!AR77-E77))/E77</f>
        <v>1.7750077721357911</v>
      </c>
      <c r="V77" s="49">
        <f>(100*('GA Arroyo'!AU77-E77))/E77</f>
        <v>1.7750077721357911</v>
      </c>
      <c r="W77" s="49">
        <f>(100*('GA Arroyo'!AX77-E77))/E77</f>
        <v>4.118491761536081</v>
      </c>
    </row>
    <row r="78" spans="2:23" ht="15" customHeight="1">
      <c r="B78">
        <f>MIN('GA Arroyo'!B78,'GA Arroyo'!E78,'GA Arroyo'!H78,'GA Arroyo'!K78)</f>
        <v>11251.6</v>
      </c>
      <c r="C78">
        <f>MIN('GA Arroyo'!O78, 'GA Arroyo'!R78, 'GA Arroyo'!U78, 'GA Arroyo'!X78)</f>
        <v>11469.2</v>
      </c>
      <c r="D78">
        <f>MIN('GA Arroyo'!AB78, 'GA Arroyo'!AE78, 'GA Arroyo'!AH78, 'GA Arroyo'!AK78)</f>
        <v>12300.1</v>
      </c>
      <c r="E78">
        <f>MIN('GA Arroyo'!AO78, 'GA Arroyo'!AR78, 'GA Arroyo'!AU78, 'GA Arroyo'!AX78)</f>
        <v>11469.2</v>
      </c>
      <c r="G78" s="45">
        <f t="shared" si="9"/>
        <v>11251.6</v>
      </c>
      <c r="I78" s="49">
        <f t="shared" si="10"/>
        <v>0</v>
      </c>
      <c r="J78" s="49">
        <f t="shared" si="11"/>
        <v>1.9339471719577692</v>
      </c>
      <c r="K78" s="49">
        <f t="shared" si="12"/>
        <v>9.3186746773792173</v>
      </c>
      <c r="L78" s="49">
        <f t="shared" si="13"/>
        <v>1.9339471719577692</v>
      </c>
      <c r="T78" s="49">
        <f>(100*('GA Arroyo'!AO78-E78))/E78</f>
        <v>17.245317894883684</v>
      </c>
      <c r="U78" s="49">
        <f>(100*('GA Arroyo'!AR78-E78))/E78</f>
        <v>2.462246712935511</v>
      </c>
      <c r="V78" s="49">
        <f>(100*('GA Arroyo'!AU78-E78))/E78</f>
        <v>0</v>
      </c>
      <c r="W78" s="49">
        <f>(100*('GA Arroyo'!AX78-E78))/E78</f>
        <v>2.462246712935511</v>
      </c>
    </row>
    <row r="79" spans="2:23" ht="15" customHeight="1">
      <c r="B79">
        <f>MIN('GA Arroyo'!B79,'GA Arroyo'!E79,'GA Arroyo'!H79,'GA Arroyo'!K79)</f>
        <v>6655</v>
      </c>
      <c r="C79">
        <f>MIN('GA Arroyo'!O79, 'GA Arroyo'!R79, 'GA Arroyo'!U79, 'GA Arroyo'!X79)</f>
        <v>6655</v>
      </c>
      <c r="D79">
        <f>MIN('GA Arroyo'!AB79, 'GA Arroyo'!AE79, 'GA Arroyo'!AH79, 'GA Arroyo'!AK79)</f>
        <v>7347.3</v>
      </c>
      <c r="E79">
        <f>MIN('GA Arroyo'!AO79, 'GA Arroyo'!AR79, 'GA Arroyo'!AU79, 'GA Arroyo'!AX79)</f>
        <v>6655</v>
      </c>
      <c r="G79" s="45">
        <f t="shared" si="9"/>
        <v>6655</v>
      </c>
      <c r="I79" s="49">
        <f t="shared" si="10"/>
        <v>0</v>
      </c>
      <c r="J79" s="49">
        <f t="shared" si="11"/>
        <v>0</v>
      </c>
      <c r="K79" s="49">
        <f t="shared" si="12"/>
        <v>10.402704733283247</v>
      </c>
      <c r="L79" s="49">
        <f t="shared" si="13"/>
        <v>0</v>
      </c>
      <c r="T79" s="49">
        <f>(100*('GA Arroyo'!AO79-E79))/E79</f>
        <v>0</v>
      </c>
      <c r="U79" s="49">
        <f>(100*('GA Arroyo'!AR79-E79))/E79</f>
        <v>6.5965439519158524</v>
      </c>
      <c r="V79" s="49">
        <f>(100*('GA Arroyo'!AU79-E79))/E79</f>
        <v>6.5965439519158524</v>
      </c>
      <c r="W79" s="49">
        <f>(100*('GA Arroyo'!AX79-E79))/E79</f>
        <v>0</v>
      </c>
    </row>
    <row r="80" spans="2:23" ht="15" customHeight="1">
      <c r="B80">
        <f>MIN('GA Arroyo'!B80,'GA Arroyo'!E80,'GA Arroyo'!H80,'GA Arroyo'!K80)</f>
        <v>8097.1</v>
      </c>
      <c r="C80">
        <f>MIN('GA Arroyo'!O80, 'GA Arroyo'!R80, 'GA Arroyo'!U80, 'GA Arroyo'!X80)</f>
        <v>8097.1</v>
      </c>
      <c r="D80">
        <f>MIN('GA Arroyo'!AB80, 'GA Arroyo'!AE80, 'GA Arroyo'!AH80, 'GA Arroyo'!AK80)</f>
        <v>8315</v>
      </c>
      <c r="E80">
        <f>MIN('GA Arroyo'!AO80, 'GA Arroyo'!AR80, 'GA Arroyo'!AU80, 'GA Arroyo'!AX80)</f>
        <v>8097.1</v>
      </c>
      <c r="G80" s="45">
        <f t="shared" si="9"/>
        <v>8097.1</v>
      </c>
      <c r="I80" s="49">
        <f t="shared" si="10"/>
        <v>0</v>
      </c>
      <c r="J80" s="49">
        <f t="shared" si="11"/>
        <v>0</v>
      </c>
      <c r="K80" s="49">
        <f t="shared" si="12"/>
        <v>2.6910869323584943</v>
      </c>
      <c r="L80" s="49">
        <f t="shared" si="13"/>
        <v>0</v>
      </c>
      <c r="T80" s="49">
        <f>(100*('GA Arroyo'!AO80-E80))/E80</f>
        <v>4.6819231576737392</v>
      </c>
      <c r="U80" s="49">
        <f>(100*('GA Arroyo'!AR80-E80))/E80</f>
        <v>0</v>
      </c>
      <c r="V80" s="49">
        <f>(100*('GA Arroyo'!AU80-E80))/E80</f>
        <v>1.8611601684553594</v>
      </c>
      <c r="W80" s="49">
        <f>(100*('GA Arroyo'!AX80-E80))/E80</f>
        <v>1.6833187190475511</v>
      </c>
    </row>
    <row r="81" spans="2:23" ht="15" customHeight="1">
      <c r="B81">
        <f>MIN('GA Arroyo'!B81,'GA Arroyo'!E81,'GA Arroyo'!H81,'GA Arroyo'!K81)</f>
        <v>8882.6</v>
      </c>
      <c r="C81">
        <f>MIN('GA Arroyo'!O81, 'GA Arroyo'!R81, 'GA Arroyo'!U81, 'GA Arroyo'!X81)</f>
        <v>9005.2999999999993</v>
      </c>
      <c r="D81">
        <f>MIN('GA Arroyo'!AB81, 'GA Arroyo'!AE81, 'GA Arroyo'!AH81, 'GA Arroyo'!AK81)</f>
        <v>9929.2000000000007</v>
      </c>
      <c r="E81">
        <f>MIN('GA Arroyo'!AO81, 'GA Arroyo'!AR81, 'GA Arroyo'!AU81, 'GA Arroyo'!AX81)</f>
        <v>8882.6</v>
      </c>
      <c r="G81" s="45">
        <f t="shared" si="9"/>
        <v>8882.6</v>
      </c>
      <c r="I81" s="49">
        <f t="shared" si="10"/>
        <v>0</v>
      </c>
      <c r="J81" s="49">
        <f t="shared" si="11"/>
        <v>1.3813523067570184</v>
      </c>
      <c r="K81" s="49">
        <f t="shared" si="12"/>
        <v>11.782586179722156</v>
      </c>
      <c r="L81" s="49">
        <f t="shared" si="13"/>
        <v>0</v>
      </c>
      <c r="T81" s="49">
        <f>(100*('GA Arroyo'!AO81-E81))/E81</f>
        <v>11.697025645644294</v>
      </c>
      <c r="U81" s="49">
        <f>(100*('GA Arroyo'!AR81-E81))/E81</f>
        <v>0</v>
      </c>
      <c r="V81" s="49">
        <f>(100*('GA Arroyo'!AU81-E81))/E81</f>
        <v>0</v>
      </c>
      <c r="W81" s="49">
        <f>(100*('GA Arroyo'!AX81-E81))/E81</f>
        <v>3.3593767590570285</v>
      </c>
    </row>
    <row r="82" spans="2:23" ht="15" customHeight="1">
      <c r="B82">
        <f>MIN('GA Arroyo'!B82,'GA Arroyo'!E82,'GA Arroyo'!H82,'GA Arroyo'!K82)</f>
        <v>10800.7</v>
      </c>
      <c r="C82">
        <f>MIN('GA Arroyo'!O82, 'GA Arroyo'!R82, 'GA Arroyo'!U82, 'GA Arroyo'!X82)</f>
        <v>10723.4</v>
      </c>
      <c r="D82">
        <f>MIN('GA Arroyo'!AB82, 'GA Arroyo'!AE82, 'GA Arroyo'!AH82, 'GA Arroyo'!AK82)</f>
        <v>11004.6</v>
      </c>
      <c r="E82">
        <f>MIN('GA Arroyo'!AO82, 'GA Arroyo'!AR82, 'GA Arroyo'!AU82, 'GA Arroyo'!AX82)</f>
        <v>10723.4</v>
      </c>
      <c r="G82" s="45">
        <f t="shared" si="9"/>
        <v>10723.4</v>
      </c>
      <c r="I82" s="49">
        <f t="shared" si="10"/>
        <v>0.72085346065614542</v>
      </c>
      <c r="J82" s="49">
        <f t="shared" si="11"/>
        <v>0</v>
      </c>
      <c r="K82" s="49">
        <f t="shared" si="12"/>
        <v>2.6223026278978749</v>
      </c>
      <c r="L82" s="49">
        <f t="shared" si="13"/>
        <v>0</v>
      </c>
      <c r="T82" s="49">
        <f>(100*('GA Arroyo'!AO82-E82))/E82</f>
        <v>4.0267079471063383</v>
      </c>
      <c r="U82" s="49">
        <f>(100*('GA Arroyo'!AR82-E82))/E82</f>
        <v>0</v>
      </c>
      <c r="V82" s="49">
        <f>(100*('GA Arroyo'!AU82-E82))/E82</f>
        <v>1.8753380457690692</v>
      </c>
      <c r="W82" s="49">
        <f>(100*('GA Arroyo'!AX82-E82))/E82</f>
        <v>0.92134957196412604</v>
      </c>
    </row>
    <row r="83" spans="2:23" ht="15" customHeight="1">
      <c r="B83">
        <f>MIN('GA Arroyo'!B83,'GA Arroyo'!E83,'GA Arroyo'!H83,'GA Arroyo'!K83)</f>
        <v>8995.7999999999993</v>
      </c>
      <c r="C83">
        <f>MIN('GA Arroyo'!O83, 'GA Arroyo'!R83, 'GA Arroyo'!U83, 'GA Arroyo'!X83)</f>
        <v>9035.7999999999993</v>
      </c>
      <c r="D83">
        <f>MIN('GA Arroyo'!AB83, 'GA Arroyo'!AE83, 'GA Arroyo'!AH83, 'GA Arroyo'!AK83)</f>
        <v>10296.1</v>
      </c>
      <c r="E83">
        <f>MIN('GA Arroyo'!AO83, 'GA Arroyo'!AR83, 'GA Arroyo'!AU83, 'GA Arroyo'!AX83)</f>
        <v>9608.6</v>
      </c>
      <c r="G83" s="45">
        <f t="shared" si="9"/>
        <v>8995.7999999999993</v>
      </c>
      <c r="I83" s="49">
        <f t="shared" si="10"/>
        <v>0</v>
      </c>
      <c r="J83" s="49">
        <f t="shared" si="11"/>
        <v>0.44465194868716518</v>
      </c>
      <c r="K83" s="49">
        <f t="shared" si="12"/>
        <v>14.454523221948035</v>
      </c>
      <c r="L83" s="49">
        <f t="shared" si="13"/>
        <v>6.812067853887382</v>
      </c>
      <c r="T83" s="49">
        <f>(100*('GA Arroyo'!AO83-E83))/E83</f>
        <v>3.2189913202755789</v>
      </c>
      <c r="U83" s="49">
        <f>(100*('GA Arroyo'!AR83-E83))/E83</f>
        <v>0</v>
      </c>
      <c r="V83" s="49">
        <f>(100*('GA Arroyo'!AU83-E83))/E83</f>
        <v>0</v>
      </c>
      <c r="W83" s="49">
        <f>(100*('GA Arroyo'!AX83-E83))/E83</f>
        <v>0</v>
      </c>
    </row>
    <row r="84" spans="2:23" ht="15" customHeight="1">
      <c r="B84">
        <f>MIN('GA Arroyo'!B84,'GA Arroyo'!E84,'GA Arroyo'!H84,'GA Arroyo'!K84)</f>
        <v>7040.7</v>
      </c>
      <c r="C84">
        <f>MIN('GA Arroyo'!O84, 'GA Arroyo'!R84, 'GA Arroyo'!U84, 'GA Arroyo'!X84)</f>
        <v>6947.1</v>
      </c>
      <c r="D84">
        <f>MIN('GA Arroyo'!AB84, 'GA Arroyo'!AE84, 'GA Arroyo'!AH84, 'GA Arroyo'!AK84)</f>
        <v>7191.7</v>
      </c>
      <c r="E84">
        <f>MIN('GA Arroyo'!AO84, 'GA Arroyo'!AR84, 'GA Arroyo'!AU84, 'GA Arroyo'!AX84)</f>
        <v>7139.2</v>
      </c>
      <c r="G84" s="45">
        <f t="shared" si="9"/>
        <v>6947.1</v>
      </c>
      <c r="I84" s="49">
        <f t="shared" si="10"/>
        <v>1.3473247830029718</v>
      </c>
      <c r="J84" s="49">
        <f t="shared" si="11"/>
        <v>0</v>
      </c>
      <c r="K84" s="49">
        <f t="shared" si="12"/>
        <v>3.5208936102834194</v>
      </c>
      <c r="L84" s="49">
        <f t="shared" si="13"/>
        <v>2.7651825941759789</v>
      </c>
      <c r="T84" s="49">
        <f>(100*('GA Arroyo'!AO84-E84))/E84</f>
        <v>3.2160466158673291</v>
      </c>
      <c r="U84" s="49">
        <f>(100*('GA Arroyo'!AR84-E84))/E84</f>
        <v>0.73537651277454064</v>
      </c>
      <c r="V84" s="49">
        <f>(100*('GA Arroyo'!AU84-E84))/E84</f>
        <v>4.779246974450917</v>
      </c>
      <c r="W84" s="49">
        <f>(100*('GA Arroyo'!AX84-E84))/E84</f>
        <v>0</v>
      </c>
    </row>
    <row r="85" spans="2:23" ht="15" customHeight="1">
      <c r="B85">
        <f>MIN('GA Arroyo'!B85,'GA Arroyo'!E85,'GA Arroyo'!H85,'GA Arroyo'!K85)</f>
        <v>10711.2</v>
      </c>
      <c r="C85">
        <f>MIN('GA Arroyo'!O85, 'GA Arroyo'!R85, 'GA Arroyo'!U85, 'GA Arroyo'!X85)</f>
        <v>10711.2</v>
      </c>
      <c r="D85">
        <f>MIN('GA Arroyo'!AB85, 'GA Arroyo'!AE85, 'GA Arroyo'!AH85, 'GA Arroyo'!AK85)</f>
        <v>11492.6</v>
      </c>
      <c r="E85">
        <f>MIN('GA Arroyo'!AO85, 'GA Arroyo'!AR85, 'GA Arroyo'!AU85, 'GA Arroyo'!AX85)</f>
        <v>10711.2</v>
      </c>
      <c r="G85" s="45">
        <f t="shared" si="9"/>
        <v>10711.2</v>
      </c>
      <c r="I85" s="49">
        <f t="shared" si="10"/>
        <v>0</v>
      </c>
      <c r="J85" s="49">
        <f t="shared" si="11"/>
        <v>0</v>
      </c>
      <c r="K85" s="49">
        <f t="shared" si="12"/>
        <v>7.2951676749570513</v>
      </c>
      <c r="L85" s="49">
        <f t="shared" si="13"/>
        <v>0</v>
      </c>
      <c r="T85" s="49">
        <f>(100*('GA Arroyo'!AO85-E85))/E85</f>
        <v>0</v>
      </c>
      <c r="U85" s="49">
        <f>(100*('GA Arroyo'!AR85-E85))/E85</f>
        <v>0</v>
      </c>
      <c r="V85" s="49">
        <f>(100*('GA Arroyo'!AU85-E85))/E85</f>
        <v>1.3976025095227322</v>
      </c>
      <c r="W85" s="49">
        <f>(100*('GA Arroyo'!AX85-E85))/E85</f>
        <v>0</v>
      </c>
    </row>
    <row r="86" spans="2:23" ht="15" customHeight="1">
      <c r="B86">
        <f>MIN('GA Arroyo'!B86,'GA Arroyo'!E86,'GA Arroyo'!H86,'GA Arroyo'!K86)</f>
        <v>8876.2000000000007</v>
      </c>
      <c r="C86">
        <f>MIN('GA Arroyo'!O86, 'GA Arroyo'!R86, 'GA Arroyo'!U86, 'GA Arroyo'!X86)</f>
        <v>8576</v>
      </c>
      <c r="D86">
        <f>MIN('GA Arroyo'!AB86, 'GA Arroyo'!AE86, 'GA Arroyo'!AH86, 'GA Arroyo'!AK86)</f>
        <v>9521.2000000000007</v>
      </c>
      <c r="E86">
        <f>MIN('GA Arroyo'!AO86, 'GA Arroyo'!AR86, 'GA Arroyo'!AU86, 'GA Arroyo'!AX86)</f>
        <v>8648</v>
      </c>
      <c r="G86" s="45">
        <f t="shared" si="9"/>
        <v>8576</v>
      </c>
      <c r="I86" s="49">
        <f t="shared" si="10"/>
        <v>3.5004664179104563</v>
      </c>
      <c r="J86" s="49">
        <f t="shared" si="11"/>
        <v>0</v>
      </c>
      <c r="K86" s="49">
        <f t="shared" si="12"/>
        <v>11.021455223880606</v>
      </c>
      <c r="L86" s="49">
        <f t="shared" si="13"/>
        <v>0.83955223880597019</v>
      </c>
      <c r="T86" s="49">
        <f>(100*('GA Arroyo'!AO86-E86))/E86</f>
        <v>9.2622571692876967</v>
      </c>
      <c r="U86" s="49">
        <f>(100*('GA Arroyo'!AR86-E86))/E86</f>
        <v>0</v>
      </c>
      <c r="V86" s="49">
        <f>(100*('GA Arroyo'!AU86-E86))/E86</f>
        <v>5.0936632747456061</v>
      </c>
      <c r="W86" s="49">
        <f>(100*('GA Arroyo'!AX86-E86))/E86</f>
        <v>9.0437095282146203</v>
      </c>
    </row>
    <row r="87" spans="2:23" ht="15" customHeight="1">
      <c r="B87">
        <f>MIN('GA Arroyo'!B87,'GA Arroyo'!E87,'GA Arroyo'!H87,'GA Arroyo'!K87)</f>
        <v>9831.7999999999993</v>
      </c>
      <c r="C87">
        <f>MIN('GA Arroyo'!O87, 'GA Arroyo'!R87, 'GA Arroyo'!U87, 'GA Arroyo'!X87)</f>
        <v>9831.7999999999993</v>
      </c>
      <c r="D87">
        <f>MIN('GA Arroyo'!AB87, 'GA Arroyo'!AE87, 'GA Arroyo'!AH87, 'GA Arroyo'!AK87)</f>
        <v>10412.5</v>
      </c>
      <c r="E87">
        <f>MIN('GA Arroyo'!AO87, 'GA Arroyo'!AR87, 'GA Arroyo'!AU87, 'GA Arroyo'!AX87)</f>
        <v>10346.700000000001</v>
      </c>
      <c r="G87" s="45">
        <f t="shared" si="9"/>
        <v>9831.7999999999993</v>
      </c>
      <c r="I87" s="49">
        <f t="shared" si="10"/>
        <v>0</v>
      </c>
      <c r="J87" s="49">
        <f t="shared" si="11"/>
        <v>0</v>
      </c>
      <c r="K87" s="49">
        <f t="shared" si="12"/>
        <v>5.9063447181594499</v>
      </c>
      <c r="L87" s="49">
        <f t="shared" si="13"/>
        <v>5.2370878170833572</v>
      </c>
      <c r="T87" s="49">
        <f>(100*('GA Arroyo'!AO87-E87))/E87</f>
        <v>2.7583674021668707</v>
      </c>
      <c r="U87" s="49">
        <f>(100*('GA Arroyo'!AR87-E87))/E87</f>
        <v>0.63595155943440196</v>
      </c>
      <c r="V87" s="49">
        <f>(100*('GA Arroyo'!AU87-E87))/E87</f>
        <v>0</v>
      </c>
      <c r="W87" s="49">
        <f>(100*('GA Arroyo'!AX87-E87))/E87</f>
        <v>28.139406767375103</v>
      </c>
    </row>
    <row r="88" spans="2:23" ht="15" customHeight="1">
      <c r="B88">
        <f>MIN('GA Arroyo'!B88,'GA Arroyo'!E88,'GA Arroyo'!H88,'GA Arroyo'!K88)</f>
        <v>6155.2</v>
      </c>
      <c r="C88">
        <f>MIN('GA Arroyo'!O88, 'GA Arroyo'!R88, 'GA Arroyo'!U88, 'GA Arroyo'!X88)</f>
        <v>6114.7</v>
      </c>
      <c r="D88">
        <f>MIN('GA Arroyo'!AB88, 'GA Arroyo'!AE88, 'GA Arroyo'!AH88, 'GA Arroyo'!AK88)</f>
        <v>6374</v>
      </c>
      <c r="E88">
        <f>MIN('GA Arroyo'!AO88, 'GA Arroyo'!AR88, 'GA Arroyo'!AU88, 'GA Arroyo'!AX88)</f>
        <v>6114.7</v>
      </c>
      <c r="G88" s="45">
        <f t="shared" si="9"/>
        <v>6114.7</v>
      </c>
      <c r="I88" s="49">
        <f t="shared" si="10"/>
        <v>0.6623382995077437</v>
      </c>
      <c r="J88" s="49">
        <f t="shared" si="11"/>
        <v>0</v>
      </c>
      <c r="K88" s="49">
        <f t="shared" si="12"/>
        <v>4.2406005200582237</v>
      </c>
      <c r="L88" s="49">
        <f t="shared" si="13"/>
        <v>0</v>
      </c>
      <c r="T88" s="49">
        <f>(100*('GA Arroyo'!AO88-E88))/E88</f>
        <v>0</v>
      </c>
      <c r="U88" s="49">
        <f>(100*('GA Arroyo'!AR88-E88))/E88</f>
        <v>1.8218391744484692</v>
      </c>
      <c r="V88" s="49">
        <f>(100*('GA Arroyo'!AU88-E88))/E88</f>
        <v>1.1954797455312667</v>
      </c>
      <c r="W88" s="49">
        <f>(100*('GA Arroyo'!AX88-E88))/E88</f>
        <v>0</v>
      </c>
    </row>
    <row r="89" spans="2:23" ht="15" customHeight="1">
      <c r="B89">
        <f>MIN('GA Arroyo'!B89,'GA Arroyo'!E89,'GA Arroyo'!H89,'GA Arroyo'!K89)</f>
        <v>9853</v>
      </c>
      <c r="C89">
        <f>MIN('GA Arroyo'!O89, 'GA Arroyo'!R89, 'GA Arroyo'!U89, 'GA Arroyo'!X89)</f>
        <v>9853</v>
      </c>
      <c r="D89">
        <f>MIN('GA Arroyo'!AB89, 'GA Arroyo'!AE89, 'GA Arroyo'!AH89, 'GA Arroyo'!AK89)</f>
        <v>10388.4</v>
      </c>
      <c r="E89">
        <f>MIN('GA Arroyo'!AO89, 'GA Arroyo'!AR89, 'GA Arroyo'!AU89, 'GA Arroyo'!AX89)</f>
        <v>9853</v>
      </c>
      <c r="G89" s="45">
        <f t="shared" si="9"/>
        <v>9853</v>
      </c>
      <c r="I89" s="49">
        <f t="shared" si="10"/>
        <v>0</v>
      </c>
      <c r="J89" s="49">
        <f t="shared" si="11"/>
        <v>0</v>
      </c>
      <c r="K89" s="49">
        <f t="shared" si="12"/>
        <v>5.433878006698464</v>
      </c>
      <c r="L89" s="49">
        <f t="shared" si="13"/>
        <v>0</v>
      </c>
      <c r="T89" s="49">
        <f>(100*('GA Arroyo'!AO89-E89))/E89</f>
        <v>5.433878006698464</v>
      </c>
      <c r="U89" s="49">
        <f>(100*('GA Arroyo'!AR89-E89))/E89</f>
        <v>0</v>
      </c>
      <c r="V89" s="49">
        <f>(100*('GA Arroyo'!AU89-E89))/E89</f>
        <v>5.433878006698464</v>
      </c>
      <c r="W89" s="49">
        <f>(100*('GA Arroyo'!AX89-E89))/E89</f>
        <v>0</v>
      </c>
    </row>
    <row r="90" spans="2:23" ht="15" customHeight="1">
      <c r="B90">
        <f>MIN('GA Arroyo'!B90,'GA Arroyo'!E90,'GA Arroyo'!H90,'GA Arroyo'!K90)</f>
        <v>7411.2</v>
      </c>
      <c r="C90">
        <f>MIN('GA Arroyo'!O90, 'GA Arroyo'!R90, 'GA Arroyo'!U90, 'GA Arroyo'!X90)</f>
        <v>7199.7</v>
      </c>
      <c r="D90">
        <f>MIN('GA Arroyo'!AB90, 'GA Arroyo'!AE90, 'GA Arroyo'!AH90, 'GA Arroyo'!AK90)</f>
        <v>7844.6</v>
      </c>
      <c r="E90">
        <f>MIN('GA Arroyo'!AO90, 'GA Arroyo'!AR90, 'GA Arroyo'!AU90, 'GA Arroyo'!AX90)</f>
        <v>7199.7</v>
      </c>
      <c r="G90" s="45">
        <f t="shared" si="9"/>
        <v>7199.7</v>
      </c>
      <c r="I90" s="49">
        <f t="shared" si="10"/>
        <v>2.9376224009333725</v>
      </c>
      <c r="J90" s="49">
        <f t="shared" si="11"/>
        <v>0</v>
      </c>
      <c r="K90" s="49">
        <f t="shared" si="12"/>
        <v>8.9573176660138696</v>
      </c>
      <c r="L90" s="49">
        <f t="shared" si="13"/>
        <v>0</v>
      </c>
      <c r="T90" s="49">
        <f>(100*('GA Arroyo'!AO90-E90))/E90</f>
        <v>2.9376224009333725</v>
      </c>
      <c r="U90" s="49">
        <f>(100*('GA Arroyo'!AR90-E90))/E90</f>
        <v>2.9376224009333725</v>
      </c>
      <c r="V90" s="49">
        <f>(100*('GA Arroyo'!AU90-E90))/E90</f>
        <v>0</v>
      </c>
      <c r="W90" s="49">
        <f>(100*('GA Arroyo'!AX90-E90))/E90</f>
        <v>2.9376224009333725</v>
      </c>
    </row>
    <row r="91" spans="2:23" ht="15" customHeight="1">
      <c r="B91">
        <f>MIN('GA Arroyo'!B91,'GA Arroyo'!E91,'GA Arroyo'!H91,'GA Arroyo'!K91)</f>
        <v>10406.1</v>
      </c>
      <c r="C91">
        <f>MIN('GA Arroyo'!O91, 'GA Arroyo'!R91, 'GA Arroyo'!U91, 'GA Arroyo'!X91)</f>
        <v>10260.700000000001</v>
      </c>
      <c r="D91">
        <f>MIN('GA Arroyo'!AB91, 'GA Arroyo'!AE91, 'GA Arroyo'!AH91, 'GA Arroyo'!AK91)</f>
        <v>10942.9</v>
      </c>
      <c r="E91">
        <f>MIN('GA Arroyo'!AO91, 'GA Arroyo'!AR91, 'GA Arroyo'!AU91, 'GA Arroyo'!AX91)</f>
        <v>10406.1</v>
      </c>
      <c r="G91" s="45">
        <f t="shared" si="9"/>
        <v>10260.700000000001</v>
      </c>
      <c r="I91" s="49">
        <f t="shared" si="10"/>
        <v>1.4170573157776722</v>
      </c>
      <c r="J91" s="49">
        <f t="shared" si="11"/>
        <v>0</v>
      </c>
      <c r="K91" s="49">
        <f t="shared" si="12"/>
        <v>6.6486691941095515</v>
      </c>
      <c r="L91" s="49">
        <f t="shared" si="13"/>
        <v>1.4170573157776722</v>
      </c>
      <c r="T91" s="49">
        <f>(100*('GA Arroyo'!AO91-E91))/E91</f>
        <v>0</v>
      </c>
      <c r="U91" s="49">
        <f>(100*('GA Arroyo'!AR91-E91))/E91</f>
        <v>0</v>
      </c>
      <c r="V91" s="49">
        <f>(100*('GA Arroyo'!AU91-E91))/E91</f>
        <v>3.1692949327798048</v>
      </c>
      <c r="W91" s="49">
        <f>(100*('GA Arroyo'!AX91-E91))/E91</f>
        <v>0</v>
      </c>
    </row>
    <row r="92" spans="2:23" ht="15" customHeight="1">
      <c r="B92">
        <f>MIN('GA Arroyo'!B92,'GA Arroyo'!E92,'GA Arroyo'!H92,'GA Arroyo'!K92)</f>
        <v>8923.1</v>
      </c>
      <c r="C92">
        <f>MIN('GA Arroyo'!O92, 'GA Arroyo'!R92, 'GA Arroyo'!U92, 'GA Arroyo'!X92)</f>
        <v>8923.1</v>
      </c>
      <c r="D92">
        <f>MIN('GA Arroyo'!AB92, 'GA Arroyo'!AE92, 'GA Arroyo'!AH92, 'GA Arroyo'!AK92)</f>
        <v>9701</v>
      </c>
      <c r="E92">
        <f>MIN('GA Arroyo'!AO92, 'GA Arroyo'!AR92, 'GA Arroyo'!AU92, 'GA Arroyo'!AX92)</f>
        <v>9353.6</v>
      </c>
      <c r="G92" s="45">
        <f t="shared" si="9"/>
        <v>8923.1</v>
      </c>
      <c r="I92" s="49">
        <f t="shared" si="10"/>
        <v>0</v>
      </c>
      <c r="J92" s="49">
        <f t="shared" si="11"/>
        <v>0</v>
      </c>
      <c r="K92" s="49">
        <f t="shared" si="12"/>
        <v>8.7178222814940955</v>
      </c>
      <c r="L92" s="49">
        <f t="shared" si="13"/>
        <v>4.8245564882159782</v>
      </c>
      <c r="T92" s="49">
        <f>(100*('GA Arroyo'!AO92-E92))/E92</f>
        <v>3.7140780020526813</v>
      </c>
      <c r="U92" s="49">
        <f>(100*('GA Arroyo'!AR92-E92))/E92</f>
        <v>0</v>
      </c>
      <c r="V92" s="49">
        <f>(100*('GA Arroyo'!AU92-E92))/E92</f>
        <v>2.4022836127266389</v>
      </c>
      <c r="W92" s="49">
        <f>(100*('GA Arroyo'!AX92-E92))/E92</f>
        <v>0</v>
      </c>
    </row>
    <row r="93" spans="2:23" ht="15" customHeight="1">
      <c r="B93">
        <f>MIN('GA Arroyo'!B93,'GA Arroyo'!E93,'GA Arroyo'!H93,'GA Arroyo'!K93)</f>
        <v>7568.6</v>
      </c>
      <c r="C93">
        <f>MIN('GA Arroyo'!O93, 'GA Arroyo'!R93, 'GA Arroyo'!U93, 'GA Arroyo'!X93)</f>
        <v>7568.6</v>
      </c>
      <c r="D93">
        <f>MIN('GA Arroyo'!AB93, 'GA Arroyo'!AE93, 'GA Arroyo'!AH93, 'GA Arroyo'!AK93)</f>
        <v>7568.6</v>
      </c>
      <c r="E93">
        <f>MIN('GA Arroyo'!AO93, 'GA Arroyo'!AR93, 'GA Arroyo'!AU93, 'GA Arroyo'!AX93)</f>
        <v>7568.6</v>
      </c>
      <c r="G93" s="45">
        <f t="shared" si="9"/>
        <v>7568.6</v>
      </c>
      <c r="I93" s="49">
        <f t="shared" si="10"/>
        <v>0</v>
      </c>
      <c r="J93" s="49">
        <f t="shared" si="11"/>
        <v>0</v>
      </c>
      <c r="K93" s="49">
        <f t="shared" si="12"/>
        <v>0</v>
      </c>
      <c r="L93" s="49">
        <f t="shared" si="13"/>
        <v>0</v>
      </c>
      <c r="T93" s="49">
        <f>(100*('GA Arroyo'!AO93-E93))/E93</f>
        <v>0</v>
      </c>
      <c r="U93" s="49">
        <f>(100*('GA Arroyo'!AR93-E93))/E93</f>
        <v>0</v>
      </c>
      <c r="V93" s="49">
        <f>(100*('GA Arroyo'!AU93-E93))/E93</f>
        <v>0</v>
      </c>
      <c r="W93" s="49">
        <f>(100*('GA Arroyo'!AX93-E93))/E93</f>
        <v>2.1166398012842507</v>
      </c>
    </row>
    <row r="94" spans="2:23" ht="15" customHeight="1">
      <c r="B94">
        <f>MIN('GA Arroyo'!B94,'GA Arroyo'!E94,'GA Arroyo'!H94,'GA Arroyo'!K94)</f>
        <v>9627.7000000000007</v>
      </c>
      <c r="C94">
        <f>MIN('GA Arroyo'!O94, 'GA Arroyo'!R94, 'GA Arroyo'!U94, 'GA Arroyo'!X94)</f>
        <v>9586.2000000000007</v>
      </c>
      <c r="D94">
        <f>MIN('GA Arroyo'!AB94, 'GA Arroyo'!AE94, 'GA Arroyo'!AH94, 'GA Arroyo'!AK94)</f>
        <v>9712.5</v>
      </c>
      <c r="E94">
        <f>MIN('GA Arroyo'!AO94, 'GA Arroyo'!AR94, 'GA Arroyo'!AU94, 'GA Arroyo'!AX94)</f>
        <v>9712.5</v>
      </c>
      <c r="G94" s="45">
        <f t="shared" si="9"/>
        <v>9586.2000000000007</v>
      </c>
      <c r="I94" s="49">
        <f t="shared" si="10"/>
        <v>0.43291398051365504</v>
      </c>
      <c r="J94" s="49">
        <f t="shared" si="11"/>
        <v>0</v>
      </c>
      <c r="K94" s="49">
        <f t="shared" si="12"/>
        <v>1.3175189334668509</v>
      </c>
      <c r="L94" s="49">
        <f t="shared" si="13"/>
        <v>1.3175189334668509</v>
      </c>
      <c r="T94" s="49">
        <f>(100*('GA Arroyo'!AO94-E94))/E94</f>
        <v>0</v>
      </c>
      <c r="U94" s="49">
        <f>(100*('GA Arroyo'!AR94-E94))/E94</f>
        <v>0</v>
      </c>
      <c r="V94" s="49">
        <f>(100*('GA Arroyo'!AU94-E94))/E94</f>
        <v>0</v>
      </c>
      <c r="W94" s="49">
        <f>(100*('GA Arroyo'!AX94-E94))/E94</f>
        <v>0</v>
      </c>
    </row>
    <row r="95" spans="2:23" ht="15" customHeight="1">
      <c r="B95">
        <f>MIN('GA Arroyo'!B95,'GA Arroyo'!E95,'GA Arroyo'!H95,'GA Arroyo'!K95)</f>
        <v>8532.7999999999993</v>
      </c>
      <c r="C95">
        <f>MIN('GA Arroyo'!O95, 'GA Arroyo'!R95, 'GA Arroyo'!U95, 'GA Arroyo'!X95)</f>
        <v>8383</v>
      </c>
      <c r="D95">
        <f>MIN('GA Arroyo'!AB95, 'GA Arroyo'!AE95, 'GA Arroyo'!AH95, 'GA Arroyo'!AK95)</f>
        <v>8983.2999999999993</v>
      </c>
      <c r="E95">
        <f>MIN('GA Arroyo'!AO95, 'GA Arroyo'!AR95, 'GA Arroyo'!AU95, 'GA Arroyo'!AX95)</f>
        <v>8383</v>
      </c>
      <c r="G95" s="45">
        <f t="shared" si="9"/>
        <v>8383</v>
      </c>
      <c r="I95" s="49">
        <f t="shared" si="10"/>
        <v>1.7869497793152722</v>
      </c>
      <c r="J95" s="49">
        <f t="shared" si="11"/>
        <v>0</v>
      </c>
      <c r="K95" s="49">
        <f t="shared" si="12"/>
        <v>7.1609209113682368</v>
      </c>
      <c r="L95" s="49">
        <f t="shared" si="13"/>
        <v>0</v>
      </c>
      <c r="T95" s="49">
        <f>(100*('GA Arroyo'!AO95-E95))/E95</f>
        <v>0</v>
      </c>
      <c r="U95" s="49">
        <f>(100*('GA Arroyo'!AR95-E95))/E95</f>
        <v>31.109388047238454</v>
      </c>
      <c r="V95" s="49">
        <f>(100*('GA Arroyo'!AU95-E95))/E95</f>
        <v>6.2376237623762334</v>
      </c>
      <c r="W95" s="49">
        <f>(100*('GA Arroyo'!AX95-E95))/E95</f>
        <v>6.2376237623762334</v>
      </c>
    </row>
    <row r="96" spans="2:23" ht="15" customHeight="1">
      <c r="B96">
        <f>MIN('GA Arroyo'!B96,'GA Arroyo'!E96,'GA Arroyo'!H96,'GA Arroyo'!K96)</f>
        <v>6932.9</v>
      </c>
      <c r="C96">
        <f>MIN('GA Arroyo'!O96, 'GA Arroyo'!R96, 'GA Arroyo'!U96, 'GA Arroyo'!X96)</f>
        <v>6885.5</v>
      </c>
      <c r="D96">
        <f>MIN('GA Arroyo'!AB96, 'GA Arroyo'!AE96, 'GA Arroyo'!AH96, 'GA Arroyo'!AK96)</f>
        <v>7995.3</v>
      </c>
      <c r="E96">
        <f>MIN('GA Arroyo'!AO96, 'GA Arroyo'!AR96, 'GA Arroyo'!AU96, 'GA Arroyo'!AX96)</f>
        <v>6885.5</v>
      </c>
      <c r="G96" s="45">
        <f t="shared" si="9"/>
        <v>6885.5</v>
      </c>
      <c r="I96" s="49">
        <f t="shared" si="10"/>
        <v>0.68840316607362773</v>
      </c>
      <c r="J96" s="49">
        <f t="shared" si="11"/>
        <v>0</v>
      </c>
      <c r="K96" s="49">
        <f t="shared" si="12"/>
        <v>16.117928981192364</v>
      </c>
      <c r="L96" s="49">
        <f t="shared" si="13"/>
        <v>0</v>
      </c>
      <c r="T96" s="49">
        <f>(100*('GA Arroyo'!AO96-E96))/E96</f>
        <v>41.829932466778018</v>
      </c>
      <c r="U96" s="49">
        <f>(100*('GA Arroyo'!AR96-E96))/E96</f>
        <v>0.68840316607362773</v>
      </c>
      <c r="V96" s="49">
        <f>(100*('GA Arroyo'!AU96-E96))/E96</f>
        <v>0</v>
      </c>
      <c r="W96" s="49">
        <f>(100*('GA Arroyo'!AX96-E96))/E96</f>
        <v>1.9243337448260838</v>
      </c>
    </row>
    <row r="97" spans="2:23" ht="15" customHeight="1">
      <c r="B97">
        <f>MIN('GA Arroyo'!B97,'GA Arroyo'!E97,'GA Arroyo'!H97,'GA Arroyo'!K97)</f>
        <v>13028.5</v>
      </c>
      <c r="C97">
        <f>MIN('GA Arroyo'!O97, 'GA Arroyo'!R97, 'GA Arroyo'!U97, 'GA Arroyo'!X97)</f>
        <v>13028.5</v>
      </c>
      <c r="D97">
        <f>MIN('GA Arroyo'!AB97, 'GA Arroyo'!AE97, 'GA Arroyo'!AH97, 'GA Arroyo'!AK97)</f>
        <v>13281.6</v>
      </c>
      <c r="E97">
        <f>MIN('GA Arroyo'!AO97, 'GA Arroyo'!AR97, 'GA Arroyo'!AU97, 'GA Arroyo'!AX97)</f>
        <v>13095</v>
      </c>
      <c r="G97" s="45">
        <f t="shared" si="9"/>
        <v>13028.5</v>
      </c>
      <c r="I97" s="49">
        <f t="shared" si="10"/>
        <v>0</v>
      </c>
      <c r="J97" s="49">
        <f t="shared" si="11"/>
        <v>0</v>
      </c>
      <c r="K97" s="49">
        <f t="shared" si="12"/>
        <v>1.9426641593429816</v>
      </c>
      <c r="L97" s="49">
        <f t="shared" si="13"/>
        <v>0.51041946501899682</v>
      </c>
      <c r="T97" s="49">
        <f>(100*('GA Arroyo'!AO97-E97))/E97</f>
        <v>2.5406643757159277</v>
      </c>
      <c r="U97" s="49">
        <f>(100*('GA Arroyo'!AR97-E97))/E97</f>
        <v>1.8067964872088611</v>
      </c>
      <c r="V97" s="49">
        <f>(100*('GA Arroyo'!AU97-E97))/E97</f>
        <v>9.9274532264222994</v>
      </c>
      <c r="W97" s="49">
        <f>(100*('GA Arroyo'!AX97-E97))/E97</f>
        <v>0</v>
      </c>
    </row>
    <row r="98" spans="2:23" ht="15" customHeight="1">
      <c r="B98">
        <f>MIN('GA Arroyo'!B98,'GA Arroyo'!E98,'GA Arroyo'!H98,'GA Arroyo'!K98)</f>
        <v>9169.7000000000007</v>
      </c>
      <c r="C98">
        <f>MIN('GA Arroyo'!O98, 'GA Arroyo'!R98, 'GA Arroyo'!U98, 'GA Arroyo'!X98)</f>
        <v>9058</v>
      </c>
      <c r="D98">
        <f>MIN('GA Arroyo'!AB98, 'GA Arroyo'!AE98, 'GA Arroyo'!AH98, 'GA Arroyo'!AK98)</f>
        <v>9298</v>
      </c>
      <c r="E98">
        <f>MIN('GA Arroyo'!AO98, 'GA Arroyo'!AR98, 'GA Arroyo'!AU98, 'GA Arroyo'!AX98)</f>
        <v>9179.2000000000007</v>
      </c>
      <c r="G98" s="45">
        <f t="shared" si="9"/>
        <v>9058</v>
      </c>
      <c r="I98" s="49">
        <f t="shared" si="10"/>
        <v>1.2331640538750357</v>
      </c>
      <c r="J98" s="49">
        <f t="shared" si="11"/>
        <v>0</v>
      </c>
      <c r="K98" s="49">
        <f t="shared" si="12"/>
        <v>2.6495915213071317</v>
      </c>
      <c r="L98" s="49">
        <f t="shared" si="13"/>
        <v>1.3380437182601097</v>
      </c>
      <c r="T98" s="49">
        <f>(100*('GA Arroyo'!AO98-E98))/E98</f>
        <v>0</v>
      </c>
      <c r="U98" s="49">
        <f>(100*('GA Arroyo'!AR98-E98))/E98</f>
        <v>0</v>
      </c>
      <c r="V98" s="49">
        <f>(100*('GA Arroyo'!AU98-E98))/E98</f>
        <v>0</v>
      </c>
      <c r="W98" s="49">
        <f>(100*('GA Arroyo'!AX98-E98))/E98</f>
        <v>0.483702283423388</v>
      </c>
    </row>
    <row r="99" spans="2:23" ht="15" customHeight="1">
      <c r="B99">
        <f>MIN('GA Arroyo'!B99,'GA Arroyo'!E99,'GA Arroyo'!H99,'GA Arroyo'!K99)</f>
        <v>8610.7999999999993</v>
      </c>
      <c r="C99">
        <f>MIN('GA Arroyo'!O99, 'GA Arroyo'!R99, 'GA Arroyo'!U99, 'GA Arroyo'!X99)</f>
        <v>8512</v>
      </c>
      <c r="D99">
        <f>MIN('GA Arroyo'!AB99, 'GA Arroyo'!AE99, 'GA Arroyo'!AH99, 'GA Arroyo'!AK99)</f>
        <v>9507.4</v>
      </c>
      <c r="E99">
        <f>MIN('GA Arroyo'!AO99, 'GA Arroyo'!AR99, 'GA Arroyo'!AU99, 'GA Arroyo'!AX99)</f>
        <v>8610.7999999999993</v>
      </c>
      <c r="G99" s="45">
        <f t="shared" si="9"/>
        <v>8512</v>
      </c>
      <c r="I99" s="49">
        <f t="shared" si="10"/>
        <v>1.1607142857142771</v>
      </c>
      <c r="J99" s="49">
        <f t="shared" si="11"/>
        <v>0</v>
      </c>
      <c r="K99" s="49">
        <f t="shared" si="12"/>
        <v>11.694078947368418</v>
      </c>
      <c r="L99" s="49">
        <f t="shared" si="13"/>
        <v>1.1607142857142771</v>
      </c>
      <c r="T99" s="49">
        <f>(100*('GA Arroyo'!AO99-E99))/E99</f>
        <v>0</v>
      </c>
      <c r="U99" s="49">
        <f>(100*('GA Arroyo'!AR99-E99))/E99</f>
        <v>0</v>
      </c>
      <c r="V99" s="49">
        <f>(100*('GA Arroyo'!AU99-E99))/E99</f>
        <v>8.3163004598875876</v>
      </c>
      <c r="W99" s="49">
        <f>(100*('GA Arroyo'!AX99-E99))/E99</f>
        <v>8.3163004598875876</v>
      </c>
    </row>
    <row r="100" spans="2:23" ht="15" customHeight="1">
      <c r="B100">
        <f>MIN('GA Arroyo'!B100,'GA Arroyo'!E100,'GA Arroyo'!H100,'GA Arroyo'!K100)</f>
        <v>9183.7000000000007</v>
      </c>
      <c r="C100">
        <f>MIN('GA Arroyo'!O100, 'GA Arroyo'!R100, 'GA Arroyo'!U100, 'GA Arroyo'!X100)</f>
        <v>9183.7000000000007</v>
      </c>
      <c r="D100">
        <f>MIN('GA Arroyo'!AB100, 'GA Arroyo'!AE100, 'GA Arroyo'!AH100, 'GA Arroyo'!AK100)</f>
        <v>9786.1</v>
      </c>
      <c r="E100">
        <f>MIN('GA Arroyo'!AO100, 'GA Arroyo'!AR100, 'GA Arroyo'!AU100, 'GA Arroyo'!AX100)</f>
        <v>9183.7000000000007</v>
      </c>
      <c r="G100" s="45">
        <f t="shared" si="9"/>
        <v>9183.7000000000007</v>
      </c>
      <c r="I100" s="49">
        <f t="shared" si="10"/>
        <v>0</v>
      </c>
      <c r="J100" s="49">
        <f t="shared" si="11"/>
        <v>0</v>
      </c>
      <c r="K100" s="49">
        <f t="shared" si="12"/>
        <v>6.559447717151035</v>
      </c>
      <c r="L100" s="49">
        <f t="shared" si="13"/>
        <v>0</v>
      </c>
      <c r="T100" s="49">
        <f>(100*('GA Arroyo'!AO100-E100))/E100</f>
        <v>11.220967583871424</v>
      </c>
      <c r="U100" s="49">
        <f>(100*('GA Arroyo'!AR100-E100))/E100</f>
        <v>0</v>
      </c>
      <c r="V100" s="49">
        <f>(100*('GA Arroyo'!AU100-E100))/E100</f>
        <v>0</v>
      </c>
      <c r="W100" s="49">
        <f>(100*('GA Arroyo'!AX100-E100))/E100</f>
        <v>0</v>
      </c>
    </row>
    <row r="101" spans="2:23" ht="15" customHeight="1">
      <c r="B101">
        <f>MIN('GA Arroyo'!B101,'GA Arroyo'!E101,'GA Arroyo'!H101,'GA Arroyo'!K101)</f>
        <v>7409.5</v>
      </c>
      <c r="C101">
        <f>MIN('GA Arroyo'!O101, 'GA Arroyo'!R101, 'GA Arroyo'!U101, 'GA Arroyo'!X101)</f>
        <v>7369.5</v>
      </c>
      <c r="D101">
        <f>MIN('GA Arroyo'!AB101, 'GA Arroyo'!AE101, 'GA Arroyo'!AH101, 'GA Arroyo'!AK101)</f>
        <v>7473.5</v>
      </c>
      <c r="E101">
        <f>MIN('GA Arroyo'!AO101, 'GA Arroyo'!AR101, 'GA Arroyo'!AU101, 'GA Arroyo'!AX101)</f>
        <v>7651.4</v>
      </c>
      <c r="G101" s="45">
        <f t="shared" si="9"/>
        <v>7369.5</v>
      </c>
      <c r="I101" s="49">
        <f t="shared" si="10"/>
        <v>0.54277766469909761</v>
      </c>
      <c r="J101" s="49">
        <f t="shared" si="11"/>
        <v>0</v>
      </c>
      <c r="K101" s="49">
        <f t="shared" si="12"/>
        <v>1.4112219282176539</v>
      </c>
      <c r="L101" s="49">
        <f t="shared" si="13"/>
        <v>3.8252255919668858</v>
      </c>
      <c r="T101" s="49">
        <f>(100*('GA Arroyo'!AO101-E101))/E101</f>
        <v>4.1561021512402965</v>
      </c>
      <c r="U101" s="49">
        <f>(100*('GA Arroyo'!AR101-E101))/E101</f>
        <v>3.3431790260605929</v>
      </c>
      <c r="V101" s="49">
        <f>(100*('GA Arroyo'!AU101-E101))/E101</f>
        <v>2.8831324986277069</v>
      </c>
      <c r="W101" s="49">
        <f>(100*('GA Arroyo'!AX101-E101))/E101</f>
        <v>0</v>
      </c>
    </row>
    <row r="102" spans="2:23" ht="15" customHeight="1">
      <c r="B102">
        <f>MIN('GA Arroyo'!B102,'GA Arroyo'!E102,'GA Arroyo'!H102,'GA Arroyo'!K102)</f>
        <v>10283.799999999999</v>
      </c>
      <c r="C102">
        <f>MIN('GA Arroyo'!O102, 'GA Arroyo'!R102, 'GA Arroyo'!U102, 'GA Arroyo'!X102)</f>
        <v>9916.2000000000007</v>
      </c>
      <c r="D102">
        <f>MIN('GA Arroyo'!AB102, 'GA Arroyo'!AE102, 'GA Arroyo'!AH102, 'GA Arroyo'!AK102)</f>
        <v>10119.6</v>
      </c>
      <c r="E102">
        <f>MIN('GA Arroyo'!AO102, 'GA Arroyo'!AR102, 'GA Arroyo'!AU102, 'GA Arroyo'!AX102)</f>
        <v>10119.6</v>
      </c>
      <c r="G102" s="45">
        <f t="shared" si="9"/>
        <v>9916.2000000000007</v>
      </c>
      <c r="I102" s="49">
        <f t="shared" si="10"/>
        <v>3.7070652064298675</v>
      </c>
      <c r="J102" s="49">
        <f t="shared" si="11"/>
        <v>0</v>
      </c>
      <c r="K102" s="49">
        <f t="shared" si="12"/>
        <v>2.0511889635142455</v>
      </c>
      <c r="L102" s="49">
        <f t="shared" si="13"/>
        <v>2.0511889635142455</v>
      </c>
      <c r="T102" s="49">
        <f>(100*('GA Arroyo'!AO102-E102))/E102</f>
        <v>5.5140519388118108</v>
      </c>
      <c r="U102" s="49">
        <f>(100*('GA Arroyo'!AR102-E102))/E102</f>
        <v>3.744219139096403</v>
      </c>
      <c r="V102" s="49">
        <f>(100*('GA Arroyo'!AU102-E102))/E102</f>
        <v>0</v>
      </c>
      <c r="W102" s="49">
        <f>(100*('GA Arroyo'!AX102-E102))/E102</f>
        <v>3.6661528123641247</v>
      </c>
    </row>
    <row r="103" spans="2:23" ht="15" customHeight="1">
      <c r="B103">
        <f>MIN('GA Arroyo'!B103,'GA Arroyo'!E103,'GA Arroyo'!H103,'GA Arroyo'!K103)</f>
        <v>10072.299999999999</v>
      </c>
      <c r="C103">
        <f>MIN('GA Arroyo'!O103, 'GA Arroyo'!R103, 'GA Arroyo'!U103, 'GA Arroyo'!X103)</f>
        <v>10072.299999999999</v>
      </c>
      <c r="D103">
        <f>MIN('GA Arroyo'!AB103, 'GA Arroyo'!AE103, 'GA Arroyo'!AH103, 'GA Arroyo'!AK103)</f>
        <v>10232.200000000001</v>
      </c>
      <c r="E103">
        <f>MIN('GA Arroyo'!AO103, 'GA Arroyo'!AR103, 'GA Arroyo'!AU103, 'GA Arroyo'!AX103)</f>
        <v>10017.6</v>
      </c>
      <c r="G103" s="45">
        <f t="shared" si="9"/>
        <v>10017.6</v>
      </c>
      <c r="I103" s="49">
        <f t="shared" si="10"/>
        <v>0.54603897141030688</v>
      </c>
      <c r="J103" s="49">
        <f t="shared" si="11"/>
        <v>0.54603897141030688</v>
      </c>
      <c r="K103" s="49">
        <f t="shared" si="12"/>
        <v>2.1422296757706474</v>
      </c>
      <c r="L103" s="49">
        <f t="shared" si="13"/>
        <v>0</v>
      </c>
      <c r="T103" s="49">
        <f>(100*('GA Arroyo'!AO103-E103))/E103</f>
        <v>5.2627375818559221</v>
      </c>
      <c r="U103" s="49">
        <f>(100*('GA Arroyo'!AR103-E103))/E103</f>
        <v>0</v>
      </c>
      <c r="V103" s="49">
        <f>(100*('GA Arroyo'!AU103-E103))/E103</f>
        <v>5.381528509822715</v>
      </c>
      <c r="W103" s="49">
        <f>(100*('GA Arroyo'!AX103-E103))/E103</f>
        <v>4.0668423574508825</v>
      </c>
    </row>
    <row r="104" spans="2:23" ht="15" customHeight="1">
      <c r="B104">
        <f>MIN('GA Arroyo'!B104,'GA Arroyo'!E104,'GA Arroyo'!H104,'GA Arroyo'!K104)</f>
        <v>8930.4</v>
      </c>
      <c r="C104">
        <f>MIN('GA Arroyo'!O104, 'GA Arroyo'!R104, 'GA Arroyo'!U104, 'GA Arroyo'!X104)</f>
        <v>9250</v>
      </c>
      <c r="D104">
        <f>MIN('GA Arroyo'!AB104, 'GA Arroyo'!AE104, 'GA Arroyo'!AH104, 'GA Arroyo'!AK104)</f>
        <v>9753.1</v>
      </c>
      <c r="E104">
        <f>MIN('GA Arroyo'!AO104, 'GA Arroyo'!AR104, 'GA Arroyo'!AU104, 'GA Arroyo'!AX104)</f>
        <v>9132.2000000000007</v>
      </c>
      <c r="G104" s="45">
        <f t="shared" si="9"/>
        <v>8930.4</v>
      </c>
      <c r="I104" s="49">
        <f t="shared" si="10"/>
        <v>0</v>
      </c>
      <c r="J104" s="49">
        <f t="shared" si="11"/>
        <v>3.5787870644092132</v>
      </c>
      <c r="K104" s="49">
        <f t="shared" si="12"/>
        <v>9.2123533100421113</v>
      </c>
      <c r="L104" s="49">
        <f t="shared" si="13"/>
        <v>2.2596972140105831</v>
      </c>
      <c r="T104" s="49">
        <f>(100*('GA Arroyo'!AO104-E104))/E104</f>
        <v>0</v>
      </c>
      <c r="U104" s="49">
        <f>(100*('GA Arroyo'!AR104-E104))/E104</f>
        <v>2.4451939291736848</v>
      </c>
      <c r="V104" s="49">
        <f>(100*('GA Arroyo'!AU104-E104))/E104</f>
        <v>3.3923917566413269</v>
      </c>
      <c r="W104" s="49">
        <f>(100*('GA Arroyo'!AX104-E104))/E104</f>
        <v>1.7969383062131636</v>
      </c>
    </row>
    <row r="105" spans="2:23" ht="15" customHeight="1">
      <c r="B105">
        <f>MIN('GA Arroyo'!B105,'GA Arroyo'!E105,'GA Arroyo'!H105,'GA Arroyo'!K105)</f>
        <v>10996.8</v>
      </c>
      <c r="C105">
        <f>MIN('GA Arroyo'!O105, 'GA Arroyo'!R105, 'GA Arroyo'!U105, 'GA Arroyo'!X105)</f>
        <v>11100.8</v>
      </c>
      <c r="D105">
        <f>MIN('GA Arroyo'!AB105, 'GA Arroyo'!AE105, 'GA Arroyo'!AH105, 'GA Arroyo'!AK105)</f>
        <v>11753.1</v>
      </c>
      <c r="E105">
        <f>MIN('GA Arroyo'!AO105, 'GA Arroyo'!AR105, 'GA Arroyo'!AU105, 'GA Arroyo'!AX105)</f>
        <v>11783.6</v>
      </c>
      <c r="G105" s="45">
        <f t="shared" si="9"/>
        <v>10996.8</v>
      </c>
      <c r="I105" s="49">
        <f t="shared" si="10"/>
        <v>0</v>
      </c>
      <c r="J105" s="49">
        <f t="shared" si="11"/>
        <v>0.94572966681216364</v>
      </c>
      <c r="K105" s="49">
        <f t="shared" si="12"/>
        <v>6.8774552597119269</v>
      </c>
      <c r="L105" s="49">
        <f t="shared" si="13"/>
        <v>7.154808671613571</v>
      </c>
      <c r="T105" s="49">
        <f>(100*('GA Arroyo'!AO105-E105))/E105</f>
        <v>1.1371736990393428</v>
      </c>
      <c r="U105" s="49">
        <f>(100*('GA Arroyo'!AR105-E105))/E105</f>
        <v>0.64581282460368949</v>
      </c>
      <c r="V105" s="49">
        <f>(100*('GA Arroyo'!AU105-E105))/E105</f>
        <v>0</v>
      </c>
      <c r="W105" s="49">
        <f>(100*('GA Arroyo'!AX105-E105))/E105</f>
        <v>1.690485080959969</v>
      </c>
    </row>
    <row r="106" spans="2:23" ht="15" customHeight="1">
      <c r="B106">
        <f>MIN('GA Arroyo'!B106,'GA Arroyo'!E106,'GA Arroyo'!H106,'GA Arroyo'!K106)</f>
        <v>8131</v>
      </c>
      <c r="C106">
        <f>MIN('GA Arroyo'!O106, 'GA Arroyo'!R106, 'GA Arroyo'!U106, 'GA Arroyo'!X106)</f>
        <v>8002.8</v>
      </c>
      <c r="D106">
        <f>MIN('GA Arroyo'!AB106, 'GA Arroyo'!AE106, 'GA Arroyo'!AH106, 'GA Arroyo'!AK106)</f>
        <v>8796</v>
      </c>
      <c r="E106">
        <f>MIN('GA Arroyo'!AO106, 'GA Arroyo'!AR106, 'GA Arroyo'!AU106, 'GA Arroyo'!AX106)</f>
        <v>8500.7999999999993</v>
      </c>
      <c r="G106" s="45">
        <f t="shared" si="9"/>
        <v>8002.8</v>
      </c>
      <c r="I106" s="49">
        <f t="shared" si="10"/>
        <v>1.6019393212375646</v>
      </c>
      <c r="J106" s="49">
        <f t="shared" si="11"/>
        <v>0</v>
      </c>
      <c r="K106" s="49">
        <f t="shared" si="12"/>
        <v>9.9115309641625409</v>
      </c>
      <c r="L106" s="49">
        <f t="shared" si="13"/>
        <v>6.2228220122956852</v>
      </c>
      <c r="T106" s="49">
        <f>(100*('GA Arroyo'!AO106-E106))/E106</f>
        <v>5.3759646150950502</v>
      </c>
      <c r="U106" s="49">
        <f>(100*('GA Arroyo'!AR106-E106))/E106</f>
        <v>5.3759646150950502</v>
      </c>
      <c r="V106" s="49">
        <f>(100*('GA Arroyo'!AU106-E106))/E106</f>
        <v>2.031573498964812</v>
      </c>
      <c r="W106" s="49">
        <f>(100*('GA Arroyo'!AX106-E106))/E106</f>
        <v>0</v>
      </c>
    </row>
    <row r="107" spans="2:23" ht="15" customHeight="1">
      <c r="B107">
        <f>MIN('GA Arroyo'!B107,'GA Arroyo'!E107,'GA Arroyo'!H107,'GA Arroyo'!K107)</f>
        <v>9780.5</v>
      </c>
      <c r="C107">
        <f>MIN('GA Arroyo'!O107, 'GA Arroyo'!R107, 'GA Arroyo'!U107, 'GA Arroyo'!X107)</f>
        <v>9780.5</v>
      </c>
      <c r="D107">
        <f>MIN('GA Arroyo'!AB107, 'GA Arroyo'!AE107, 'GA Arroyo'!AH107, 'GA Arroyo'!AK107)</f>
        <v>10553</v>
      </c>
      <c r="E107">
        <f>MIN('GA Arroyo'!AO107, 'GA Arroyo'!AR107, 'GA Arroyo'!AU107, 'GA Arroyo'!AX107)</f>
        <v>9780.5</v>
      </c>
      <c r="G107" s="45">
        <f t="shared" si="9"/>
        <v>9780.5</v>
      </c>
      <c r="I107" s="49">
        <f t="shared" si="10"/>
        <v>0</v>
      </c>
      <c r="J107" s="49">
        <f t="shared" si="11"/>
        <v>0</v>
      </c>
      <c r="K107" s="49">
        <f t="shared" si="12"/>
        <v>7.8983692040284241</v>
      </c>
      <c r="L107" s="49">
        <f t="shared" si="13"/>
        <v>0</v>
      </c>
      <c r="T107" s="49">
        <f>(100*('GA Arroyo'!AO107-E107))/E107</f>
        <v>13.220183017228159</v>
      </c>
      <c r="U107" s="49">
        <f>(100*('GA Arroyo'!AR107-E107))/E107</f>
        <v>8.3318848729615027</v>
      </c>
      <c r="V107" s="49">
        <f>(100*('GA Arroyo'!AU107-E107))/E107</f>
        <v>4.6398445887224504</v>
      </c>
      <c r="W107" s="49">
        <f>(100*('GA Arroyo'!AX107-E107))/E107</f>
        <v>0</v>
      </c>
    </row>
    <row r="108" spans="2:23" ht="15" customHeight="1">
      <c r="B108">
        <f>MIN('GA Arroyo'!B108,'GA Arroyo'!E108,'GA Arroyo'!H108,'GA Arroyo'!K108)</f>
        <v>11413</v>
      </c>
      <c r="C108">
        <f>MIN('GA Arroyo'!O108, 'GA Arroyo'!R108, 'GA Arroyo'!U108, 'GA Arroyo'!X108)</f>
        <v>11413</v>
      </c>
      <c r="D108">
        <f>MIN('GA Arroyo'!AB108, 'GA Arroyo'!AE108, 'GA Arroyo'!AH108, 'GA Arroyo'!AK108)</f>
        <v>11453</v>
      </c>
      <c r="E108">
        <f>MIN('GA Arroyo'!AO108, 'GA Arroyo'!AR108, 'GA Arroyo'!AU108, 'GA Arroyo'!AX108)</f>
        <v>12340.9</v>
      </c>
      <c r="G108" s="45">
        <f t="shared" si="9"/>
        <v>11413</v>
      </c>
      <c r="I108" s="49">
        <f t="shared" si="10"/>
        <v>0</v>
      </c>
      <c r="J108" s="49">
        <f t="shared" si="11"/>
        <v>0</v>
      </c>
      <c r="K108" s="49">
        <f t="shared" si="12"/>
        <v>0.35047752562866907</v>
      </c>
      <c r="L108" s="49">
        <f t="shared" si="13"/>
        <v>8.1302024007710472</v>
      </c>
      <c r="T108" s="49">
        <f>(100*('GA Arroyo'!AO108-E108))/E108</f>
        <v>0</v>
      </c>
      <c r="U108" s="49">
        <f>(100*('GA Arroyo'!AR108-E108))/E108</f>
        <v>2.4973867384064432</v>
      </c>
      <c r="V108" s="49">
        <f>(100*('GA Arroyo'!AU108-E108))/E108</f>
        <v>1.1230947499777193</v>
      </c>
      <c r="W108" s="49">
        <f>(100*('GA Arroyo'!AX108-E108))/E108</f>
        <v>1.1230947499777193</v>
      </c>
    </row>
    <row r="109" spans="2:23" ht="15" customHeight="1">
      <c r="B109">
        <f>MIN('GA Arroyo'!B109,'GA Arroyo'!E109,'GA Arroyo'!H109,'GA Arroyo'!K109)</f>
        <v>10963.2</v>
      </c>
      <c r="C109">
        <f>MIN('GA Arroyo'!O109, 'GA Arroyo'!R109, 'GA Arroyo'!U109, 'GA Arroyo'!X109)</f>
        <v>10963.2</v>
      </c>
      <c r="D109">
        <f>MIN('GA Arroyo'!AB109, 'GA Arroyo'!AE109, 'GA Arroyo'!AH109, 'GA Arroyo'!AK109)</f>
        <v>11942.6</v>
      </c>
      <c r="E109">
        <f>MIN('GA Arroyo'!AO109, 'GA Arroyo'!AR109, 'GA Arroyo'!AU109, 'GA Arroyo'!AX109)</f>
        <v>11131.2</v>
      </c>
      <c r="G109" s="45">
        <f t="shared" si="9"/>
        <v>10963.2</v>
      </c>
      <c r="I109" s="49">
        <f t="shared" si="10"/>
        <v>0</v>
      </c>
      <c r="J109" s="49">
        <f t="shared" si="11"/>
        <v>0</v>
      </c>
      <c r="K109" s="49">
        <f t="shared" si="12"/>
        <v>8.9335230589608834</v>
      </c>
      <c r="L109" s="49">
        <f t="shared" si="13"/>
        <v>1.5323992994746058</v>
      </c>
      <c r="T109" s="49">
        <f>(100*('GA Arroyo'!AO109-E109))/E109</f>
        <v>0</v>
      </c>
      <c r="U109" s="49">
        <f>(100*('GA Arroyo'!AR109-E109))/E109</f>
        <v>5.3794739111686001</v>
      </c>
      <c r="V109" s="49">
        <f>(100*('GA Arroyo'!AU109-E109))/E109</f>
        <v>1.1822624694552117</v>
      </c>
      <c r="W109" s="49">
        <f>(100*('GA Arroyo'!AX109-E109))/E109</f>
        <v>1.1822624694552117</v>
      </c>
    </row>
    <row r="110" spans="2:23" ht="15" customHeight="1">
      <c r="B110">
        <f>MIN('GA Arroyo'!B110,'GA Arroyo'!E110,'GA Arroyo'!H110,'GA Arroyo'!K110)</f>
        <v>13543.6</v>
      </c>
      <c r="C110">
        <f>MIN('GA Arroyo'!O110, 'GA Arroyo'!R110, 'GA Arroyo'!U110, 'GA Arroyo'!X110)</f>
        <v>13520.6</v>
      </c>
      <c r="D110">
        <f>MIN('GA Arroyo'!AB110, 'GA Arroyo'!AE110, 'GA Arroyo'!AH110, 'GA Arroyo'!AK110)</f>
        <v>14884</v>
      </c>
      <c r="E110">
        <f>MIN('GA Arroyo'!AO110, 'GA Arroyo'!AR110, 'GA Arroyo'!AU110, 'GA Arroyo'!AX110)</f>
        <v>13520.6</v>
      </c>
      <c r="G110" s="45">
        <f t="shared" si="9"/>
        <v>13520.6</v>
      </c>
      <c r="I110" s="49">
        <f t="shared" si="10"/>
        <v>0.17011079389967901</v>
      </c>
      <c r="J110" s="49">
        <f t="shared" si="11"/>
        <v>0</v>
      </c>
      <c r="K110" s="49">
        <f t="shared" si="12"/>
        <v>10.083872017514013</v>
      </c>
      <c r="L110" s="49">
        <f t="shared" si="13"/>
        <v>0</v>
      </c>
      <c r="T110" s="49">
        <f>(100*('GA Arroyo'!AO110-E110))/E110</f>
        <v>0</v>
      </c>
      <c r="U110" s="49">
        <f>(100*('GA Arroyo'!AR110-E110))/E110</f>
        <v>3.4628640740795444</v>
      </c>
      <c r="V110" s="49">
        <f>(100*('GA Arroyo'!AU110-E110))/E110</f>
        <v>3.4628640740795444</v>
      </c>
      <c r="W110" s="49">
        <f>(100*('GA Arroyo'!AX110-E110))/E110</f>
        <v>3.4628640740795444</v>
      </c>
    </row>
    <row r="111" spans="2:23" ht="15" customHeight="1">
      <c r="B111">
        <f>MIN('GA Arroyo'!B111,'GA Arroyo'!E111,'GA Arroyo'!H111,'GA Arroyo'!K111)</f>
        <v>8280.2999999999993</v>
      </c>
      <c r="C111">
        <f>MIN('GA Arroyo'!O111, 'GA Arroyo'!R111, 'GA Arroyo'!U111, 'GA Arroyo'!X111)</f>
        <v>8076.1</v>
      </c>
      <c r="D111">
        <f>MIN('GA Arroyo'!AB111, 'GA Arroyo'!AE111, 'GA Arroyo'!AH111, 'GA Arroyo'!AK111)</f>
        <v>8839.6</v>
      </c>
      <c r="E111">
        <f>MIN('GA Arroyo'!AO111, 'GA Arroyo'!AR111, 'GA Arroyo'!AU111, 'GA Arroyo'!AX111)</f>
        <v>8475.2999999999993</v>
      </c>
      <c r="G111" s="45">
        <f t="shared" si="9"/>
        <v>8076.1</v>
      </c>
      <c r="I111" s="49">
        <f t="shared" si="10"/>
        <v>2.5284481370958618</v>
      </c>
      <c r="J111" s="49">
        <f t="shared" si="11"/>
        <v>0</v>
      </c>
      <c r="K111" s="49">
        <f t="shared" si="12"/>
        <v>9.4538205321875655</v>
      </c>
      <c r="L111" s="49">
        <f t="shared" si="13"/>
        <v>4.9429799036663598</v>
      </c>
      <c r="T111" s="49">
        <f>(100*('GA Arroyo'!AO111-E111))/E111</f>
        <v>4.7644331174117864</v>
      </c>
      <c r="U111" s="49">
        <f>(100*('GA Arroyo'!AR111-E111))/E111</f>
        <v>0</v>
      </c>
      <c r="V111" s="49">
        <f>(100*('GA Arroyo'!AU111-E111))/E111</f>
        <v>0.20766226564251844</v>
      </c>
      <c r="W111" s="49">
        <f>(100*('GA Arroyo'!AX111-E111))/E111</f>
        <v>0</v>
      </c>
    </row>
    <row r="112" spans="2:23" ht="15" customHeight="1">
      <c r="B112">
        <f>MIN('GA Arroyo'!B112,'GA Arroyo'!E112,'GA Arroyo'!H112,'GA Arroyo'!K112)</f>
        <v>9233.7999999999993</v>
      </c>
      <c r="C112">
        <f>MIN('GA Arroyo'!O112, 'GA Arroyo'!R112, 'GA Arroyo'!U112, 'GA Arroyo'!X112)</f>
        <v>9123.4</v>
      </c>
      <c r="D112">
        <f>MIN('GA Arroyo'!AB112, 'GA Arroyo'!AE112, 'GA Arroyo'!AH112, 'GA Arroyo'!AK112)</f>
        <v>9921.9</v>
      </c>
      <c r="E112">
        <f>MIN('GA Arroyo'!AO112, 'GA Arroyo'!AR112, 'GA Arroyo'!AU112, 'GA Arroyo'!AX112)</f>
        <v>9233.7999999999993</v>
      </c>
      <c r="G112" s="45">
        <f t="shared" si="9"/>
        <v>9123.4</v>
      </c>
      <c r="I112" s="49">
        <f t="shared" si="10"/>
        <v>1.2100751912664098</v>
      </c>
      <c r="J112" s="49">
        <f t="shared" si="11"/>
        <v>0</v>
      </c>
      <c r="K112" s="49">
        <f t="shared" si="12"/>
        <v>8.7522195672665895</v>
      </c>
      <c r="L112" s="49">
        <f t="shared" si="13"/>
        <v>1.2100751912664098</v>
      </c>
      <c r="T112" s="49">
        <f>(100*('GA Arroyo'!AO112-E112))/E112</f>
        <v>3.3019991769369219</v>
      </c>
      <c r="U112" s="49">
        <f>(100*('GA Arroyo'!AR112-E112))/E112</f>
        <v>0</v>
      </c>
      <c r="V112" s="49">
        <f>(100*('GA Arroyo'!AU112-E112))/E112</f>
        <v>9.0948471918386922</v>
      </c>
      <c r="W112" s="49">
        <f>(100*('GA Arroyo'!AX112-E112))/E112</f>
        <v>1.0407416231670641</v>
      </c>
    </row>
    <row r="113" spans="2:23" ht="15" customHeight="1">
      <c r="B113">
        <f>MIN('GA Arroyo'!B113,'GA Arroyo'!E113,'GA Arroyo'!H113,'GA Arroyo'!K113)</f>
        <v>9392</v>
      </c>
      <c r="C113">
        <f>MIN('GA Arroyo'!O113, 'GA Arroyo'!R113, 'GA Arroyo'!U113, 'GA Arroyo'!X113)</f>
        <v>9392</v>
      </c>
      <c r="D113">
        <f>MIN('GA Arroyo'!AB113, 'GA Arroyo'!AE113, 'GA Arroyo'!AH113, 'GA Arroyo'!AK113)</f>
        <v>9392</v>
      </c>
      <c r="E113">
        <f>MIN('GA Arroyo'!AO113, 'GA Arroyo'!AR113, 'GA Arroyo'!AU113, 'GA Arroyo'!AX113)</f>
        <v>9392</v>
      </c>
      <c r="G113" s="45">
        <f t="shared" si="9"/>
        <v>9392</v>
      </c>
      <c r="I113" s="49">
        <f t="shared" si="10"/>
        <v>0</v>
      </c>
      <c r="J113" s="49">
        <f t="shared" si="11"/>
        <v>0</v>
      </c>
      <c r="K113" s="49">
        <f t="shared" si="12"/>
        <v>0</v>
      </c>
      <c r="L113" s="49">
        <f t="shared" si="13"/>
        <v>0</v>
      </c>
      <c r="T113" s="49">
        <f>(100*('GA Arroyo'!AO113-E113))/E113</f>
        <v>0</v>
      </c>
      <c r="U113" s="49">
        <f>(100*('GA Arroyo'!AR113-E113))/E113</f>
        <v>0</v>
      </c>
      <c r="V113" s="49">
        <f>(100*('GA Arroyo'!AU113-E113))/E113</f>
        <v>3.8703151618398639</v>
      </c>
      <c r="W113" s="49">
        <f>(100*('GA Arroyo'!AX113-E113))/E113</f>
        <v>3.8703151618398639</v>
      </c>
    </row>
    <row r="114" spans="2:23" ht="15" customHeight="1">
      <c r="B114">
        <f>MIN('GA Arroyo'!B114,'GA Arroyo'!E114,'GA Arroyo'!H114,'GA Arroyo'!K114)</f>
        <v>9324.5</v>
      </c>
      <c r="C114">
        <f>MIN('GA Arroyo'!O114, 'GA Arroyo'!R114, 'GA Arroyo'!U114, 'GA Arroyo'!X114)</f>
        <v>9324.5</v>
      </c>
      <c r="D114">
        <f>MIN('GA Arroyo'!AB114, 'GA Arroyo'!AE114, 'GA Arroyo'!AH114, 'GA Arroyo'!AK114)</f>
        <v>9614.1</v>
      </c>
      <c r="E114">
        <f>MIN('GA Arroyo'!AO114, 'GA Arroyo'!AR114, 'GA Arroyo'!AU114, 'GA Arroyo'!AX114)</f>
        <v>9324.5</v>
      </c>
      <c r="G114" s="45">
        <f t="shared" si="9"/>
        <v>9324.5</v>
      </c>
      <c r="I114" s="49">
        <f t="shared" si="10"/>
        <v>0</v>
      </c>
      <c r="J114" s="49">
        <f t="shared" si="11"/>
        <v>0</v>
      </c>
      <c r="K114" s="49">
        <f t="shared" si="12"/>
        <v>3.1057965574561677</v>
      </c>
      <c r="L114" s="49">
        <f t="shared" si="13"/>
        <v>0</v>
      </c>
      <c r="T114" s="49">
        <f>(100*('GA Arroyo'!AO114-E114))/E114</f>
        <v>12.829642340071846</v>
      </c>
      <c r="U114" s="49">
        <f>(100*('GA Arroyo'!AR114-E114))/E114</f>
        <v>0</v>
      </c>
      <c r="V114" s="49">
        <f>(100*('GA Arroyo'!AU114-E114))/E114</f>
        <v>7.4245267842779699</v>
      </c>
      <c r="W114" s="49">
        <f>(100*('GA Arroyo'!AX114-E114))/E114</f>
        <v>2.3765349348490576</v>
      </c>
    </row>
    <row r="115" spans="2:23" ht="15" customHeight="1">
      <c r="B115">
        <f>MIN('GA Arroyo'!B115,'GA Arroyo'!E115,'GA Arroyo'!H115,'GA Arroyo'!K115)</f>
        <v>14433.1</v>
      </c>
      <c r="C115">
        <f>MIN('GA Arroyo'!O115, 'GA Arroyo'!R115, 'GA Arroyo'!U115, 'GA Arroyo'!X115)</f>
        <v>14433.1</v>
      </c>
      <c r="D115">
        <f>MIN('GA Arroyo'!AB115, 'GA Arroyo'!AE115, 'GA Arroyo'!AH115, 'GA Arroyo'!AK115)</f>
        <v>14561</v>
      </c>
      <c r="E115">
        <f>MIN('GA Arroyo'!AO115, 'GA Arroyo'!AR115, 'GA Arroyo'!AU115, 'GA Arroyo'!AX115)</f>
        <v>14433.1</v>
      </c>
      <c r="G115" s="45">
        <f t="shared" si="9"/>
        <v>14433.1</v>
      </c>
      <c r="I115" s="49">
        <f t="shared" si="10"/>
        <v>0</v>
      </c>
      <c r="J115" s="49">
        <f t="shared" si="11"/>
        <v>0</v>
      </c>
      <c r="K115" s="49">
        <f t="shared" si="12"/>
        <v>0.88615751293900569</v>
      </c>
      <c r="L115" s="49">
        <f t="shared" si="13"/>
        <v>0</v>
      </c>
      <c r="T115" s="49">
        <f>(100*('GA Arroyo'!AO115-E115))/E115</f>
        <v>0</v>
      </c>
      <c r="U115" s="49">
        <f>(100*('GA Arroyo'!AR115-E115))/E115</f>
        <v>0</v>
      </c>
      <c r="V115" s="49">
        <f>(100*('GA Arroyo'!AU115-E115))/E115</f>
        <v>2.8753351670812228</v>
      </c>
      <c r="W115" s="49">
        <f>(100*('GA Arroyo'!AX115-E115))/E115</f>
        <v>0.88615751293900569</v>
      </c>
    </row>
    <row r="116" spans="2:23" ht="15" customHeight="1">
      <c r="B116">
        <f>MIN('GA Arroyo'!B116,'GA Arroyo'!E116,'GA Arroyo'!H116,'GA Arroyo'!K116)</f>
        <v>11032.9</v>
      </c>
      <c r="C116">
        <f>MIN('GA Arroyo'!O116, 'GA Arroyo'!R116, 'GA Arroyo'!U116, 'GA Arroyo'!X116)</f>
        <v>11032.9</v>
      </c>
      <c r="D116">
        <f>MIN('GA Arroyo'!AB116, 'GA Arroyo'!AE116, 'GA Arroyo'!AH116, 'GA Arroyo'!AK116)</f>
        <v>12038.5</v>
      </c>
      <c r="E116">
        <f>MIN('GA Arroyo'!AO116, 'GA Arroyo'!AR116, 'GA Arroyo'!AU116, 'GA Arroyo'!AX116)</f>
        <v>11032.9</v>
      </c>
      <c r="G116" s="45">
        <f t="shared" si="9"/>
        <v>11032.9</v>
      </c>
      <c r="I116" s="49">
        <f t="shared" si="10"/>
        <v>0</v>
      </c>
      <c r="J116" s="49">
        <f t="shared" si="11"/>
        <v>0</v>
      </c>
      <c r="K116" s="49">
        <f t="shared" si="12"/>
        <v>9.1145573693226645</v>
      </c>
      <c r="L116" s="49">
        <f t="shared" si="13"/>
        <v>0</v>
      </c>
      <c r="T116" s="49">
        <f>(100*('GA Arroyo'!AO116-E116))/E116</f>
        <v>1.6768030164326697</v>
      </c>
      <c r="U116" s="49">
        <f>(100*('GA Arroyo'!AR116-E116))/E116</f>
        <v>0</v>
      </c>
      <c r="V116" s="49">
        <f>(100*('GA Arroyo'!AU116-E116))/E116</f>
        <v>0</v>
      </c>
      <c r="W116" s="49">
        <f>(100*('GA Arroyo'!AX116-E116))/E116</f>
        <v>0</v>
      </c>
    </row>
    <row r="117" spans="2:23" ht="15" customHeight="1">
      <c r="B117">
        <f>MIN('GA Arroyo'!B117,'GA Arroyo'!E117,'GA Arroyo'!H117,'GA Arroyo'!K117)</f>
        <v>8508.5</v>
      </c>
      <c r="C117">
        <f>MIN('GA Arroyo'!O117, 'GA Arroyo'!R117, 'GA Arroyo'!U117, 'GA Arroyo'!X117)</f>
        <v>8508.5</v>
      </c>
      <c r="D117">
        <f>MIN('GA Arroyo'!AB117, 'GA Arroyo'!AE117, 'GA Arroyo'!AH117, 'GA Arroyo'!AK117)</f>
        <v>10075.6</v>
      </c>
      <c r="E117">
        <f>MIN('GA Arroyo'!AO117, 'GA Arroyo'!AR117, 'GA Arroyo'!AU117, 'GA Arroyo'!AX117)</f>
        <v>8675.2000000000007</v>
      </c>
      <c r="G117" s="45">
        <f t="shared" si="9"/>
        <v>8508.5</v>
      </c>
      <c r="I117" s="49">
        <f t="shared" si="10"/>
        <v>0</v>
      </c>
      <c r="J117" s="49">
        <f t="shared" si="11"/>
        <v>0</v>
      </c>
      <c r="K117" s="49">
        <f t="shared" si="12"/>
        <v>18.418052535699598</v>
      </c>
      <c r="L117" s="49">
        <f t="shared" si="13"/>
        <v>1.959217253334909</v>
      </c>
      <c r="T117" s="49">
        <f>(100*('GA Arroyo'!AO117-E117))/E117</f>
        <v>12.390492438214677</v>
      </c>
      <c r="U117" s="49">
        <f>(100*('GA Arroyo'!AR117-E117))/E117</f>
        <v>28.59876429361859</v>
      </c>
      <c r="V117" s="49">
        <f>(100*('GA Arroyo'!AU117-E117))/E117</f>
        <v>14.352406860936906</v>
      </c>
      <c r="W117" s="49">
        <f>(100*('GA Arroyo'!AX117-E117))/E117</f>
        <v>0</v>
      </c>
    </row>
    <row r="118" spans="2:23" ht="15" customHeight="1">
      <c r="B118">
        <f>MIN('GA Arroyo'!B118,'GA Arroyo'!E118,'GA Arroyo'!H118,'GA Arroyo'!K118)</f>
        <v>9458.2000000000007</v>
      </c>
      <c r="C118">
        <f>MIN('GA Arroyo'!O118, 'GA Arroyo'!R118, 'GA Arroyo'!U118, 'GA Arroyo'!X118)</f>
        <v>9210.2000000000007</v>
      </c>
      <c r="D118">
        <f>MIN('GA Arroyo'!AB118, 'GA Arroyo'!AE118, 'GA Arroyo'!AH118, 'GA Arroyo'!AK118)</f>
        <v>9187.2000000000007</v>
      </c>
      <c r="E118">
        <f>MIN('GA Arroyo'!AO118, 'GA Arroyo'!AR118, 'GA Arroyo'!AU118, 'GA Arroyo'!AX118)</f>
        <v>9540.2999999999993</v>
      </c>
      <c r="G118" s="45">
        <f t="shared" si="9"/>
        <v>9187.2000000000007</v>
      </c>
      <c r="I118" s="49">
        <f t="shared" si="10"/>
        <v>2.9497561825148031</v>
      </c>
      <c r="J118" s="49">
        <f t="shared" si="11"/>
        <v>0.25034831069313823</v>
      </c>
      <c r="K118" s="49">
        <f t="shared" si="12"/>
        <v>0</v>
      </c>
      <c r="L118" s="49">
        <f t="shared" si="13"/>
        <v>3.8433908045976848</v>
      </c>
      <c r="T118" s="49">
        <f>(100*('GA Arroyo'!AO118-E118))/E118</f>
        <v>0</v>
      </c>
      <c r="U118" s="49">
        <f>(100*('GA Arroyo'!AR118-E118))/E118</f>
        <v>5.2618890391287492</v>
      </c>
      <c r="V118" s="49">
        <f>(100*('GA Arroyo'!AU118-E118))/E118</f>
        <v>6.2974958858736221</v>
      </c>
      <c r="W118" s="49">
        <f>(100*('GA Arroyo'!AX118-E118))/E118</f>
        <v>4.0197897340754487</v>
      </c>
    </row>
    <row r="119" spans="2:23" ht="15" customHeight="1">
      <c r="B119">
        <f>MIN('GA Arroyo'!B119,'GA Arroyo'!E119,'GA Arroyo'!H119,'GA Arroyo'!K119)</f>
        <v>7953.3</v>
      </c>
      <c r="C119">
        <f>MIN('GA Arroyo'!O119, 'GA Arroyo'!R119, 'GA Arroyo'!U119, 'GA Arroyo'!X119)</f>
        <v>7953.3</v>
      </c>
      <c r="D119">
        <f>MIN('GA Arroyo'!AB119, 'GA Arroyo'!AE119, 'GA Arroyo'!AH119, 'GA Arroyo'!AK119)</f>
        <v>8576.6</v>
      </c>
      <c r="E119">
        <f>MIN('GA Arroyo'!AO119, 'GA Arroyo'!AR119, 'GA Arroyo'!AU119, 'GA Arroyo'!AX119)</f>
        <v>7953.3</v>
      </c>
      <c r="G119" s="45">
        <f t="shared" si="9"/>
        <v>7953.3</v>
      </c>
      <c r="I119" s="49">
        <f t="shared" si="10"/>
        <v>0</v>
      </c>
      <c r="J119" s="49">
        <f t="shared" si="11"/>
        <v>0</v>
      </c>
      <c r="K119" s="49">
        <f t="shared" si="12"/>
        <v>7.8369984786189395</v>
      </c>
      <c r="L119" s="49">
        <f t="shared" si="13"/>
        <v>0</v>
      </c>
      <c r="T119" s="49">
        <f>(100*('GA Arroyo'!AO119-E119))/E119</f>
        <v>8.0117686997849926</v>
      </c>
      <c r="U119" s="49">
        <f>(100*('GA Arroyo'!AR119-E119))/E119</f>
        <v>2.8264996919517706</v>
      </c>
      <c r="V119" s="49">
        <f>(100*('GA Arroyo'!AU119-E119))/E119</f>
        <v>0</v>
      </c>
      <c r="W119" s="49">
        <f>(100*('GA Arroyo'!AX119-E119))/E119</f>
        <v>0.56706021399921358</v>
      </c>
    </row>
    <row r="120" spans="2:23" ht="15" customHeight="1">
      <c r="B120">
        <f>MIN('GA Arroyo'!B120,'GA Arroyo'!E120,'GA Arroyo'!H120,'GA Arroyo'!K120)</f>
        <v>13519.4</v>
      </c>
      <c r="C120">
        <f>MIN('GA Arroyo'!O120, 'GA Arroyo'!R120, 'GA Arroyo'!U120, 'GA Arroyo'!X120)</f>
        <v>13519.4</v>
      </c>
      <c r="D120">
        <f>MIN('GA Arroyo'!AB120, 'GA Arroyo'!AE120, 'GA Arroyo'!AH120, 'GA Arroyo'!AK120)</f>
        <v>13325</v>
      </c>
      <c r="E120">
        <f>MIN('GA Arroyo'!AO120, 'GA Arroyo'!AR120, 'GA Arroyo'!AU120, 'GA Arroyo'!AX120)</f>
        <v>13519.4</v>
      </c>
      <c r="G120" s="45">
        <f t="shared" si="9"/>
        <v>13325</v>
      </c>
      <c r="I120" s="49">
        <f t="shared" si="10"/>
        <v>1.4589118198874269</v>
      </c>
      <c r="J120" s="49">
        <f t="shared" si="11"/>
        <v>1.4589118198874269</v>
      </c>
      <c r="K120" s="49">
        <f t="shared" si="12"/>
        <v>0</v>
      </c>
      <c r="L120" s="49">
        <f t="shared" si="13"/>
        <v>1.4589118198874269</v>
      </c>
      <c r="T120" s="49">
        <f>(100*('GA Arroyo'!AO120-E120))/E120</f>
        <v>0.25814755092681357</v>
      </c>
      <c r="U120" s="49">
        <f>(100*('GA Arroyo'!AR120-E120))/E120</f>
        <v>0</v>
      </c>
      <c r="V120" s="49">
        <f>(100*('GA Arroyo'!AU120-E120))/E120</f>
        <v>0</v>
      </c>
      <c r="W120" s="49">
        <f>(100*('GA Arroyo'!AX120-E120))/E120</f>
        <v>0.69011938399633932</v>
      </c>
    </row>
    <row r="121" spans="2:23" ht="15" customHeight="1">
      <c r="B121">
        <f>MIN('GA Arroyo'!B121,'GA Arroyo'!E121,'GA Arroyo'!H121,'GA Arroyo'!K121)</f>
        <v>9307.5</v>
      </c>
      <c r="C121">
        <f>MIN('GA Arroyo'!O121, 'GA Arroyo'!R121, 'GA Arroyo'!U121, 'GA Arroyo'!X121)</f>
        <v>9439.2000000000007</v>
      </c>
      <c r="D121">
        <f>MIN('GA Arroyo'!AB121, 'GA Arroyo'!AE121, 'GA Arroyo'!AH121, 'GA Arroyo'!AK121)</f>
        <v>9439.2000000000007</v>
      </c>
      <c r="E121">
        <f>MIN('GA Arroyo'!AO121, 'GA Arroyo'!AR121, 'GA Arroyo'!AU121, 'GA Arroyo'!AX121)</f>
        <v>9408.2000000000007</v>
      </c>
      <c r="G121" s="45">
        <f t="shared" si="9"/>
        <v>9307.5</v>
      </c>
      <c r="I121" s="49">
        <f t="shared" si="10"/>
        <v>0</v>
      </c>
      <c r="J121" s="49">
        <f t="shared" si="11"/>
        <v>1.4149879129734164</v>
      </c>
      <c r="K121" s="49">
        <f t="shared" si="12"/>
        <v>1.4149879129734164</v>
      </c>
      <c r="L121" s="49">
        <f t="shared" si="13"/>
        <v>1.0819231802310043</v>
      </c>
      <c r="T121" s="49">
        <f>(100*('GA Arroyo'!AO121-E121))/E121</f>
        <v>2.6083629174549818</v>
      </c>
      <c r="U121" s="49">
        <f>(100*('GA Arroyo'!AR121-E121))/E121</f>
        <v>3.3268850577156095</v>
      </c>
      <c r="V121" s="49">
        <f>(100*('GA Arroyo'!AU121-E121))/E121</f>
        <v>2.6083629174549818</v>
      </c>
      <c r="W121" s="49">
        <f>(100*('GA Arroyo'!AX121-E121))/E121</f>
        <v>0</v>
      </c>
    </row>
    <row r="122" spans="2:23" ht="15" customHeight="1">
      <c r="B122">
        <f>MIN('GA Arroyo'!B122,'GA Arroyo'!E122,'GA Arroyo'!H122,'GA Arroyo'!K122)</f>
        <v>11435.8</v>
      </c>
      <c r="C122">
        <f>MIN('GA Arroyo'!O122, 'GA Arroyo'!R122, 'GA Arroyo'!U122, 'GA Arroyo'!X122)</f>
        <v>11435.8</v>
      </c>
      <c r="D122">
        <f>MIN('GA Arroyo'!AB122, 'GA Arroyo'!AE122, 'GA Arroyo'!AH122, 'GA Arroyo'!AK122)</f>
        <v>11610.1</v>
      </c>
      <c r="E122">
        <f>MIN('GA Arroyo'!AO122, 'GA Arroyo'!AR122, 'GA Arroyo'!AU122, 'GA Arroyo'!AX122)</f>
        <v>11435.8</v>
      </c>
      <c r="G122" s="45">
        <f t="shared" si="9"/>
        <v>11435.8</v>
      </c>
      <c r="I122" s="49">
        <f t="shared" si="10"/>
        <v>0</v>
      </c>
      <c r="J122" s="49">
        <f t="shared" si="11"/>
        <v>0</v>
      </c>
      <c r="K122" s="49">
        <f t="shared" si="12"/>
        <v>1.5241609681876309</v>
      </c>
      <c r="L122" s="49">
        <f t="shared" si="13"/>
        <v>0</v>
      </c>
      <c r="T122" s="49">
        <f>(100*('GA Arroyo'!AO122-E122))/E122</f>
        <v>0</v>
      </c>
      <c r="U122" s="49">
        <f>(100*('GA Arroyo'!AR122-E122))/E122</f>
        <v>4.329386662935697</v>
      </c>
      <c r="V122" s="49">
        <f>(100*('GA Arroyo'!AU122-E122))/E122</f>
        <v>0</v>
      </c>
      <c r="W122" s="49">
        <f>(100*('GA Arroyo'!AX122-E122))/E122</f>
        <v>0.66982633484321485</v>
      </c>
    </row>
    <row r="123" spans="2:23" ht="15" customHeight="1">
      <c r="B123">
        <f>MIN('GA Arroyo'!B123,'GA Arroyo'!E123,'GA Arroyo'!H123,'GA Arroyo'!K123)</f>
        <v>7619.5</v>
      </c>
      <c r="C123">
        <f>MIN('GA Arroyo'!O123, 'GA Arroyo'!R123, 'GA Arroyo'!U123, 'GA Arroyo'!X123)</f>
        <v>7619.5</v>
      </c>
      <c r="D123">
        <f>MIN('GA Arroyo'!AB123, 'GA Arroyo'!AE123, 'GA Arroyo'!AH123, 'GA Arroyo'!AK123)</f>
        <v>8495</v>
      </c>
      <c r="E123">
        <f>MIN('GA Arroyo'!AO123, 'GA Arroyo'!AR123, 'GA Arroyo'!AU123, 'GA Arroyo'!AX123)</f>
        <v>7619.5</v>
      </c>
      <c r="G123" s="45">
        <f t="shared" si="9"/>
        <v>7619.5</v>
      </c>
      <c r="I123" s="49">
        <f t="shared" si="10"/>
        <v>0</v>
      </c>
      <c r="J123" s="49">
        <f t="shared" si="11"/>
        <v>0</v>
      </c>
      <c r="K123" s="49">
        <f t="shared" si="12"/>
        <v>11.490255266093575</v>
      </c>
      <c r="L123" s="49">
        <f t="shared" si="13"/>
        <v>0</v>
      </c>
      <c r="T123" s="49">
        <f>(100*('GA Arroyo'!AO123-E123))/E123</f>
        <v>5.8586521425290323</v>
      </c>
      <c r="U123" s="49">
        <f>(100*('GA Arroyo'!AR123-E123))/E123</f>
        <v>11.334077039175803</v>
      </c>
      <c r="V123" s="49">
        <f>(100*('GA Arroyo'!AU123-E123))/E123</f>
        <v>0</v>
      </c>
      <c r="W123" s="49">
        <f>(100*('GA Arroyo'!AX123-E123))/E123</f>
        <v>4.2063127501804578</v>
      </c>
    </row>
    <row r="124" spans="2:23" ht="15" customHeight="1">
      <c r="B124">
        <f>MIN('GA Arroyo'!B124,'GA Arroyo'!E124,'GA Arroyo'!H124,'GA Arroyo'!K124)</f>
        <v>10231.799999999999</v>
      </c>
      <c r="C124">
        <f>MIN('GA Arroyo'!O124, 'GA Arroyo'!R124, 'GA Arroyo'!U124, 'GA Arroyo'!X124)</f>
        <v>10682.1</v>
      </c>
      <c r="D124">
        <f>MIN('GA Arroyo'!AB124, 'GA Arroyo'!AE124, 'GA Arroyo'!AH124, 'GA Arroyo'!AK124)</f>
        <v>10682.1</v>
      </c>
      <c r="E124">
        <f>MIN('GA Arroyo'!AO124, 'GA Arroyo'!AR124, 'GA Arroyo'!AU124, 'GA Arroyo'!AX124)</f>
        <v>10231.799999999999</v>
      </c>
      <c r="G124" s="45">
        <f t="shared" si="9"/>
        <v>10231.799999999999</v>
      </c>
      <c r="I124" s="49">
        <f t="shared" si="10"/>
        <v>0</v>
      </c>
      <c r="J124" s="49">
        <f t="shared" si="11"/>
        <v>4.4009851639007911</v>
      </c>
      <c r="K124" s="49">
        <f t="shared" si="12"/>
        <v>4.4009851639007911</v>
      </c>
      <c r="L124" s="49">
        <f t="shared" si="13"/>
        <v>0</v>
      </c>
      <c r="T124" s="49">
        <f>(100*('GA Arroyo'!AO124-E124))/E124</f>
        <v>3.0454074551887289</v>
      </c>
      <c r="U124" s="49">
        <f>(100*('GA Arroyo'!AR124-E124))/E124</f>
        <v>20.637619969115899</v>
      </c>
      <c r="V124" s="49">
        <f>(100*('GA Arroyo'!AU124-E124))/E124</f>
        <v>4.4009851639007911</v>
      </c>
      <c r="W124" s="49">
        <f>(100*('GA Arroyo'!AX124-E124))/E124</f>
        <v>0</v>
      </c>
    </row>
    <row r="125" spans="2:23" ht="15" customHeight="1">
      <c r="B125">
        <f>MIN('GA Arroyo'!B125,'GA Arroyo'!E125,'GA Arroyo'!H125,'GA Arroyo'!K125)</f>
        <v>7024.2</v>
      </c>
      <c r="C125">
        <f>MIN('GA Arroyo'!O125, 'GA Arroyo'!R125, 'GA Arroyo'!U125, 'GA Arroyo'!X125)</f>
        <v>7024.2</v>
      </c>
      <c r="D125">
        <f>MIN('GA Arroyo'!AB125, 'GA Arroyo'!AE125, 'GA Arroyo'!AH125, 'GA Arroyo'!AK125)</f>
        <v>8542.4</v>
      </c>
      <c r="E125">
        <f>MIN('GA Arroyo'!AO125, 'GA Arroyo'!AR125, 'GA Arroyo'!AU125, 'GA Arroyo'!AX125)</f>
        <v>7024.2</v>
      </c>
      <c r="G125" s="45">
        <f t="shared" si="9"/>
        <v>7024.2</v>
      </c>
      <c r="I125" s="49">
        <f t="shared" si="10"/>
        <v>0</v>
      </c>
      <c r="J125" s="49">
        <f t="shared" si="11"/>
        <v>0</v>
      </c>
      <c r="K125" s="49">
        <f t="shared" si="12"/>
        <v>21.613849263973119</v>
      </c>
      <c r="L125" s="49">
        <f t="shared" si="13"/>
        <v>0</v>
      </c>
      <c r="T125" s="49">
        <f>(100*('GA Arroyo'!AO125-E125))/E125</f>
        <v>0</v>
      </c>
      <c r="U125" s="49">
        <f>(100*('GA Arroyo'!AR125-E125))/E125</f>
        <v>8.9903476552489963</v>
      </c>
      <c r="V125" s="49">
        <f>(100*('GA Arroyo'!AU125-E125))/E125</f>
        <v>8.9903476552489963</v>
      </c>
      <c r="W125" s="49">
        <f>(100*('GA Arroyo'!AX125-E125))/E125</f>
        <v>0</v>
      </c>
    </row>
    <row r="126" spans="2:23" ht="15" customHeight="1">
      <c r="B126">
        <f>MIN('GA Arroyo'!B126,'GA Arroyo'!E126,'GA Arroyo'!H126,'GA Arroyo'!K126)</f>
        <v>10039.200000000001</v>
      </c>
      <c r="C126">
        <f>MIN('GA Arroyo'!O126, 'GA Arroyo'!R126, 'GA Arroyo'!U126, 'GA Arroyo'!X126)</f>
        <v>10039.200000000001</v>
      </c>
      <c r="D126">
        <f>MIN('GA Arroyo'!AB126, 'GA Arroyo'!AE126, 'GA Arroyo'!AH126, 'GA Arroyo'!AK126)</f>
        <v>11494.3</v>
      </c>
      <c r="E126">
        <f>MIN('GA Arroyo'!AO126, 'GA Arroyo'!AR126, 'GA Arroyo'!AU126, 'GA Arroyo'!AX126)</f>
        <v>10839.2</v>
      </c>
      <c r="G126" s="45">
        <f t="shared" si="9"/>
        <v>10039.200000000001</v>
      </c>
      <c r="I126" s="49">
        <f t="shared" si="10"/>
        <v>0</v>
      </c>
      <c r="J126" s="49">
        <f t="shared" si="11"/>
        <v>0</v>
      </c>
      <c r="K126" s="49">
        <f t="shared" si="12"/>
        <v>14.494182803410615</v>
      </c>
      <c r="L126" s="49">
        <f t="shared" si="13"/>
        <v>7.9687624511913295</v>
      </c>
      <c r="T126" s="49">
        <f>(100*('GA Arroyo'!AO126-E126))/E126</f>
        <v>2.7188353384013477</v>
      </c>
      <c r="U126" s="49">
        <f>(100*('GA Arroyo'!AR126-E126))/E126</f>
        <v>11.070927743744924</v>
      </c>
      <c r="V126" s="49">
        <f>(100*('GA Arroyo'!AU126-E126))/E126</f>
        <v>8.6371687947449889</v>
      </c>
      <c r="W126" s="49">
        <f>(100*('GA Arroyo'!AX126-E126))/E126</f>
        <v>0</v>
      </c>
    </row>
    <row r="127" spans="2:23" ht="15" customHeight="1">
      <c r="B127">
        <f>MIN('GA Arroyo'!B127,'GA Arroyo'!E127,'GA Arroyo'!H127,'GA Arroyo'!K127)</f>
        <v>7802.8</v>
      </c>
      <c r="C127">
        <f>MIN('GA Arroyo'!O127, 'GA Arroyo'!R127, 'GA Arroyo'!U127, 'GA Arroyo'!X127)</f>
        <v>7747.9</v>
      </c>
      <c r="D127">
        <f>MIN('GA Arroyo'!AB127, 'GA Arroyo'!AE127, 'GA Arroyo'!AH127, 'GA Arroyo'!AK127)</f>
        <v>7667</v>
      </c>
      <c r="E127">
        <f>MIN('GA Arroyo'!AO127, 'GA Arroyo'!AR127, 'GA Arroyo'!AU127, 'GA Arroyo'!AX127)</f>
        <v>8043.4</v>
      </c>
      <c r="G127" s="45">
        <f t="shared" si="9"/>
        <v>7667</v>
      </c>
      <c r="I127" s="49">
        <f t="shared" si="10"/>
        <v>1.7712273379418311</v>
      </c>
      <c r="J127" s="49">
        <f t="shared" si="11"/>
        <v>1.0551715142819831</v>
      </c>
      <c r="K127" s="49">
        <f t="shared" si="12"/>
        <v>0</v>
      </c>
      <c r="L127" s="49">
        <f t="shared" si="13"/>
        <v>4.90935176731446</v>
      </c>
      <c r="T127" s="49">
        <f>(100*('GA Arroyo'!AO127-E127))/E127</f>
        <v>6.4164408086132774</v>
      </c>
      <c r="U127" s="49">
        <f>(100*('GA Arroyo'!AR127-E127))/E127</f>
        <v>3.9547952358455425</v>
      </c>
      <c r="V127" s="49">
        <f>(100*('GA Arroyo'!AU127-E127))/E127</f>
        <v>3.9547952358455425</v>
      </c>
      <c r="W127" s="49">
        <f>(100*('GA Arroyo'!AX127-E127))/E127</f>
        <v>0</v>
      </c>
    </row>
    <row r="128" spans="2:23" ht="15" customHeight="1">
      <c r="B128">
        <f>MIN('GA Arroyo'!B128,'GA Arroyo'!E128,'GA Arroyo'!H128,'GA Arroyo'!K128)</f>
        <v>9487.6</v>
      </c>
      <c r="C128">
        <f>MIN('GA Arroyo'!O128, 'GA Arroyo'!R128, 'GA Arroyo'!U128, 'GA Arroyo'!X128)</f>
        <v>9487.6</v>
      </c>
      <c r="D128">
        <f>MIN('GA Arroyo'!AB128, 'GA Arroyo'!AE128, 'GA Arroyo'!AH128, 'GA Arroyo'!AK128)</f>
        <v>10779.3</v>
      </c>
      <c r="E128">
        <f>MIN('GA Arroyo'!AO128, 'GA Arroyo'!AR128, 'GA Arroyo'!AU128, 'GA Arroyo'!AX128)</f>
        <v>10144.799999999999</v>
      </c>
      <c r="G128" s="45">
        <f t="shared" si="9"/>
        <v>9487.6</v>
      </c>
      <c r="I128" s="49">
        <f t="shared" si="10"/>
        <v>0</v>
      </c>
      <c r="J128" s="49">
        <f t="shared" si="11"/>
        <v>0</v>
      </c>
      <c r="K128" s="49">
        <f t="shared" si="12"/>
        <v>13.61461275770478</v>
      </c>
      <c r="L128" s="49">
        <f t="shared" si="13"/>
        <v>6.9269362114760193</v>
      </c>
      <c r="T128" s="49">
        <f>(100*('GA Arroyo'!AO128-E128))/E128</f>
        <v>0.13504455484583952</v>
      </c>
      <c r="U128" s="49">
        <f>(100*('GA Arroyo'!AR128-E128))/E128</f>
        <v>0.13504455484583952</v>
      </c>
      <c r="V128" s="49">
        <f>(100*('GA Arroyo'!AU128-E128))/E128</f>
        <v>0.95122624398706734</v>
      </c>
      <c r="W128" s="49">
        <f>(100*('GA Arroyo'!AX128-E128))/E128</f>
        <v>0</v>
      </c>
    </row>
    <row r="129" spans="2:23" ht="15" customHeight="1">
      <c r="B129">
        <f>MIN('GA Arroyo'!B129,'GA Arroyo'!E129,'GA Arroyo'!H129,'GA Arroyo'!K129)</f>
        <v>11209.7</v>
      </c>
      <c r="C129">
        <f>MIN('GA Arroyo'!O129, 'GA Arroyo'!R129, 'GA Arroyo'!U129, 'GA Arroyo'!X129)</f>
        <v>11334.8</v>
      </c>
      <c r="D129">
        <f>MIN('GA Arroyo'!AB129, 'GA Arroyo'!AE129, 'GA Arroyo'!AH129, 'GA Arroyo'!AK129)</f>
        <v>11448.3</v>
      </c>
      <c r="E129">
        <f>MIN('GA Arroyo'!AO129, 'GA Arroyo'!AR129, 'GA Arroyo'!AU129, 'GA Arroyo'!AX129)</f>
        <v>11334.8</v>
      </c>
      <c r="G129" s="45">
        <f t="shared" si="9"/>
        <v>11209.7</v>
      </c>
      <c r="I129" s="49">
        <f t="shared" si="10"/>
        <v>0</v>
      </c>
      <c r="J129" s="49">
        <f t="shared" si="11"/>
        <v>1.1159977519469615</v>
      </c>
      <c r="K129" s="49">
        <f t="shared" si="12"/>
        <v>2.1285136979580055</v>
      </c>
      <c r="L129" s="49">
        <f t="shared" si="13"/>
        <v>1.1159977519469615</v>
      </c>
      <c r="T129" s="49">
        <f>(100*('GA Arroyo'!AO129-E129))/E129</f>
        <v>17.590076578325171</v>
      </c>
      <c r="U129" s="49">
        <f>(100*('GA Arroyo'!AR129-E129))/E129</f>
        <v>0</v>
      </c>
      <c r="V129" s="49">
        <f>(100*('GA Arroyo'!AU129-E129))/E129</f>
        <v>1.4336379997882629</v>
      </c>
      <c r="W129" s="49">
        <f>(100*('GA Arroyo'!AX129-E129))/E129</f>
        <v>0</v>
      </c>
    </row>
    <row r="130" spans="2:23" ht="15" customHeight="1">
      <c r="B130">
        <f>MIN('GA Arroyo'!B130,'GA Arroyo'!E130,'GA Arroyo'!H130,'GA Arroyo'!K130)</f>
        <v>11800.5</v>
      </c>
      <c r="C130">
        <f>MIN('GA Arroyo'!O130, 'GA Arroyo'!R130, 'GA Arroyo'!U130, 'GA Arroyo'!X130)</f>
        <v>11800.5</v>
      </c>
      <c r="D130">
        <f>MIN('GA Arroyo'!AB130, 'GA Arroyo'!AE130, 'GA Arroyo'!AH130, 'GA Arroyo'!AK130)</f>
        <v>11915.9</v>
      </c>
      <c r="E130">
        <f>MIN('GA Arroyo'!AO130, 'GA Arroyo'!AR130, 'GA Arroyo'!AU130, 'GA Arroyo'!AX130)</f>
        <v>11800.5</v>
      </c>
      <c r="G130" s="45">
        <f t="shared" si="9"/>
        <v>11800.5</v>
      </c>
      <c r="I130" s="49">
        <f t="shared" si="10"/>
        <v>0</v>
      </c>
      <c r="J130" s="49">
        <f t="shared" si="11"/>
        <v>0</v>
      </c>
      <c r="K130" s="49">
        <f t="shared" si="12"/>
        <v>0.97792466420914059</v>
      </c>
      <c r="L130" s="49">
        <f t="shared" si="13"/>
        <v>0</v>
      </c>
      <c r="T130" s="49">
        <f>(100*('GA Arroyo'!AO130-E130))/E130</f>
        <v>0</v>
      </c>
      <c r="U130" s="49">
        <f>(100*('GA Arroyo'!AR130-E130))/E130</f>
        <v>4.9514851065632755</v>
      </c>
      <c r="V130" s="49">
        <f>(100*('GA Arroyo'!AU130-E130))/E130</f>
        <v>0</v>
      </c>
      <c r="W130" s="49">
        <f>(100*('GA Arroyo'!AX130-E130))/E130</f>
        <v>0</v>
      </c>
    </row>
    <row r="131" spans="2:23" ht="15" customHeight="1">
      <c r="B131">
        <f>MIN('GA Arroyo'!B131,'GA Arroyo'!E131,'GA Arroyo'!H131,'GA Arroyo'!K131)</f>
        <v>12982.8</v>
      </c>
      <c r="C131">
        <f>MIN('GA Arroyo'!O131, 'GA Arroyo'!R131, 'GA Arroyo'!U131, 'GA Arroyo'!X131)</f>
        <v>12335.2</v>
      </c>
      <c r="D131">
        <f>MIN('GA Arroyo'!AB131, 'GA Arroyo'!AE131, 'GA Arroyo'!AH131, 'GA Arroyo'!AK131)</f>
        <v>14646.8</v>
      </c>
      <c r="E131">
        <f>MIN('GA Arroyo'!AO131, 'GA Arroyo'!AR131, 'GA Arroyo'!AU131, 'GA Arroyo'!AX131)</f>
        <v>12319.2</v>
      </c>
      <c r="G131" s="45">
        <f t="shared" si="9"/>
        <v>12319.2</v>
      </c>
      <c r="I131" s="49">
        <f t="shared" si="10"/>
        <v>5.3867134229495299</v>
      </c>
      <c r="J131" s="49">
        <f t="shared" si="11"/>
        <v>0.12987856354308722</v>
      </c>
      <c r="K131" s="49">
        <f t="shared" si="12"/>
        <v>18.894084031430598</v>
      </c>
      <c r="L131" s="49">
        <f t="shared" si="13"/>
        <v>0</v>
      </c>
      <c r="T131" s="49">
        <f>(100*('GA Arroyo'!AO131-E131))/E131</f>
        <v>10.91466978375218</v>
      </c>
      <c r="U131" s="49">
        <f>(100*('GA Arroyo'!AR131-E131))/E131</f>
        <v>16.041626079615551</v>
      </c>
      <c r="V131" s="49">
        <f>(100*('GA Arroyo'!AU131-E131))/E131</f>
        <v>0</v>
      </c>
      <c r="W131" s="49">
        <f>(100*('GA Arroyo'!AX131-E131))/E131</f>
        <v>7.3697967400480522</v>
      </c>
    </row>
    <row r="132" spans="2:23" ht="15" customHeight="1">
      <c r="B132">
        <f>MIN('GA Arroyo'!B132,'GA Arroyo'!E132,'GA Arroyo'!H132,'GA Arroyo'!K132)</f>
        <v>9803.7000000000007</v>
      </c>
      <c r="C132">
        <f>MIN('GA Arroyo'!O132, 'GA Arroyo'!R132, 'GA Arroyo'!U132, 'GA Arroyo'!X132)</f>
        <v>9803.7000000000007</v>
      </c>
      <c r="D132">
        <f>MIN('GA Arroyo'!AB132, 'GA Arroyo'!AE132, 'GA Arroyo'!AH132, 'GA Arroyo'!AK132)</f>
        <v>9884.5</v>
      </c>
      <c r="E132">
        <f>MIN('GA Arroyo'!AO132, 'GA Arroyo'!AR132, 'GA Arroyo'!AU132, 'GA Arroyo'!AX132)</f>
        <v>9258.6</v>
      </c>
      <c r="G132" s="45">
        <f t="shared" ref="G132:G195" si="14">MIN(B132,C132,D132,E132)</f>
        <v>9258.6</v>
      </c>
      <c r="I132" s="49">
        <f t="shared" ref="I132:I195" si="15">(100*(B132-G132))/G132</f>
        <v>5.8874991899423277</v>
      </c>
      <c r="J132" s="49">
        <f t="shared" ref="J132:J195" si="16">(100*(C132-G132))/G132</f>
        <v>5.8874991899423277</v>
      </c>
      <c r="K132" s="49">
        <f t="shared" ref="K132:K195" si="17">(100*(D132-G132))/G132</f>
        <v>6.7602013263344309</v>
      </c>
      <c r="L132" s="49">
        <f t="shared" ref="L132:L195" si="18">(100*(E132-G132))/G132</f>
        <v>0</v>
      </c>
      <c r="T132" s="49">
        <f>(100*('GA Arroyo'!AO132-E132))/E132</f>
        <v>5.8874991899423277</v>
      </c>
      <c r="U132" s="49">
        <f>(100*('GA Arroyo'!AR132-E132))/E132</f>
        <v>0</v>
      </c>
      <c r="V132" s="49">
        <f>(100*('GA Arroyo'!AU132-E132))/E132</f>
        <v>5.8874991899423277</v>
      </c>
      <c r="W132" s="49">
        <f>(100*('GA Arroyo'!AX132-E132))/E132</f>
        <v>13.763419955500824</v>
      </c>
    </row>
    <row r="133" spans="2:23" ht="15" customHeight="1">
      <c r="B133">
        <f>MIN('GA Arroyo'!B133,'GA Arroyo'!E133,'GA Arroyo'!H133,'GA Arroyo'!K133)</f>
        <v>11636</v>
      </c>
      <c r="C133">
        <f>MIN('GA Arroyo'!O133, 'GA Arroyo'!R133, 'GA Arroyo'!U133, 'GA Arroyo'!X133)</f>
        <v>11182.9</v>
      </c>
      <c r="D133">
        <f>MIN('GA Arroyo'!AB133, 'GA Arroyo'!AE133, 'GA Arroyo'!AH133, 'GA Arroyo'!AK133)</f>
        <v>12370.3</v>
      </c>
      <c r="E133">
        <f>MIN('GA Arroyo'!AO133, 'GA Arroyo'!AR133, 'GA Arroyo'!AU133, 'GA Arroyo'!AX133)</f>
        <v>11675.9</v>
      </c>
      <c r="G133" s="45">
        <f t="shared" si="14"/>
        <v>11182.9</v>
      </c>
      <c r="I133" s="49">
        <f t="shared" si="15"/>
        <v>4.0517218252868252</v>
      </c>
      <c r="J133" s="49">
        <f t="shared" si="16"/>
        <v>0</v>
      </c>
      <c r="K133" s="49">
        <f t="shared" si="17"/>
        <v>10.617997120603777</v>
      </c>
      <c r="L133" s="49">
        <f t="shared" si="18"/>
        <v>4.4085165744127197</v>
      </c>
      <c r="T133" s="49">
        <f>(100*('GA Arroyo'!AO133-E133))/E133</f>
        <v>7.7398744422271584</v>
      </c>
      <c r="U133" s="49">
        <f>(100*('GA Arroyo'!AR133-E133))/E133</f>
        <v>3.5175018628114385</v>
      </c>
      <c r="V133" s="49">
        <f>(100*('GA Arroyo'!AU133-E133))/E133</f>
        <v>0</v>
      </c>
      <c r="W133" s="49">
        <f>(100*('GA Arroyo'!AX133-E133))/E133</f>
        <v>0</v>
      </c>
    </row>
    <row r="134" spans="2:23" ht="15" customHeight="1">
      <c r="B134">
        <f>MIN('GA Arroyo'!B134,'GA Arroyo'!E134,'GA Arroyo'!H134,'GA Arroyo'!K134)</f>
        <v>10193.799999999999</v>
      </c>
      <c r="C134">
        <f>MIN('GA Arroyo'!O134, 'GA Arroyo'!R134, 'GA Arroyo'!U134, 'GA Arroyo'!X134)</f>
        <v>10193.799999999999</v>
      </c>
      <c r="D134">
        <f>MIN('GA Arroyo'!AB134, 'GA Arroyo'!AE134, 'GA Arroyo'!AH134, 'GA Arroyo'!AK134)</f>
        <v>10794.3</v>
      </c>
      <c r="E134">
        <f>MIN('GA Arroyo'!AO134, 'GA Arroyo'!AR134, 'GA Arroyo'!AU134, 'GA Arroyo'!AX134)</f>
        <v>9989.1</v>
      </c>
      <c r="G134" s="45">
        <f t="shared" si="14"/>
        <v>9989.1</v>
      </c>
      <c r="I134" s="49">
        <f t="shared" si="15"/>
        <v>2.0492336646945062</v>
      </c>
      <c r="J134" s="49">
        <f t="shared" si="16"/>
        <v>2.0492336646945062</v>
      </c>
      <c r="K134" s="49">
        <f t="shared" si="17"/>
        <v>8.0607862570201405</v>
      </c>
      <c r="L134" s="49">
        <f t="shared" si="18"/>
        <v>0</v>
      </c>
      <c r="T134" s="49">
        <f>(100*('GA Arroyo'!AO134-E134))/E134</f>
        <v>0</v>
      </c>
      <c r="U134" s="49">
        <f>(100*('GA Arroyo'!AR134-E134))/E134</f>
        <v>4.2346157311469499</v>
      </c>
      <c r="V134" s="49">
        <f>(100*('GA Arroyo'!AU134-E134))/E134</f>
        <v>0</v>
      </c>
      <c r="W134" s="49">
        <f>(100*('GA Arroyo'!AX134-E134))/E134</f>
        <v>12.415532930894663</v>
      </c>
    </row>
    <row r="135" spans="2:23" ht="15" customHeight="1">
      <c r="B135">
        <f>MIN('GA Arroyo'!B135,'GA Arroyo'!E135,'GA Arroyo'!H135,'GA Arroyo'!K135)</f>
        <v>9186</v>
      </c>
      <c r="C135">
        <f>MIN('GA Arroyo'!O135, 'GA Arroyo'!R135, 'GA Arroyo'!U135, 'GA Arroyo'!X135)</f>
        <v>9186</v>
      </c>
      <c r="D135">
        <f>MIN('GA Arroyo'!AB135, 'GA Arroyo'!AE135, 'GA Arroyo'!AH135, 'GA Arroyo'!AK135)</f>
        <v>9778.2999999999993</v>
      </c>
      <c r="E135">
        <f>MIN('GA Arroyo'!AO135, 'GA Arroyo'!AR135, 'GA Arroyo'!AU135, 'GA Arroyo'!AX135)</f>
        <v>9186</v>
      </c>
      <c r="G135" s="45">
        <f t="shared" si="14"/>
        <v>9186</v>
      </c>
      <c r="I135" s="49">
        <f t="shared" si="15"/>
        <v>0</v>
      </c>
      <c r="J135" s="49">
        <f t="shared" si="16"/>
        <v>0</v>
      </c>
      <c r="K135" s="49">
        <f t="shared" si="17"/>
        <v>6.4478554321793959</v>
      </c>
      <c r="L135" s="49">
        <f t="shared" si="18"/>
        <v>0</v>
      </c>
      <c r="T135" s="49">
        <f>(100*('GA Arroyo'!AO135-E135))/E135</f>
        <v>0</v>
      </c>
      <c r="U135" s="49">
        <f>(100*('GA Arroyo'!AR135-E135))/E135</f>
        <v>1.8256041802743384</v>
      </c>
      <c r="V135" s="49">
        <f>(100*('GA Arroyo'!AU135-E135))/E135</f>
        <v>0</v>
      </c>
      <c r="W135" s="49">
        <f>(100*('GA Arroyo'!AX135-E135))/E135</f>
        <v>3.3311561071195297</v>
      </c>
    </row>
    <row r="136" spans="2:23" ht="15" customHeight="1">
      <c r="B136">
        <f>MIN('GA Arroyo'!B136,'GA Arroyo'!E136,'GA Arroyo'!H136,'GA Arroyo'!K136)</f>
        <v>10399.5</v>
      </c>
      <c r="C136">
        <f>MIN('GA Arroyo'!O136, 'GA Arroyo'!R136, 'GA Arroyo'!U136, 'GA Arroyo'!X136)</f>
        <v>10399.5</v>
      </c>
      <c r="D136">
        <f>MIN('GA Arroyo'!AB136, 'GA Arroyo'!AE136, 'GA Arroyo'!AH136, 'GA Arroyo'!AK136)</f>
        <v>11096</v>
      </c>
      <c r="E136">
        <f>MIN('GA Arroyo'!AO136, 'GA Arroyo'!AR136, 'GA Arroyo'!AU136, 'GA Arroyo'!AX136)</f>
        <v>10399.5</v>
      </c>
      <c r="G136" s="45">
        <f t="shared" si="14"/>
        <v>10399.5</v>
      </c>
      <c r="I136" s="49">
        <f t="shared" si="15"/>
        <v>0</v>
      </c>
      <c r="J136" s="49">
        <f t="shared" si="16"/>
        <v>0</v>
      </c>
      <c r="K136" s="49">
        <f t="shared" si="17"/>
        <v>6.6974373767969615</v>
      </c>
      <c r="L136" s="49">
        <f t="shared" si="18"/>
        <v>0</v>
      </c>
      <c r="T136" s="49">
        <f>(100*('GA Arroyo'!AO136-E136))/E136</f>
        <v>3.3751622674167026</v>
      </c>
      <c r="U136" s="49">
        <f>(100*('GA Arroyo'!AR136-E136))/E136</f>
        <v>3.0895716140198979</v>
      </c>
      <c r="V136" s="49">
        <f>(100*('GA Arroyo'!AU136-E136))/E136</f>
        <v>0</v>
      </c>
      <c r="W136" s="49">
        <f>(100*('GA Arroyo'!AX136-E136))/E136</f>
        <v>3.3751622674167026</v>
      </c>
    </row>
    <row r="137" spans="2:23" ht="15" customHeight="1">
      <c r="B137">
        <f>MIN('GA Arroyo'!B137,'GA Arroyo'!E137,'GA Arroyo'!H137,'GA Arroyo'!K137)</f>
        <v>13359</v>
      </c>
      <c r="C137">
        <f>MIN('GA Arroyo'!O137, 'GA Arroyo'!R137, 'GA Arroyo'!U137, 'GA Arroyo'!X137)</f>
        <v>13359</v>
      </c>
      <c r="D137">
        <f>MIN('GA Arroyo'!AB137, 'GA Arroyo'!AE137, 'GA Arroyo'!AH137, 'GA Arroyo'!AK137)</f>
        <v>13359</v>
      </c>
      <c r="E137">
        <f>MIN('GA Arroyo'!AO137, 'GA Arroyo'!AR137, 'GA Arroyo'!AU137, 'GA Arroyo'!AX137)</f>
        <v>13359</v>
      </c>
      <c r="G137" s="45">
        <f t="shared" si="14"/>
        <v>13359</v>
      </c>
      <c r="I137" s="49">
        <f t="shared" si="15"/>
        <v>0</v>
      </c>
      <c r="J137" s="49">
        <f t="shared" si="16"/>
        <v>0</v>
      </c>
      <c r="K137" s="49">
        <f t="shared" si="17"/>
        <v>0</v>
      </c>
      <c r="L137" s="49">
        <f t="shared" si="18"/>
        <v>0</v>
      </c>
      <c r="T137" s="49">
        <f>(100*('GA Arroyo'!AO137-E137))/E137</f>
        <v>6.4855153828879386</v>
      </c>
      <c r="U137" s="49">
        <f>(100*('GA Arroyo'!AR137-E137))/E137</f>
        <v>0</v>
      </c>
      <c r="V137" s="49">
        <f>(100*('GA Arroyo'!AU137-E137))/E137</f>
        <v>2.9059061306984111</v>
      </c>
      <c r="W137" s="49">
        <f>(100*('GA Arroyo'!AX137-E137))/E137</f>
        <v>0</v>
      </c>
    </row>
    <row r="138" spans="2:23" ht="15" customHeight="1">
      <c r="B138">
        <f>MIN('GA Arroyo'!B138,'GA Arroyo'!E138,'GA Arroyo'!H138,'GA Arroyo'!K138)</f>
        <v>7865.8</v>
      </c>
      <c r="C138">
        <f>MIN('GA Arroyo'!O138, 'GA Arroyo'!R138, 'GA Arroyo'!U138, 'GA Arroyo'!X138)</f>
        <v>7865.8</v>
      </c>
      <c r="D138">
        <f>MIN('GA Arroyo'!AB138, 'GA Arroyo'!AE138, 'GA Arroyo'!AH138, 'GA Arroyo'!AK138)</f>
        <v>9637.2999999999993</v>
      </c>
      <c r="E138">
        <f>MIN('GA Arroyo'!AO138, 'GA Arroyo'!AR138, 'GA Arroyo'!AU138, 'GA Arroyo'!AX138)</f>
        <v>7865.8</v>
      </c>
      <c r="G138" s="45">
        <f t="shared" si="14"/>
        <v>7865.8</v>
      </c>
      <c r="I138" s="49">
        <f t="shared" si="15"/>
        <v>0</v>
      </c>
      <c r="J138" s="49">
        <f t="shared" si="16"/>
        <v>0</v>
      </c>
      <c r="K138" s="49">
        <f t="shared" si="17"/>
        <v>22.521548984210114</v>
      </c>
      <c r="L138" s="49">
        <f t="shared" si="18"/>
        <v>0</v>
      </c>
      <c r="T138" s="49">
        <f>(100*('GA Arroyo'!AO138-E138))/E138</f>
        <v>0</v>
      </c>
      <c r="U138" s="49">
        <f>(100*('GA Arroyo'!AR138-E138))/E138</f>
        <v>0</v>
      </c>
      <c r="V138" s="49">
        <f>(100*('GA Arroyo'!AU138-E138))/E138</f>
        <v>2.5604515751735315</v>
      </c>
      <c r="W138" s="49">
        <f>(100*('GA Arroyo'!AX138-E138))/E138</f>
        <v>1.7023061862747544</v>
      </c>
    </row>
    <row r="139" spans="2:23" ht="15" customHeight="1">
      <c r="B139">
        <f>MIN('GA Arroyo'!B139,'GA Arroyo'!E139,'GA Arroyo'!H139,'GA Arroyo'!K139)</f>
        <v>8968.7000000000007</v>
      </c>
      <c r="C139">
        <f>MIN('GA Arroyo'!O139, 'GA Arroyo'!R139, 'GA Arroyo'!U139, 'GA Arroyo'!X139)</f>
        <v>9005.5</v>
      </c>
      <c r="D139">
        <f>MIN('GA Arroyo'!AB139, 'GA Arroyo'!AE139, 'GA Arroyo'!AH139, 'GA Arroyo'!AK139)</f>
        <v>9754.2000000000007</v>
      </c>
      <c r="E139">
        <f>MIN('GA Arroyo'!AO139, 'GA Arroyo'!AR139, 'GA Arroyo'!AU139, 'GA Arroyo'!AX139)</f>
        <v>8968.7000000000007</v>
      </c>
      <c r="G139" s="45">
        <f t="shared" si="14"/>
        <v>8968.7000000000007</v>
      </c>
      <c r="I139" s="49">
        <f t="shared" si="15"/>
        <v>0</v>
      </c>
      <c r="J139" s="49">
        <f t="shared" si="16"/>
        <v>0.41031587632543476</v>
      </c>
      <c r="K139" s="49">
        <f t="shared" si="17"/>
        <v>8.7582369797183528</v>
      </c>
      <c r="L139" s="49">
        <f t="shared" si="18"/>
        <v>0</v>
      </c>
      <c r="T139" s="49">
        <f>(100*('GA Arroyo'!AO139-E139))/E139</f>
        <v>4.6272034966048592</v>
      </c>
      <c r="U139" s="49">
        <f>(100*('GA Arroyo'!AR139-E139))/E139</f>
        <v>0</v>
      </c>
      <c r="V139" s="49">
        <f>(100*('GA Arroyo'!AU139-E139))/E139</f>
        <v>4.66957307079063</v>
      </c>
      <c r="W139" s="49">
        <f>(100*('GA Arroyo'!AX139-E139))/E139</f>
        <v>0</v>
      </c>
    </row>
    <row r="140" spans="2:23" ht="15" customHeight="1">
      <c r="B140">
        <f>MIN('GA Arroyo'!B140,'GA Arroyo'!E140,'GA Arroyo'!H140,'GA Arroyo'!K140)</f>
        <v>9987.2999999999993</v>
      </c>
      <c r="C140">
        <f>MIN('GA Arroyo'!O140, 'GA Arroyo'!R140, 'GA Arroyo'!U140, 'GA Arroyo'!X140)</f>
        <v>10363.299999999999</v>
      </c>
      <c r="D140">
        <f>MIN('GA Arroyo'!AB140, 'GA Arroyo'!AE140, 'GA Arroyo'!AH140, 'GA Arroyo'!AK140)</f>
        <v>10574.6</v>
      </c>
      <c r="E140">
        <f>MIN('GA Arroyo'!AO140, 'GA Arroyo'!AR140, 'GA Arroyo'!AU140, 'GA Arroyo'!AX140)</f>
        <v>10601.1</v>
      </c>
      <c r="G140" s="45">
        <f t="shared" si="14"/>
        <v>9987.2999999999993</v>
      </c>
      <c r="I140" s="49">
        <f t="shared" si="15"/>
        <v>0</v>
      </c>
      <c r="J140" s="49">
        <f t="shared" si="16"/>
        <v>3.7647812722157141</v>
      </c>
      <c r="K140" s="49">
        <f t="shared" si="17"/>
        <v>5.8804681946071629</v>
      </c>
      <c r="L140" s="49">
        <f t="shared" si="18"/>
        <v>6.1458051725691742</v>
      </c>
      <c r="T140" s="49">
        <f>(100*('GA Arroyo'!AO140-E140))/E140</f>
        <v>7.0454952787918206</v>
      </c>
      <c r="U140" s="49">
        <f>(100*('GA Arroyo'!AR140-E140))/E140</f>
        <v>6.6332739055380934</v>
      </c>
      <c r="V140" s="49">
        <f>(100*('GA Arroyo'!AU140-E140))/E140</f>
        <v>0</v>
      </c>
      <c r="W140" s="49">
        <f>(100*('GA Arroyo'!AX140-E140))/E140</f>
        <v>0</v>
      </c>
    </row>
    <row r="141" spans="2:23" ht="15" customHeight="1">
      <c r="B141">
        <f>MIN('GA Arroyo'!B141,'GA Arroyo'!E141,'GA Arroyo'!H141,'GA Arroyo'!K141)</f>
        <v>5091</v>
      </c>
      <c r="C141">
        <f>MIN('GA Arroyo'!O141, 'GA Arroyo'!R141, 'GA Arroyo'!U141, 'GA Arroyo'!X141)</f>
        <v>5259.6</v>
      </c>
      <c r="D141">
        <f>MIN('GA Arroyo'!AB141, 'GA Arroyo'!AE141, 'GA Arroyo'!AH141, 'GA Arroyo'!AK141)</f>
        <v>5292.3</v>
      </c>
      <c r="E141">
        <f>MIN('GA Arroyo'!AO141, 'GA Arroyo'!AR141, 'GA Arroyo'!AU141, 'GA Arroyo'!AX141)</f>
        <v>5149.2</v>
      </c>
      <c r="G141" s="45">
        <f t="shared" si="14"/>
        <v>5091</v>
      </c>
      <c r="I141" s="49">
        <f t="shared" si="15"/>
        <v>0</v>
      </c>
      <c r="J141" s="49">
        <f t="shared" si="16"/>
        <v>3.3117265763111443</v>
      </c>
      <c r="K141" s="49">
        <f t="shared" si="17"/>
        <v>3.9540365350618774</v>
      </c>
      <c r="L141" s="49">
        <f t="shared" si="18"/>
        <v>1.1431938715380048</v>
      </c>
      <c r="T141" s="49">
        <f>(100*('GA Arroyo'!AO141-E141))/E141</f>
        <v>7.5623397809368562</v>
      </c>
      <c r="U141" s="49">
        <f>(100*('GA Arroyo'!AR141-E141))/E141</f>
        <v>13.182630311504703</v>
      </c>
      <c r="V141" s="49">
        <f>(100*('GA Arroyo'!AU141-E141))/E141</f>
        <v>13.182630311504703</v>
      </c>
      <c r="W141" s="49">
        <f>(100*('GA Arroyo'!AX141-E141))/E141</f>
        <v>0</v>
      </c>
    </row>
    <row r="142" spans="2:23" ht="15" customHeight="1">
      <c r="B142">
        <f>MIN('GA Arroyo'!B142,'GA Arroyo'!E142,'GA Arroyo'!H142,'GA Arroyo'!K142)</f>
        <v>8905.5</v>
      </c>
      <c r="C142">
        <f>MIN('GA Arroyo'!O142, 'GA Arroyo'!R142, 'GA Arroyo'!U142, 'GA Arroyo'!X142)</f>
        <v>8905.5</v>
      </c>
      <c r="D142">
        <f>MIN('GA Arroyo'!AB142, 'GA Arroyo'!AE142, 'GA Arroyo'!AH142, 'GA Arroyo'!AK142)</f>
        <v>9737.7000000000007</v>
      </c>
      <c r="E142">
        <f>MIN('GA Arroyo'!AO142, 'GA Arroyo'!AR142, 'GA Arroyo'!AU142, 'GA Arroyo'!AX142)</f>
        <v>8905.5</v>
      </c>
      <c r="G142" s="45">
        <f t="shared" si="14"/>
        <v>8905.5</v>
      </c>
      <c r="I142" s="49">
        <f t="shared" si="15"/>
        <v>0</v>
      </c>
      <c r="J142" s="49">
        <f t="shared" si="16"/>
        <v>0</v>
      </c>
      <c r="K142" s="49">
        <f t="shared" si="17"/>
        <v>9.3447869294256432</v>
      </c>
      <c r="L142" s="49">
        <f t="shared" si="18"/>
        <v>0</v>
      </c>
      <c r="T142" s="49">
        <f>(100*('GA Arroyo'!AO142-E142))/E142</f>
        <v>5.7256751445735743</v>
      </c>
      <c r="U142" s="49">
        <f>(100*('GA Arroyo'!AR142-E142))/E142</f>
        <v>0</v>
      </c>
      <c r="V142" s="49">
        <f>(100*('GA Arroyo'!AU142-E142))/E142</f>
        <v>2.5444949750154442</v>
      </c>
      <c r="W142" s="49">
        <f>(100*('GA Arroyo'!AX142-E142))/E142</f>
        <v>8.6845208017517237</v>
      </c>
    </row>
    <row r="143" spans="2:23" ht="15" customHeight="1">
      <c r="B143">
        <f>MIN('GA Arroyo'!B143,'GA Arroyo'!E143,'GA Arroyo'!H143,'GA Arroyo'!K143)</f>
        <v>10589.5</v>
      </c>
      <c r="C143">
        <f>MIN('GA Arroyo'!O143, 'GA Arroyo'!R143, 'GA Arroyo'!U143, 'GA Arroyo'!X143)</f>
        <v>10001.6</v>
      </c>
      <c r="D143">
        <f>MIN('GA Arroyo'!AB143, 'GA Arroyo'!AE143, 'GA Arroyo'!AH143, 'GA Arroyo'!AK143)</f>
        <v>11582.3</v>
      </c>
      <c r="E143">
        <f>MIN('GA Arroyo'!AO143, 'GA Arroyo'!AR143, 'GA Arroyo'!AU143, 'GA Arroyo'!AX143)</f>
        <v>11096.3</v>
      </c>
      <c r="G143" s="45">
        <f t="shared" si="14"/>
        <v>10001.6</v>
      </c>
      <c r="I143" s="49">
        <f t="shared" si="15"/>
        <v>5.8780595104783195</v>
      </c>
      <c r="J143" s="49">
        <f t="shared" si="16"/>
        <v>0</v>
      </c>
      <c r="K143" s="49">
        <f t="shared" si="17"/>
        <v>15.804471284594452</v>
      </c>
      <c r="L143" s="49">
        <f t="shared" si="18"/>
        <v>10.945248760198357</v>
      </c>
      <c r="T143" s="49">
        <f>(100*('GA Arroyo'!AO143-E143))/E143</f>
        <v>0</v>
      </c>
      <c r="U143" s="49">
        <f>(100*('GA Arroyo'!AR143-E143))/E143</f>
        <v>4.3798383244865411</v>
      </c>
      <c r="V143" s="49">
        <f>(100*('GA Arroyo'!AU143-E143))/E143</f>
        <v>8.3027675891964101</v>
      </c>
      <c r="W143" s="49">
        <f>(100*('GA Arroyo'!AX143-E143))/E143</f>
        <v>0</v>
      </c>
    </row>
    <row r="144" spans="2:23" ht="15" customHeight="1">
      <c r="B144">
        <f>MIN('GA Arroyo'!B144,'GA Arroyo'!E144,'GA Arroyo'!H144,'GA Arroyo'!K144)</f>
        <v>9103.5</v>
      </c>
      <c r="C144">
        <f>MIN('GA Arroyo'!O144, 'GA Arroyo'!R144, 'GA Arroyo'!U144, 'GA Arroyo'!X144)</f>
        <v>9103.5</v>
      </c>
      <c r="D144">
        <f>MIN('GA Arroyo'!AB144, 'GA Arroyo'!AE144, 'GA Arroyo'!AH144, 'GA Arroyo'!AK144)</f>
        <v>9856.1</v>
      </c>
      <c r="E144">
        <f>MIN('GA Arroyo'!AO144, 'GA Arroyo'!AR144, 'GA Arroyo'!AU144, 'GA Arroyo'!AX144)</f>
        <v>8823.5</v>
      </c>
      <c r="G144" s="45">
        <f t="shared" si="14"/>
        <v>8823.5</v>
      </c>
      <c r="I144" s="49">
        <f t="shared" si="15"/>
        <v>3.1733439111463704</v>
      </c>
      <c r="J144" s="49">
        <f t="shared" si="16"/>
        <v>3.1733439111463704</v>
      </c>
      <c r="K144" s="49">
        <f t="shared" si="17"/>
        <v>11.702839009463368</v>
      </c>
      <c r="L144" s="49">
        <f t="shared" si="18"/>
        <v>0</v>
      </c>
      <c r="T144" s="49">
        <f>(100*('GA Arroyo'!AO144-E144))/E144</f>
        <v>3.7842126140420427</v>
      </c>
      <c r="U144" s="49">
        <f>(100*('GA Arroyo'!AR144-E144))/E144</f>
        <v>10.107100357001181</v>
      </c>
      <c r="V144" s="49">
        <f>(100*('GA Arroyo'!AU144-E144))/E144</f>
        <v>3.7842126140420427</v>
      </c>
      <c r="W144" s="49">
        <f>(100*('GA Arroyo'!AX144-E144))/E144</f>
        <v>0</v>
      </c>
    </row>
    <row r="145" spans="2:23" ht="15" customHeight="1">
      <c r="B145">
        <f>MIN('GA Arroyo'!B145,'GA Arroyo'!E145,'GA Arroyo'!H145,'GA Arroyo'!K145)</f>
        <v>9653.7000000000007</v>
      </c>
      <c r="C145">
        <f>MIN('GA Arroyo'!O145, 'GA Arroyo'!R145, 'GA Arroyo'!U145, 'GA Arroyo'!X145)</f>
        <v>9494.6</v>
      </c>
      <c r="D145">
        <f>MIN('GA Arroyo'!AB145, 'GA Arroyo'!AE145, 'GA Arroyo'!AH145, 'GA Arroyo'!AK145)</f>
        <v>9939.9</v>
      </c>
      <c r="E145">
        <f>MIN('GA Arroyo'!AO145, 'GA Arroyo'!AR145, 'GA Arroyo'!AU145, 'GA Arroyo'!AX145)</f>
        <v>9378.4</v>
      </c>
      <c r="G145" s="45">
        <f t="shared" si="14"/>
        <v>9378.4</v>
      </c>
      <c r="I145" s="49">
        <f t="shared" si="15"/>
        <v>2.9354687366715124</v>
      </c>
      <c r="J145" s="49">
        <f t="shared" si="16"/>
        <v>1.2390173163865983</v>
      </c>
      <c r="K145" s="49">
        <f t="shared" si="17"/>
        <v>5.9871619892518986</v>
      </c>
      <c r="L145" s="49">
        <f t="shared" si="18"/>
        <v>0</v>
      </c>
      <c r="T145" s="49">
        <f>(100*('GA Arroyo'!AO145-E145))/E145</f>
        <v>3.5677727544144031</v>
      </c>
      <c r="U145" s="49">
        <f>(100*('GA Arroyo'!AR145-E145))/E145</f>
        <v>0</v>
      </c>
      <c r="V145" s="49">
        <f>(100*('GA Arroyo'!AU145-E145))/E145</f>
        <v>4.0945150558730701</v>
      </c>
      <c r="W145" s="49">
        <f>(100*('GA Arroyo'!AX145-E145))/E145</f>
        <v>5.5403906849782523</v>
      </c>
    </row>
    <row r="146" spans="2:23" ht="15" customHeight="1">
      <c r="B146">
        <f>MIN('GA Arroyo'!B146,'GA Arroyo'!E146,'GA Arroyo'!H146,'GA Arroyo'!K146)</f>
        <v>9118</v>
      </c>
      <c r="C146">
        <f>MIN('GA Arroyo'!O146, 'GA Arroyo'!R146, 'GA Arroyo'!U146, 'GA Arroyo'!X146)</f>
        <v>9007.2999999999993</v>
      </c>
      <c r="D146">
        <f>MIN('GA Arroyo'!AB146, 'GA Arroyo'!AE146, 'GA Arroyo'!AH146, 'GA Arroyo'!AK146)</f>
        <v>9421.6</v>
      </c>
      <c r="E146">
        <f>MIN('GA Arroyo'!AO146, 'GA Arroyo'!AR146, 'GA Arroyo'!AU146, 'GA Arroyo'!AX146)</f>
        <v>9007.2999999999993</v>
      </c>
      <c r="G146" s="45">
        <f t="shared" si="14"/>
        <v>9007.2999999999993</v>
      </c>
      <c r="I146" s="49">
        <f t="shared" si="15"/>
        <v>1.2290031418960259</v>
      </c>
      <c r="J146" s="49">
        <f t="shared" si="16"/>
        <v>0</v>
      </c>
      <c r="K146" s="49">
        <f t="shared" si="17"/>
        <v>4.5996025446027238</v>
      </c>
      <c r="L146" s="49">
        <f t="shared" si="18"/>
        <v>0</v>
      </c>
      <c r="T146" s="49">
        <f>(100*('GA Arroyo'!AO146-E146))/E146</f>
        <v>14.432737890377807</v>
      </c>
      <c r="U146" s="49">
        <f>(100*('GA Arroyo'!AR146-E146))/E146</f>
        <v>1.2290031418960259</v>
      </c>
      <c r="V146" s="49">
        <f>(100*('GA Arroyo'!AU146-E146))/E146</f>
        <v>0</v>
      </c>
      <c r="W146" s="49">
        <f>(100*('GA Arroyo'!AX146-E146))/E146</f>
        <v>0</v>
      </c>
    </row>
    <row r="147" spans="2:23" ht="15" customHeight="1">
      <c r="B147">
        <f>MIN('GA Arroyo'!B147,'GA Arroyo'!E147,'GA Arroyo'!H147,'GA Arroyo'!K147)</f>
        <v>10069.1</v>
      </c>
      <c r="C147">
        <f>MIN('GA Arroyo'!O147, 'GA Arroyo'!R147, 'GA Arroyo'!U147, 'GA Arroyo'!X147)</f>
        <v>10093.1</v>
      </c>
      <c r="D147">
        <f>MIN('GA Arroyo'!AB147, 'GA Arroyo'!AE147, 'GA Arroyo'!AH147, 'GA Arroyo'!AK147)</f>
        <v>11225.9</v>
      </c>
      <c r="E147">
        <f>MIN('GA Arroyo'!AO147, 'GA Arroyo'!AR147, 'GA Arroyo'!AU147, 'GA Arroyo'!AX147)</f>
        <v>10200.5</v>
      </c>
      <c r="G147" s="45">
        <f t="shared" si="14"/>
        <v>10069.1</v>
      </c>
      <c r="I147" s="49">
        <f t="shared" si="15"/>
        <v>0</v>
      </c>
      <c r="J147" s="49">
        <f t="shared" si="16"/>
        <v>0.23835298090196741</v>
      </c>
      <c r="K147" s="49">
        <f t="shared" si="17"/>
        <v>11.488613679474822</v>
      </c>
      <c r="L147" s="49">
        <f t="shared" si="18"/>
        <v>1.3049825704382678</v>
      </c>
      <c r="T147" s="49">
        <f>(100*('GA Arroyo'!AO147-E147))/E147</f>
        <v>0</v>
      </c>
      <c r="U147" s="49">
        <f>(100*('GA Arroyo'!AR147-E147))/E147</f>
        <v>6.8878976520758819</v>
      </c>
      <c r="V147" s="49">
        <f>(100*('GA Arroyo'!AU147-E147))/E147</f>
        <v>0.44409587765304909</v>
      </c>
      <c r="W147" s="49">
        <f>(100*('GA Arroyo'!AX147-E147))/E147</f>
        <v>0</v>
      </c>
    </row>
    <row r="148" spans="2:23" ht="15" customHeight="1">
      <c r="B148">
        <f>MIN('GA Arroyo'!B148,'GA Arroyo'!E148,'GA Arroyo'!H148,'GA Arroyo'!K148)</f>
        <v>9206</v>
      </c>
      <c r="C148">
        <f>MIN('GA Arroyo'!O148, 'GA Arroyo'!R148, 'GA Arroyo'!U148, 'GA Arroyo'!X148)</f>
        <v>8678</v>
      </c>
      <c r="D148">
        <f>MIN('GA Arroyo'!AB148, 'GA Arroyo'!AE148, 'GA Arroyo'!AH148, 'GA Arroyo'!AK148)</f>
        <v>9723.2999999999993</v>
      </c>
      <c r="E148">
        <f>MIN('GA Arroyo'!AO148, 'GA Arroyo'!AR148, 'GA Arroyo'!AU148, 'GA Arroyo'!AX148)</f>
        <v>9693.9</v>
      </c>
      <c r="G148" s="45">
        <f t="shared" si="14"/>
        <v>8678</v>
      </c>
      <c r="I148" s="49">
        <f t="shared" si="15"/>
        <v>6.0843512330029963</v>
      </c>
      <c r="J148" s="49">
        <f t="shared" si="16"/>
        <v>0</v>
      </c>
      <c r="K148" s="49">
        <f t="shared" si="17"/>
        <v>12.045402166397778</v>
      </c>
      <c r="L148" s="49">
        <f t="shared" si="18"/>
        <v>11.70661442728739</v>
      </c>
      <c r="T148" s="49">
        <f>(100*('GA Arroyo'!AO148-E148))/E148</f>
        <v>0.30328350818555627</v>
      </c>
      <c r="U148" s="49">
        <f>(100*('GA Arroyo'!AR148-E148))/E148</f>
        <v>7.6914348198351572</v>
      </c>
      <c r="V148" s="49">
        <f>(100*('GA Arroyo'!AU148-E148))/E148</f>
        <v>10.81298548571783</v>
      </c>
      <c r="W148" s="49">
        <f>(100*('GA Arroyo'!AX148-E148))/E148</f>
        <v>0</v>
      </c>
    </row>
    <row r="149" spans="2:23" ht="15" customHeight="1">
      <c r="B149">
        <f>MIN('GA Arroyo'!B149,'GA Arroyo'!E149,'GA Arroyo'!H149,'GA Arroyo'!K149)</f>
        <v>7172.6</v>
      </c>
      <c r="C149">
        <f>MIN('GA Arroyo'!O149, 'GA Arroyo'!R149, 'GA Arroyo'!U149, 'GA Arroyo'!X149)</f>
        <v>7172.6</v>
      </c>
      <c r="D149">
        <f>MIN('GA Arroyo'!AB149, 'GA Arroyo'!AE149, 'GA Arroyo'!AH149, 'GA Arroyo'!AK149)</f>
        <v>8002.9</v>
      </c>
      <c r="E149">
        <f>MIN('GA Arroyo'!AO149, 'GA Arroyo'!AR149, 'GA Arroyo'!AU149, 'GA Arroyo'!AX149)</f>
        <v>7172.6</v>
      </c>
      <c r="G149" s="45">
        <f t="shared" si="14"/>
        <v>7172.6</v>
      </c>
      <c r="I149" s="49">
        <f t="shared" si="15"/>
        <v>0</v>
      </c>
      <c r="J149" s="49">
        <f t="shared" si="16"/>
        <v>0</v>
      </c>
      <c r="K149" s="49">
        <f t="shared" si="17"/>
        <v>11.57599754621754</v>
      </c>
      <c r="L149" s="49">
        <f t="shared" si="18"/>
        <v>0</v>
      </c>
      <c r="T149" s="49">
        <f>(100*('GA Arroyo'!AO149-E149))/E149</f>
        <v>14.565150712433411</v>
      </c>
      <c r="U149" s="49">
        <f>(100*('GA Arroyo'!AR149-E149))/E149</f>
        <v>24.097259013467916</v>
      </c>
      <c r="V149" s="49">
        <f>(100*('GA Arroyo'!AU149-E149))/E149</f>
        <v>0</v>
      </c>
      <c r="W149" s="49">
        <f>(100*('GA Arroyo'!AX149-E149))/E149</f>
        <v>9.0483227839277252</v>
      </c>
    </row>
    <row r="150" spans="2:23" ht="15" customHeight="1">
      <c r="B150">
        <f>MIN('GA Arroyo'!B150,'GA Arroyo'!E150,'GA Arroyo'!H150,'GA Arroyo'!K150)</f>
        <v>7521.7</v>
      </c>
      <c r="C150">
        <f>MIN('GA Arroyo'!O150, 'GA Arroyo'!R150, 'GA Arroyo'!U150, 'GA Arroyo'!X150)</f>
        <v>7685.5</v>
      </c>
      <c r="D150">
        <f>MIN('GA Arroyo'!AB150, 'GA Arroyo'!AE150, 'GA Arroyo'!AH150, 'GA Arroyo'!AK150)</f>
        <v>8117.4</v>
      </c>
      <c r="E150">
        <f>MIN('GA Arroyo'!AO150, 'GA Arroyo'!AR150, 'GA Arroyo'!AU150, 'GA Arroyo'!AX150)</f>
        <v>7685.5</v>
      </c>
      <c r="G150" s="45">
        <f t="shared" si="14"/>
        <v>7521.7</v>
      </c>
      <c r="I150" s="49">
        <f t="shared" si="15"/>
        <v>0</v>
      </c>
      <c r="J150" s="49">
        <f t="shared" si="16"/>
        <v>2.1776991903426111</v>
      </c>
      <c r="K150" s="49">
        <f t="shared" si="17"/>
        <v>7.9197521836818785</v>
      </c>
      <c r="L150" s="49">
        <f t="shared" si="18"/>
        <v>2.1776991903426111</v>
      </c>
      <c r="T150" s="49">
        <f>(100*('GA Arroyo'!AO150-E150))/E150</f>
        <v>6.4953483833192358</v>
      </c>
      <c r="U150" s="49">
        <f>(100*('GA Arroyo'!AR150-E150))/E150</f>
        <v>3.3075271615379589</v>
      </c>
      <c r="V150" s="49">
        <f>(100*('GA Arroyo'!AU150-E150))/E150</f>
        <v>7.2174874764166379</v>
      </c>
      <c r="W150" s="49">
        <f>(100*('GA Arroyo'!AX150-E150))/E150</f>
        <v>0</v>
      </c>
    </row>
    <row r="151" spans="2:23" ht="15" customHeight="1">
      <c r="B151">
        <f>MIN('GA Arroyo'!B151,'GA Arroyo'!E151,'GA Arroyo'!H151,'GA Arroyo'!K151)</f>
        <v>8447.2999999999993</v>
      </c>
      <c r="C151">
        <f>MIN('GA Arroyo'!O151, 'GA Arroyo'!R151, 'GA Arroyo'!U151, 'GA Arroyo'!X151)</f>
        <v>8276.1</v>
      </c>
      <c r="D151">
        <f>MIN('GA Arroyo'!AB151, 'GA Arroyo'!AE151, 'GA Arroyo'!AH151, 'GA Arroyo'!AK151)</f>
        <v>10134.4</v>
      </c>
      <c r="E151">
        <f>MIN('GA Arroyo'!AO151, 'GA Arroyo'!AR151, 'GA Arroyo'!AU151, 'GA Arroyo'!AX151)</f>
        <v>8719.2999999999993</v>
      </c>
      <c r="G151" s="45">
        <f t="shared" si="14"/>
        <v>8276.1</v>
      </c>
      <c r="I151" s="49">
        <f t="shared" si="15"/>
        <v>2.0686071942098199</v>
      </c>
      <c r="J151" s="49">
        <f t="shared" si="16"/>
        <v>0</v>
      </c>
      <c r="K151" s="49">
        <f t="shared" si="17"/>
        <v>22.453812786215721</v>
      </c>
      <c r="L151" s="49">
        <f t="shared" si="18"/>
        <v>5.3551793719263774</v>
      </c>
      <c r="T151" s="49">
        <f>(100*('GA Arroyo'!AO151-E151))/E151</f>
        <v>34.334178202378638</v>
      </c>
      <c r="U151" s="49">
        <f>(100*('GA Arroyo'!AR151-E151))/E151</f>
        <v>5.3341437959469271</v>
      </c>
      <c r="V151" s="49">
        <f>(100*('GA Arroyo'!AU151-E151))/E151</f>
        <v>0</v>
      </c>
      <c r="W151" s="49">
        <f>(100*('GA Arroyo'!AX151-E151))/E151</f>
        <v>0.73744451962888191</v>
      </c>
    </row>
    <row r="152" spans="2:23" ht="15" customHeight="1">
      <c r="B152">
        <f>MIN('GA Arroyo'!B152,'GA Arroyo'!E152,'GA Arroyo'!H152,'GA Arroyo'!K152)</f>
        <v>10776.6</v>
      </c>
      <c r="C152">
        <f>MIN('GA Arroyo'!O152, 'GA Arroyo'!R152, 'GA Arroyo'!U152, 'GA Arroyo'!X152)</f>
        <v>10463.200000000001</v>
      </c>
      <c r="D152">
        <f>MIN('GA Arroyo'!AB152, 'GA Arroyo'!AE152, 'GA Arroyo'!AH152, 'GA Arroyo'!AK152)</f>
        <v>11792.2</v>
      </c>
      <c r="E152">
        <f>MIN('GA Arroyo'!AO152, 'GA Arroyo'!AR152, 'GA Arroyo'!AU152, 'GA Arroyo'!AX152)</f>
        <v>10510.8</v>
      </c>
      <c r="G152" s="45">
        <f t="shared" si="14"/>
        <v>10463.200000000001</v>
      </c>
      <c r="I152" s="49">
        <f t="shared" si="15"/>
        <v>2.9952595764202119</v>
      </c>
      <c r="J152" s="49">
        <f t="shared" si="16"/>
        <v>0</v>
      </c>
      <c r="K152" s="49">
        <f t="shared" si="17"/>
        <v>12.701659148252924</v>
      </c>
      <c r="L152" s="49">
        <f t="shared" si="18"/>
        <v>0.45492774676961678</v>
      </c>
      <c r="T152" s="49">
        <f>(100*('GA Arroyo'!AO152-E152))/E152</f>
        <v>8.6615671499790832</v>
      </c>
      <c r="U152" s="49">
        <f>(100*('GA Arroyo'!AR152-E152))/E152</f>
        <v>0</v>
      </c>
      <c r="V152" s="49">
        <f>(100*('GA Arroyo'!AU152-E152))/E152</f>
        <v>10.655706511397801</v>
      </c>
      <c r="W152" s="49">
        <f>(100*('GA Arroyo'!AX152-E152))/E152</f>
        <v>0</v>
      </c>
    </row>
    <row r="153" spans="2:23" ht="15" customHeight="1">
      <c r="B153">
        <f>MIN('GA Arroyo'!B153,'GA Arroyo'!E153,'GA Arroyo'!H153,'GA Arroyo'!K153)</f>
        <v>9710</v>
      </c>
      <c r="C153">
        <f>MIN('GA Arroyo'!O153, 'GA Arroyo'!R153, 'GA Arroyo'!U153, 'GA Arroyo'!X153)</f>
        <v>9948.2000000000007</v>
      </c>
      <c r="D153">
        <f>MIN('GA Arroyo'!AB153, 'GA Arroyo'!AE153, 'GA Arroyo'!AH153, 'GA Arroyo'!AK153)</f>
        <v>10579.8</v>
      </c>
      <c r="E153">
        <f>MIN('GA Arroyo'!AO153, 'GA Arroyo'!AR153, 'GA Arroyo'!AU153, 'GA Arroyo'!AX153)</f>
        <v>9877.5</v>
      </c>
      <c r="G153" s="45">
        <f t="shared" si="14"/>
        <v>9710</v>
      </c>
      <c r="I153" s="49">
        <f t="shared" si="15"/>
        <v>0</v>
      </c>
      <c r="J153" s="49">
        <f t="shared" si="16"/>
        <v>2.4531410916580918</v>
      </c>
      <c r="K153" s="49">
        <f t="shared" si="17"/>
        <v>8.9577754891863979</v>
      </c>
      <c r="L153" s="49">
        <f t="shared" si="18"/>
        <v>1.7250257466529351</v>
      </c>
      <c r="T153" s="49">
        <f>(100*('GA Arroyo'!AO153-E153))/E153</f>
        <v>4.6631232599341974</v>
      </c>
      <c r="U153" s="49">
        <f>(100*('GA Arroyo'!AR153-E153))/E153</f>
        <v>0</v>
      </c>
      <c r="V153" s="49">
        <f>(100*('GA Arroyo'!AU153-E153))/E153</f>
        <v>3.6051632498101784</v>
      </c>
      <c r="W153" s="49">
        <f>(100*('GA Arroyo'!AX153-E153))/E153</f>
        <v>3.6051632498101784</v>
      </c>
    </row>
    <row r="154" spans="2:23" ht="15" customHeight="1">
      <c r="B154">
        <f>MIN('GA Arroyo'!B154,'GA Arroyo'!E154,'GA Arroyo'!H154,'GA Arroyo'!K154)</f>
        <v>9255.6</v>
      </c>
      <c r="C154">
        <f>MIN('GA Arroyo'!O154, 'GA Arroyo'!R154, 'GA Arroyo'!U154, 'GA Arroyo'!X154)</f>
        <v>9255.6</v>
      </c>
      <c r="D154">
        <f>MIN('GA Arroyo'!AB154, 'GA Arroyo'!AE154, 'GA Arroyo'!AH154, 'GA Arroyo'!AK154)</f>
        <v>10470.9</v>
      </c>
      <c r="E154">
        <f>MIN('GA Arroyo'!AO154, 'GA Arroyo'!AR154, 'GA Arroyo'!AU154, 'GA Arroyo'!AX154)</f>
        <v>9303.2000000000007</v>
      </c>
      <c r="G154" s="45">
        <f t="shared" si="14"/>
        <v>9255.6</v>
      </c>
      <c r="I154" s="49">
        <f t="shared" si="15"/>
        <v>0</v>
      </c>
      <c r="J154" s="49">
        <f t="shared" si="16"/>
        <v>0</v>
      </c>
      <c r="K154" s="49">
        <f t="shared" si="17"/>
        <v>13.130429145598333</v>
      </c>
      <c r="L154" s="49">
        <f t="shared" si="18"/>
        <v>0.51428324473832454</v>
      </c>
      <c r="T154" s="49">
        <f>(100*('GA Arroyo'!AO154-E154))/E154</f>
        <v>0</v>
      </c>
      <c r="U154" s="49">
        <f>(100*('GA Arroyo'!AR154-E154))/E154</f>
        <v>0</v>
      </c>
      <c r="V154" s="49">
        <f>(100*('GA Arroyo'!AU154-E154))/E154</f>
        <v>5.2207842462808376</v>
      </c>
      <c r="W154" s="49">
        <f>(100*('GA Arroyo'!AX154-E154))/E154</f>
        <v>0</v>
      </c>
    </row>
    <row r="155" spans="2:23" ht="15" customHeight="1">
      <c r="B155">
        <f>MIN('GA Arroyo'!B155,'GA Arroyo'!E155,'GA Arroyo'!H155,'GA Arroyo'!K155)</f>
        <v>8006.6</v>
      </c>
      <c r="C155">
        <f>MIN('GA Arroyo'!O155, 'GA Arroyo'!R155, 'GA Arroyo'!U155, 'GA Arroyo'!X155)</f>
        <v>8062.6</v>
      </c>
      <c r="D155">
        <f>MIN('GA Arroyo'!AB155, 'GA Arroyo'!AE155, 'GA Arroyo'!AH155, 'GA Arroyo'!AK155)</f>
        <v>8273.4</v>
      </c>
      <c r="E155">
        <f>MIN('GA Arroyo'!AO155, 'GA Arroyo'!AR155, 'GA Arroyo'!AU155, 'GA Arroyo'!AX155)</f>
        <v>8160.1</v>
      </c>
      <c r="G155" s="45">
        <f t="shared" si="14"/>
        <v>8006.6</v>
      </c>
      <c r="I155" s="49">
        <f t="shared" si="15"/>
        <v>0</v>
      </c>
      <c r="J155" s="49">
        <f t="shared" si="16"/>
        <v>0.699422976044763</v>
      </c>
      <c r="K155" s="49">
        <f t="shared" si="17"/>
        <v>3.3322508930132546</v>
      </c>
      <c r="L155" s="49">
        <f t="shared" si="18"/>
        <v>1.9171683361226988</v>
      </c>
      <c r="T155" s="49">
        <f>(100*('GA Arroyo'!AO155-E155))/E155</f>
        <v>0</v>
      </c>
      <c r="U155" s="49">
        <f>(100*('GA Arroyo'!AR155-E155))/E155</f>
        <v>5.4901287974412076</v>
      </c>
      <c r="V155" s="49">
        <f>(100*('GA Arroyo'!AU155-E155))/E155</f>
        <v>2.6580556610825803</v>
      </c>
      <c r="W155" s="49">
        <f>(100*('GA Arroyo'!AX155-E155))/E155</f>
        <v>2.6580556610825803</v>
      </c>
    </row>
    <row r="156" spans="2:23" ht="15" customHeight="1">
      <c r="B156">
        <f>MIN('GA Arroyo'!B156,'GA Arroyo'!E156,'GA Arroyo'!H156,'GA Arroyo'!K156)</f>
        <v>12330.8</v>
      </c>
      <c r="C156">
        <f>MIN('GA Arroyo'!O156, 'GA Arroyo'!R156, 'GA Arroyo'!U156, 'GA Arroyo'!X156)</f>
        <v>12266.8</v>
      </c>
      <c r="D156">
        <f>MIN('GA Arroyo'!AB156, 'GA Arroyo'!AE156, 'GA Arroyo'!AH156, 'GA Arroyo'!AK156)</f>
        <v>12386.8</v>
      </c>
      <c r="E156">
        <f>MIN('GA Arroyo'!AO156, 'GA Arroyo'!AR156, 'GA Arroyo'!AU156, 'GA Arroyo'!AX156)</f>
        <v>12397.7</v>
      </c>
      <c r="G156" s="45">
        <f t="shared" si="14"/>
        <v>12266.8</v>
      </c>
      <c r="I156" s="49">
        <f t="shared" si="15"/>
        <v>0.52173345941891935</v>
      </c>
      <c r="J156" s="49">
        <f t="shared" si="16"/>
        <v>0</v>
      </c>
      <c r="K156" s="49">
        <f t="shared" si="17"/>
        <v>0.97825023641047382</v>
      </c>
      <c r="L156" s="49">
        <f t="shared" si="18"/>
        <v>1.0671079662177705</v>
      </c>
      <c r="T156" s="49">
        <f>(100*('GA Arroyo'!AO156-E156))/E156</f>
        <v>2.5085298079482485</v>
      </c>
      <c r="U156" s="49">
        <f>(100*('GA Arroyo'!AR156-E156))/E156</f>
        <v>0</v>
      </c>
      <c r="V156" s="49">
        <f>(100*('GA Arroyo'!AU156-E156))/E156</f>
        <v>9.195253958395215E-2</v>
      </c>
      <c r="W156" s="49">
        <f>(100*('GA Arroyo'!AX156-E156))/E156</f>
        <v>0.15648063753760483</v>
      </c>
    </row>
    <row r="157" spans="2:23" ht="15" customHeight="1">
      <c r="B157">
        <f>MIN('GA Arroyo'!B157,'GA Arroyo'!E157,'GA Arroyo'!H157,'GA Arroyo'!K157)</f>
        <v>8658.2999999999993</v>
      </c>
      <c r="C157">
        <f>MIN('GA Arroyo'!O157, 'GA Arroyo'!R157, 'GA Arroyo'!U157, 'GA Arroyo'!X157)</f>
        <v>8686.1</v>
      </c>
      <c r="D157">
        <f>MIN('GA Arroyo'!AB157, 'GA Arroyo'!AE157, 'GA Arroyo'!AH157, 'GA Arroyo'!AK157)</f>
        <v>9778.6</v>
      </c>
      <c r="E157">
        <f>MIN('GA Arroyo'!AO157, 'GA Arroyo'!AR157, 'GA Arroyo'!AU157, 'GA Arroyo'!AX157)</f>
        <v>9345.5</v>
      </c>
      <c r="G157" s="45">
        <f t="shared" si="14"/>
        <v>8658.2999999999993</v>
      </c>
      <c r="I157" s="49">
        <f t="shared" si="15"/>
        <v>0</v>
      </c>
      <c r="J157" s="49">
        <f t="shared" si="16"/>
        <v>0.32107919568507781</v>
      </c>
      <c r="K157" s="49">
        <f t="shared" si="17"/>
        <v>12.939029601653919</v>
      </c>
      <c r="L157" s="49">
        <f t="shared" si="18"/>
        <v>7.9368929235531311</v>
      </c>
      <c r="T157" s="49">
        <f>(100*('GA Arroyo'!AO157-E157))/E157</f>
        <v>0</v>
      </c>
      <c r="U157" s="49">
        <f>(100*('GA Arroyo'!AR157-E157))/E157</f>
        <v>2.0234337381627561</v>
      </c>
      <c r="V157" s="49">
        <f>(100*('GA Arroyo'!AU157-E157))/E157</f>
        <v>40.613129313573374</v>
      </c>
      <c r="W157" s="49">
        <f>(100*('GA Arroyo'!AX157-E157))/E157</f>
        <v>34.749344604355038</v>
      </c>
    </row>
    <row r="158" spans="2:23" ht="15" customHeight="1">
      <c r="B158">
        <f>MIN('GA Arroyo'!B158,'GA Arroyo'!E158,'GA Arroyo'!H158,'GA Arroyo'!K158)</f>
        <v>13801.7</v>
      </c>
      <c r="C158">
        <f>MIN('GA Arroyo'!O158, 'GA Arroyo'!R158, 'GA Arroyo'!U158, 'GA Arroyo'!X158)</f>
        <v>13921.7</v>
      </c>
      <c r="D158">
        <f>MIN('GA Arroyo'!AB158, 'GA Arroyo'!AE158, 'GA Arroyo'!AH158, 'GA Arroyo'!AK158)</f>
        <v>15102.3</v>
      </c>
      <c r="E158">
        <f>MIN('GA Arroyo'!AO158, 'GA Arroyo'!AR158, 'GA Arroyo'!AU158, 'GA Arroyo'!AX158)</f>
        <v>14563.9</v>
      </c>
      <c r="G158" s="45">
        <f t="shared" si="14"/>
        <v>13801.7</v>
      </c>
      <c r="I158" s="49">
        <f t="shared" si="15"/>
        <v>0</v>
      </c>
      <c r="J158" s="49">
        <f t="shared" si="16"/>
        <v>0.8694581102327974</v>
      </c>
      <c r="K158" s="49">
        <f t="shared" si="17"/>
        <v>9.4234768180731248</v>
      </c>
      <c r="L158" s="49">
        <f t="shared" si="18"/>
        <v>5.5225080968286431</v>
      </c>
      <c r="T158" s="49">
        <f>(100*('GA Arroyo'!AO158-E158))/E158</f>
        <v>4.2461153949148214</v>
      </c>
      <c r="U158" s="49">
        <f>(100*('GA Arroyo'!AR158-E158))/E158</f>
        <v>0</v>
      </c>
      <c r="V158" s="49">
        <f>(100*('GA Arroyo'!AU158-E158))/E158</f>
        <v>6.4488220874903064</v>
      </c>
      <c r="W158" s="49">
        <f>(100*('GA Arroyo'!AX158-E158))/E158</f>
        <v>0</v>
      </c>
    </row>
    <row r="159" spans="2:23" ht="15" customHeight="1">
      <c r="B159">
        <f>MIN('GA Arroyo'!B159,'GA Arroyo'!E159,'GA Arroyo'!H159,'GA Arroyo'!K159)</f>
        <v>10541.8</v>
      </c>
      <c r="C159">
        <f>MIN('GA Arroyo'!O159, 'GA Arroyo'!R159, 'GA Arroyo'!U159, 'GA Arroyo'!X159)</f>
        <v>10655.4</v>
      </c>
      <c r="D159">
        <f>MIN('GA Arroyo'!AB159, 'GA Arroyo'!AE159, 'GA Arroyo'!AH159, 'GA Arroyo'!AK159)</f>
        <v>10655.4</v>
      </c>
      <c r="E159">
        <f>MIN('GA Arroyo'!AO159, 'GA Arroyo'!AR159, 'GA Arroyo'!AU159, 'GA Arroyo'!AX159)</f>
        <v>10655.4</v>
      </c>
      <c r="G159" s="45">
        <f t="shared" si="14"/>
        <v>10541.8</v>
      </c>
      <c r="I159" s="49">
        <f t="shared" si="15"/>
        <v>0</v>
      </c>
      <c r="J159" s="49">
        <f t="shared" si="16"/>
        <v>1.0776148285871519</v>
      </c>
      <c r="K159" s="49">
        <f t="shared" si="17"/>
        <v>1.0776148285871519</v>
      </c>
      <c r="L159" s="49">
        <f t="shared" si="18"/>
        <v>1.0776148285871519</v>
      </c>
      <c r="T159" s="49">
        <f>(100*('GA Arroyo'!AO159-E159))/E159</f>
        <v>3.7539651256639828E-2</v>
      </c>
      <c r="U159" s="49">
        <f>(100*('GA Arroyo'!AR159-E159))/E159</f>
        <v>0</v>
      </c>
      <c r="V159" s="49">
        <f>(100*('GA Arroyo'!AU159-E159))/E159</f>
        <v>0</v>
      </c>
      <c r="W159" s="49">
        <f>(100*('GA Arroyo'!AX159-E159))/E159</f>
        <v>2.8004579837453276</v>
      </c>
    </row>
    <row r="160" spans="2:23" ht="15" customHeight="1">
      <c r="B160">
        <f>MIN('GA Arroyo'!B160,'GA Arroyo'!E160,'GA Arroyo'!H160,'GA Arroyo'!K160)</f>
        <v>9862.7000000000007</v>
      </c>
      <c r="C160">
        <f>MIN('GA Arroyo'!O160, 'GA Arroyo'!R160, 'GA Arroyo'!U160, 'GA Arroyo'!X160)</f>
        <v>10123.6</v>
      </c>
      <c r="D160">
        <f>MIN('GA Arroyo'!AB160, 'GA Arroyo'!AE160, 'GA Arroyo'!AH160, 'GA Arroyo'!AK160)</f>
        <v>10505.9</v>
      </c>
      <c r="E160">
        <f>MIN('GA Arroyo'!AO160, 'GA Arroyo'!AR160, 'GA Arroyo'!AU160, 'GA Arroyo'!AX160)</f>
        <v>9934.7000000000007</v>
      </c>
      <c r="G160" s="45">
        <f t="shared" si="14"/>
        <v>9862.7000000000007</v>
      </c>
      <c r="I160" s="49">
        <f t="shared" si="15"/>
        <v>0</v>
      </c>
      <c r="J160" s="49">
        <f t="shared" si="16"/>
        <v>2.6453202469911852</v>
      </c>
      <c r="K160" s="49">
        <f t="shared" si="17"/>
        <v>6.5215407545600987</v>
      </c>
      <c r="L160" s="49">
        <f t="shared" si="18"/>
        <v>0.73002321879404219</v>
      </c>
      <c r="T160" s="49">
        <f>(100*('GA Arroyo'!AO160-E160))/E160</f>
        <v>4.5356175828157719</v>
      </c>
      <c r="U160" s="49">
        <f>(100*('GA Arroyo'!AR160-E160))/E160</f>
        <v>5.0952721269892285</v>
      </c>
      <c r="V160" s="49">
        <f>(100*('GA Arroyo'!AU160-E160))/E160</f>
        <v>0</v>
      </c>
      <c r="W160" s="49">
        <f>(100*('GA Arroyo'!AX160-E160))/E160</f>
        <v>3.4112756298630016</v>
      </c>
    </row>
    <row r="161" spans="2:23" ht="15" customHeight="1">
      <c r="B161">
        <f>MIN('GA Arroyo'!B161,'GA Arroyo'!E161,'GA Arroyo'!H161,'GA Arroyo'!K161)</f>
        <v>9473.2999999999993</v>
      </c>
      <c r="C161">
        <f>MIN('GA Arroyo'!O161, 'GA Arroyo'!R161, 'GA Arroyo'!U161, 'GA Arroyo'!X161)</f>
        <v>9473.2999999999993</v>
      </c>
      <c r="D161">
        <f>MIN('GA Arroyo'!AB161, 'GA Arroyo'!AE161, 'GA Arroyo'!AH161, 'GA Arroyo'!AK161)</f>
        <v>10521.3</v>
      </c>
      <c r="E161">
        <f>MIN('GA Arroyo'!AO161, 'GA Arroyo'!AR161, 'GA Arroyo'!AU161, 'GA Arroyo'!AX161)</f>
        <v>9473.2999999999993</v>
      </c>
      <c r="G161" s="45">
        <f t="shared" si="14"/>
        <v>9473.2999999999993</v>
      </c>
      <c r="I161" s="49">
        <f t="shared" si="15"/>
        <v>0</v>
      </c>
      <c r="J161" s="49">
        <f t="shared" si="16"/>
        <v>0</v>
      </c>
      <c r="K161" s="49">
        <f t="shared" si="17"/>
        <v>11.062670874985486</v>
      </c>
      <c r="L161" s="49">
        <f t="shared" si="18"/>
        <v>0</v>
      </c>
      <c r="T161" s="49">
        <f>(100*('GA Arroyo'!AO161-E161))/E161</f>
        <v>8.995809274487252</v>
      </c>
      <c r="U161" s="49">
        <f>(100*('GA Arroyo'!AR161-E161))/E161</f>
        <v>8.995809274487252</v>
      </c>
      <c r="V161" s="49">
        <f>(100*('GA Arroyo'!AU161-E161))/E161</f>
        <v>0.59113508492288858</v>
      </c>
      <c r="W161" s="49">
        <f>(100*('GA Arroyo'!AX161-E161))/E161</f>
        <v>0</v>
      </c>
    </row>
    <row r="162" spans="2:23" ht="15" customHeight="1">
      <c r="B162">
        <f>MIN('GA Arroyo'!B162,'GA Arroyo'!E162,'GA Arroyo'!H162,'GA Arroyo'!K162)</f>
        <v>10845.3</v>
      </c>
      <c r="C162">
        <f>MIN('GA Arroyo'!O162, 'GA Arroyo'!R162, 'GA Arroyo'!U162, 'GA Arroyo'!X162)</f>
        <v>10834.8</v>
      </c>
      <c r="D162">
        <f>MIN('GA Arroyo'!AB162, 'GA Arroyo'!AE162, 'GA Arroyo'!AH162, 'GA Arroyo'!AK162)</f>
        <v>11472.4</v>
      </c>
      <c r="E162">
        <f>MIN('GA Arroyo'!AO162, 'GA Arroyo'!AR162, 'GA Arroyo'!AU162, 'GA Arroyo'!AX162)</f>
        <v>10850.8</v>
      </c>
      <c r="G162" s="45">
        <f t="shared" si="14"/>
        <v>10834.8</v>
      </c>
      <c r="I162" s="49">
        <f t="shared" si="15"/>
        <v>9.6909956805847824E-2</v>
      </c>
      <c r="J162" s="49">
        <f t="shared" si="16"/>
        <v>0</v>
      </c>
      <c r="K162" s="49">
        <f t="shared" si="17"/>
        <v>5.8847417580389152</v>
      </c>
      <c r="L162" s="49">
        <f t="shared" si="18"/>
        <v>0.1476723151327205</v>
      </c>
      <c r="T162" s="49">
        <f>(100*('GA Arroyo'!AO162-E162))/E162</f>
        <v>5.8852803479927784</v>
      </c>
      <c r="U162" s="49">
        <f>(100*('GA Arroyo'!AR162-E162))/E162</f>
        <v>4.0973937405536951</v>
      </c>
      <c r="V162" s="49">
        <f>(100*('GA Arroyo'!AU162-E162))/E162</f>
        <v>0</v>
      </c>
      <c r="W162" s="49">
        <f>(100*('GA Arroyo'!AX162-E162))/E162</f>
        <v>0</v>
      </c>
    </row>
    <row r="163" spans="2:23" ht="15" customHeight="1">
      <c r="B163">
        <f>MIN('GA Arroyo'!B163,'GA Arroyo'!E163,'GA Arroyo'!H163,'GA Arroyo'!K163)</f>
        <v>8620.2999999999993</v>
      </c>
      <c r="C163">
        <f>MIN('GA Arroyo'!O163, 'GA Arroyo'!R163, 'GA Arroyo'!U163, 'GA Arroyo'!X163)</f>
        <v>8636.2999999999993</v>
      </c>
      <c r="D163">
        <f>MIN('GA Arroyo'!AB163, 'GA Arroyo'!AE163, 'GA Arroyo'!AH163, 'GA Arroyo'!AK163)</f>
        <v>9556</v>
      </c>
      <c r="E163">
        <f>MIN('GA Arroyo'!AO163, 'GA Arroyo'!AR163, 'GA Arroyo'!AU163, 'GA Arroyo'!AX163)</f>
        <v>8620.2999999999993</v>
      </c>
      <c r="G163" s="45">
        <f t="shared" si="14"/>
        <v>8620.2999999999993</v>
      </c>
      <c r="I163" s="49">
        <f t="shared" si="15"/>
        <v>0</v>
      </c>
      <c r="J163" s="49">
        <f t="shared" si="16"/>
        <v>0.18560838949920538</v>
      </c>
      <c r="K163" s="49">
        <f t="shared" si="17"/>
        <v>10.854610628400414</v>
      </c>
      <c r="L163" s="49">
        <f t="shared" si="18"/>
        <v>0</v>
      </c>
      <c r="T163" s="49">
        <f>(100*('GA Arroyo'!AO163-E163))/E163</f>
        <v>0</v>
      </c>
      <c r="U163" s="49">
        <f>(100*('GA Arroyo'!AR163-E163))/E163</f>
        <v>7.324571070612409</v>
      </c>
      <c r="V163" s="49">
        <f>(100*('GA Arroyo'!AU163-E163))/E163</f>
        <v>1.7830005916267502</v>
      </c>
      <c r="W163" s="49">
        <f>(100*('GA Arroyo'!AX163-E163))/E163</f>
        <v>5.3571221419208284</v>
      </c>
    </row>
    <row r="164" spans="2:23" ht="15" customHeight="1">
      <c r="B164">
        <f>MIN('GA Arroyo'!B164,'GA Arroyo'!E164,'GA Arroyo'!H164,'GA Arroyo'!K164)</f>
        <v>11215.9</v>
      </c>
      <c r="C164">
        <f>MIN('GA Arroyo'!O164, 'GA Arroyo'!R164, 'GA Arroyo'!U164, 'GA Arroyo'!X164)</f>
        <v>11215.9</v>
      </c>
      <c r="D164">
        <f>MIN('GA Arroyo'!AB164, 'GA Arroyo'!AE164, 'GA Arroyo'!AH164, 'GA Arroyo'!AK164)</f>
        <v>11998.9</v>
      </c>
      <c r="E164">
        <f>MIN('GA Arroyo'!AO164, 'GA Arroyo'!AR164, 'GA Arroyo'!AU164, 'GA Arroyo'!AX164)</f>
        <v>11215.9</v>
      </c>
      <c r="G164" s="45">
        <f t="shared" si="14"/>
        <v>11215.9</v>
      </c>
      <c r="I164" s="49">
        <f t="shared" si="15"/>
        <v>0</v>
      </c>
      <c r="J164" s="49">
        <f t="shared" si="16"/>
        <v>0</v>
      </c>
      <c r="K164" s="49">
        <f t="shared" si="17"/>
        <v>6.9811606736864631</v>
      </c>
      <c r="L164" s="49">
        <f t="shared" si="18"/>
        <v>0</v>
      </c>
      <c r="T164" s="49">
        <f>(100*('GA Arroyo'!AO164-E164))/E164</f>
        <v>2.6801237528865305</v>
      </c>
      <c r="U164" s="49">
        <f>(100*('GA Arroyo'!AR164-E164))/E164</f>
        <v>0</v>
      </c>
      <c r="V164" s="49">
        <f>(100*('GA Arroyo'!AU164-E164))/E164</f>
        <v>0</v>
      </c>
      <c r="W164" s="49">
        <f>(100*('GA Arroyo'!AX164-E164))/E164</f>
        <v>0</v>
      </c>
    </row>
    <row r="165" spans="2:23" ht="15" customHeight="1">
      <c r="B165">
        <f>MIN('GA Arroyo'!B165,'GA Arroyo'!E165,'GA Arroyo'!H165,'GA Arroyo'!K165)</f>
        <v>9184.2999999999993</v>
      </c>
      <c r="C165">
        <f>MIN('GA Arroyo'!O165, 'GA Arroyo'!R165, 'GA Arroyo'!U165, 'GA Arroyo'!X165)</f>
        <v>9623.7000000000007</v>
      </c>
      <c r="D165">
        <f>MIN('GA Arroyo'!AB165, 'GA Arroyo'!AE165, 'GA Arroyo'!AH165, 'GA Arroyo'!AK165)</f>
        <v>10289.700000000001</v>
      </c>
      <c r="E165">
        <f>MIN('GA Arroyo'!AO165, 'GA Arroyo'!AR165, 'GA Arroyo'!AU165, 'GA Arroyo'!AX165)</f>
        <v>9473.7999999999993</v>
      </c>
      <c r="G165" s="45">
        <f t="shared" si="14"/>
        <v>9184.2999999999993</v>
      </c>
      <c r="I165" s="49">
        <f t="shared" si="15"/>
        <v>0</v>
      </c>
      <c r="J165" s="49">
        <f t="shared" si="16"/>
        <v>4.7842513855166047</v>
      </c>
      <c r="K165" s="49">
        <f t="shared" si="17"/>
        <v>12.035756671711525</v>
      </c>
      <c r="L165" s="49">
        <f t="shared" si="18"/>
        <v>3.1521182888189632</v>
      </c>
      <c r="T165" s="49">
        <f>(100*('GA Arroyo'!AO165-E165))/E165</f>
        <v>0.61643691021555724</v>
      </c>
      <c r="U165" s="49">
        <f>(100*('GA Arroyo'!AR165-E165))/E165</f>
        <v>7.5946293989740132</v>
      </c>
      <c r="V165" s="49">
        <f>(100*('GA Arroyo'!AU165-E165))/E165</f>
        <v>0</v>
      </c>
      <c r="W165" s="49">
        <f>(100*('GA Arroyo'!AX165-E165))/E165</f>
        <v>0</v>
      </c>
    </row>
    <row r="166" spans="2:23" ht="15" customHeight="1">
      <c r="B166">
        <f>MIN('GA Arroyo'!B166,'GA Arroyo'!E166,'GA Arroyo'!H166,'GA Arroyo'!K166)</f>
        <v>9989.1</v>
      </c>
      <c r="C166">
        <f>MIN('GA Arroyo'!O166, 'GA Arroyo'!R166, 'GA Arroyo'!U166, 'GA Arroyo'!X166)</f>
        <v>9991</v>
      </c>
      <c r="D166">
        <f>MIN('GA Arroyo'!AB166, 'GA Arroyo'!AE166, 'GA Arroyo'!AH166, 'GA Arroyo'!AK166)</f>
        <v>10568.5</v>
      </c>
      <c r="E166">
        <f>MIN('GA Arroyo'!AO166, 'GA Arroyo'!AR166, 'GA Arroyo'!AU166, 'GA Arroyo'!AX166)</f>
        <v>9957.1</v>
      </c>
      <c r="G166" s="45">
        <f t="shared" si="14"/>
        <v>9957.1</v>
      </c>
      <c r="I166" s="49">
        <f t="shared" si="15"/>
        <v>0.32137871468600293</v>
      </c>
      <c r="J166" s="49">
        <f t="shared" si="16"/>
        <v>0.34046057587048073</v>
      </c>
      <c r="K166" s="49">
        <f t="shared" si="17"/>
        <v>6.1403420674694402</v>
      </c>
      <c r="L166" s="49">
        <f t="shared" si="18"/>
        <v>0</v>
      </c>
      <c r="T166" s="49">
        <f>(100*('GA Arroyo'!AO166-E166))/E166</f>
        <v>5.0325898102861313</v>
      </c>
      <c r="U166" s="49">
        <f>(100*('GA Arroyo'!AR166-E166))/E166</f>
        <v>0.34046057587048073</v>
      </c>
      <c r="V166" s="49">
        <f>(100*('GA Arroyo'!AU166-E166))/E166</f>
        <v>2.6343011519418229</v>
      </c>
      <c r="W166" s="49">
        <f>(100*('GA Arroyo'!AX166-E166))/E166</f>
        <v>0</v>
      </c>
    </row>
    <row r="167" spans="2:23" ht="15" customHeight="1">
      <c r="B167">
        <f>MIN('GA Arroyo'!B167,'GA Arroyo'!E167,'GA Arroyo'!H167,'GA Arroyo'!K167)</f>
        <v>8426</v>
      </c>
      <c r="C167">
        <f>MIN('GA Arroyo'!O167, 'GA Arroyo'!R167, 'GA Arroyo'!U167, 'GA Arroyo'!X167)</f>
        <v>8262.7999999999993</v>
      </c>
      <c r="D167">
        <f>MIN('GA Arroyo'!AB167, 'GA Arroyo'!AE167, 'GA Arroyo'!AH167, 'GA Arroyo'!AK167)</f>
        <v>8825.5</v>
      </c>
      <c r="E167">
        <f>MIN('GA Arroyo'!AO167, 'GA Arroyo'!AR167, 'GA Arroyo'!AU167, 'GA Arroyo'!AX167)</f>
        <v>8426</v>
      </c>
      <c r="G167" s="45">
        <f t="shared" si="14"/>
        <v>8262.7999999999993</v>
      </c>
      <c r="I167" s="49">
        <f t="shared" si="15"/>
        <v>1.9751173936196051</v>
      </c>
      <c r="J167" s="49">
        <f t="shared" si="16"/>
        <v>0</v>
      </c>
      <c r="K167" s="49">
        <f t="shared" si="17"/>
        <v>6.8100401800842425</v>
      </c>
      <c r="L167" s="49">
        <f t="shared" si="18"/>
        <v>1.9751173936196051</v>
      </c>
      <c r="T167" s="49">
        <f>(100*('GA Arroyo'!AO167-E167))/E167</f>
        <v>0</v>
      </c>
      <c r="U167" s="49">
        <f>(100*('GA Arroyo'!AR167-E167))/E167</f>
        <v>0</v>
      </c>
      <c r="V167" s="49">
        <f>(100*('GA Arroyo'!AU167-E167))/E167</f>
        <v>8.206741039639212</v>
      </c>
      <c r="W167" s="49">
        <f>(100*('GA Arroyo'!AX167-E167))/E167</f>
        <v>4.3781153572276246</v>
      </c>
    </row>
    <row r="168" spans="2:23" ht="15" customHeight="1">
      <c r="B168">
        <f>MIN('GA Arroyo'!B168,'GA Arroyo'!E168,'GA Arroyo'!H168,'GA Arroyo'!K168)</f>
        <v>9474</v>
      </c>
      <c r="C168">
        <f>MIN('GA Arroyo'!O168, 'GA Arroyo'!R168, 'GA Arroyo'!U168, 'GA Arroyo'!X168)</f>
        <v>9434</v>
      </c>
      <c r="D168">
        <f>MIN('GA Arroyo'!AB168, 'GA Arroyo'!AE168, 'GA Arroyo'!AH168, 'GA Arroyo'!AK168)</f>
        <v>9866.6</v>
      </c>
      <c r="E168">
        <f>MIN('GA Arroyo'!AO168, 'GA Arroyo'!AR168, 'GA Arroyo'!AU168, 'GA Arroyo'!AX168)</f>
        <v>10024</v>
      </c>
      <c r="G168" s="45">
        <f t="shared" si="14"/>
        <v>9434</v>
      </c>
      <c r="I168" s="49">
        <f t="shared" si="15"/>
        <v>0.42399830400678395</v>
      </c>
      <c r="J168" s="49">
        <f t="shared" si="16"/>
        <v>0</v>
      </c>
      <c r="K168" s="49">
        <f t="shared" si="17"/>
        <v>4.5855416578333728</v>
      </c>
      <c r="L168" s="49">
        <f t="shared" si="18"/>
        <v>6.253974984100064</v>
      </c>
      <c r="T168" s="49">
        <f>(100*('GA Arroyo'!AO168-E168))/E168</f>
        <v>0.66241021548283752</v>
      </c>
      <c r="U168" s="49">
        <f>(100*('GA Arroyo'!AR168-E168))/E168</f>
        <v>2.5598563447725495</v>
      </c>
      <c r="V168" s="49">
        <f>(100*('GA Arroyo'!AU168-E168))/E168</f>
        <v>0.66241021548283752</v>
      </c>
      <c r="W168" s="49">
        <f>(100*('GA Arroyo'!AX168-E168))/E168</f>
        <v>0</v>
      </c>
    </row>
    <row r="169" spans="2:23" ht="15" customHeight="1">
      <c r="B169">
        <f>MIN('GA Arroyo'!B169,'GA Arroyo'!E169,'GA Arroyo'!H169,'GA Arroyo'!K169)</f>
        <v>8240.5</v>
      </c>
      <c r="C169">
        <f>MIN('GA Arroyo'!O169, 'GA Arroyo'!R169, 'GA Arroyo'!U169, 'GA Arroyo'!X169)</f>
        <v>8112.7</v>
      </c>
      <c r="D169">
        <f>MIN('GA Arroyo'!AB169, 'GA Arroyo'!AE169, 'GA Arroyo'!AH169, 'GA Arroyo'!AK169)</f>
        <v>8288.5</v>
      </c>
      <c r="E169">
        <f>MIN('GA Arroyo'!AO169, 'GA Arroyo'!AR169, 'GA Arroyo'!AU169, 'GA Arroyo'!AX169)</f>
        <v>8160.7</v>
      </c>
      <c r="G169" s="45">
        <f t="shared" si="14"/>
        <v>8112.7</v>
      </c>
      <c r="I169" s="49">
        <f t="shared" si="15"/>
        <v>1.5753078506539153</v>
      </c>
      <c r="J169" s="49">
        <f t="shared" si="16"/>
        <v>0</v>
      </c>
      <c r="K169" s="49">
        <f t="shared" si="17"/>
        <v>2.1669727710873099</v>
      </c>
      <c r="L169" s="49">
        <f t="shared" si="18"/>
        <v>0.59166492043339458</v>
      </c>
      <c r="T169" s="49">
        <f>(100*('GA Arroyo'!AO169-E169))/E169</f>
        <v>5.555895940299246</v>
      </c>
      <c r="U169" s="49">
        <f>(100*('GA Arroyo'!AR169-E169))/E169</f>
        <v>0.97785729165390445</v>
      </c>
      <c r="V169" s="49">
        <f>(100*('GA Arroyo'!AU169-E169))/E169</f>
        <v>0</v>
      </c>
      <c r="W169" s="49">
        <f>(100*('GA Arroyo'!AX169-E169))/E169</f>
        <v>2.6492825370372617</v>
      </c>
    </row>
    <row r="170" spans="2:23" ht="15" customHeight="1">
      <c r="B170">
        <f>MIN('GA Arroyo'!B170,'GA Arroyo'!E170,'GA Arroyo'!H170,'GA Arroyo'!K170)</f>
        <v>12630.8</v>
      </c>
      <c r="C170">
        <f>MIN('GA Arroyo'!O170, 'GA Arroyo'!R170, 'GA Arroyo'!U170, 'GA Arroyo'!X170)</f>
        <v>11954.8</v>
      </c>
      <c r="D170">
        <f>MIN('GA Arroyo'!AB170, 'GA Arroyo'!AE170, 'GA Arroyo'!AH170, 'GA Arroyo'!AK170)</f>
        <v>13247.3</v>
      </c>
      <c r="E170">
        <f>MIN('GA Arroyo'!AO170, 'GA Arroyo'!AR170, 'GA Arroyo'!AU170, 'GA Arroyo'!AX170)</f>
        <v>12710.8</v>
      </c>
      <c r="G170" s="45">
        <f t="shared" si="14"/>
        <v>11954.8</v>
      </c>
      <c r="I170" s="49">
        <f t="shared" si="15"/>
        <v>5.6546324488908226</v>
      </c>
      <c r="J170" s="49">
        <f t="shared" si="16"/>
        <v>0</v>
      </c>
      <c r="K170" s="49">
        <f t="shared" si="17"/>
        <v>10.811556864188443</v>
      </c>
      <c r="L170" s="49">
        <f t="shared" si="18"/>
        <v>6.323819720948908</v>
      </c>
      <c r="T170" s="49">
        <f>(100*('GA Arroyo'!AO170-E170))/E170</f>
        <v>6.3048745948327527</v>
      </c>
      <c r="U170" s="49">
        <f>(100*('GA Arroyo'!AR170-E170))/E170</f>
        <v>6.3615193378858947</v>
      </c>
      <c r="V170" s="49">
        <f>(100*('GA Arroyo'!AU170-E170))/E170</f>
        <v>5.7675362683702076</v>
      </c>
      <c r="W170" s="49">
        <f>(100*('GA Arroyo'!AX170-E170))/E170</f>
        <v>0</v>
      </c>
    </row>
    <row r="171" spans="2:23" ht="15" customHeight="1">
      <c r="B171">
        <f>MIN('GA Arroyo'!B171,'GA Arroyo'!E171,'GA Arroyo'!H171,'GA Arroyo'!K171)</f>
        <v>9167</v>
      </c>
      <c r="C171">
        <f>MIN('GA Arroyo'!O171, 'GA Arroyo'!R171, 'GA Arroyo'!U171, 'GA Arroyo'!X171)</f>
        <v>9550.7000000000007</v>
      </c>
      <c r="D171">
        <f>MIN('GA Arroyo'!AB171, 'GA Arroyo'!AE171, 'GA Arroyo'!AH171, 'GA Arroyo'!AK171)</f>
        <v>10205.6</v>
      </c>
      <c r="E171">
        <f>MIN('GA Arroyo'!AO171, 'GA Arroyo'!AR171, 'GA Arroyo'!AU171, 'GA Arroyo'!AX171)</f>
        <v>9550.7000000000007</v>
      </c>
      <c r="G171" s="45">
        <f t="shared" si="14"/>
        <v>9167</v>
      </c>
      <c r="I171" s="49">
        <f t="shared" si="15"/>
        <v>0</v>
      </c>
      <c r="J171" s="49">
        <f t="shared" si="16"/>
        <v>4.1856659757827064</v>
      </c>
      <c r="K171" s="49">
        <f t="shared" si="17"/>
        <v>11.329769826551765</v>
      </c>
      <c r="L171" s="49">
        <f t="shared" si="18"/>
        <v>4.1856659757827064</v>
      </c>
      <c r="T171" s="49">
        <f>(100*('GA Arroyo'!AO171-E171))/E171</f>
        <v>3.0228150816170425</v>
      </c>
      <c r="U171" s="49">
        <f>(100*('GA Arroyo'!AR171-E171))/E171</f>
        <v>0</v>
      </c>
      <c r="V171" s="49">
        <f>(100*('GA Arroyo'!AU171-E171))/E171</f>
        <v>0</v>
      </c>
      <c r="W171" s="49">
        <f>(100*('GA Arroyo'!AX171-E171))/E171</f>
        <v>0</v>
      </c>
    </row>
    <row r="172" spans="2:23" ht="15" customHeight="1">
      <c r="B172">
        <f>MIN('GA Arroyo'!B172,'GA Arroyo'!E172,'GA Arroyo'!H172,'GA Arroyo'!K172)</f>
        <v>11455.3</v>
      </c>
      <c r="C172">
        <f>MIN('GA Arroyo'!O172, 'GA Arroyo'!R172, 'GA Arroyo'!U172, 'GA Arroyo'!X172)</f>
        <v>11455.3</v>
      </c>
      <c r="D172">
        <f>MIN('GA Arroyo'!AB172, 'GA Arroyo'!AE172, 'GA Arroyo'!AH172, 'GA Arroyo'!AK172)</f>
        <v>12445.5</v>
      </c>
      <c r="E172">
        <f>MIN('GA Arroyo'!AO172, 'GA Arroyo'!AR172, 'GA Arroyo'!AU172, 'GA Arroyo'!AX172)</f>
        <v>12104.3</v>
      </c>
      <c r="G172" s="45">
        <f t="shared" si="14"/>
        <v>11455.3</v>
      </c>
      <c r="I172" s="49">
        <f t="shared" si="15"/>
        <v>0</v>
      </c>
      <c r="J172" s="49">
        <f t="shared" si="16"/>
        <v>0</v>
      </c>
      <c r="K172" s="49">
        <f t="shared" si="17"/>
        <v>8.6440337660297057</v>
      </c>
      <c r="L172" s="49">
        <f t="shared" si="18"/>
        <v>5.6654998123139508</v>
      </c>
      <c r="T172" s="49">
        <f>(100*('GA Arroyo'!AO172-E172))/E172</f>
        <v>0</v>
      </c>
      <c r="U172" s="49">
        <f>(100*('GA Arroyo'!AR172-E172))/E172</f>
        <v>0.92529101228489052</v>
      </c>
      <c r="V172" s="49">
        <f>(100*('GA Arroyo'!AU172-E172))/E172</f>
        <v>11.319944152078193</v>
      </c>
      <c r="W172" s="49">
        <f>(100*('GA Arroyo'!AX172-E172))/E172</f>
        <v>5.0775344299133396</v>
      </c>
    </row>
    <row r="173" spans="2:23" ht="15" customHeight="1">
      <c r="B173">
        <f>MIN('GA Arroyo'!B173,'GA Arroyo'!E173,'GA Arroyo'!H173,'GA Arroyo'!K173)</f>
        <v>14079.6</v>
      </c>
      <c r="C173">
        <f>MIN('GA Arroyo'!O173, 'GA Arroyo'!R173, 'GA Arroyo'!U173, 'GA Arroyo'!X173)</f>
        <v>14079.6</v>
      </c>
      <c r="D173">
        <f>MIN('GA Arroyo'!AB173, 'GA Arroyo'!AE173, 'GA Arroyo'!AH173, 'GA Arroyo'!AK173)</f>
        <v>14288.2</v>
      </c>
      <c r="E173">
        <f>MIN('GA Arroyo'!AO173, 'GA Arroyo'!AR173, 'GA Arroyo'!AU173, 'GA Arroyo'!AX173)</f>
        <v>14079.6</v>
      </c>
      <c r="G173" s="45">
        <f t="shared" si="14"/>
        <v>14079.6</v>
      </c>
      <c r="I173" s="49">
        <f t="shared" si="15"/>
        <v>0</v>
      </c>
      <c r="J173" s="49">
        <f t="shared" si="16"/>
        <v>0</v>
      </c>
      <c r="K173" s="49">
        <f t="shared" si="17"/>
        <v>1.4815761811415122</v>
      </c>
      <c r="L173" s="49">
        <f t="shared" si="18"/>
        <v>0</v>
      </c>
      <c r="T173" s="49">
        <f>(100*('GA Arroyo'!AO173-E173))/E173</f>
        <v>0</v>
      </c>
      <c r="U173" s="49">
        <f>(100*('GA Arroyo'!AR173-E173))/E173</f>
        <v>1.4815761811415122</v>
      </c>
      <c r="V173" s="49">
        <f>(100*('GA Arroyo'!AU173-E173))/E173</f>
        <v>0.99576692519673071</v>
      </c>
      <c r="W173" s="49">
        <f>(100*('GA Arroyo'!AX173-E173))/E173</f>
        <v>0.99576692519673071</v>
      </c>
    </row>
    <row r="174" spans="2:23" ht="15" customHeight="1">
      <c r="B174">
        <f>MIN('GA Arroyo'!B174,'GA Arroyo'!E174,'GA Arroyo'!H174,'GA Arroyo'!K174)</f>
        <v>7618.4</v>
      </c>
      <c r="C174">
        <f>MIN('GA Arroyo'!O174, 'GA Arroyo'!R174, 'GA Arroyo'!U174, 'GA Arroyo'!X174)</f>
        <v>7570.4</v>
      </c>
      <c r="D174">
        <f>MIN('GA Arroyo'!AB174, 'GA Arroyo'!AE174, 'GA Arroyo'!AH174, 'GA Arroyo'!AK174)</f>
        <v>8531.7000000000007</v>
      </c>
      <c r="E174">
        <f>MIN('GA Arroyo'!AO174, 'GA Arroyo'!AR174, 'GA Arroyo'!AU174, 'GA Arroyo'!AX174)</f>
        <v>7869.4</v>
      </c>
      <c r="G174" s="45">
        <f t="shared" si="14"/>
        <v>7570.4</v>
      </c>
      <c r="I174" s="49">
        <f t="shared" si="15"/>
        <v>0.63404839902779253</v>
      </c>
      <c r="J174" s="49">
        <f t="shared" si="16"/>
        <v>0</v>
      </c>
      <c r="K174" s="49">
        <f t="shared" si="17"/>
        <v>12.6981401246962</v>
      </c>
      <c r="L174" s="49">
        <f t="shared" si="18"/>
        <v>3.9495931522772909</v>
      </c>
      <c r="T174" s="49">
        <f>(100*('GA Arroyo'!AO174-E174))/E174</f>
        <v>0</v>
      </c>
      <c r="U174" s="49">
        <f>(100*('GA Arroyo'!AR174-E174))/E174</f>
        <v>0</v>
      </c>
      <c r="V174" s="49">
        <f>(100*('GA Arroyo'!AU174-E174))/E174</f>
        <v>0</v>
      </c>
      <c r="W174" s="49">
        <f>(100*('GA Arroyo'!AX174-E174))/E174</f>
        <v>0</v>
      </c>
    </row>
    <row r="175" spans="2:23" ht="15" customHeight="1">
      <c r="B175">
        <f>MIN('GA Arroyo'!B175,'GA Arroyo'!E175,'GA Arroyo'!H175,'GA Arroyo'!K175)</f>
        <v>9559.7000000000007</v>
      </c>
      <c r="C175">
        <f>MIN('GA Arroyo'!O175, 'GA Arroyo'!R175, 'GA Arroyo'!U175, 'GA Arroyo'!X175)</f>
        <v>9535.7000000000007</v>
      </c>
      <c r="D175">
        <f>MIN('GA Arroyo'!AB175, 'GA Arroyo'!AE175, 'GA Arroyo'!AH175, 'GA Arroyo'!AK175)</f>
        <v>11162.8</v>
      </c>
      <c r="E175">
        <f>MIN('GA Arroyo'!AO175, 'GA Arroyo'!AR175, 'GA Arroyo'!AU175, 'GA Arroyo'!AX175)</f>
        <v>10091.799999999999</v>
      </c>
      <c r="G175" s="45">
        <f t="shared" si="14"/>
        <v>9535.7000000000007</v>
      </c>
      <c r="I175" s="49">
        <f t="shared" si="15"/>
        <v>0.25168577031576073</v>
      </c>
      <c r="J175" s="49">
        <f t="shared" si="16"/>
        <v>0</v>
      </c>
      <c r="K175" s="49">
        <f t="shared" si="17"/>
        <v>17.063246536698916</v>
      </c>
      <c r="L175" s="49">
        <f t="shared" si="18"/>
        <v>5.8317690363580912</v>
      </c>
      <c r="T175" s="49">
        <f>(100*('GA Arroyo'!AO175-E175))/E175</f>
        <v>14.368100834340753</v>
      </c>
      <c r="U175" s="49">
        <f>(100*('GA Arroyo'!AR175-E175))/E175</f>
        <v>3.5543708753641643</v>
      </c>
      <c r="V175" s="49">
        <f>(100*('GA Arroyo'!AU175-E175))/E175</f>
        <v>2.9320834737113448</v>
      </c>
      <c r="W175" s="49">
        <f>(100*('GA Arroyo'!AX175-E175))/E175</f>
        <v>0</v>
      </c>
    </row>
    <row r="176" spans="2:23" ht="15" customHeight="1">
      <c r="B176">
        <f>MIN('GA Arroyo'!B176,'GA Arroyo'!E176,'GA Arroyo'!H176,'GA Arroyo'!K176)</f>
        <v>9671.6</v>
      </c>
      <c r="C176">
        <f>MIN('GA Arroyo'!O176, 'GA Arroyo'!R176, 'GA Arroyo'!U176, 'GA Arroyo'!X176)</f>
        <v>9727.6</v>
      </c>
      <c r="D176">
        <f>MIN('GA Arroyo'!AB176, 'GA Arroyo'!AE176, 'GA Arroyo'!AH176, 'GA Arroyo'!AK176)</f>
        <v>9671.6</v>
      </c>
      <c r="E176">
        <f>MIN('GA Arroyo'!AO176, 'GA Arroyo'!AR176, 'GA Arroyo'!AU176, 'GA Arroyo'!AX176)</f>
        <v>9727.6</v>
      </c>
      <c r="G176" s="45">
        <f t="shared" si="14"/>
        <v>9671.6</v>
      </c>
      <c r="I176" s="49">
        <f t="shared" si="15"/>
        <v>0</v>
      </c>
      <c r="J176" s="49">
        <f t="shared" si="16"/>
        <v>0.57901484759502042</v>
      </c>
      <c r="K176" s="49">
        <f t="shared" si="17"/>
        <v>0</v>
      </c>
      <c r="L176" s="49">
        <f t="shared" si="18"/>
        <v>0.57901484759502042</v>
      </c>
      <c r="T176" s="49">
        <f>(100*('GA Arroyo'!AO176-E176))/E176</f>
        <v>7.6812368929643364</v>
      </c>
      <c r="U176" s="49">
        <f>(100*('GA Arroyo'!AR176-E176))/E176</f>
        <v>23.398371643570872</v>
      </c>
      <c r="V176" s="49">
        <f>(100*('GA Arroyo'!AU176-E176))/E176</f>
        <v>0</v>
      </c>
      <c r="W176" s="49">
        <f>(100*('GA Arroyo'!AX176-E176))/E176</f>
        <v>0.32896089477363377</v>
      </c>
    </row>
    <row r="177" spans="2:23" ht="15" customHeight="1">
      <c r="B177">
        <f>MIN('GA Arroyo'!B177,'GA Arroyo'!E177,'GA Arroyo'!H177,'GA Arroyo'!K177)</f>
        <v>8200.5</v>
      </c>
      <c r="C177">
        <f>MIN('GA Arroyo'!O177, 'GA Arroyo'!R177, 'GA Arroyo'!U177, 'GA Arroyo'!X177)</f>
        <v>8163.8</v>
      </c>
      <c r="D177">
        <f>MIN('GA Arroyo'!AB177, 'GA Arroyo'!AE177, 'GA Arroyo'!AH177, 'GA Arroyo'!AK177)</f>
        <v>9198.6</v>
      </c>
      <c r="E177">
        <f>MIN('GA Arroyo'!AO177, 'GA Arroyo'!AR177, 'GA Arroyo'!AU177, 'GA Arroyo'!AX177)</f>
        <v>8512.5</v>
      </c>
      <c r="G177" s="45">
        <f t="shared" si="14"/>
        <v>8163.8</v>
      </c>
      <c r="I177" s="49">
        <f t="shared" si="15"/>
        <v>0.44954555476616059</v>
      </c>
      <c r="J177" s="49">
        <f t="shared" si="16"/>
        <v>0</v>
      </c>
      <c r="K177" s="49">
        <f t="shared" si="17"/>
        <v>12.675469756730935</v>
      </c>
      <c r="L177" s="49">
        <f t="shared" si="18"/>
        <v>4.2712952301624227</v>
      </c>
      <c r="T177" s="49">
        <f>(100*('GA Arroyo'!AO177-E177))/E177</f>
        <v>0</v>
      </c>
      <c r="U177" s="49">
        <f>(100*('GA Arroyo'!AR177-E177))/E177</f>
        <v>0</v>
      </c>
      <c r="V177" s="49">
        <f>(100*('GA Arroyo'!AU177-E177))/E177</f>
        <v>0</v>
      </c>
      <c r="W177" s="49">
        <f>(100*('GA Arroyo'!AX177-E177))/E177</f>
        <v>0</v>
      </c>
    </row>
    <row r="178" spans="2:23" ht="15" customHeight="1">
      <c r="B178">
        <f>MIN('GA Arroyo'!B178,'GA Arroyo'!E178,'GA Arroyo'!H178,'GA Arroyo'!K178)</f>
        <v>10124</v>
      </c>
      <c r="C178">
        <f>MIN('GA Arroyo'!O178, 'GA Arroyo'!R178, 'GA Arroyo'!U178, 'GA Arroyo'!X178)</f>
        <v>10124</v>
      </c>
      <c r="D178">
        <f>MIN('GA Arroyo'!AB178, 'GA Arroyo'!AE178, 'GA Arroyo'!AH178, 'GA Arroyo'!AK178)</f>
        <v>10515</v>
      </c>
      <c r="E178">
        <f>MIN('GA Arroyo'!AO178, 'GA Arroyo'!AR178, 'GA Arroyo'!AU178, 'GA Arroyo'!AX178)</f>
        <v>10939.8</v>
      </c>
      <c r="G178" s="45">
        <f t="shared" si="14"/>
        <v>10124</v>
      </c>
      <c r="I178" s="49">
        <f t="shared" si="15"/>
        <v>0</v>
      </c>
      <c r="J178" s="49">
        <f t="shared" si="16"/>
        <v>0</v>
      </c>
      <c r="K178" s="49">
        <f t="shared" si="17"/>
        <v>3.862109838008692</v>
      </c>
      <c r="L178" s="49">
        <f t="shared" si="18"/>
        <v>8.0580798103516322</v>
      </c>
      <c r="T178" s="49">
        <f>(100*('GA Arroyo'!AO178-E178))/E178</f>
        <v>0.9899632534415721</v>
      </c>
      <c r="U178" s="49">
        <f>(100*('GA Arroyo'!AR178-E178))/E178</f>
        <v>0.40037295014535085</v>
      </c>
      <c r="V178" s="49">
        <f>(100*('GA Arroyo'!AU178-E178))/E178</f>
        <v>0</v>
      </c>
      <c r="W178" s="49">
        <f>(100*('GA Arroyo'!AX178-E178))/E178</f>
        <v>0.9899632534415721</v>
      </c>
    </row>
    <row r="179" spans="2:23" ht="15" customHeight="1">
      <c r="B179">
        <f>MIN('GA Arroyo'!B179,'GA Arroyo'!E179,'GA Arroyo'!H179,'GA Arroyo'!K179)</f>
        <v>9179.4</v>
      </c>
      <c r="C179">
        <f>MIN('GA Arroyo'!O179, 'GA Arroyo'!R179, 'GA Arroyo'!U179, 'GA Arroyo'!X179)</f>
        <v>9429.7999999999993</v>
      </c>
      <c r="D179">
        <f>MIN('GA Arroyo'!AB179, 'GA Arroyo'!AE179, 'GA Arroyo'!AH179, 'GA Arroyo'!AK179)</f>
        <v>9429.7999999999993</v>
      </c>
      <c r="E179">
        <f>MIN('GA Arroyo'!AO179, 'GA Arroyo'!AR179, 'GA Arroyo'!AU179, 'GA Arroyo'!AX179)</f>
        <v>9179.4</v>
      </c>
      <c r="G179" s="45">
        <f t="shared" si="14"/>
        <v>9179.4</v>
      </c>
      <c r="I179" s="49">
        <f t="shared" si="15"/>
        <v>0</v>
      </c>
      <c r="J179" s="49">
        <f t="shared" si="16"/>
        <v>2.7278471359783825</v>
      </c>
      <c r="K179" s="49">
        <f t="shared" si="17"/>
        <v>2.7278471359783825</v>
      </c>
      <c r="L179" s="49">
        <f t="shared" si="18"/>
        <v>0</v>
      </c>
      <c r="T179" s="49">
        <f>(100*('GA Arroyo'!AO179-E179))/E179</f>
        <v>6.3076018040394803</v>
      </c>
      <c r="U179" s="49">
        <f>(100*('GA Arroyo'!AR179-E179))/E179</f>
        <v>0</v>
      </c>
      <c r="V179" s="49">
        <f>(100*('GA Arroyo'!AU179-E179))/E179</f>
        <v>3.1548902978408218</v>
      </c>
      <c r="W179" s="49">
        <f>(100*('GA Arroyo'!AX179-E179))/E179</f>
        <v>2.7278471359783825</v>
      </c>
    </row>
    <row r="180" spans="2:23" ht="15" customHeight="1">
      <c r="B180">
        <f>MIN('GA Arroyo'!B180,'GA Arroyo'!E180,'GA Arroyo'!H180,'GA Arroyo'!K180)</f>
        <v>9412.5</v>
      </c>
      <c r="C180">
        <f>MIN('GA Arroyo'!O180, 'GA Arroyo'!R180, 'GA Arroyo'!U180, 'GA Arroyo'!X180)</f>
        <v>9412.5</v>
      </c>
      <c r="D180">
        <f>MIN('GA Arroyo'!AB180, 'GA Arroyo'!AE180, 'GA Arroyo'!AH180, 'GA Arroyo'!AK180)</f>
        <v>9471.2000000000007</v>
      </c>
      <c r="E180">
        <f>MIN('GA Arroyo'!AO180, 'GA Arroyo'!AR180, 'GA Arroyo'!AU180, 'GA Arroyo'!AX180)</f>
        <v>9366.7000000000007</v>
      </c>
      <c r="G180" s="45">
        <f t="shared" si="14"/>
        <v>9366.7000000000007</v>
      </c>
      <c r="I180" s="49">
        <f t="shared" si="15"/>
        <v>0.488966231436891</v>
      </c>
      <c r="J180" s="49">
        <f t="shared" si="16"/>
        <v>0.488966231436891</v>
      </c>
      <c r="K180" s="49">
        <f t="shared" si="17"/>
        <v>1.1156543926889939</v>
      </c>
      <c r="L180" s="49">
        <f t="shared" si="18"/>
        <v>0</v>
      </c>
      <c r="T180" s="49">
        <f>(100*('GA Arroyo'!AO180-E180))/E180</f>
        <v>0</v>
      </c>
      <c r="U180" s="49">
        <f>(100*('GA Arroyo'!AR180-E180))/E180</f>
        <v>0</v>
      </c>
      <c r="V180" s="49">
        <f>(100*('GA Arroyo'!AU180-E180))/E180</f>
        <v>1.1156543926889939</v>
      </c>
      <c r="W180" s="49">
        <f>(100*('GA Arroyo'!AX180-E180))/E180</f>
        <v>1.1156543926889939</v>
      </c>
    </row>
    <row r="181" spans="2:23" ht="15" customHeight="1">
      <c r="B181">
        <f>MIN('GA Arroyo'!B181,'GA Arroyo'!E181,'GA Arroyo'!H181,'GA Arroyo'!K181)</f>
        <v>11492.2</v>
      </c>
      <c r="C181">
        <f>MIN('GA Arroyo'!O181, 'GA Arroyo'!R181, 'GA Arroyo'!U181, 'GA Arroyo'!X181)</f>
        <v>11492.2</v>
      </c>
      <c r="D181">
        <f>MIN('GA Arroyo'!AB181, 'GA Arroyo'!AE181, 'GA Arroyo'!AH181, 'GA Arroyo'!AK181)</f>
        <v>13247.6</v>
      </c>
      <c r="E181">
        <f>MIN('GA Arroyo'!AO181, 'GA Arroyo'!AR181, 'GA Arroyo'!AU181, 'GA Arroyo'!AX181)</f>
        <v>11492.2</v>
      </c>
      <c r="G181" s="45">
        <f t="shared" si="14"/>
        <v>11492.2</v>
      </c>
      <c r="I181" s="49">
        <f t="shared" si="15"/>
        <v>0</v>
      </c>
      <c r="J181" s="49">
        <f t="shared" si="16"/>
        <v>0</v>
      </c>
      <c r="K181" s="49">
        <f t="shared" si="17"/>
        <v>15.274708062860023</v>
      </c>
      <c r="L181" s="49">
        <f t="shared" si="18"/>
        <v>0</v>
      </c>
      <c r="T181" s="49">
        <f>(100*('GA Arroyo'!AO181-E181))/E181</f>
        <v>0</v>
      </c>
      <c r="U181" s="49">
        <f>(100*('GA Arroyo'!AR181-E181))/E181</f>
        <v>11.049233393083998</v>
      </c>
      <c r="V181" s="49">
        <f>(100*('GA Arroyo'!AU181-E181))/E181</f>
        <v>8.9808739840935452</v>
      </c>
      <c r="W181" s="49">
        <f>(100*('GA Arroyo'!AX181-E181))/E181</f>
        <v>13.054941612572</v>
      </c>
    </row>
    <row r="182" spans="2:23" ht="15" customHeight="1">
      <c r="B182">
        <f>MIN('GA Arroyo'!B182,'GA Arroyo'!E182,'GA Arroyo'!H182,'GA Arroyo'!K182)</f>
        <v>8475.7000000000007</v>
      </c>
      <c r="C182">
        <f>MIN('GA Arroyo'!O182, 'GA Arroyo'!R182, 'GA Arroyo'!U182, 'GA Arroyo'!X182)</f>
        <v>8467.7000000000007</v>
      </c>
      <c r="D182">
        <f>MIN('GA Arroyo'!AB182, 'GA Arroyo'!AE182, 'GA Arroyo'!AH182, 'GA Arroyo'!AK182)</f>
        <v>9098.4</v>
      </c>
      <c r="E182">
        <f>MIN('GA Arroyo'!AO182, 'GA Arroyo'!AR182, 'GA Arroyo'!AU182, 'GA Arroyo'!AX182)</f>
        <v>8763.2999999999993</v>
      </c>
      <c r="G182" s="45">
        <f t="shared" si="14"/>
        <v>8467.7000000000007</v>
      </c>
      <c r="I182" s="49">
        <f t="shared" si="15"/>
        <v>9.4476658360593782E-2</v>
      </c>
      <c r="J182" s="49">
        <f t="shared" si="16"/>
        <v>0</v>
      </c>
      <c r="K182" s="49">
        <f t="shared" si="17"/>
        <v>7.4483035535032993</v>
      </c>
      <c r="L182" s="49">
        <f t="shared" si="18"/>
        <v>3.4909125264239229</v>
      </c>
      <c r="T182" s="49">
        <f>(100*('GA Arroyo'!AO182-E182))/E182</f>
        <v>0.91746259970560706</v>
      </c>
      <c r="U182" s="49">
        <f>(100*('GA Arroyo'!AR182-E182))/E182</f>
        <v>0</v>
      </c>
      <c r="V182" s="49">
        <f>(100*('GA Arroyo'!AU182-E182))/E182</f>
        <v>3.1107003069619936</v>
      </c>
      <c r="W182" s="49">
        <f>(100*('GA Arroyo'!AX182-E182))/E182</f>
        <v>0.91746259970560706</v>
      </c>
    </row>
    <row r="183" spans="2:23" ht="15" customHeight="1">
      <c r="B183">
        <f>MIN('GA Arroyo'!B183,'GA Arroyo'!E183,'GA Arroyo'!H183,'GA Arroyo'!K183)</f>
        <v>8845.6</v>
      </c>
      <c r="C183">
        <f>MIN('GA Arroyo'!O183, 'GA Arroyo'!R183, 'GA Arroyo'!U183, 'GA Arroyo'!X183)</f>
        <v>8829.6</v>
      </c>
      <c r="D183">
        <f>MIN('GA Arroyo'!AB183, 'GA Arroyo'!AE183, 'GA Arroyo'!AH183, 'GA Arroyo'!AK183)</f>
        <v>9419</v>
      </c>
      <c r="E183">
        <f>MIN('GA Arroyo'!AO183, 'GA Arroyo'!AR183, 'GA Arroyo'!AU183, 'GA Arroyo'!AX183)</f>
        <v>8875.1</v>
      </c>
      <c r="G183" s="45">
        <f t="shared" si="14"/>
        <v>8829.6</v>
      </c>
      <c r="I183" s="49">
        <f t="shared" si="15"/>
        <v>0.1812086617740328</v>
      </c>
      <c r="J183" s="49">
        <f t="shared" si="16"/>
        <v>0</v>
      </c>
      <c r="K183" s="49">
        <f t="shared" si="17"/>
        <v>6.6752740781009292</v>
      </c>
      <c r="L183" s="49">
        <f t="shared" si="18"/>
        <v>0.51531213191990577</v>
      </c>
      <c r="T183" s="49">
        <f>(100*('GA Arroyo'!AO183-E183))/E183</f>
        <v>0</v>
      </c>
      <c r="U183" s="49">
        <f>(100*('GA Arroyo'!AR183-E183))/E183</f>
        <v>7.4816058410609454</v>
      </c>
      <c r="V183" s="49">
        <f>(100*('GA Arroyo'!AU183-E183))/E183</f>
        <v>0</v>
      </c>
      <c r="W183" s="49">
        <f>(100*('GA Arroyo'!AX183-E183))/E183</f>
        <v>0.36055931764149135</v>
      </c>
    </row>
    <row r="184" spans="2:23" ht="15" customHeight="1">
      <c r="B184">
        <f>MIN('GA Arroyo'!B184,'GA Arroyo'!E184,'GA Arroyo'!H184,'GA Arroyo'!K184)</f>
        <v>13333.9</v>
      </c>
      <c r="C184">
        <f>MIN('GA Arroyo'!O184, 'GA Arroyo'!R184, 'GA Arroyo'!U184, 'GA Arroyo'!X184)</f>
        <v>13333.9</v>
      </c>
      <c r="D184">
        <f>MIN('GA Arroyo'!AB184, 'GA Arroyo'!AE184, 'GA Arroyo'!AH184, 'GA Arroyo'!AK184)</f>
        <v>14187.7</v>
      </c>
      <c r="E184">
        <f>MIN('GA Arroyo'!AO184, 'GA Arroyo'!AR184, 'GA Arroyo'!AU184, 'GA Arroyo'!AX184)</f>
        <v>13333.9</v>
      </c>
      <c r="G184" s="45">
        <f t="shared" si="14"/>
        <v>13333.9</v>
      </c>
      <c r="I184" s="49">
        <f t="shared" si="15"/>
        <v>0</v>
      </c>
      <c r="J184" s="49">
        <f t="shared" si="16"/>
        <v>0</v>
      </c>
      <c r="K184" s="49">
        <f t="shared" si="17"/>
        <v>6.4032278628158394</v>
      </c>
      <c r="L184" s="49">
        <f t="shared" si="18"/>
        <v>0</v>
      </c>
      <c r="T184" s="49">
        <f>(100*('GA Arroyo'!AO184-E184))/E184</f>
        <v>0</v>
      </c>
      <c r="U184" s="49">
        <f>(100*('GA Arroyo'!AR184-E184))/E184</f>
        <v>0</v>
      </c>
      <c r="V184" s="49">
        <f>(100*('GA Arroyo'!AU184-E184))/E184</f>
        <v>0</v>
      </c>
      <c r="W184" s="49">
        <f>(100*('GA Arroyo'!AX184-E184))/E184</f>
        <v>0</v>
      </c>
    </row>
    <row r="185" spans="2:23" ht="15" customHeight="1">
      <c r="B185">
        <f>MIN('GA Arroyo'!B185,'GA Arroyo'!E185,'GA Arroyo'!H185,'GA Arroyo'!K185)</f>
        <v>11857.9</v>
      </c>
      <c r="C185">
        <f>MIN('GA Arroyo'!O185, 'GA Arroyo'!R185, 'GA Arroyo'!U185, 'GA Arroyo'!X185)</f>
        <v>12275.1</v>
      </c>
      <c r="D185">
        <f>MIN('GA Arroyo'!AB185, 'GA Arroyo'!AE185, 'GA Arroyo'!AH185, 'GA Arroyo'!AK185)</f>
        <v>13229.1</v>
      </c>
      <c r="E185">
        <f>MIN('GA Arroyo'!AO185, 'GA Arroyo'!AR185, 'GA Arroyo'!AU185, 'GA Arroyo'!AX185)</f>
        <v>12275.1</v>
      </c>
      <c r="G185" s="45">
        <f t="shared" si="14"/>
        <v>11857.9</v>
      </c>
      <c r="I185" s="49">
        <f t="shared" si="15"/>
        <v>0</v>
      </c>
      <c r="J185" s="49">
        <f t="shared" si="16"/>
        <v>3.5183295524502713</v>
      </c>
      <c r="K185" s="49">
        <f t="shared" si="17"/>
        <v>11.563598950910368</v>
      </c>
      <c r="L185" s="49">
        <f t="shared" si="18"/>
        <v>3.5183295524502713</v>
      </c>
      <c r="T185" s="49">
        <f>(100*('GA Arroyo'!AO185-E185))/E185</f>
        <v>6.8805956774282917</v>
      </c>
      <c r="U185" s="49">
        <f>(100*('GA Arroyo'!AR185-E185))/E185</f>
        <v>0.68349748678218214</v>
      </c>
      <c r="V185" s="49">
        <f>(100*('GA Arroyo'!AU185-E185))/E185</f>
        <v>6.2378310563661303</v>
      </c>
      <c r="W185" s="49">
        <f>(100*('GA Arroyo'!AX185-E185))/E185</f>
        <v>0</v>
      </c>
    </row>
    <row r="186" spans="2:23" ht="15" customHeight="1">
      <c r="B186">
        <f>MIN('GA Arroyo'!B186,'GA Arroyo'!E186,'GA Arroyo'!H186,'GA Arroyo'!K186)</f>
        <v>10160.299999999999</v>
      </c>
      <c r="C186">
        <f>MIN('GA Arroyo'!O186, 'GA Arroyo'!R186, 'GA Arroyo'!U186, 'GA Arroyo'!X186)</f>
        <v>9958.2999999999993</v>
      </c>
      <c r="D186">
        <f>MIN('GA Arroyo'!AB186, 'GA Arroyo'!AE186, 'GA Arroyo'!AH186, 'GA Arroyo'!AK186)</f>
        <v>10062.299999999999</v>
      </c>
      <c r="E186">
        <f>MIN('GA Arroyo'!AO186, 'GA Arroyo'!AR186, 'GA Arroyo'!AU186, 'GA Arroyo'!AX186)</f>
        <v>10415.9</v>
      </c>
      <c r="G186" s="45">
        <f t="shared" si="14"/>
        <v>9958.2999999999993</v>
      </c>
      <c r="I186" s="49">
        <f t="shared" si="15"/>
        <v>2.0284586726650131</v>
      </c>
      <c r="J186" s="49">
        <f t="shared" si="16"/>
        <v>0</v>
      </c>
      <c r="K186" s="49">
        <f t="shared" si="17"/>
        <v>1.0443549601839672</v>
      </c>
      <c r="L186" s="49">
        <f t="shared" si="18"/>
        <v>4.595161824809459</v>
      </c>
      <c r="T186" s="49">
        <f>(100*('GA Arroyo'!AO186-E186))/E186</f>
        <v>7.3070978023982596</v>
      </c>
      <c r="U186" s="49">
        <f>(100*('GA Arroyo'!AR186-E186))/E186</f>
        <v>3.3832890100711377</v>
      </c>
      <c r="V186" s="49">
        <f>(100*('GA Arroyo'!AU186-E186))/E186</f>
        <v>0</v>
      </c>
      <c r="W186" s="49">
        <f>(100*('GA Arroyo'!AX186-E186))/E186</f>
        <v>3.3832890100711377</v>
      </c>
    </row>
    <row r="187" spans="2:23" ht="15" customHeight="1">
      <c r="B187">
        <f>MIN('GA Arroyo'!B187,'GA Arroyo'!E187,'GA Arroyo'!H187,'GA Arroyo'!K187)</f>
        <v>10122.4</v>
      </c>
      <c r="C187">
        <f>MIN('GA Arroyo'!O187, 'GA Arroyo'!R187, 'GA Arroyo'!U187, 'GA Arroyo'!X187)</f>
        <v>10548.8</v>
      </c>
      <c r="D187">
        <f>MIN('GA Arroyo'!AB187, 'GA Arroyo'!AE187, 'GA Arroyo'!AH187, 'GA Arroyo'!AK187)</f>
        <v>10587.6</v>
      </c>
      <c r="E187">
        <f>MIN('GA Arroyo'!AO187, 'GA Arroyo'!AR187, 'GA Arroyo'!AU187, 'GA Arroyo'!AX187)</f>
        <v>10144.4</v>
      </c>
      <c r="G187" s="45">
        <f t="shared" si="14"/>
        <v>10122.4</v>
      </c>
      <c r="I187" s="49">
        <f t="shared" si="15"/>
        <v>0</v>
      </c>
      <c r="J187" s="49">
        <f t="shared" si="16"/>
        <v>4.2124397376116303</v>
      </c>
      <c r="K187" s="49">
        <f t="shared" si="17"/>
        <v>4.5957480439421552</v>
      </c>
      <c r="L187" s="49">
        <f t="shared" si="18"/>
        <v>0.21733976132142577</v>
      </c>
      <c r="T187" s="49">
        <f>(100*('GA Arroyo'!AO187-E187))/E187</f>
        <v>22.52474271519262</v>
      </c>
      <c r="U187" s="49">
        <f>(100*('GA Arroyo'!AR187-E187))/E187</f>
        <v>20.744450139978706</v>
      </c>
      <c r="V187" s="49">
        <f>(100*('GA Arroyo'!AU187-E187))/E187</f>
        <v>5.7667284413075199</v>
      </c>
      <c r="W187" s="49">
        <f>(100*('GA Arroyo'!AX187-E187))/E187</f>
        <v>0</v>
      </c>
    </row>
    <row r="188" spans="2:23" ht="15" customHeight="1">
      <c r="B188">
        <f>MIN('GA Arroyo'!B188,'GA Arroyo'!E188,'GA Arroyo'!H188,'GA Arroyo'!K188)</f>
        <v>11781.7</v>
      </c>
      <c r="C188">
        <f>MIN('GA Arroyo'!O188, 'GA Arroyo'!R188, 'GA Arroyo'!U188, 'GA Arroyo'!X188)</f>
        <v>11986.2</v>
      </c>
      <c r="D188">
        <f>MIN('GA Arroyo'!AB188, 'GA Arroyo'!AE188, 'GA Arroyo'!AH188, 'GA Arroyo'!AK188)</f>
        <v>12749.3</v>
      </c>
      <c r="E188">
        <f>MIN('GA Arroyo'!AO188, 'GA Arroyo'!AR188, 'GA Arroyo'!AU188, 'GA Arroyo'!AX188)</f>
        <v>11813.7</v>
      </c>
      <c r="G188" s="45">
        <f t="shared" si="14"/>
        <v>11781.7</v>
      </c>
      <c r="I188" s="49">
        <f t="shared" si="15"/>
        <v>0</v>
      </c>
      <c r="J188" s="49">
        <f t="shared" si="16"/>
        <v>1.7357427196414779</v>
      </c>
      <c r="K188" s="49">
        <f t="shared" si="17"/>
        <v>8.2127367018341868</v>
      </c>
      <c r="L188" s="49">
        <f t="shared" si="18"/>
        <v>0.27160766273118481</v>
      </c>
      <c r="T188" s="49">
        <f>(100*('GA Arroyo'!AO188-E188))/E188</f>
        <v>0</v>
      </c>
      <c r="U188" s="49">
        <f>(100*('GA Arroyo'!AR188-E188))/E188</f>
        <v>7.478605348028136</v>
      </c>
      <c r="V188" s="49">
        <f>(100*('GA Arroyo'!AU188-E188))/E188</f>
        <v>7.8739091055300099</v>
      </c>
      <c r="W188" s="49">
        <f>(100*('GA Arroyo'!AX188-E188))/E188</f>
        <v>6.5305535099079881</v>
      </c>
    </row>
    <row r="189" spans="2:23" ht="15" customHeight="1">
      <c r="B189">
        <f>MIN('GA Arroyo'!B189,'GA Arroyo'!E189,'GA Arroyo'!H189,'GA Arroyo'!K189)</f>
        <v>11217.5</v>
      </c>
      <c r="C189">
        <f>MIN('GA Arroyo'!O189, 'GA Arroyo'!R189, 'GA Arroyo'!U189, 'GA Arroyo'!X189)</f>
        <v>11161.5</v>
      </c>
      <c r="D189">
        <f>MIN('GA Arroyo'!AB189, 'GA Arroyo'!AE189, 'GA Arroyo'!AH189, 'GA Arroyo'!AK189)</f>
        <v>11422.1</v>
      </c>
      <c r="E189">
        <f>MIN('GA Arroyo'!AO189, 'GA Arroyo'!AR189, 'GA Arroyo'!AU189, 'GA Arroyo'!AX189)</f>
        <v>11217.5</v>
      </c>
      <c r="G189" s="45">
        <f t="shared" si="14"/>
        <v>11161.5</v>
      </c>
      <c r="I189" s="49">
        <f t="shared" si="15"/>
        <v>0.50172467858262781</v>
      </c>
      <c r="J189" s="49">
        <f t="shared" si="16"/>
        <v>0</v>
      </c>
      <c r="K189" s="49">
        <f t="shared" si="17"/>
        <v>2.3348116292613033</v>
      </c>
      <c r="L189" s="49">
        <f t="shared" si="18"/>
        <v>0.50172467858262781</v>
      </c>
      <c r="T189" s="49">
        <f>(100*('GA Arroyo'!AO189-E189))/E189</f>
        <v>4.7746824158680665</v>
      </c>
      <c r="U189" s="49">
        <f>(100*('GA Arroyo'!AR189-E189))/E189</f>
        <v>11.589034989971028</v>
      </c>
      <c r="V189" s="49">
        <f>(100*('GA Arroyo'!AU189-E189))/E189</f>
        <v>8.9164252284377152</v>
      </c>
      <c r="W189" s="49">
        <f>(100*('GA Arroyo'!AX189-E189))/E189</f>
        <v>0</v>
      </c>
    </row>
    <row r="190" spans="2:23" ht="15" customHeight="1">
      <c r="B190">
        <f>MIN('GA Arroyo'!B190,'GA Arroyo'!E190,'GA Arroyo'!H190,'GA Arroyo'!K190)</f>
        <v>9740.7000000000007</v>
      </c>
      <c r="C190">
        <f>MIN('GA Arroyo'!O190, 'GA Arroyo'!R190, 'GA Arroyo'!U190, 'GA Arroyo'!X190)</f>
        <v>8951.1</v>
      </c>
      <c r="D190">
        <f>MIN('GA Arroyo'!AB190, 'GA Arroyo'!AE190, 'GA Arroyo'!AH190, 'GA Arroyo'!AK190)</f>
        <v>10959.7</v>
      </c>
      <c r="E190">
        <f>MIN('GA Arroyo'!AO190, 'GA Arroyo'!AR190, 'GA Arroyo'!AU190, 'GA Arroyo'!AX190)</f>
        <v>10133</v>
      </c>
      <c r="G190" s="45">
        <f t="shared" si="14"/>
        <v>8951.1</v>
      </c>
      <c r="I190" s="49">
        <f t="shared" si="15"/>
        <v>8.8212621912390681</v>
      </c>
      <c r="J190" s="49">
        <f t="shared" si="16"/>
        <v>0</v>
      </c>
      <c r="K190" s="49">
        <f t="shared" si="17"/>
        <v>22.439700148585093</v>
      </c>
      <c r="L190" s="49">
        <f t="shared" si="18"/>
        <v>13.203963758644186</v>
      </c>
      <c r="T190" s="49">
        <f>(100*('GA Arroyo'!AO190-E190))/E190</f>
        <v>7.5041942169150273</v>
      </c>
      <c r="U190" s="49">
        <f>(100*('GA Arroyo'!AR190-E190))/E190</f>
        <v>6.4363959340767858</v>
      </c>
      <c r="V190" s="49">
        <f>(100*('GA Arroyo'!AU190-E190))/E190</f>
        <v>5.4100463831047145</v>
      </c>
      <c r="W190" s="49">
        <f>(100*('GA Arroyo'!AX190-E190))/E190</f>
        <v>0</v>
      </c>
    </row>
    <row r="191" spans="2:23" ht="15" customHeight="1">
      <c r="B191">
        <f>MIN('GA Arroyo'!B191,'GA Arroyo'!E191,'GA Arroyo'!H191,'GA Arroyo'!K191)</f>
        <v>9543.6</v>
      </c>
      <c r="C191">
        <f>MIN('GA Arroyo'!O191, 'GA Arroyo'!R191, 'GA Arroyo'!U191, 'GA Arroyo'!X191)</f>
        <v>9343.6</v>
      </c>
      <c r="D191">
        <f>MIN('GA Arroyo'!AB191, 'GA Arroyo'!AE191, 'GA Arroyo'!AH191, 'GA Arroyo'!AK191)</f>
        <v>11186.4</v>
      </c>
      <c r="E191">
        <f>MIN('GA Arroyo'!AO191, 'GA Arroyo'!AR191, 'GA Arroyo'!AU191, 'GA Arroyo'!AX191)</f>
        <v>10294.299999999999</v>
      </c>
      <c r="G191" s="45">
        <f t="shared" si="14"/>
        <v>9343.6</v>
      </c>
      <c r="I191" s="49">
        <f t="shared" si="15"/>
        <v>2.140502590008134</v>
      </c>
      <c r="J191" s="49">
        <f t="shared" si="16"/>
        <v>0</v>
      </c>
      <c r="K191" s="49">
        <f t="shared" si="17"/>
        <v>19.72259086433494</v>
      </c>
      <c r="L191" s="49">
        <f t="shared" si="18"/>
        <v>10.174879061603651</v>
      </c>
      <c r="T191" s="49">
        <f>(100*('GA Arroyo'!AO191-E191))/E191</f>
        <v>0</v>
      </c>
      <c r="U191" s="49">
        <f>(100*('GA Arroyo'!AR191-E191))/E191</f>
        <v>13.948495769503527</v>
      </c>
      <c r="V191" s="49">
        <f>(100*('GA Arroyo'!AU191-E191))/E191</f>
        <v>0.69941618177049436</v>
      </c>
      <c r="W191" s="49">
        <f>(100*('GA Arroyo'!AX191-E191))/E191</f>
        <v>9.2585217061869223</v>
      </c>
    </row>
    <row r="192" spans="2:23" ht="15" customHeight="1">
      <c r="B192">
        <f>MIN('GA Arroyo'!B192,'GA Arroyo'!E192,'GA Arroyo'!H192,'GA Arroyo'!K192)</f>
        <v>9664.6</v>
      </c>
      <c r="C192">
        <f>MIN('GA Arroyo'!O192, 'GA Arroyo'!R192, 'GA Arroyo'!U192, 'GA Arroyo'!X192)</f>
        <v>9728.6</v>
      </c>
      <c r="D192">
        <f>MIN('GA Arroyo'!AB192, 'GA Arroyo'!AE192, 'GA Arroyo'!AH192, 'GA Arroyo'!AK192)</f>
        <v>10589.2</v>
      </c>
      <c r="E192">
        <f>MIN('GA Arroyo'!AO192, 'GA Arroyo'!AR192, 'GA Arroyo'!AU192, 'GA Arroyo'!AX192)</f>
        <v>10173.5</v>
      </c>
      <c r="G192" s="45">
        <f t="shared" si="14"/>
        <v>9664.6</v>
      </c>
      <c r="I192" s="49">
        <f t="shared" si="15"/>
        <v>0</v>
      </c>
      <c r="J192" s="49">
        <f t="shared" si="16"/>
        <v>0.66221054156405845</v>
      </c>
      <c r="K192" s="49">
        <f t="shared" si="17"/>
        <v>9.5668729176582605</v>
      </c>
      <c r="L192" s="49">
        <f t="shared" si="18"/>
        <v>5.265608509405455</v>
      </c>
      <c r="T192" s="49">
        <f>(100*('GA Arroyo'!AO192-E192))/E192</f>
        <v>0.28505430776035778</v>
      </c>
      <c r="U192" s="49">
        <f>(100*('GA Arroyo'!AR192-E192))/E192</f>
        <v>3.8639602889860947</v>
      </c>
      <c r="V192" s="49">
        <f>(100*('GA Arroyo'!AU192-E192))/E192</f>
        <v>3.8639602889860947</v>
      </c>
      <c r="W192" s="49">
        <f>(100*('GA Arroyo'!AX192-E192))/E192</f>
        <v>0</v>
      </c>
    </row>
    <row r="193" spans="2:23" ht="15" customHeight="1">
      <c r="B193">
        <f>MIN('GA Arroyo'!B193,'GA Arroyo'!E193,'GA Arroyo'!H193,'GA Arroyo'!K193)</f>
        <v>8840.7999999999993</v>
      </c>
      <c r="C193">
        <f>MIN('GA Arroyo'!O193, 'GA Arroyo'!R193, 'GA Arroyo'!U193, 'GA Arroyo'!X193)</f>
        <v>8840.7999999999993</v>
      </c>
      <c r="D193">
        <f>MIN('GA Arroyo'!AB193, 'GA Arroyo'!AE193, 'GA Arroyo'!AH193, 'GA Arroyo'!AK193)</f>
        <v>9331.6</v>
      </c>
      <c r="E193">
        <f>MIN('GA Arroyo'!AO193, 'GA Arroyo'!AR193, 'GA Arroyo'!AU193, 'GA Arroyo'!AX193)</f>
        <v>9035.7999999999993</v>
      </c>
      <c r="G193" s="45">
        <f t="shared" si="14"/>
        <v>8840.7999999999993</v>
      </c>
      <c r="I193" s="49">
        <f t="shared" si="15"/>
        <v>0</v>
      </c>
      <c r="J193" s="49">
        <f t="shared" si="16"/>
        <v>0</v>
      </c>
      <c r="K193" s="49">
        <f t="shared" si="17"/>
        <v>5.5515337978463615</v>
      </c>
      <c r="L193" s="49">
        <f t="shared" si="18"/>
        <v>2.2056827436431092</v>
      </c>
      <c r="T193" s="49">
        <f>(100*('GA Arroyo'!AO193-E193))/E193</f>
        <v>9.1768299431151732</v>
      </c>
      <c r="U193" s="49">
        <f>(100*('GA Arroyo'!AR193-E193))/E193</f>
        <v>0</v>
      </c>
      <c r="V193" s="49">
        <f>(100*('GA Arroyo'!AU193-E193))/E193</f>
        <v>0</v>
      </c>
      <c r="W193" s="49">
        <f>(100*('GA Arroyo'!AX193-E193))/E193</f>
        <v>0</v>
      </c>
    </row>
    <row r="194" spans="2:23" ht="15" customHeight="1">
      <c r="B194">
        <f>MIN('GA Arroyo'!B194,'GA Arroyo'!E194,'GA Arroyo'!H194,'GA Arroyo'!K194)</f>
        <v>11793.4</v>
      </c>
      <c r="C194">
        <f>MIN('GA Arroyo'!O194, 'GA Arroyo'!R194, 'GA Arroyo'!U194, 'GA Arroyo'!X194)</f>
        <v>11793.4</v>
      </c>
      <c r="D194">
        <f>MIN('GA Arroyo'!AB194, 'GA Arroyo'!AE194, 'GA Arroyo'!AH194, 'GA Arroyo'!AK194)</f>
        <v>11793.4</v>
      </c>
      <c r="E194">
        <f>MIN('GA Arroyo'!AO194, 'GA Arroyo'!AR194, 'GA Arroyo'!AU194, 'GA Arroyo'!AX194)</f>
        <v>11993.4</v>
      </c>
      <c r="G194" s="45">
        <f t="shared" si="14"/>
        <v>11793.4</v>
      </c>
      <c r="I194" s="49">
        <f t="shared" si="15"/>
        <v>0</v>
      </c>
      <c r="J194" s="49">
        <f t="shared" si="16"/>
        <v>0</v>
      </c>
      <c r="K194" s="49">
        <f t="shared" si="17"/>
        <v>0</v>
      </c>
      <c r="L194" s="49">
        <f t="shared" si="18"/>
        <v>1.6958637882205301</v>
      </c>
      <c r="T194" s="49">
        <f>(100*('GA Arroyo'!AO194-E194))/E194</f>
        <v>7.0638851368252604</v>
      </c>
      <c r="U194" s="49">
        <f>(100*('GA Arroyo'!AR194-E194))/E194</f>
        <v>0</v>
      </c>
      <c r="V194" s="49">
        <f>(100*('GA Arroyo'!AU194-E194))/E194</f>
        <v>1.1723114379575463</v>
      </c>
      <c r="W194" s="49">
        <f>(100*('GA Arroyo'!AX194-E194))/E194</f>
        <v>0</v>
      </c>
    </row>
    <row r="195" spans="2:23" ht="15" customHeight="1">
      <c r="B195">
        <f>MIN('GA Arroyo'!B195,'GA Arroyo'!E195,'GA Arroyo'!H195,'GA Arroyo'!K195)</f>
        <v>10301.200000000001</v>
      </c>
      <c r="C195">
        <f>MIN('GA Arroyo'!O195, 'GA Arroyo'!R195, 'GA Arroyo'!U195, 'GA Arroyo'!X195)</f>
        <v>10344.299999999999</v>
      </c>
      <c r="D195">
        <f>MIN('GA Arroyo'!AB195, 'GA Arroyo'!AE195, 'GA Arroyo'!AH195, 'GA Arroyo'!AK195)</f>
        <v>11378.1</v>
      </c>
      <c r="E195">
        <f>MIN('GA Arroyo'!AO195, 'GA Arroyo'!AR195, 'GA Arroyo'!AU195, 'GA Arroyo'!AX195)</f>
        <v>11081.7</v>
      </c>
      <c r="G195" s="45">
        <f t="shared" si="14"/>
        <v>10301.200000000001</v>
      </c>
      <c r="I195" s="49">
        <f t="shared" si="15"/>
        <v>0</v>
      </c>
      <c r="J195" s="49">
        <f t="shared" si="16"/>
        <v>0.41839785656038658</v>
      </c>
      <c r="K195" s="49">
        <f t="shared" si="17"/>
        <v>10.454121849881563</v>
      </c>
      <c r="L195" s="49">
        <f t="shared" si="18"/>
        <v>7.576787170426746</v>
      </c>
      <c r="T195" s="49">
        <f>(100*('GA Arroyo'!AO195-E195))/E195</f>
        <v>0</v>
      </c>
      <c r="U195" s="49">
        <f>(100*('GA Arroyo'!AR195-E195))/E195</f>
        <v>8.0141133580587685</v>
      </c>
      <c r="V195" s="49">
        <f>(100*('GA Arroyo'!AU195-E195))/E195</f>
        <v>6.2544555438244895</v>
      </c>
      <c r="W195" s="49">
        <f>(100*('GA Arroyo'!AX195-E195))/E195</f>
        <v>2.6746798776360992</v>
      </c>
    </row>
    <row r="196" spans="2:23" ht="15" customHeight="1">
      <c r="B196">
        <f>MIN('GA Arroyo'!B196,'GA Arroyo'!E196,'GA Arroyo'!H196,'GA Arroyo'!K196)</f>
        <v>9008.9</v>
      </c>
      <c r="C196">
        <f>MIN('GA Arroyo'!O196, 'GA Arroyo'!R196, 'GA Arroyo'!U196, 'GA Arroyo'!X196)</f>
        <v>8968.9</v>
      </c>
      <c r="D196">
        <f>MIN('GA Arroyo'!AB196, 'GA Arroyo'!AE196, 'GA Arroyo'!AH196, 'GA Arroyo'!AK196)</f>
        <v>10042.4</v>
      </c>
      <c r="E196">
        <f>MIN('GA Arroyo'!AO196, 'GA Arroyo'!AR196, 'GA Arroyo'!AU196, 'GA Arroyo'!AX196)</f>
        <v>8968.9</v>
      </c>
      <c r="G196" s="45">
        <f t="shared" ref="G196:G259" si="19">MIN(B196,C196,D196,E196)</f>
        <v>8968.9</v>
      </c>
      <c r="I196" s="49">
        <f t="shared" ref="I196:I259" si="20">(100*(B196-G196))/G196</f>
        <v>0.44598557236673397</v>
      </c>
      <c r="J196" s="49">
        <f t="shared" ref="J196:J259" si="21">(100*(C196-G196))/G196</f>
        <v>0</v>
      </c>
      <c r="K196" s="49">
        <f t="shared" ref="K196:K259" si="22">(100*(D196-G196))/G196</f>
        <v>11.969137798392223</v>
      </c>
      <c r="L196" s="49">
        <f t="shared" ref="L196:L259" si="23">(100*(E196-G196))/G196</f>
        <v>0</v>
      </c>
      <c r="T196" s="49">
        <f>(100*('GA Arroyo'!AO196-E196))/E196</f>
        <v>10.519684688200337</v>
      </c>
      <c r="U196" s="49">
        <f>(100*('GA Arroyo'!AR196-E196))/E196</f>
        <v>0</v>
      </c>
      <c r="V196" s="49">
        <f>(100*('GA Arroyo'!AU196-E196))/E196</f>
        <v>7.4044754652187041</v>
      </c>
      <c r="W196" s="49">
        <f>(100*('GA Arroyo'!AX196-E196))/E196</f>
        <v>0</v>
      </c>
    </row>
    <row r="197" spans="2:23" ht="15" customHeight="1">
      <c r="B197">
        <f>MIN('GA Arroyo'!B197,'GA Arroyo'!E197,'GA Arroyo'!H197,'GA Arroyo'!K197)</f>
        <v>9427.7999999999993</v>
      </c>
      <c r="C197">
        <f>MIN('GA Arroyo'!O197, 'GA Arroyo'!R197, 'GA Arroyo'!U197, 'GA Arroyo'!X197)</f>
        <v>9259.7999999999993</v>
      </c>
      <c r="D197">
        <f>MIN('GA Arroyo'!AB197, 'GA Arroyo'!AE197, 'GA Arroyo'!AH197, 'GA Arroyo'!AK197)</f>
        <v>10565.8</v>
      </c>
      <c r="E197">
        <f>MIN('GA Arroyo'!AO197, 'GA Arroyo'!AR197, 'GA Arroyo'!AU197, 'GA Arroyo'!AX197)</f>
        <v>9259.7999999999993</v>
      </c>
      <c r="G197" s="45">
        <f t="shared" si="19"/>
        <v>9259.7999999999993</v>
      </c>
      <c r="I197" s="49">
        <f t="shared" si="20"/>
        <v>1.8142940452277589</v>
      </c>
      <c r="J197" s="49">
        <f t="shared" si="21"/>
        <v>0</v>
      </c>
      <c r="K197" s="49">
        <f t="shared" si="22"/>
        <v>14.103976327782458</v>
      </c>
      <c r="L197" s="49">
        <f t="shared" si="23"/>
        <v>0</v>
      </c>
      <c r="T197" s="49">
        <f>(100*('GA Arroyo'!AO197-E197))/E197</f>
        <v>0</v>
      </c>
      <c r="U197" s="49">
        <f>(100*('GA Arroyo'!AR197-E197))/E197</f>
        <v>7.9828937990021469</v>
      </c>
      <c r="V197" s="49">
        <f>(100*('GA Arroyo'!AU197-E197))/E197</f>
        <v>10.725933605477449</v>
      </c>
      <c r="W197" s="49">
        <f>(100*('GA Arroyo'!AX197-E197))/E197</f>
        <v>2.7106416985248063</v>
      </c>
    </row>
    <row r="198" spans="2:23" ht="15" customHeight="1">
      <c r="B198">
        <f>MIN('GA Arroyo'!B198,'GA Arroyo'!E198,'GA Arroyo'!H198,'GA Arroyo'!K198)</f>
        <v>7218.1</v>
      </c>
      <c r="C198">
        <f>MIN('GA Arroyo'!O198, 'GA Arroyo'!R198, 'GA Arroyo'!U198, 'GA Arroyo'!X198)</f>
        <v>7274.1</v>
      </c>
      <c r="D198">
        <f>MIN('GA Arroyo'!AB198, 'GA Arroyo'!AE198, 'GA Arroyo'!AH198, 'GA Arroyo'!AK198)</f>
        <v>7218.1</v>
      </c>
      <c r="E198">
        <f>MIN('GA Arroyo'!AO198, 'GA Arroyo'!AR198, 'GA Arroyo'!AU198, 'GA Arroyo'!AX198)</f>
        <v>7274.1</v>
      </c>
      <c r="G198" s="45">
        <f t="shared" si="19"/>
        <v>7218.1</v>
      </c>
      <c r="I198" s="49">
        <f t="shared" si="20"/>
        <v>0</v>
      </c>
      <c r="J198" s="49">
        <f t="shared" si="21"/>
        <v>0.77582743381222197</v>
      </c>
      <c r="K198" s="49">
        <f t="shared" si="22"/>
        <v>0</v>
      </c>
      <c r="L198" s="49">
        <f t="shared" si="23"/>
        <v>0.77582743381222197</v>
      </c>
      <c r="T198" s="49">
        <f>(100*('GA Arroyo'!AO198-E198))/E198</f>
        <v>9.2973701213895765</v>
      </c>
      <c r="U198" s="49">
        <f>(100*('GA Arroyo'!AR198-E198))/E198</f>
        <v>3.1591537097372768</v>
      </c>
      <c r="V198" s="49">
        <f>(100*('GA Arroyo'!AU198-E198))/E198</f>
        <v>3.6361886693886527</v>
      </c>
      <c r="W198" s="49">
        <f>(100*('GA Arroyo'!AX198-E198))/E198</f>
        <v>0</v>
      </c>
    </row>
    <row r="199" spans="2:23" ht="15" customHeight="1">
      <c r="B199">
        <f>MIN('GA Arroyo'!B199,'GA Arroyo'!E199,'GA Arroyo'!H199,'GA Arroyo'!K199)</f>
        <v>7365.3</v>
      </c>
      <c r="C199">
        <f>MIN('GA Arroyo'!O199, 'GA Arroyo'!R199, 'GA Arroyo'!U199, 'GA Arroyo'!X199)</f>
        <v>7547.3</v>
      </c>
      <c r="D199">
        <f>MIN('GA Arroyo'!AB199, 'GA Arroyo'!AE199, 'GA Arroyo'!AH199, 'GA Arroyo'!AK199)</f>
        <v>8274.7000000000007</v>
      </c>
      <c r="E199">
        <f>MIN('GA Arroyo'!AO199, 'GA Arroyo'!AR199, 'GA Arroyo'!AU199, 'GA Arroyo'!AX199)</f>
        <v>7547.3</v>
      </c>
      <c r="G199" s="45">
        <f t="shared" si="19"/>
        <v>7365.3</v>
      </c>
      <c r="I199" s="49">
        <f t="shared" si="20"/>
        <v>0</v>
      </c>
      <c r="J199" s="49">
        <f t="shared" si="21"/>
        <v>2.4710466647658613</v>
      </c>
      <c r="K199" s="49">
        <f t="shared" si="22"/>
        <v>12.347087016143274</v>
      </c>
      <c r="L199" s="49">
        <f t="shared" si="23"/>
        <v>2.4710466647658613</v>
      </c>
      <c r="T199" s="49">
        <f>(100*('GA Arroyo'!AO199-E199))/E199</f>
        <v>13.680389013289508</v>
      </c>
      <c r="U199" s="49">
        <f>(100*('GA Arroyo'!AR199-E199))/E199</f>
        <v>12.634982046559688</v>
      </c>
      <c r="V199" s="49">
        <f>(100*('GA Arroyo'!AU199-E199))/E199</f>
        <v>0</v>
      </c>
      <c r="W199" s="49">
        <f>(100*('GA Arroyo'!AX199-E199))/E199</f>
        <v>5.2999085765770539</v>
      </c>
    </row>
    <row r="200" spans="2:23" ht="15" customHeight="1">
      <c r="B200">
        <f>MIN('GA Arroyo'!B200,'GA Arroyo'!E200,'GA Arroyo'!H200,'GA Arroyo'!K200)</f>
        <v>10760.3</v>
      </c>
      <c r="C200">
        <f>MIN('GA Arroyo'!O200, 'GA Arroyo'!R200, 'GA Arroyo'!U200, 'GA Arroyo'!X200)</f>
        <v>10881.7</v>
      </c>
      <c r="D200">
        <f>MIN('GA Arroyo'!AB200, 'GA Arroyo'!AE200, 'GA Arroyo'!AH200, 'GA Arroyo'!AK200)</f>
        <v>11135.9</v>
      </c>
      <c r="E200">
        <f>MIN('GA Arroyo'!AO200, 'GA Arroyo'!AR200, 'GA Arroyo'!AU200, 'GA Arroyo'!AX200)</f>
        <v>11263.9</v>
      </c>
      <c r="G200" s="45">
        <f t="shared" si="19"/>
        <v>10760.3</v>
      </c>
      <c r="I200" s="49">
        <f t="shared" si="20"/>
        <v>0</v>
      </c>
      <c r="J200" s="49">
        <f t="shared" si="21"/>
        <v>1.1282213321190067</v>
      </c>
      <c r="K200" s="49">
        <f t="shared" si="22"/>
        <v>3.4906089978903969</v>
      </c>
      <c r="L200" s="49">
        <f t="shared" si="23"/>
        <v>4.6801669098445249</v>
      </c>
      <c r="T200" s="49">
        <f>(100*('GA Arroyo'!AO200-E200))/E200</f>
        <v>2.3810580704729332</v>
      </c>
      <c r="U200" s="49">
        <f>(100*('GA Arroyo'!AR200-E200))/E200</f>
        <v>0</v>
      </c>
      <c r="V200" s="49">
        <f>(100*('GA Arroyo'!AU200-E200))/E200</f>
        <v>2.3810580704729332</v>
      </c>
      <c r="W200" s="49">
        <f>(100*('GA Arroyo'!AX200-E200))/E200</f>
        <v>0</v>
      </c>
    </row>
    <row r="201" spans="2:23" ht="15" customHeight="1">
      <c r="B201">
        <f>MIN('GA Arroyo'!B201,'GA Arroyo'!E201,'GA Arroyo'!H201,'GA Arroyo'!K201)</f>
        <v>8747.1</v>
      </c>
      <c r="C201">
        <f>MIN('GA Arroyo'!O201, 'GA Arroyo'!R201, 'GA Arroyo'!U201, 'GA Arroyo'!X201)</f>
        <v>8739.1</v>
      </c>
      <c r="D201">
        <f>MIN('GA Arroyo'!AB201, 'GA Arroyo'!AE201, 'GA Arroyo'!AH201, 'GA Arroyo'!AK201)</f>
        <v>9372.1</v>
      </c>
      <c r="E201">
        <f>MIN('GA Arroyo'!AO201, 'GA Arroyo'!AR201, 'GA Arroyo'!AU201, 'GA Arroyo'!AX201)</f>
        <v>8794.9</v>
      </c>
      <c r="G201" s="45">
        <f t="shared" si="19"/>
        <v>8739.1</v>
      </c>
      <c r="I201" s="49">
        <f t="shared" si="20"/>
        <v>9.1542607362314191E-2</v>
      </c>
      <c r="J201" s="49">
        <f t="shared" si="21"/>
        <v>0</v>
      </c>
      <c r="K201" s="49">
        <f t="shared" si="22"/>
        <v>7.2433088075431105</v>
      </c>
      <c r="L201" s="49">
        <f t="shared" si="23"/>
        <v>0.63850968635213312</v>
      </c>
      <c r="T201" s="49">
        <f>(100*('GA Arroyo'!AO201-E201))/E201</f>
        <v>6.5628944047118303</v>
      </c>
      <c r="U201" s="49">
        <f>(100*('GA Arroyo'!AR201-E201))/E201</f>
        <v>6.5628944047118303</v>
      </c>
      <c r="V201" s="49">
        <f>(100*('GA Arroyo'!AU201-E201))/E201</f>
        <v>0</v>
      </c>
      <c r="W201" s="49">
        <f>(100*('GA Arroyo'!AX201-E201))/E201</f>
        <v>6.5628944047118303</v>
      </c>
    </row>
    <row r="202" spans="2:23" ht="15" customHeight="1">
      <c r="B202">
        <f>MIN('GA Arroyo'!B202,'GA Arroyo'!E202,'GA Arroyo'!H202,'GA Arroyo'!K202)</f>
        <v>10235.5</v>
      </c>
      <c r="C202">
        <f>MIN('GA Arroyo'!O202, 'GA Arroyo'!R202, 'GA Arroyo'!U202, 'GA Arroyo'!X202)</f>
        <v>9904.1</v>
      </c>
      <c r="D202">
        <f>MIN('GA Arroyo'!AB202, 'GA Arroyo'!AE202, 'GA Arroyo'!AH202, 'GA Arroyo'!AK202)</f>
        <v>10350.9</v>
      </c>
      <c r="E202">
        <f>MIN('GA Arroyo'!AO202, 'GA Arroyo'!AR202, 'GA Arroyo'!AU202, 'GA Arroyo'!AX202)</f>
        <v>9904.1</v>
      </c>
      <c r="G202" s="45">
        <f t="shared" si="19"/>
        <v>9904.1</v>
      </c>
      <c r="I202" s="49">
        <f t="shared" si="20"/>
        <v>3.3460889934471543</v>
      </c>
      <c r="J202" s="49">
        <f t="shared" si="21"/>
        <v>0</v>
      </c>
      <c r="K202" s="49">
        <f t="shared" si="22"/>
        <v>4.5112630122878326</v>
      </c>
      <c r="L202" s="49">
        <f t="shared" si="23"/>
        <v>0</v>
      </c>
      <c r="T202" s="49">
        <f>(100*('GA Arroyo'!AO202-E202))/E202</f>
        <v>0.40387314344564373</v>
      </c>
      <c r="U202" s="49">
        <f>(100*('GA Arroyo'!AR202-E202))/E202</f>
        <v>7.7927323027836879</v>
      </c>
      <c r="V202" s="49">
        <f>(100*('GA Arroyo'!AU202-E202))/E202</f>
        <v>9.1305620904473823</v>
      </c>
      <c r="W202" s="49">
        <f>(100*('GA Arroyo'!AX202-E202))/E202</f>
        <v>0</v>
      </c>
    </row>
    <row r="203" spans="2:23" ht="15" customHeight="1">
      <c r="B203">
        <f>MIN('GA Arroyo'!B203,'GA Arroyo'!E203,'GA Arroyo'!H203,'GA Arroyo'!K203)</f>
        <v>11899.3</v>
      </c>
      <c r="C203">
        <f>MIN('GA Arroyo'!O203, 'GA Arroyo'!R203, 'GA Arroyo'!U203, 'GA Arroyo'!X203)</f>
        <v>11843.3</v>
      </c>
      <c r="D203">
        <f>MIN('GA Arroyo'!AB203, 'GA Arroyo'!AE203, 'GA Arroyo'!AH203, 'GA Arroyo'!AK203)</f>
        <v>14111.8</v>
      </c>
      <c r="E203">
        <f>MIN('GA Arroyo'!AO203, 'GA Arroyo'!AR203, 'GA Arroyo'!AU203, 'GA Arroyo'!AX203)</f>
        <v>11899.3</v>
      </c>
      <c r="G203" s="45">
        <f t="shared" si="19"/>
        <v>11843.3</v>
      </c>
      <c r="I203" s="49">
        <f t="shared" si="20"/>
        <v>0.47284118446716711</v>
      </c>
      <c r="J203" s="49">
        <f t="shared" si="21"/>
        <v>0</v>
      </c>
      <c r="K203" s="49">
        <f t="shared" si="22"/>
        <v>19.154289767210155</v>
      </c>
      <c r="L203" s="49">
        <f t="shared" si="23"/>
        <v>0.47284118446716711</v>
      </c>
      <c r="T203" s="49">
        <f>(100*('GA Arroyo'!AO203-E203))/E203</f>
        <v>0.20169253653576261</v>
      </c>
      <c r="U203" s="49">
        <f>(100*('GA Arroyo'!AR203-E203))/E203</f>
        <v>15.735379392065093</v>
      </c>
      <c r="V203" s="49">
        <f>(100*('GA Arroyo'!AU203-E203))/E203</f>
        <v>2.4203104384291514</v>
      </c>
      <c r="W203" s="49">
        <f>(100*('GA Arroyo'!AX203-E203))/E203</f>
        <v>0</v>
      </c>
    </row>
    <row r="204" spans="2:23" ht="15" customHeight="1">
      <c r="B204">
        <f>MIN('GA Arroyo'!B204,'GA Arroyo'!E204,'GA Arroyo'!H204,'GA Arroyo'!K204)</f>
        <v>14795.7</v>
      </c>
      <c r="C204">
        <f>MIN('GA Arroyo'!O204, 'GA Arroyo'!R204, 'GA Arroyo'!U204, 'GA Arroyo'!X204)</f>
        <v>14795.7</v>
      </c>
      <c r="D204">
        <f>MIN('GA Arroyo'!AB204, 'GA Arroyo'!AE204, 'GA Arroyo'!AH204, 'GA Arroyo'!AK204)</f>
        <v>15051.7</v>
      </c>
      <c r="E204">
        <f>MIN('GA Arroyo'!AO204, 'GA Arroyo'!AR204, 'GA Arroyo'!AU204, 'GA Arroyo'!AX204)</f>
        <v>14795.7</v>
      </c>
      <c r="G204" s="45">
        <f t="shared" si="19"/>
        <v>14795.7</v>
      </c>
      <c r="I204" s="49">
        <f t="shared" si="20"/>
        <v>0</v>
      </c>
      <c r="J204" s="49">
        <f t="shared" si="21"/>
        <v>0</v>
      </c>
      <c r="K204" s="49">
        <f t="shared" si="22"/>
        <v>1.7302324323958986</v>
      </c>
      <c r="L204" s="49">
        <f t="shared" si="23"/>
        <v>0</v>
      </c>
      <c r="T204" s="49">
        <f>(100*('GA Arroyo'!AO204-E204))/E204</f>
        <v>5.4272525125543227</v>
      </c>
      <c r="U204" s="49">
        <f>(100*('GA Arroyo'!AR204-E204))/E204</f>
        <v>1.7302324323958986</v>
      </c>
      <c r="V204" s="49">
        <f>(100*('GA Arroyo'!AU204-E204))/E204</f>
        <v>3.6226741553289128</v>
      </c>
      <c r="W204" s="49">
        <f>(100*('GA Arroyo'!AX204-E204))/E204</f>
        <v>0</v>
      </c>
    </row>
    <row r="205" spans="2:23" ht="15" customHeight="1">
      <c r="B205">
        <f>MIN('GA Arroyo'!B205,'GA Arroyo'!E205,'GA Arroyo'!H205,'GA Arroyo'!K205)</f>
        <v>12738.6</v>
      </c>
      <c r="C205">
        <f>MIN('GA Arroyo'!O205, 'GA Arroyo'!R205, 'GA Arroyo'!U205, 'GA Arroyo'!X205)</f>
        <v>12642.6</v>
      </c>
      <c r="D205">
        <f>MIN('GA Arroyo'!AB205, 'GA Arroyo'!AE205, 'GA Arroyo'!AH205, 'GA Arroyo'!AK205)</f>
        <v>13483.8</v>
      </c>
      <c r="E205">
        <f>MIN('GA Arroyo'!AO205, 'GA Arroyo'!AR205, 'GA Arroyo'!AU205, 'GA Arroyo'!AX205)</f>
        <v>12876.6</v>
      </c>
      <c r="G205" s="45">
        <f t="shared" si="19"/>
        <v>12642.6</v>
      </c>
      <c r="I205" s="49">
        <f t="shared" si="20"/>
        <v>0.75933747805040097</v>
      </c>
      <c r="J205" s="49">
        <f t="shared" si="21"/>
        <v>0</v>
      </c>
      <c r="K205" s="49">
        <f t="shared" si="22"/>
        <v>6.6536946514166297</v>
      </c>
      <c r="L205" s="49">
        <f t="shared" si="23"/>
        <v>1.8508851027478523</v>
      </c>
      <c r="T205" s="49">
        <f>(100*('GA Arroyo'!AO205-E205))/E205</f>
        <v>5.2521628380162406</v>
      </c>
      <c r="U205" s="49">
        <f>(100*('GA Arroyo'!AR205-E205))/E205</f>
        <v>0</v>
      </c>
      <c r="V205" s="49">
        <f>(100*('GA Arroyo'!AU205-E205))/E205</f>
        <v>8.0269636394700488</v>
      </c>
      <c r="W205" s="49">
        <f>(100*('GA Arroyo'!AX205-E205))/E205</f>
        <v>2.6031716446888069</v>
      </c>
    </row>
    <row r="206" spans="2:23" ht="15" customHeight="1">
      <c r="B206">
        <f>MIN('GA Arroyo'!B206,'GA Arroyo'!E206,'GA Arroyo'!H206,'GA Arroyo'!K206)</f>
        <v>12860.2</v>
      </c>
      <c r="C206">
        <f>MIN('GA Arroyo'!O206, 'GA Arroyo'!R206, 'GA Arroyo'!U206, 'GA Arroyo'!X206)</f>
        <v>13058.9</v>
      </c>
      <c r="D206">
        <f>MIN('GA Arroyo'!AB206, 'GA Arroyo'!AE206, 'GA Arroyo'!AH206, 'GA Arroyo'!AK206)</f>
        <v>14175.5</v>
      </c>
      <c r="E206">
        <f>MIN('GA Arroyo'!AO206, 'GA Arroyo'!AR206, 'GA Arroyo'!AU206, 'GA Arroyo'!AX206)</f>
        <v>13292.2</v>
      </c>
      <c r="G206" s="45">
        <f t="shared" si="19"/>
        <v>12860.2</v>
      </c>
      <c r="I206" s="49">
        <f t="shared" si="20"/>
        <v>0</v>
      </c>
      <c r="J206" s="49">
        <f t="shared" si="21"/>
        <v>1.5450770594547434</v>
      </c>
      <c r="K206" s="49">
        <f t="shared" si="22"/>
        <v>10.22767919627999</v>
      </c>
      <c r="L206" s="49">
        <f t="shared" si="23"/>
        <v>3.3592012565900995</v>
      </c>
      <c r="T206" s="49">
        <f>(100*('GA Arroyo'!AO206-E206))/E206</f>
        <v>4.7652006439866961</v>
      </c>
      <c r="U206" s="49">
        <f>(100*('GA Arroyo'!AR206-E206))/E206</f>
        <v>3.518604896104474</v>
      </c>
      <c r="V206" s="49">
        <f>(100*('GA Arroyo'!AU206-E206))/E206</f>
        <v>0</v>
      </c>
      <c r="W206" s="49">
        <f>(100*('GA Arroyo'!AX206-E206))/E206</f>
        <v>0</v>
      </c>
    </row>
    <row r="207" spans="2:23" ht="15" customHeight="1">
      <c r="B207">
        <f>MIN('GA Arroyo'!B207,'GA Arroyo'!E207,'GA Arroyo'!H207,'GA Arroyo'!K207)</f>
        <v>10019.799999999999</v>
      </c>
      <c r="C207">
        <f>MIN('GA Arroyo'!O207, 'GA Arroyo'!R207, 'GA Arroyo'!U207, 'GA Arroyo'!X207)</f>
        <v>9794.2999999999993</v>
      </c>
      <c r="D207">
        <f>MIN('GA Arroyo'!AB207, 'GA Arroyo'!AE207, 'GA Arroyo'!AH207, 'GA Arroyo'!AK207)</f>
        <v>11001.9</v>
      </c>
      <c r="E207">
        <f>MIN('GA Arroyo'!AO207, 'GA Arroyo'!AR207, 'GA Arroyo'!AU207, 'GA Arroyo'!AX207)</f>
        <v>10212.200000000001</v>
      </c>
      <c r="G207" s="45">
        <f t="shared" si="19"/>
        <v>9794.2999999999993</v>
      </c>
      <c r="I207" s="49">
        <f t="shared" si="20"/>
        <v>2.3023595356482853</v>
      </c>
      <c r="J207" s="49">
        <f t="shared" si="21"/>
        <v>0</v>
      </c>
      <c r="K207" s="49">
        <f t="shared" si="22"/>
        <v>12.329620289351974</v>
      </c>
      <c r="L207" s="49">
        <f t="shared" si="23"/>
        <v>4.2667674055318043</v>
      </c>
      <c r="T207" s="49">
        <f>(100*('GA Arroyo'!AO207-E207))/E207</f>
        <v>2.4118211550890041</v>
      </c>
      <c r="U207" s="49">
        <f>(100*('GA Arroyo'!AR207-E207))/E207</f>
        <v>4.6238812400853773</v>
      </c>
      <c r="V207" s="49">
        <f>(100*('GA Arroyo'!AU207-E207))/E207</f>
        <v>0</v>
      </c>
      <c r="W207" s="49">
        <f>(100*('GA Arroyo'!AX207-E207))/E207</f>
        <v>12.901235776815964</v>
      </c>
    </row>
    <row r="208" spans="2:23" ht="15" customHeight="1">
      <c r="B208">
        <f>MIN('GA Arroyo'!B208,'GA Arroyo'!E208,'GA Arroyo'!H208,'GA Arroyo'!K208)</f>
        <v>13412</v>
      </c>
      <c r="C208">
        <f>MIN('GA Arroyo'!O208, 'GA Arroyo'!R208, 'GA Arroyo'!U208, 'GA Arroyo'!X208)</f>
        <v>13086.8</v>
      </c>
      <c r="D208">
        <f>MIN('GA Arroyo'!AB208, 'GA Arroyo'!AE208, 'GA Arroyo'!AH208, 'GA Arroyo'!AK208)</f>
        <v>14176</v>
      </c>
      <c r="E208">
        <f>MIN('GA Arroyo'!AO208, 'GA Arroyo'!AR208, 'GA Arroyo'!AU208, 'GA Arroyo'!AX208)</f>
        <v>13086.8</v>
      </c>
      <c r="G208" s="45">
        <f t="shared" si="19"/>
        <v>13086.8</v>
      </c>
      <c r="I208" s="49">
        <f t="shared" si="20"/>
        <v>2.484946663813925</v>
      </c>
      <c r="J208" s="49">
        <f t="shared" si="21"/>
        <v>0</v>
      </c>
      <c r="K208" s="49">
        <f t="shared" si="22"/>
        <v>8.3228902405477339</v>
      </c>
      <c r="L208" s="49">
        <f t="shared" si="23"/>
        <v>0</v>
      </c>
      <c r="T208" s="49">
        <f>(100*('GA Arroyo'!AO208-E208))/E208</f>
        <v>0</v>
      </c>
      <c r="U208" s="49">
        <f>(100*('GA Arroyo'!AR208-E208))/E208</f>
        <v>14.588745911911245</v>
      </c>
      <c r="V208" s="49">
        <f>(100*('GA Arroyo'!AU208-E208))/E208</f>
        <v>14.13638169758841</v>
      </c>
      <c r="W208" s="49">
        <f>(100*('GA Arroyo'!AX208-E208))/E208</f>
        <v>2.628602867011034</v>
      </c>
    </row>
    <row r="209" spans="2:23" ht="15" customHeight="1">
      <c r="B209">
        <f>MIN('GA Arroyo'!B209,'GA Arroyo'!E209,'GA Arroyo'!H209,'GA Arroyo'!K209)</f>
        <v>10122.700000000001</v>
      </c>
      <c r="C209">
        <f>MIN('GA Arroyo'!O209, 'GA Arroyo'!R209, 'GA Arroyo'!U209, 'GA Arroyo'!X209)</f>
        <v>10020.299999999999</v>
      </c>
      <c r="D209">
        <f>MIN('GA Arroyo'!AB209, 'GA Arroyo'!AE209, 'GA Arroyo'!AH209, 'GA Arroyo'!AK209)</f>
        <v>11193.9</v>
      </c>
      <c r="E209">
        <f>MIN('GA Arroyo'!AO209, 'GA Arroyo'!AR209, 'GA Arroyo'!AU209, 'GA Arroyo'!AX209)</f>
        <v>10060.299999999999</v>
      </c>
      <c r="G209" s="45">
        <f t="shared" si="19"/>
        <v>10020.299999999999</v>
      </c>
      <c r="I209" s="49">
        <f t="shared" si="20"/>
        <v>1.0219254912527715</v>
      </c>
      <c r="J209" s="49">
        <f t="shared" si="21"/>
        <v>0</v>
      </c>
      <c r="K209" s="49">
        <f t="shared" si="22"/>
        <v>11.712224184904647</v>
      </c>
      <c r="L209" s="49">
        <f t="shared" si="23"/>
        <v>0.39918964502060822</v>
      </c>
      <c r="T209" s="49">
        <f>(100*('GA Arroyo'!AO209-E209))/E209</f>
        <v>6.6041768138127246</v>
      </c>
      <c r="U209" s="49">
        <f>(100*('GA Arroyo'!AR209-E209))/E209</f>
        <v>6.1270538651929014</v>
      </c>
      <c r="V209" s="49">
        <f>(100*('GA Arroyo'!AU209-E209))/E209</f>
        <v>0</v>
      </c>
      <c r="W209" s="49">
        <f>(100*('GA Arroyo'!AX209-E209))/E209</f>
        <v>0</v>
      </c>
    </row>
    <row r="210" spans="2:23" ht="15" customHeight="1">
      <c r="B210">
        <f>MIN('GA Arroyo'!B210,'GA Arroyo'!E210,'GA Arroyo'!H210,'GA Arroyo'!K210)</f>
        <v>8057.6</v>
      </c>
      <c r="C210">
        <f>MIN('GA Arroyo'!O210, 'GA Arroyo'!R210, 'GA Arroyo'!U210, 'GA Arroyo'!X210)</f>
        <v>7961.6</v>
      </c>
      <c r="D210">
        <f>MIN('GA Arroyo'!AB210, 'GA Arroyo'!AE210, 'GA Arroyo'!AH210, 'GA Arroyo'!AK210)</f>
        <v>8622.2000000000007</v>
      </c>
      <c r="E210">
        <f>MIN('GA Arroyo'!AO210, 'GA Arroyo'!AR210, 'GA Arroyo'!AU210, 'GA Arroyo'!AX210)</f>
        <v>8416.7999999999993</v>
      </c>
      <c r="G210" s="45">
        <f t="shared" si="19"/>
        <v>7961.6</v>
      </c>
      <c r="I210" s="49">
        <f t="shared" si="20"/>
        <v>1.2057877813504823</v>
      </c>
      <c r="J210" s="49">
        <f t="shared" si="21"/>
        <v>0</v>
      </c>
      <c r="K210" s="49">
        <f t="shared" si="22"/>
        <v>8.2973271704180096</v>
      </c>
      <c r="L210" s="49">
        <f t="shared" si="23"/>
        <v>5.7174437299035228</v>
      </c>
      <c r="T210" s="49">
        <f>(100*('GA Arroyo'!AO210-E210))/E210</f>
        <v>3.6474669708202647</v>
      </c>
      <c r="U210" s="49">
        <f>(100*('GA Arroyo'!AR210-E210))/E210</f>
        <v>3.9587491683300158</v>
      </c>
      <c r="V210" s="49">
        <f>(100*('GA Arroyo'!AU210-E210))/E210</f>
        <v>0.35048949719608408</v>
      </c>
      <c r="W210" s="49">
        <f>(100*('GA Arroyo'!AX210-E210))/E210</f>
        <v>0</v>
      </c>
    </row>
    <row r="211" spans="2:23" ht="15" customHeight="1">
      <c r="B211">
        <f>MIN('GA Arroyo'!B211,'GA Arroyo'!E211,'GA Arroyo'!H211,'GA Arroyo'!K211)</f>
        <v>10775.7</v>
      </c>
      <c r="C211">
        <f>MIN('GA Arroyo'!O211, 'GA Arroyo'!R211, 'GA Arroyo'!U211, 'GA Arroyo'!X211)</f>
        <v>10092.1</v>
      </c>
      <c r="D211">
        <f>MIN('GA Arroyo'!AB211, 'GA Arroyo'!AE211, 'GA Arroyo'!AH211, 'GA Arroyo'!AK211)</f>
        <v>12331.3</v>
      </c>
      <c r="E211">
        <f>MIN('GA Arroyo'!AO211, 'GA Arroyo'!AR211, 'GA Arroyo'!AU211, 'GA Arroyo'!AX211)</f>
        <v>11366.9</v>
      </c>
      <c r="G211" s="45">
        <f t="shared" si="19"/>
        <v>10092.1</v>
      </c>
      <c r="I211" s="49">
        <f t="shared" si="20"/>
        <v>6.773615005796616</v>
      </c>
      <c r="J211" s="49">
        <f t="shared" si="21"/>
        <v>0</v>
      </c>
      <c r="K211" s="49">
        <f t="shared" si="22"/>
        <v>22.187651727588893</v>
      </c>
      <c r="L211" s="49">
        <f t="shared" si="23"/>
        <v>12.631662389393677</v>
      </c>
      <c r="T211" s="49">
        <f>(100*('GA Arroyo'!AO211-E211))/E211</f>
        <v>3.9843756873026037</v>
      </c>
      <c r="U211" s="49">
        <f>(100*('GA Arroyo'!AR211-E211))/E211</f>
        <v>0.49265850847636561</v>
      </c>
      <c r="V211" s="49">
        <f>(100*('GA Arroyo'!AU211-E211))/E211</f>
        <v>6.7766937335597319</v>
      </c>
      <c r="W211" s="49">
        <f>(100*('GA Arroyo'!AX211-E211))/E211</f>
        <v>0</v>
      </c>
    </row>
    <row r="212" spans="2:23" ht="15" customHeight="1">
      <c r="B212">
        <f>MIN('GA Arroyo'!B212,'GA Arroyo'!E212,'GA Arroyo'!H212,'GA Arroyo'!K212)</f>
        <v>12291.8</v>
      </c>
      <c r="C212">
        <f>MIN('GA Arroyo'!O212, 'GA Arroyo'!R212, 'GA Arroyo'!U212, 'GA Arroyo'!X212)</f>
        <v>12044.3</v>
      </c>
      <c r="D212">
        <f>MIN('GA Arroyo'!AB212, 'GA Arroyo'!AE212, 'GA Arroyo'!AH212, 'GA Arroyo'!AK212)</f>
        <v>12444.3</v>
      </c>
      <c r="E212">
        <f>MIN('GA Arroyo'!AO212, 'GA Arroyo'!AR212, 'GA Arroyo'!AU212, 'GA Arroyo'!AX212)</f>
        <v>12044.3</v>
      </c>
      <c r="G212" s="45">
        <f t="shared" si="19"/>
        <v>12044.3</v>
      </c>
      <c r="I212" s="49">
        <f t="shared" si="20"/>
        <v>2.0549139426948848</v>
      </c>
      <c r="J212" s="49">
        <f t="shared" si="21"/>
        <v>0</v>
      </c>
      <c r="K212" s="49">
        <f t="shared" si="22"/>
        <v>3.3210730386988039</v>
      </c>
      <c r="L212" s="49">
        <f t="shared" si="23"/>
        <v>0</v>
      </c>
      <c r="T212" s="49">
        <f>(100*('GA Arroyo'!AO212-E212))/E212</f>
        <v>0</v>
      </c>
      <c r="U212" s="49">
        <f>(100*('GA Arroyo'!AR212-E212))/E212</f>
        <v>5.0770904079107959</v>
      </c>
      <c r="V212" s="49">
        <f>(100*('GA Arroyo'!AU212-E212))/E212</f>
        <v>7.0365235007430904</v>
      </c>
      <c r="W212" s="49">
        <f>(100*('GA Arroyo'!AX212-E212))/E212</f>
        <v>4.225235173484565</v>
      </c>
    </row>
    <row r="213" spans="2:23" ht="15" customHeight="1">
      <c r="B213">
        <f>MIN('GA Arroyo'!B213,'GA Arroyo'!E213,'GA Arroyo'!H213,'GA Arroyo'!K213)</f>
        <v>9292.7000000000007</v>
      </c>
      <c r="C213">
        <f>MIN('GA Arroyo'!O213, 'GA Arroyo'!R213, 'GA Arroyo'!U213, 'GA Arroyo'!X213)</f>
        <v>9036.7000000000007</v>
      </c>
      <c r="D213">
        <f>MIN('GA Arroyo'!AB213, 'GA Arroyo'!AE213, 'GA Arroyo'!AH213, 'GA Arroyo'!AK213)</f>
        <v>10292.799999999999</v>
      </c>
      <c r="E213">
        <f>MIN('GA Arroyo'!AO213, 'GA Arroyo'!AR213, 'GA Arroyo'!AU213, 'GA Arroyo'!AX213)</f>
        <v>9036.7000000000007</v>
      </c>
      <c r="G213" s="45">
        <f t="shared" si="19"/>
        <v>9036.7000000000007</v>
      </c>
      <c r="I213" s="49">
        <f t="shared" si="20"/>
        <v>2.8328925382053183</v>
      </c>
      <c r="J213" s="49">
        <f t="shared" si="21"/>
        <v>0</v>
      </c>
      <c r="K213" s="49">
        <f t="shared" si="22"/>
        <v>13.899985614217563</v>
      </c>
      <c r="L213" s="49">
        <f t="shared" si="23"/>
        <v>0</v>
      </c>
      <c r="T213" s="49">
        <f>(100*('GA Arroyo'!AO213-E213))/E213</f>
        <v>0</v>
      </c>
      <c r="U213" s="49">
        <f>(100*('GA Arroyo'!AR213-E213))/E213</f>
        <v>13.11098077838148</v>
      </c>
      <c r="V213" s="49">
        <f>(100*('GA Arroyo'!AU213-E213))/E213</f>
        <v>11.453296004072282</v>
      </c>
      <c r="W213" s="49">
        <f>(100*('GA Arroyo'!AX213-E213))/E213</f>
        <v>10.302433410426371</v>
      </c>
    </row>
    <row r="214" spans="2:23" ht="15" customHeight="1">
      <c r="B214">
        <f>MIN('GA Arroyo'!B214,'GA Arroyo'!E214,'GA Arroyo'!H214,'GA Arroyo'!K214)</f>
        <v>10474.799999999999</v>
      </c>
      <c r="C214">
        <f>MIN('GA Arroyo'!O214, 'GA Arroyo'!R214, 'GA Arroyo'!U214, 'GA Arroyo'!X214)</f>
        <v>10546.8</v>
      </c>
      <c r="D214">
        <f>MIN('GA Arroyo'!AB214, 'GA Arroyo'!AE214, 'GA Arroyo'!AH214, 'GA Arroyo'!AK214)</f>
        <v>11270.7</v>
      </c>
      <c r="E214">
        <f>MIN('GA Arroyo'!AO214, 'GA Arroyo'!AR214, 'GA Arroyo'!AU214, 'GA Arroyo'!AX214)</f>
        <v>10458.799999999999</v>
      </c>
      <c r="G214" s="45">
        <f t="shared" si="19"/>
        <v>10458.799999999999</v>
      </c>
      <c r="I214" s="49">
        <f t="shared" si="20"/>
        <v>0.15298122155505411</v>
      </c>
      <c r="J214" s="49">
        <f t="shared" si="21"/>
        <v>0.84139671855279774</v>
      </c>
      <c r="K214" s="49">
        <f t="shared" si="22"/>
        <v>7.7628408612842916</v>
      </c>
      <c r="L214" s="49">
        <f t="shared" si="23"/>
        <v>0</v>
      </c>
      <c r="T214" s="49">
        <f>(100*('GA Arroyo'!AO214-E214))/E214</f>
        <v>7.7628408612842916</v>
      </c>
      <c r="U214" s="49">
        <f>(100*('GA Arroyo'!AR214-E214))/E214</f>
        <v>0</v>
      </c>
      <c r="V214" s="49">
        <f>(100*('GA Arroyo'!AU214-E214))/E214</f>
        <v>8.095575018166528</v>
      </c>
      <c r="W214" s="49">
        <f>(100*('GA Arroyo'!AX214-E214))/E214</f>
        <v>13.485294680078034</v>
      </c>
    </row>
    <row r="215" spans="2:23" ht="15" customHeight="1">
      <c r="B215">
        <f>MIN('GA Arroyo'!B215,'GA Arroyo'!E215,'GA Arroyo'!H215,'GA Arroyo'!K215)</f>
        <v>12106.5</v>
      </c>
      <c r="C215">
        <f>MIN('GA Arroyo'!O215, 'GA Arroyo'!R215, 'GA Arroyo'!U215, 'GA Arroyo'!X215)</f>
        <v>12138.5</v>
      </c>
      <c r="D215">
        <f>MIN('GA Arroyo'!AB215, 'GA Arroyo'!AE215, 'GA Arroyo'!AH215, 'GA Arroyo'!AK215)</f>
        <v>12959.5</v>
      </c>
      <c r="E215">
        <f>MIN('GA Arroyo'!AO215, 'GA Arroyo'!AR215, 'GA Arroyo'!AU215, 'GA Arroyo'!AX215)</f>
        <v>12776.9</v>
      </c>
      <c r="G215" s="45">
        <f t="shared" si="19"/>
        <v>12106.5</v>
      </c>
      <c r="I215" s="49">
        <f t="shared" si="20"/>
        <v>0</v>
      </c>
      <c r="J215" s="49">
        <f t="shared" si="21"/>
        <v>0.26432081939454011</v>
      </c>
      <c r="K215" s="49">
        <f t="shared" si="22"/>
        <v>7.0458018419857105</v>
      </c>
      <c r="L215" s="49">
        <f t="shared" si="23"/>
        <v>5.5375211663156128</v>
      </c>
      <c r="T215" s="49">
        <f>(100*('GA Arroyo'!AO215-E215))/E215</f>
        <v>1.6396778561309864</v>
      </c>
      <c r="U215" s="49">
        <f>(100*('GA Arroyo'!AR215-E215))/E215</f>
        <v>0.87345130665498183</v>
      </c>
      <c r="V215" s="49">
        <f>(100*('GA Arroyo'!AU215-E215))/E215</f>
        <v>0</v>
      </c>
      <c r="W215" s="49">
        <f>(100*('GA Arroyo'!AX215-E215))/E215</f>
        <v>0.87345130665498183</v>
      </c>
    </row>
    <row r="216" spans="2:23" ht="15" customHeight="1">
      <c r="B216">
        <f>MIN('GA Arroyo'!B216,'GA Arroyo'!E216,'GA Arroyo'!H216,'GA Arroyo'!K216)</f>
        <v>8455.4</v>
      </c>
      <c r="C216">
        <f>MIN('GA Arroyo'!O216, 'GA Arroyo'!R216, 'GA Arroyo'!U216, 'GA Arroyo'!X216)</f>
        <v>8377.1</v>
      </c>
      <c r="D216">
        <f>MIN('GA Arroyo'!AB216, 'GA Arroyo'!AE216, 'GA Arroyo'!AH216, 'GA Arroyo'!AK216)</f>
        <v>8539.1</v>
      </c>
      <c r="E216">
        <f>MIN('GA Arroyo'!AO216, 'GA Arroyo'!AR216, 'GA Arroyo'!AU216, 'GA Arroyo'!AX216)</f>
        <v>8131</v>
      </c>
      <c r="G216" s="45">
        <f t="shared" si="19"/>
        <v>8131</v>
      </c>
      <c r="I216" s="49">
        <f t="shared" si="20"/>
        <v>3.989669167384081</v>
      </c>
      <c r="J216" s="49">
        <f t="shared" si="21"/>
        <v>3.0266879842577832</v>
      </c>
      <c r="K216" s="49">
        <f t="shared" si="22"/>
        <v>5.0190628458984179</v>
      </c>
      <c r="L216" s="49">
        <f t="shared" si="23"/>
        <v>0</v>
      </c>
      <c r="T216" s="49">
        <f>(100*('GA Arroyo'!AO216-E216))/E216</f>
        <v>33.481736563768287</v>
      </c>
      <c r="U216" s="49">
        <f>(100*('GA Arroyo'!AR216-E216))/E216</f>
        <v>50.803099249784765</v>
      </c>
      <c r="V216" s="49">
        <f>(100*('GA Arroyo'!AU216-E216))/E216</f>
        <v>24.672242036649862</v>
      </c>
      <c r="W216" s="49">
        <f>(100*('GA Arroyo'!AX216-E216))/E216</f>
        <v>0</v>
      </c>
    </row>
    <row r="217" spans="2:23" ht="15" customHeight="1">
      <c r="B217">
        <f>MIN('GA Arroyo'!B217,'GA Arroyo'!E217,'GA Arroyo'!H217,'GA Arroyo'!K217)</f>
        <v>9158.9</v>
      </c>
      <c r="C217">
        <f>MIN('GA Arroyo'!O217, 'GA Arroyo'!R217, 'GA Arroyo'!U217, 'GA Arroyo'!X217)</f>
        <v>8947.1</v>
      </c>
      <c r="D217">
        <f>MIN('GA Arroyo'!AB217, 'GA Arroyo'!AE217, 'GA Arroyo'!AH217, 'GA Arroyo'!AK217)</f>
        <v>9723.9</v>
      </c>
      <c r="E217">
        <f>MIN('GA Arroyo'!AO217, 'GA Arroyo'!AR217, 'GA Arroyo'!AU217, 'GA Arroyo'!AX217)</f>
        <v>9031.9</v>
      </c>
      <c r="G217" s="45">
        <f t="shared" si="19"/>
        <v>8947.1</v>
      </c>
      <c r="I217" s="49">
        <f t="shared" si="20"/>
        <v>2.3672474880128673</v>
      </c>
      <c r="J217" s="49">
        <f t="shared" si="21"/>
        <v>0</v>
      </c>
      <c r="K217" s="49">
        <f t="shared" si="22"/>
        <v>8.6821428172256851</v>
      </c>
      <c r="L217" s="49">
        <f t="shared" si="23"/>
        <v>0.94779313967653511</v>
      </c>
      <c r="T217" s="49">
        <f>(100*('GA Arroyo'!AO217-E217))/E217</f>
        <v>7.4015434183283695</v>
      </c>
      <c r="U217" s="49">
        <f>(100*('GA Arroyo'!AR217-E217))/E217</f>
        <v>1.4171990389619018</v>
      </c>
      <c r="V217" s="49">
        <f>(100*('GA Arroyo'!AU217-E217))/E217</f>
        <v>6.9143812486852161</v>
      </c>
      <c r="W217" s="49">
        <f>(100*('GA Arroyo'!AX217-E217))/E217</f>
        <v>0</v>
      </c>
    </row>
    <row r="218" spans="2:23" ht="15" customHeight="1">
      <c r="B218">
        <f>MIN('GA Arroyo'!B218,'GA Arroyo'!E218,'GA Arroyo'!H218,'GA Arroyo'!K218)</f>
        <v>11352.9</v>
      </c>
      <c r="C218">
        <f>MIN('GA Arroyo'!O218, 'GA Arroyo'!R218, 'GA Arroyo'!U218, 'GA Arroyo'!X218)</f>
        <v>10956.5</v>
      </c>
      <c r="D218">
        <f>MIN('GA Arroyo'!AB218, 'GA Arroyo'!AE218, 'GA Arroyo'!AH218, 'GA Arroyo'!AK218)</f>
        <v>11569.9</v>
      </c>
      <c r="E218">
        <f>MIN('GA Arroyo'!AO218, 'GA Arroyo'!AR218, 'GA Arroyo'!AU218, 'GA Arroyo'!AX218)</f>
        <v>11352.9</v>
      </c>
      <c r="G218" s="45">
        <f t="shared" si="19"/>
        <v>10956.5</v>
      </c>
      <c r="I218" s="49">
        <f t="shared" si="20"/>
        <v>3.6179436863961998</v>
      </c>
      <c r="J218" s="49">
        <f t="shared" si="21"/>
        <v>0</v>
      </c>
      <c r="K218" s="49">
        <f t="shared" si="22"/>
        <v>5.5985031716332738</v>
      </c>
      <c r="L218" s="49">
        <f t="shared" si="23"/>
        <v>3.6179436863961998</v>
      </c>
      <c r="T218" s="49">
        <f>(100*('GA Arroyo'!AO218-E218))/E218</f>
        <v>0</v>
      </c>
      <c r="U218" s="49">
        <f>(100*('GA Arroyo'!AR218-E218))/E218</f>
        <v>5.0260285918135486</v>
      </c>
      <c r="V218" s="49">
        <f>(100*('GA Arroyo'!AU218-E218))/E218</f>
        <v>1.9114058962908156</v>
      </c>
      <c r="W218" s="49">
        <f>(100*('GA Arroyo'!AX218-E218))/E218</f>
        <v>7.4694571431088095</v>
      </c>
    </row>
    <row r="219" spans="2:23" ht="15" customHeight="1">
      <c r="B219">
        <f>MIN('GA Arroyo'!B219,'GA Arroyo'!E219,'GA Arroyo'!H219,'GA Arroyo'!K219)</f>
        <v>14445.7</v>
      </c>
      <c r="C219">
        <f>MIN('GA Arroyo'!O219, 'GA Arroyo'!R219, 'GA Arroyo'!U219, 'GA Arroyo'!X219)</f>
        <v>14445.7</v>
      </c>
      <c r="D219">
        <f>MIN('GA Arroyo'!AB219, 'GA Arroyo'!AE219, 'GA Arroyo'!AH219, 'GA Arroyo'!AK219)</f>
        <v>14909.7</v>
      </c>
      <c r="E219">
        <f>MIN('GA Arroyo'!AO219, 'GA Arroyo'!AR219, 'GA Arroyo'!AU219, 'GA Arroyo'!AX219)</f>
        <v>15042.5</v>
      </c>
      <c r="G219" s="45">
        <f t="shared" si="19"/>
        <v>14445.7</v>
      </c>
      <c r="I219" s="49">
        <f t="shared" si="20"/>
        <v>0</v>
      </c>
      <c r="J219" s="49">
        <f t="shared" si="21"/>
        <v>0</v>
      </c>
      <c r="K219" s="49">
        <f t="shared" si="22"/>
        <v>3.2120284929079239</v>
      </c>
      <c r="L219" s="49">
        <f t="shared" si="23"/>
        <v>4.1313331994988074</v>
      </c>
      <c r="T219" s="49">
        <f>(100*('GA Arroyo'!AO219-E219))/E219</f>
        <v>1.2145587502077495</v>
      </c>
      <c r="U219" s="49">
        <f>(100*('GA Arroyo'!AR219-E219))/E219</f>
        <v>0</v>
      </c>
      <c r="V219" s="49">
        <f>(100*('GA Arroyo'!AU219-E219))/E219</f>
        <v>1.170018281535649</v>
      </c>
      <c r="W219" s="49">
        <f>(100*('GA Arroyo'!AX219-E219))/E219</f>
        <v>2.3147748047199648</v>
      </c>
    </row>
    <row r="220" spans="2:23" ht="15" customHeight="1">
      <c r="B220">
        <f>MIN('GA Arroyo'!B220,'GA Arroyo'!E220,'GA Arroyo'!H220,'GA Arroyo'!K220)</f>
        <v>13263.4</v>
      </c>
      <c r="C220">
        <f>MIN('GA Arroyo'!O220, 'GA Arroyo'!R220, 'GA Arroyo'!U220, 'GA Arroyo'!X220)</f>
        <v>13378.1</v>
      </c>
      <c r="D220">
        <f>MIN('GA Arroyo'!AB220, 'GA Arroyo'!AE220, 'GA Arroyo'!AH220, 'GA Arroyo'!AK220)</f>
        <v>14081.7</v>
      </c>
      <c r="E220">
        <f>MIN('GA Arroyo'!AO220, 'GA Arroyo'!AR220, 'GA Arroyo'!AU220, 'GA Arroyo'!AX220)</f>
        <v>13493.9</v>
      </c>
      <c r="G220" s="45">
        <f t="shared" si="19"/>
        <v>13263.4</v>
      </c>
      <c r="I220" s="49">
        <f t="shared" si="20"/>
        <v>0</v>
      </c>
      <c r="J220" s="49">
        <f t="shared" si="21"/>
        <v>0.86478580152902518</v>
      </c>
      <c r="K220" s="49">
        <f t="shared" si="22"/>
        <v>6.1696096023644103</v>
      </c>
      <c r="L220" s="49">
        <f t="shared" si="23"/>
        <v>1.7378651024624154</v>
      </c>
      <c r="T220" s="49">
        <f>(100*('GA Arroyo'!AO220-E220))/E220</f>
        <v>4.965206500715677E-2</v>
      </c>
      <c r="U220" s="49">
        <f>(100*('GA Arroyo'!AR220-E220))/E220</f>
        <v>5.3194406361393014</v>
      </c>
      <c r="V220" s="49">
        <f>(100*('GA Arroyo'!AU220-E220))/E220</f>
        <v>4.965206500715677E-2</v>
      </c>
      <c r="W220" s="49">
        <f>(100*('GA Arroyo'!AX220-E220))/E220</f>
        <v>0</v>
      </c>
    </row>
    <row r="221" spans="2:23" ht="15" customHeight="1">
      <c r="B221">
        <f>MIN('GA Arroyo'!B221,'GA Arroyo'!E221,'GA Arroyo'!H221,'GA Arroyo'!K221)</f>
        <v>11245.4</v>
      </c>
      <c r="C221">
        <f>MIN('GA Arroyo'!O221, 'GA Arroyo'!R221, 'GA Arroyo'!U221, 'GA Arroyo'!X221)</f>
        <v>11150.6</v>
      </c>
      <c r="D221">
        <f>MIN('GA Arroyo'!AB221, 'GA Arroyo'!AE221, 'GA Arroyo'!AH221, 'GA Arroyo'!AK221)</f>
        <v>12570.5</v>
      </c>
      <c r="E221">
        <f>MIN('GA Arroyo'!AO221, 'GA Arroyo'!AR221, 'GA Arroyo'!AU221, 'GA Arroyo'!AX221)</f>
        <v>11779</v>
      </c>
      <c r="G221" s="45">
        <f t="shared" si="19"/>
        <v>11150.6</v>
      </c>
      <c r="I221" s="49">
        <f t="shared" si="20"/>
        <v>0.85017846573277911</v>
      </c>
      <c r="J221" s="49">
        <f t="shared" si="21"/>
        <v>0</v>
      </c>
      <c r="K221" s="49">
        <f t="shared" si="22"/>
        <v>12.733843918712891</v>
      </c>
      <c r="L221" s="49">
        <f t="shared" si="23"/>
        <v>5.6355711800261838</v>
      </c>
      <c r="T221" s="49">
        <f>(100*('GA Arroyo'!AO221-E221))/E221</f>
        <v>5.5794210034807774</v>
      </c>
      <c r="U221" s="49">
        <f>(100*('GA Arroyo'!AR221-E221))/E221</f>
        <v>2.6861363443416217</v>
      </c>
      <c r="V221" s="49">
        <f>(100*('GA Arroyo'!AU221-E221))/E221</f>
        <v>0</v>
      </c>
      <c r="W221" s="49">
        <f>(100*('GA Arroyo'!AX221-E221))/E221</f>
        <v>3.3721028949826022</v>
      </c>
    </row>
    <row r="222" spans="2:23" ht="15" customHeight="1">
      <c r="B222">
        <f>MIN('GA Arroyo'!B222,'GA Arroyo'!E222,'GA Arroyo'!H222,'GA Arroyo'!K222)</f>
        <v>10296.299999999999</v>
      </c>
      <c r="C222">
        <f>MIN('GA Arroyo'!O222, 'GA Arroyo'!R222, 'GA Arroyo'!U222, 'GA Arroyo'!X222)</f>
        <v>9770.7999999999993</v>
      </c>
      <c r="D222">
        <f>MIN('GA Arroyo'!AB222, 'GA Arroyo'!AE222, 'GA Arroyo'!AH222, 'GA Arroyo'!AK222)</f>
        <v>11409.2</v>
      </c>
      <c r="E222">
        <f>MIN('GA Arroyo'!AO222, 'GA Arroyo'!AR222, 'GA Arroyo'!AU222, 'GA Arroyo'!AX222)</f>
        <v>10548.6</v>
      </c>
      <c r="G222" s="45">
        <f t="shared" si="19"/>
        <v>9770.7999999999993</v>
      </c>
      <c r="I222" s="49">
        <f t="shared" si="20"/>
        <v>5.3782699471895858</v>
      </c>
      <c r="J222" s="49">
        <f t="shared" si="21"/>
        <v>0</v>
      </c>
      <c r="K222" s="49">
        <f t="shared" si="22"/>
        <v>16.768330126499382</v>
      </c>
      <c r="L222" s="49">
        <f t="shared" si="23"/>
        <v>7.9604535964301926</v>
      </c>
      <c r="T222" s="49">
        <f>(100*('GA Arroyo'!AO222-E222))/E222</f>
        <v>1.6608839087651337</v>
      </c>
      <c r="U222" s="49">
        <f>(100*('GA Arroyo'!AR222-E222))/E222</f>
        <v>0</v>
      </c>
      <c r="V222" s="49">
        <f>(100*('GA Arroyo'!AU222-E222))/E222</f>
        <v>5.3087613522177009E-2</v>
      </c>
      <c r="W222" s="49">
        <f>(100*('GA Arroyo'!AX222-E222))/E222</f>
        <v>2.3510228845534002</v>
      </c>
    </row>
    <row r="223" spans="2:23" ht="15" customHeight="1">
      <c r="B223">
        <f>MIN('GA Arroyo'!B223,'GA Arroyo'!E223,'GA Arroyo'!H223,'GA Arroyo'!K223)</f>
        <v>10702.7</v>
      </c>
      <c r="C223">
        <f>MIN('GA Arroyo'!O223, 'GA Arroyo'!R223, 'GA Arroyo'!U223, 'GA Arroyo'!X223)</f>
        <v>10702.7</v>
      </c>
      <c r="D223">
        <f>MIN('GA Arroyo'!AB223, 'GA Arroyo'!AE223, 'GA Arroyo'!AH223, 'GA Arroyo'!AK223)</f>
        <v>10702.7</v>
      </c>
      <c r="E223">
        <f>MIN('GA Arroyo'!AO223, 'GA Arroyo'!AR223, 'GA Arroyo'!AU223, 'GA Arroyo'!AX223)</f>
        <v>11377.7</v>
      </c>
      <c r="G223" s="45">
        <f t="shared" si="19"/>
        <v>10702.7</v>
      </c>
      <c r="I223" s="49">
        <f t="shared" si="20"/>
        <v>0</v>
      </c>
      <c r="J223" s="49">
        <f t="shared" si="21"/>
        <v>0</v>
      </c>
      <c r="K223" s="49">
        <f t="shared" si="22"/>
        <v>0</v>
      </c>
      <c r="L223" s="49">
        <f t="shared" si="23"/>
        <v>6.3068197744494379</v>
      </c>
      <c r="T223" s="49">
        <f>(100*('GA Arroyo'!AO223-E223))/E223</f>
        <v>1.5284284169911284</v>
      </c>
      <c r="U223" s="49">
        <f>(100*('GA Arroyo'!AR223-E223))/E223</f>
        <v>1.5284284169911284</v>
      </c>
      <c r="V223" s="49">
        <f>(100*('GA Arroyo'!AU223-E223))/E223</f>
        <v>0</v>
      </c>
      <c r="W223" s="49">
        <f>(100*('GA Arroyo'!AX223-E223))/E223</f>
        <v>0.86924422334917983</v>
      </c>
    </row>
    <row r="224" spans="2:23" ht="15" customHeight="1">
      <c r="B224">
        <f>MIN('GA Arroyo'!B224,'GA Arroyo'!E224,'GA Arroyo'!H224,'GA Arroyo'!K224)</f>
        <v>9671.9</v>
      </c>
      <c r="C224">
        <f>MIN('GA Arroyo'!O224, 'GA Arroyo'!R224, 'GA Arroyo'!U224, 'GA Arroyo'!X224)</f>
        <v>9663.9</v>
      </c>
      <c r="D224">
        <f>MIN('GA Arroyo'!AB224, 'GA Arroyo'!AE224, 'GA Arroyo'!AH224, 'GA Arroyo'!AK224)</f>
        <v>10300.700000000001</v>
      </c>
      <c r="E224">
        <f>MIN('GA Arroyo'!AO224, 'GA Arroyo'!AR224, 'GA Arroyo'!AU224, 'GA Arroyo'!AX224)</f>
        <v>9559.9</v>
      </c>
      <c r="G224" s="45">
        <f t="shared" si="19"/>
        <v>9559.9</v>
      </c>
      <c r="I224" s="49">
        <f t="shared" si="20"/>
        <v>1.1715603719704182</v>
      </c>
      <c r="J224" s="49">
        <f t="shared" si="21"/>
        <v>1.0878774882582454</v>
      </c>
      <c r="K224" s="49">
        <f t="shared" si="22"/>
        <v>7.7490350317472068</v>
      </c>
      <c r="L224" s="49">
        <f t="shared" si="23"/>
        <v>0</v>
      </c>
      <c r="T224" s="49">
        <f>(100*('GA Arroyo'!AO224-E224))/E224</f>
        <v>0</v>
      </c>
      <c r="U224" s="49">
        <f>(100*('GA Arroyo'!AR224-E224))/E224</f>
        <v>3.8671952635487896</v>
      </c>
      <c r="V224" s="49">
        <f>(100*('GA Arroyo'!AU224-E224))/E224</f>
        <v>2.9770185880605484</v>
      </c>
      <c r="W224" s="49">
        <f>(100*('GA Arroyo'!AX224-E224))/E224</f>
        <v>2.2081820939549615</v>
      </c>
    </row>
    <row r="225" spans="2:23" ht="15" customHeight="1">
      <c r="B225">
        <f>MIN('GA Arroyo'!B225,'GA Arroyo'!E225,'GA Arroyo'!H225,'GA Arroyo'!K225)</f>
        <v>8658</v>
      </c>
      <c r="C225">
        <f>MIN('GA Arroyo'!O225, 'GA Arroyo'!R225, 'GA Arroyo'!U225, 'GA Arroyo'!X225)</f>
        <v>8594</v>
      </c>
      <c r="D225">
        <f>MIN('GA Arroyo'!AB225, 'GA Arroyo'!AE225, 'GA Arroyo'!AH225, 'GA Arroyo'!AK225)</f>
        <v>9801.2999999999993</v>
      </c>
      <c r="E225">
        <f>MIN('GA Arroyo'!AO225, 'GA Arroyo'!AR225, 'GA Arroyo'!AU225, 'GA Arroyo'!AX225)</f>
        <v>9030.5</v>
      </c>
      <c r="G225" s="45">
        <f t="shared" si="19"/>
        <v>8594</v>
      </c>
      <c r="I225" s="49">
        <f t="shared" si="20"/>
        <v>0.7447056085641145</v>
      </c>
      <c r="J225" s="49">
        <f t="shared" si="21"/>
        <v>0</v>
      </c>
      <c r="K225" s="49">
        <f t="shared" si="22"/>
        <v>14.048173144053983</v>
      </c>
      <c r="L225" s="49">
        <f t="shared" si="23"/>
        <v>5.0791249709099375</v>
      </c>
      <c r="T225" s="49">
        <f>(100*('GA Arroyo'!AO225-E225))/E225</f>
        <v>8.3683074026908884</v>
      </c>
      <c r="U225" s="49">
        <f>(100*('GA Arroyo'!AR225-E225))/E225</f>
        <v>4.2777254858534883</v>
      </c>
      <c r="V225" s="49">
        <f>(100*('GA Arroyo'!AU225-E225))/E225</f>
        <v>7.5610431316095372</v>
      </c>
      <c r="W225" s="49">
        <f>(100*('GA Arroyo'!AX225-E225))/E225</f>
        <v>0</v>
      </c>
    </row>
    <row r="226" spans="2:23" ht="15" customHeight="1">
      <c r="B226">
        <f>MIN('GA Arroyo'!B226,'GA Arroyo'!E226,'GA Arroyo'!H226,'GA Arroyo'!K226)</f>
        <v>7329.1</v>
      </c>
      <c r="C226">
        <f>MIN('GA Arroyo'!O226, 'GA Arroyo'!R226, 'GA Arroyo'!U226, 'GA Arroyo'!X226)</f>
        <v>7265.1</v>
      </c>
      <c r="D226">
        <f>MIN('GA Arroyo'!AB226, 'GA Arroyo'!AE226, 'GA Arroyo'!AH226, 'GA Arroyo'!AK226)</f>
        <v>8247.7999999999993</v>
      </c>
      <c r="E226">
        <f>MIN('GA Arroyo'!AO226, 'GA Arroyo'!AR226, 'GA Arroyo'!AU226, 'GA Arroyo'!AX226)</f>
        <v>7594.2</v>
      </c>
      <c r="G226" s="45">
        <f t="shared" si="19"/>
        <v>7265.1</v>
      </c>
      <c r="I226" s="49">
        <f t="shared" si="20"/>
        <v>0.88092386890751673</v>
      </c>
      <c r="J226" s="49">
        <f t="shared" si="21"/>
        <v>0</v>
      </c>
      <c r="K226" s="49">
        <f t="shared" si="22"/>
        <v>13.52631071836587</v>
      </c>
      <c r="L226" s="49">
        <f t="shared" si="23"/>
        <v>4.5298757071478635</v>
      </c>
      <c r="T226" s="49">
        <f>(100*('GA Arroyo'!AO226-E226))/E226</f>
        <v>8.6724078902320123</v>
      </c>
      <c r="U226" s="49">
        <f>(100*('GA Arroyo'!AR226-E226))/E226</f>
        <v>4.7733796844960628</v>
      </c>
      <c r="V226" s="49">
        <f>(100*('GA Arroyo'!AU226-E226))/E226</f>
        <v>2.133206921071344</v>
      </c>
      <c r="W226" s="49">
        <f>(100*('GA Arroyo'!AX226-E226))/E226</f>
        <v>0</v>
      </c>
    </row>
    <row r="227" spans="2:23" ht="15" customHeight="1">
      <c r="B227">
        <f>MIN('GA Arroyo'!B227,'GA Arroyo'!E227,'GA Arroyo'!H227,'GA Arroyo'!K227)</f>
        <v>7549.3</v>
      </c>
      <c r="C227">
        <f>MIN('GA Arroyo'!O227, 'GA Arroyo'!R227, 'GA Arroyo'!U227, 'GA Arroyo'!X227)</f>
        <v>7533.3</v>
      </c>
      <c r="D227">
        <f>MIN('GA Arroyo'!AB227, 'GA Arroyo'!AE227, 'GA Arroyo'!AH227, 'GA Arroyo'!AK227)</f>
        <v>7973.8</v>
      </c>
      <c r="E227">
        <f>MIN('GA Arroyo'!AO227, 'GA Arroyo'!AR227, 'GA Arroyo'!AU227, 'GA Arroyo'!AX227)</f>
        <v>7565.3</v>
      </c>
      <c r="G227" s="45">
        <f t="shared" si="19"/>
        <v>7533.3</v>
      </c>
      <c r="I227" s="49">
        <f t="shared" si="20"/>
        <v>0.21239032031115182</v>
      </c>
      <c r="J227" s="49">
        <f t="shared" si="21"/>
        <v>0</v>
      </c>
      <c r="K227" s="49">
        <f t="shared" si="22"/>
        <v>5.8473710060663988</v>
      </c>
      <c r="L227" s="49">
        <f t="shared" si="23"/>
        <v>0.42478064062230364</v>
      </c>
      <c r="T227" s="49">
        <f>(100*('GA Arroyo'!AO227-E227))/E227</f>
        <v>0</v>
      </c>
      <c r="U227" s="49">
        <f>(100*('GA Arroyo'!AR227-E227))/E227</f>
        <v>0</v>
      </c>
      <c r="V227" s="49">
        <f>(100*('GA Arroyo'!AU227-E227))/E227</f>
        <v>4.2972519265594151</v>
      </c>
      <c r="W227" s="49">
        <f>(100*('GA Arroyo'!AX227-E227))/E227</f>
        <v>4.2972519265594151</v>
      </c>
    </row>
    <row r="228" spans="2:23" ht="15" customHeight="1">
      <c r="B228">
        <f>MIN('GA Arroyo'!B228,'GA Arroyo'!E228,'GA Arroyo'!H228,'GA Arroyo'!K228)</f>
        <v>13165.2</v>
      </c>
      <c r="C228">
        <f>MIN('GA Arroyo'!O228, 'GA Arroyo'!R228, 'GA Arroyo'!U228, 'GA Arroyo'!X228)</f>
        <v>12738.1</v>
      </c>
      <c r="D228">
        <f>MIN('GA Arroyo'!AB228, 'GA Arroyo'!AE228, 'GA Arroyo'!AH228, 'GA Arroyo'!AK228)</f>
        <v>13673.3</v>
      </c>
      <c r="E228">
        <f>MIN('GA Arroyo'!AO228, 'GA Arroyo'!AR228, 'GA Arroyo'!AU228, 'GA Arroyo'!AX228)</f>
        <v>12786.1</v>
      </c>
      <c r="G228" s="45">
        <f t="shared" si="19"/>
        <v>12738.1</v>
      </c>
      <c r="I228" s="49">
        <f t="shared" si="20"/>
        <v>3.3529333260062359</v>
      </c>
      <c r="J228" s="49">
        <f t="shared" si="21"/>
        <v>0</v>
      </c>
      <c r="K228" s="49">
        <f t="shared" si="22"/>
        <v>7.3417542647647513</v>
      </c>
      <c r="L228" s="49">
        <f t="shared" si="23"/>
        <v>0.3768222890383966</v>
      </c>
      <c r="T228" s="49">
        <f>(100*('GA Arroyo'!AO228-E228))/E228</f>
        <v>9.5775881621448313</v>
      </c>
      <c r="U228" s="49">
        <f>(100*('GA Arroyo'!AR228-E228))/E228</f>
        <v>2.9649384878891949</v>
      </c>
      <c r="V228" s="49">
        <f>(100*('GA Arroyo'!AU228-E228))/E228</f>
        <v>0</v>
      </c>
      <c r="W228" s="49">
        <f>(100*('GA Arroyo'!AX228-E228))/E228</f>
        <v>3.3505134481976491</v>
      </c>
    </row>
    <row r="229" spans="2:23" ht="15" customHeight="1">
      <c r="B229">
        <f>MIN('GA Arroyo'!B229,'GA Arroyo'!E229,'GA Arroyo'!H229,'GA Arroyo'!K229)</f>
        <v>12363.5</v>
      </c>
      <c r="C229">
        <f>MIN('GA Arroyo'!O229, 'GA Arroyo'!R229, 'GA Arroyo'!U229, 'GA Arroyo'!X229)</f>
        <v>12329</v>
      </c>
      <c r="D229">
        <f>MIN('GA Arroyo'!AB229, 'GA Arroyo'!AE229, 'GA Arroyo'!AH229, 'GA Arroyo'!AK229)</f>
        <v>12451.3</v>
      </c>
      <c r="E229">
        <f>MIN('GA Arroyo'!AO229, 'GA Arroyo'!AR229, 'GA Arroyo'!AU229, 'GA Arroyo'!AX229)</f>
        <v>12201.2</v>
      </c>
      <c r="G229" s="45">
        <f t="shared" si="19"/>
        <v>12201.2</v>
      </c>
      <c r="I229" s="49">
        <f t="shared" si="20"/>
        <v>1.3301970298003414</v>
      </c>
      <c r="J229" s="49">
        <f t="shared" si="21"/>
        <v>1.0474379569222638</v>
      </c>
      <c r="K229" s="49">
        <f t="shared" si="22"/>
        <v>2.0497983804871533</v>
      </c>
      <c r="L229" s="49">
        <f t="shared" si="23"/>
        <v>0</v>
      </c>
      <c r="T229" s="49">
        <f>(100*('GA Arroyo'!AO229-E229))/E229</f>
        <v>3.6357079631511535</v>
      </c>
      <c r="U229" s="49">
        <f>(100*('GA Arroyo'!AR229-E229))/E229</f>
        <v>0</v>
      </c>
      <c r="V229" s="49">
        <f>(100*('GA Arroyo'!AU229-E229))/E229</f>
        <v>0</v>
      </c>
      <c r="W229" s="49">
        <f>(100*('GA Arroyo'!AX229-E229))/E229</f>
        <v>4.0004261875880935</v>
      </c>
    </row>
    <row r="230" spans="2:23" ht="15" customHeight="1">
      <c r="B230">
        <f>MIN('GA Arroyo'!B230,'GA Arroyo'!E230,'GA Arroyo'!H230,'GA Arroyo'!K230)</f>
        <v>11531.4</v>
      </c>
      <c r="C230">
        <f>MIN('GA Arroyo'!O230, 'GA Arroyo'!R230, 'GA Arroyo'!U230, 'GA Arroyo'!X230)</f>
        <v>11547.4</v>
      </c>
      <c r="D230">
        <f>MIN('GA Arroyo'!AB230, 'GA Arroyo'!AE230, 'GA Arroyo'!AH230, 'GA Arroyo'!AK230)</f>
        <v>11977.7</v>
      </c>
      <c r="E230">
        <f>MIN('GA Arroyo'!AO230, 'GA Arroyo'!AR230, 'GA Arroyo'!AU230, 'GA Arroyo'!AX230)</f>
        <v>11547.4</v>
      </c>
      <c r="G230" s="45">
        <f t="shared" si="19"/>
        <v>11531.4</v>
      </c>
      <c r="I230" s="49">
        <f t="shared" si="20"/>
        <v>0</v>
      </c>
      <c r="J230" s="49">
        <f t="shared" si="21"/>
        <v>0.13875158263523943</v>
      </c>
      <c r="K230" s="49">
        <f t="shared" si="22"/>
        <v>3.8703019581317197</v>
      </c>
      <c r="L230" s="49">
        <f t="shared" si="23"/>
        <v>0.13875158263523943</v>
      </c>
      <c r="T230" s="49">
        <f>(100*('GA Arroyo'!AO230-E230))/E230</f>
        <v>2.4802119957739373</v>
      </c>
      <c r="U230" s="49">
        <f>(100*('GA Arroyo'!AR230-E230))/E230</f>
        <v>5.8896374941545311</v>
      </c>
      <c r="V230" s="49">
        <f>(100*('GA Arroyo'!AU230-E230))/E230</f>
        <v>0.13855932937284585</v>
      </c>
      <c r="W230" s="49">
        <f>(100*('GA Arroyo'!AX230-E230))/E230</f>
        <v>0</v>
      </c>
    </row>
    <row r="231" spans="2:23" ht="15" customHeight="1">
      <c r="B231">
        <f>MIN('GA Arroyo'!B231,'GA Arroyo'!E231,'GA Arroyo'!H231,'GA Arroyo'!K231)</f>
        <v>11298.8</v>
      </c>
      <c r="C231">
        <f>MIN('GA Arroyo'!O231, 'GA Arroyo'!R231, 'GA Arroyo'!U231, 'GA Arroyo'!X231)</f>
        <v>11298.8</v>
      </c>
      <c r="D231">
        <f>MIN('GA Arroyo'!AB231, 'GA Arroyo'!AE231, 'GA Arroyo'!AH231, 'GA Arroyo'!AK231)</f>
        <v>11813</v>
      </c>
      <c r="E231">
        <f>MIN('GA Arroyo'!AO231, 'GA Arroyo'!AR231, 'GA Arroyo'!AU231, 'GA Arroyo'!AX231)</f>
        <v>11813</v>
      </c>
      <c r="G231" s="45">
        <f t="shared" si="19"/>
        <v>11298.8</v>
      </c>
      <c r="I231" s="49">
        <f t="shared" si="20"/>
        <v>0</v>
      </c>
      <c r="J231" s="49">
        <f t="shared" si="21"/>
        <v>0</v>
      </c>
      <c r="K231" s="49">
        <f t="shared" si="22"/>
        <v>4.5509257620278323</v>
      </c>
      <c r="L231" s="49">
        <f t="shared" si="23"/>
        <v>4.5509257620278323</v>
      </c>
      <c r="T231" s="49">
        <f>(100*('GA Arroyo'!AO231-E231))/E231</f>
        <v>0</v>
      </c>
      <c r="U231" s="49">
        <f>(100*('GA Arroyo'!AR231-E231))/E231</f>
        <v>4.0717853212562432</v>
      </c>
      <c r="V231" s="49">
        <f>(100*('GA Arroyo'!AU231-E231))/E231</f>
        <v>6.7722001185135022E-2</v>
      </c>
      <c r="W231" s="49">
        <f>(100*('GA Arroyo'!AX231-E231))/E231</f>
        <v>6.7722001185135022E-2</v>
      </c>
    </row>
    <row r="232" spans="2:23" ht="15" customHeight="1">
      <c r="B232">
        <f>MIN('GA Arroyo'!B232,'GA Arroyo'!E232,'GA Arroyo'!H232,'GA Arroyo'!K232)</f>
        <v>12944.6</v>
      </c>
      <c r="C232">
        <f>MIN('GA Arroyo'!O232, 'GA Arroyo'!R232, 'GA Arroyo'!U232, 'GA Arroyo'!X232)</f>
        <v>13008.6</v>
      </c>
      <c r="D232">
        <f>MIN('GA Arroyo'!AB232, 'GA Arroyo'!AE232, 'GA Arroyo'!AH232, 'GA Arroyo'!AK232)</f>
        <v>13160.7</v>
      </c>
      <c r="E232">
        <f>MIN('GA Arroyo'!AO232, 'GA Arroyo'!AR232, 'GA Arroyo'!AU232, 'GA Arroyo'!AX232)</f>
        <v>12944.6</v>
      </c>
      <c r="G232" s="45">
        <f t="shared" si="19"/>
        <v>12944.6</v>
      </c>
      <c r="I232" s="49">
        <f t="shared" si="20"/>
        <v>0</v>
      </c>
      <c r="J232" s="49">
        <f t="shared" si="21"/>
        <v>0.49441465939465101</v>
      </c>
      <c r="K232" s="49">
        <f t="shared" si="22"/>
        <v>1.6694219983622542</v>
      </c>
      <c r="L232" s="49">
        <f t="shared" si="23"/>
        <v>0</v>
      </c>
      <c r="T232" s="49">
        <f>(100*('GA Arroyo'!AO232-E232))/E232</f>
        <v>2.4519877014353448</v>
      </c>
      <c r="U232" s="49">
        <f>(100*('GA Arroyo'!AR232-E232))/E232</f>
        <v>7.3621432875484754</v>
      </c>
      <c r="V232" s="49">
        <f>(100*('GA Arroyo'!AU232-E232))/E232</f>
        <v>0</v>
      </c>
      <c r="W232" s="49">
        <f>(100*('GA Arroyo'!AX232-E232))/E232</f>
        <v>0.18540549727299413</v>
      </c>
    </row>
    <row r="233" spans="2:23" ht="15" customHeight="1">
      <c r="B233">
        <f>MIN('GA Arroyo'!B233,'GA Arroyo'!E233,'GA Arroyo'!H233,'GA Arroyo'!K233)</f>
        <v>12072.4</v>
      </c>
      <c r="C233">
        <f>MIN('GA Arroyo'!O233, 'GA Arroyo'!R233, 'GA Arroyo'!U233, 'GA Arroyo'!X233)</f>
        <v>12080.4</v>
      </c>
      <c r="D233">
        <f>MIN('GA Arroyo'!AB233, 'GA Arroyo'!AE233, 'GA Arroyo'!AH233, 'GA Arroyo'!AK233)</f>
        <v>12440.8</v>
      </c>
      <c r="E233">
        <f>MIN('GA Arroyo'!AO233, 'GA Arroyo'!AR233, 'GA Arroyo'!AU233, 'GA Arroyo'!AX233)</f>
        <v>12072.4</v>
      </c>
      <c r="G233" s="45">
        <f t="shared" si="19"/>
        <v>12072.4</v>
      </c>
      <c r="I233" s="49">
        <f t="shared" si="20"/>
        <v>0</v>
      </c>
      <c r="J233" s="49">
        <f t="shared" si="21"/>
        <v>6.6266856631655685E-2</v>
      </c>
      <c r="K233" s="49">
        <f t="shared" si="22"/>
        <v>3.0515887478877408</v>
      </c>
      <c r="L233" s="49">
        <f t="shared" si="23"/>
        <v>0</v>
      </c>
      <c r="T233" s="49">
        <f>(100*('GA Arroyo'!AO233-E233))/E233</f>
        <v>0.19880056989496703</v>
      </c>
      <c r="U233" s="49">
        <f>(100*('GA Arroyo'!AR233-E233))/E233</f>
        <v>6.6266856631655685E-2</v>
      </c>
      <c r="V233" s="49">
        <f>(100*('GA Arroyo'!AU233-E233))/E233</f>
        <v>0</v>
      </c>
      <c r="W233" s="49">
        <f>(100*('GA Arroyo'!AX233-E233))/E233</f>
        <v>6.6266856631655685E-2</v>
      </c>
    </row>
    <row r="234" spans="2:23" ht="15" customHeight="1">
      <c r="B234">
        <f>MIN('GA Arroyo'!B234,'GA Arroyo'!E234,'GA Arroyo'!H234,'GA Arroyo'!K234)</f>
        <v>13355.1</v>
      </c>
      <c r="C234">
        <f>MIN('GA Arroyo'!O234, 'GA Arroyo'!R234, 'GA Arroyo'!U234, 'GA Arroyo'!X234)</f>
        <v>15381</v>
      </c>
      <c r="D234">
        <f>MIN('GA Arroyo'!AB234, 'GA Arroyo'!AE234, 'GA Arroyo'!AH234, 'GA Arroyo'!AK234)</f>
        <v>13094.7</v>
      </c>
      <c r="E234">
        <f>MIN('GA Arroyo'!AO234, 'GA Arroyo'!AR234, 'GA Arroyo'!AU234, 'GA Arroyo'!AX234)</f>
        <v>13094.7</v>
      </c>
      <c r="G234" s="45">
        <f t="shared" si="19"/>
        <v>13094.7</v>
      </c>
      <c r="I234" s="49">
        <f t="shared" si="20"/>
        <v>1.9885908039130307</v>
      </c>
      <c r="J234" s="49">
        <f t="shared" si="21"/>
        <v>17.459735618227217</v>
      </c>
      <c r="K234" s="49">
        <f t="shared" si="22"/>
        <v>0</v>
      </c>
      <c r="L234" s="49">
        <f t="shared" si="23"/>
        <v>0</v>
      </c>
      <c r="T234" s="49">
        <f>(100*('GA Arroyo'!AO234-E234))/E234</f>
        <v>0</v>
      </c>
      <c r="U234" s="49">
        <f>(100*('GA Arroyo'!AR234-E234))/E234</f>
        <v>0.30546709737527394</v>
      </c>
      <c r="V234" s="49">
        <f>(100*('GA Arroyo'!AU234-E234))/E234</f>
        <v>17.704109296127434</v>
      </c>
      <c r="W234" s="49">
        <f>(100*('GA Arroyo'!AX234-E234))/E234</f>
        <v>0</v>
      </c>
    </row>
    <row r="235" spans="2:23" ht="15" customHeight="1">
      <c r="B235">
        <f>MIN('GA Arroyo'!B235,'GA Arroyo'!E235,'GA Arroyo'!H235,'GA Arroyo'!K235)</f>
        <v>10906.4</v>
      </c>
      <c r="C235">
        <f>MIN('GA Arroyo'!O235, 'GA Arroyo'!R235, 'GA Arroyo'!U235, 'GA Arroyo'!X235)</f>
        <v>10954.4</v>
      </c>
      <c r="D235">
        <f>MIN('GA Arroyo'!AB235, 'GA Arroyo'!AE235, 'GA Arroyo'!AH235, 'GA Arroyo'!AK235)</f>
        <v>11802.5</v>
      </c>
      <c r="E235">
        <f>MIN('GA Arroyo'!AO235, 'GA Arroyo'!AR235, 'GA Arroyo'!AU235, 'GA Arroyo'!AX235)</f>
        <v>10914.4</v>
      </c>
      <c r="G235" s="45">
        <f t="shared" si="19"/>
        <v>10906.4</v>
      </c>
      <c r="I235" s="49">
        <f t="shared" si="20"/>
        <v>0</v>
      </c>
      <c r="J235" s="49">
        <f t="shared" si="21"/>
        <v>0.44010856011149418</v>
      </c>
      <c r="K235" s="49">
        <f t="shared" si="22"/>
        <v>8.2162766815814603</v>
      </c>
      <c r="L235" s="49">
        <f t="shared" si="23"/>
        <v>7.3351426685249035E-2</v>
      </c>
      <c r="T235" s="49">
        <f>(100*('GA Arroyo'!AO235-E235))/E235</f>
        <v>0</v>
      </c>
      <c r="U235" s="49">
        <f>(100*('GA Arroyo'!AR235-E235))/E235</f>
        <v>11.84215348530382</v>
      </c>
      <c r="V235" s="49">
        <f>(100*('GA Arroyo'!AU235-E235))/E235</f>
        <v>0</v>
      </c>
      <c r="W235" s="49">
        <f>(100*('GA Arroyo'!AX235-E235))/E235</f>
        <v>9.162207725573554E-2</v>
      </c>
    </row>
    <row r="236" spans="2:23" ht="15" customHeight="1">
      <c r="B236">
        <f>MIN('GA Arroyo'!B236,'GA Arroyo'!E236,'GA Arroyo'!H236,'GA Arroyo'!K236)</f>
        <v>12543.8</v>
      </c>
      <c r="C236">
        <f>MIN('GA Arroyo'!O236, 'GA Arroyo'!R236, 'GA Arroyo'!U236, 'GA Arroyo'!X236)</f>
        <v>12607.8</v>
      </c>
      <c r="D236">
        <f>MIN('GA Arroyo'!AB236, 'GA Arroyo'!AE236, 'GA Arroyo'!AH236, 'GA Arroyo'!AK236)</f>
        <v>14311.6</v>
      </c>
      <c r="E236">
        <f>MIN('GA Arroyo'!AO236, 'GA Arroyo'!AR236, 'GA Arroyo'!AU236, 'GA Arroyo'!AX236)</f>
        <v>12583.8</v>
      </c>
      <c r="G236" s="45">
        <f t="shared" si="19"/>
        <v>12543.8</v>
      </c>
      <c r="I236" s="49">
        <f t="shared" si="20"/>
        <v>0</v>
      </c>
      <c r="J236" s="49">
        <f t="shared" si="21"/>
        <v>0.51021221639375636</v>
      </c>
      <c r="K236" s="49">
        <f t="shared" si="22"/>
        <v>14.093018064701297</v>
      </c>
      <c r="L236" s="49">
        <f t="shared" si="23"/>
        <v>0.31888263524609767</v>
      </c>
      <c r="T236" s="49">
        <f>(100*('GA Arroyo'!AO236-E236))/E236</f>
        <v>9.8785740396382682</v>
      </c>
      <c r="U236" s="49">
        <f>(100*('GA Arroyo'!AR236-E236))/E236</f>
        <v>0.76288561483812523</v>
      </c>
      <c r="V236" s="49">
        <f>(100*('GA Arroyo'!AU236-E236))/E236</f>
        <v>0.38144280741906261</v>
      </c>
      <c r="W236" s="49">
        <f>(100*('GA Arroyo'!AX236-E236))/E236</f>
        <v>0</v>
      </c>
    </row>
    <row r="237" spans="2:23" ht="15" customHeight="1">
      <c r="B237">
        <f>MIN('GA Arroyo'!B237,'GA Arroyo'!E237,'GA Arroyo'!H237,'GA Arroyo'!K237)</f>
        <v>9119.4</v>
      </c>
      <c r="C237">
        <f>MIN('GA Arroyo'!O237, 'GA Arroyo'!R237, 'GA Arroyo'!U237, 'GA Arroyo'!X237)</f>
        <v>9119.4</v>
      </c>
      <c r="D237">
        <f>MIN('GA Arroyo'!AB237, 'GA Arroyo'!AE237, 'GA Arroyo'!AH237, 'GA Arroyo'!AK237)</f>
        <v>10059.200000000001</v>
      </c>
      <c r="E237">
        <f>MIN('GA Arroyo'!AO237, 'GA Arroyo'!AR237, 'GA Arroyo'!AU237, 'GA Arroyo'!AX237)</f>
        <v>9151.4</v>
      </c>
      <c r="G237" s="45">
        <f t="shared" si="19"/>
        <v>9119.4</v>
      </c>
      <c r="I237" s="49">
        <f t="shared" si="20"/>
        <v>0</v>
      </c>
      <c r="J237" s="49">
        <f t="shared" si="21"/>
        <v>0</v>
      </c>
      <c r="K237" s="49">
        <f t="shared" si="22"/>
        <v>10.305502554992666</v>
      </c>
      <c r="L237" s="49">
        <f t="shared" si="23"/>
        <v>0.3509002785270961</v>
      </c>
      <c r="T237" s="49">
        <f>(100*('GA Arroyo'!AO237-E237))/E237</f>
        <v>19.286666520969469</v>
      </c>
      <c r="U237" s="49">
        <f>(100*('GA Arroyo'!AR237-E237))/E237</f>
        <v>7.0721419673492667</v>
      </c>
      <c r="V237" s="49">
        <f>(100*('GA Arroyo'!AU237-E237))/E237</f>
        <v>8.9560067312105289</v>
      </c>
      <c r="W237" s="49">
        <f>(100*('GA Arroyo'!AX237-E237))/E237</f>
        <v>0</v>
      </c>
    </row>
    <row r="238" spans="2:23" ht="15" customHeight="1">
      <c r="B238">
        <f>MIN('GA Arroyo'!B238,'GA Arroyo'!E238,'GA Arroyo'!H238,'GA Arroyo'!K238)</f>
        <v>13006.6</v>
      </c>
      <c r="C238">
        <f>MIN('GA Arroyo'!O238, 'GA Arroyo'!R238, 'GA Arroyo'!U238, 'GA Arroyo'!X238)</f>
        <v>13006.6</v>
      </c>
      <c r="D238">
        <f>MIN('GA Arroyo'!AB238, 'GA Arroyo'!AE238, 'GA Arroyo'!AH238, 'GA Arroyo'!AK238)</f>
        <v>13184.2</v>
      </c>
      <c r="E238">
        <f>MIN('GA Arroyo'!AO238, 'GA Arroyo'!AR238, 'GA Arroyo'!AU238, 'GA Arroyo'!AX238)</f>
        <v>13030.6</v>
      </c>
      <c r="G238" s="45">
        <f t="shared" si="19"/>
        <v>13006.6</v>
      </c>
      <c r="I238" s="49">
        <f t="shared" si="20"/>
        <v>0</v>
      </c>
      <c r="J238" s="49">
        <f t="shared" si="21"/>
        <v>0</v>
      </c>
      <c r="K238" s="49">
        <f t="shared" si="22"/>
        <v>1.365460612304525</v>
      </c>
      <c r="L238" s="49">
        <f t="shared" si="23"/>
        <v>0.18452170436547599</v>
      </c>
      <c r="T238" s="49">
        <f>(100*('GA Arroyo'!AO238-E238))/E238</f>
        <v>3.9729559651896222</v>
      </c>
      <c r="U238" s="49">
        <f>(100*('GA Arroyo'!AR238-E238))/E238</f>
        <v>0</v>
      </c>
      <c r="V238" s="49">
        <f>(100*('GA Arroyo'!AU238-E238))/E238</f>
        <v>3.727380166684565</v>
      </c>
      <c r="W238" s="49">
        <f>(100*('GA Arroyo'!AX238-E238))/E238</f>
        <v>6.5768268537135661</v>
      </c>
    </row>
    <row r="239" spans="2:23" ht="15" customHeight="1">
      <c r="B239">
        <f>MIN('GA Arroyo'!B239,'GA Arroyo'!E239,'GA Arroyo'!H239,'GA Arroyo'!K239)</f>
        <v>8585.7000000000007</v>
      </c>
      <c r="C239">
        <f>MIN('GA Arroyo'!O239, 'GA Arroyo'!R239, 'GA Arroyo'!U239, 'GA Arroyo'!X239)</f>
        <v>8577.7000000000007</v>
      </c>
      <c r="D239">
        <f>MIN('GA Arroyo'!AB239, 'GA Arroyo'!AE239, 'GA Arroyo'!AH239, 'GA Arroyo'!AK239)</f>
        <v>9733.4</v>
      </c>
      <c r="E239">
        <f>MIN('GA Arroyo'!AO239, 'GA Arroyo'!AR239, 'GA Arroyo'!AU239, 'GA Arroyo'!AX239)</f>
        <v>9351.2999999999993</v>
      </c>
      <c r="G239" s="45">
        <f t="shared" si="19"/>
        <v>8577.7000000000007</v>
      </c>
      <c r="I239" s="49">
        <f t="shared" si="20"/>
        <v>9.326509437261736E-2</v>
      </c>
      <c r="J239" s="49">
        <f t="shared" si="21"/>
        <v>0</v>
      </c>
      <c r="K239" s="49">
        <f t="shared" si="22"/>
        <v>13.473308695804223</v>
      </c>
      <c r="L239" s="49">
        <f t="shared" si="23"/>
        <v>9.0187346258320815</v>
      </c>
      <c r="T239" s="49">
        <f>(100*('GA Arroyo'!AO239-E239))/E239</f>
        <v>8.5549602729032337E-2</v>
      </c>
      <c r="U239" s="49">
        <f>(100*('GA Arroyo'!AR239-E239))/E239</f>
        <v>8.7378225487365437</v>
      </c>
      <c r="V239" s="49">
        <f>(100*('GA Arroyo'!AU239-E239))/E239</f>
        <v>0</v>
      </c>
      <c r="W239" s="49">
        <f>(100*('GA Arroyo'!AX239-E239))/E239</f>
        <v>1.4500657662571019</v>
      </c>
    </row>
    <row r="240" spans="2:23" ht="15" customHeight="1">
      <c r="B240">
        <f>MIN('GA Arroyo'!B240,'GA Arroyo'!E240,'GA Arroyo'!H240,'GA Arroyo'!K240)</f>
        <v>10494.2</v>
      </c>
      <c r="C240">
        <f>MIN('GA Arroyo'!O240, 'GA Arroyo'!R240, 'GA Arroyo'!U240, 'GA Arroyo'!X240)</f>
        <v>10486.2</v>
      </c>
      <c r="D240">
        <f>MIN('GA Arroyo'!AB240, 'GA Arroyo'!AE240, 'GA Arroyo'!AH240, 'GA Arroyo'!AK240)</f>
        <v>11421.2</v>
      </c>
      <c r="E240">
        <f>MIN('GA Arroyo'!AO240, 'GA Arroyo'!AR240, 'GA Arroyo'!AU240, 'GA Arroyo'!AX240)</f>
        <v>10685.2</v>
      </c>
      <c r="G240" s="45">
        <f t="shared" si="19"/>
        <v>10486.2</v>
      </c>
      <c r="I240" s="49">
        <f t="shared" si="20"/>
        <v>7.6290744025481097E-2</v>
      </c>
      <c r="J240" s="49">
        <f t="shared" si="21"/>
        <v>0</v>
      </c>
      <c r="K240" s="49">
        <f t="shared" si="22"/>
        <v>8.9164807079781045</v>
      </c>
      <c r="L240" s="49">
        <f t="shared" si="23"/>
        <v>1.8977322576338425</v>
      </c>
      <c r="T240" s="49">
        <f>(100*('GA Arroyo'!AO240-E240))/E240</f>
        <v>3.1576386029274102</v>
      </c>
      <c r="U240" s="49">
        <f>(100*('GA Arroyo'!AR240-E240))/E240</f>
        <v>7.4869913525249868E-2</v>
      </c>
      <c r="V240" s="49">
        <f>(100*('GA Arroyo'!AU240-E240))/E240</f>
        <v>0</v>
      </c>
      <c r="W240" s="49">
        <f>(100*('GA Arroyo'!AX240-E240))/E240</f>
        <v>6.6578070602328419</v>
      </c>
    </row>
    <row r="241" spans="2:23" ht="15" customHeight="1">
      <c r="B241">
        <f>MIN('GA Arroyo'!B241,'GA Arroyo'!E241,'GA Arroyo'!H241,'GA Arroyo'!K241)</f>
        <v>10072.5</v>
      </c>
      <c r="C241">
        <f>MIN('GA Arroyo'!O241, 'GA Arroyo'!R241, 'GA Arroyo'!U241, 'GA Arroyo'!X241)</f>
        <v>10056.5</v>
      </c>
      <c r="D241">
        <f>MIN('GA Arroyo'!AB241, 'GA Arroyo'!AE241, 'GA Arroyo'!AH241, 'GA Arroyo'!AK241)</f>
        <v>10207.700000000001</v>
      </c>
      <c r="E241">
        <f>MIN('GA Arroyo'!AO241, 'GA Arroyo'!AR241, 'GA Arroyo'!AU241, 'GA Arroyo'!AX241)</f>
        <v>10056.5</v>
      </c>
      <c r="G241" s="45">
        <f t="shared" si="19"/>
        <v>10056.5</v>
      </c>
      <c r="I241" s="49">
        <f t="shared" si="20"/>
        <v>0.15910107890419131</v>
      </c>
      <c r="J241" s="49">
        <f t="shared" si="21"/>
        <v>0</v>
      </c>
      <c r="K241" s="49">
        <f t="shared" si="22"/>
        <v>1.5035051956446153</v>
      </c>
      <c r="L241" s="49">
        <f t="shared" si="23"/>
        <v>0</v>
      </c>
      <c r="T241" s="49">
        <f>(100*('GA Arroyo'!AO241-E241))/E241</f>
        <v>0.31820215780838262</v>
      </c>
      <c r="U241" s="49">
        <f>(100*('GA Arroyo'!AR241-E241))/E241</f>
        <v>0</v>
      </c>
      <c r="V241" s="49">
        <f>(100*('GA Arroyo'!AU241-E241))/E241</f>
        <v>0.77760652314424228</v>
      </c>
      <c r="W241" s="49">
        <f>(100*('GA Arroyo'!AX241-E241))/E241</f>
        <v>0.15910107890419131</v>
      </c>
    </row>
    <row r="242" spans="2:23" ht="15" customHeight="1">
      <c r="B242">
        <f>MIN('GA Arroyo'!B242,'GA Arroyo'!E242,'GA Arroyo'!H242,'GA Arroyo'!K242)</f>
        <v>13137.8</v>
      </c>
      <c r="C242">
        <f>MIN('GA Arroyo'!O242, 'GA Arroyo'!R242, 'GA Arroyo'!U242, 'GA Arroyo'!X242)</f>
        <v>13089.8</v>
      </c>
      <c r="D242">
        <f>MIN('GA Arroyo'!AB242, 'GA Arroyo'!AE242, 'GA Arroyo'!AH242, 'GA Arroyo'!AK242)</f>
        <v>13528.1</v>
      </c>
      <c r="E242">
        <f>MIN('GA Arroyo'!AO242, 'GA Arroyo'!AR242, 'GA Arroyo'!AU242, 'GA Arroyo'!AX242)</f>
        <v>13480.1</v>
      </c>
      <c r="G242" s="45">
        <f t="shared" si="19"/>
        <v>13089.8</v>
      </c>
      <c r="I242" s="49">
        <f t="shared" si="20"/>
        <v>0.36669773411358464</v>
      </c>
      <c r="J242" s="49">
        <f t="shared" si="21"/>
        <v>0</v>
      </c>
      <c r="K242" s="49">
        <f t="shared" si="22"/>
        <v>3.3484086846246783</v>
      </c>
      <c r="L242" s="49">
        <f t="shared" si="23"/>
        <v>2.9817109505110935</v>
      </c>
      <c r="T242" s="49">
        <f>(100*('GA Arroyo'!AO242-E242))/E242</f>
        <v>0.47477392600945095</v>
      </c>
      <c r="U242" s="49">
        <f>(100*('GA Arroyo'!AR242-E242))/E242</f>
        <v>0</v>
      </c>
      <c r="V242" s="49">
        <f>(100*('GA Arroyo'!AU242-E242))/E242</f>
        <v>0.3560804445070882</v>
      </c>
      <c r="W242" s="49">
        <f>(100*('GA Arroyo'!AX242-E242))/E242</f>
        <v>5.9346740751181369E-2</v>
      </c>
    </row>
    <row r="243" spans="2:23" ht="15" customHeight="1">
      <c r="B243">
        <f>MIN('GA Arroyo'!B243,'GA Arroyo'!E243,'GA Arroyo'!H243,'GA Arroyo'!K243)</f>
        <v>10256.5</v>
      </c>
      <c r="C243">
        <f>MIN('GA Arroyo'!O243, 'GA Arroyo'!R243, 'GA Arroyo'!U243, 'GA Arroyo'!X243)</f>
        <v>9949.7000000000007</v>
      </c>
      <c r="D243">
        <f>MIN('GA Arroyo'!AB243, 'GA Arroyo'!AE243, 'GA Arroyo'!AH243, 'GA Arroyo'!AK243)</f>
        <v>11766.3</v>
      </c>
      <c r="E243">
        <f>MIN('GA Arroyo'!AO243, 'GA Arroyo'!AR243, 'GA Arroyo'!AU243, 'GA Arroyo'!AX243)</f>
        <v>11016.5</v>
      </c>
      <c r="G243" s="45">
        <f t="shared" si="19"/>
        <v>9949.7000000000007</v>
      </c>
      <c r="I243" s="49">
        <f t="shared" si="20"/>
        <v>3.0835100555795578</v>
      </c>
      <c r="J243" s="49">
        <f t="shared" si="21"/>
        <v>0</v>
      </c>
      <c r="K243" s="49">
        <f t="shared" si="22"/>
        <v>18.257836919706104</v>
      </c>
      <c r="L243" s="49">
        <f t="shared" si="23"/>
        <v>10.721931314511988</v>
      </c>
      <c r="T243" s="49">
        <f>(100*('GA Arroyo'!AO243-E243))/E243</f>
        <v>0</v>
      </c>
      <c r="U243" s="49">
        <f>(100*('GA Arroyo'!AR243-E243))/E243</f>
        <v>8.8076975445921963</v>
      </c>
      <c r="V243" s="49">
        <f>(100*('GA Arroyo'!AU243-E243))/E243</f>
        <v>5.7668043389461197</v>
      </c>
      <c r="W243" s="49">
        <f>(100*('GA Arroyo'!AX243-E243))/E243</f>
        <v>0.14523669041891707</v>
      </c>
    </row>
    <row r="244" spans="2:23" ht="15" customHeight="1">
      <c r="B244">
        <f>MIN('GA Arroyo'!B244,'GA Arroyo'!E244,'GA Arroyo'!H244,'GA Arroyo'!K244)</f>
        <v>8441</v>
      </c>
      <c r="C244">
        <f>MIN('GA Arroyo'!O244, 'GA Arroyo'!R244, 'GA Arroyo'!U244, 'GA Arroyo'!X244)</f>
        <v>8798.2000000000007</v>
      </c>
      <c r="D244">
        <f>MIN('GA Arroyo'!AB244, 'GA Arroyo'!AE244, 'GA Arroyo'!AH244, 'GA Arroyo'!AK244)</f>
        <v>9073</v>
      </c>
      <c r="E244">
        <f>MIN('GA Arroyo'!AO244, 'GA Arroyo'!AR244, 'GA Arroyo'!AU244, 'GA Arroyo'!AX244)</f>
        <v>8790.2000000000007</v>
      </c>
      <c r="G244" s="45">
        <f t="shared" si="19"/>
        <v>8441</v>
      </c>
      <c r="I244" s="49">
        <f t="shared" si="20"/>
        <v>0</v>
      </c>
      <c r="J244" s="49">
        <f t="shared" si="21"/>
        <v>4.2317260988034677</v>
      </c>
      <c r="K244" s="49">
        <f t="shared" si="22"/>
        <v>7.487264542115863</v>
      </c>
      <c r="L244" s="49">
        <f t="shared" si="23"/>
        <v>4.1369505982703556</v>
      </c>
      <c r="T244" s="49">
        <f>(100*('GA Arroyo'!AO244-E244))/E244</f>
        <v>7.8291733976473665</v>
      </c>
      <c r="U244" s="49">
        <f>(100*('GA Arroyo'!AR244-E244))/E244</f>
        <v>0</v>
      </c>
      <c r="V244" s="49">
        <f>(100*('GA Arroyo'!AU244-E244))/E244</f>
        <v>3.3082296193488117</v>
      </c>
      <c r="W244" s="49">
        <f>(100*('GA Arroyo'!AX244-E244))/E244</f>
        <v>0.1820208868967714</v>
      </c>
    </row>
    <row r="245" spans="2:23" ht="15" customHeight="1">
      <c r="B245">
        <f>MIN('GA Arroyo'!B245,'GA Arroyo'!E245,'GA Arroyo'!H245,'GA Arroyo'!K245)</f>
        <v>10255.700000000001</v>
      </c>
      <c r="C245">
        <f>MIN('GA Arroyo'!O245, 'GA Arroyo'!R245, 'GA Arroyo'!U245, 'GA Arroyo'!X245)</f>
        <v>10164</v>
      </c>
      <c r="D245">
        <f>MIN('GA Arroyo'!AB245, 'GA Arroyo'!AE245, 'GA Arroyo'!AH245, 'GA Arroyo'!AK245)</f>
        <v>10478.9</v>
      </c>
      <c r="E245">
        <f>MIN('GA Arroyo'!AO245, 'GA Arroyo'!AR245, 'GA Arroyo'!AU245, 'GA Arroyo'!AX245)</f>
        <v>10139.6</v>
      </c>
      <c r="G245" s="45">
        <f t="shared" si="19"/>
        <v>10139.6</v>
      </c>
      <c r="I245" s="49">
        <f t="shared" si="20"/>
        <v>1.14501558246874</v>
      </c>
      <c r="J245" s="49">
        <f t="shared" si="21"/>
        <v>0.24064065643614774</v>
      </c>
      <c r="K245" s="49">
        <f t="shared" si="22"/>
        <v>3.3462858495404086</v>
      </c>
      <c r="L245" s="49">
        <f t="shared" si="23"/>
        <v>0</v>
      </c>
      <c r="T245" s="49">
        <f>(100*('GA Arroyo'!AO245-E245))/E245</f>
        <v>1.14501558246874</v>
      </c>
      <c r="U245" s="49">
        <f>(100*('GA Arroyo'!AR245-E245))/E245</f>
        <v>6.7211724328375873</v>
      </c>
      <c r="V245" s="49">
        <f>(100*('GA Arroyo'!AU245-E245))/E245</f>
        <v>7.0367667363604083</v>
      </c>
      <c r="W245" s="49">
        <f>(100*('GA Arroyo'!AX245-E245))/E245</f>
        <v>0</v>
      </c>
    </row>
    <row r="246" spans="2:23" ht="15" customHeight="1">
      <c r="B246">
        <f>MIN('GA Arroyo'!B246,'GA Arroyo'!E246,'GA Arroyo'!H246,'GA Arroyo'!K246)</f>
        <v>9443.9</v>
      </c>
      <c r="C246">
        <f>MIN('GA Arroyo'!O246, 'GA Arroyo'!R246, 'GA Arroyo'!U246, 'GA Arroyo'!X246)</f>
        <v>9443.9</v>
      </c>
      <c r="D246">
        <f>MIN('GA Arroyo'!AB246, 'GA Arroyo'!AE246, 'GA Arroyo'!AH246, 'GA Arroyo'!AK246)</f>
        <v>9791.7000000000007</v>
      </c>
      <c r="E246">
        <f>MIN('GA Arroyo'!AO246, 'GA Arroyo'!AR246, 'GA Arroyo'!AU246, 'GA Arroyo'!AX246)</f>
        <v>9451.9</v>
      </c>
      <c r="G246" s="45">
        <f t="shared" si="19"/>
        <v>9443.9</v>
      </c>
      <c r="I246" s="49">
        <f t="shared" si="20"/>
        <v>0</v>
      </c>
      <c r="J246" s="49">
        <f t="shared" si="21"/>
        <v>0</v>
      </c>
      <c r="K246" s="49">
        <f t="shared" si="22"/>
        <v>3.6828005379133737</v>
      </c>
      <c r="L246" s="49">
        <f t="shared" si="23"/>
        <v>8.4710765679433295E-2</v>
      </c>
      <c r="T246" s="49">
        <f>(100*('GA Arroyo'!AO246-E246))/E246</f>
        <v>0</v>
      </c>
      <c r="U246" s="49">
        <f>(100*('GA Arroyo'!AR246-E246))/E246</f>
        <v>0</v>
      </c>
      <c r="V246" s="49">
        <f>(100*('GA Arroyo'!AU246-E246))/E246</f>
        <v>3.5696526624276563</v>
      </c>
      <c r="W246" s="49">
        <f>(100*('GA Arroyo'!AX246-E246))/E246</f>
        <v>0</v>
      </c>
    </row>
    <row r="247" spans="2:23" ht="15" customHeight="1">
      <c r="B247">
        <f>MIN('GA Arroyo'!B247,'GA Arroyo'!E247,'GA Arroyo'!H247,'GA Arroyo'!K247)</f>
        <v>8786</v>
      </c>
      <c r="C247">
        <f>MIN('GA Arroyo'!O247, 'GA Arroyo'!R247, 'GA Arroyo'!U247, 'GA Arroyo'!X247)</f>
        <v>8786</v>
      </c>
      <c r="D247">
        <f>MIN('GA Arroyo'!AB247, 'GA Arroyo'!AE247, 'GA Arroyo'!AH247, 'GA Arroyo'!AK247)</f>
        <v>10308.200000000001</v>
      </c>
      <c r="E247">
        <f>MIN('GA Arroyo'!AO247, 'GA Arroyo'!AR247, 'GA Arroyo'!AU247, 'GA Arroyo'!AX247)</f>
        <v>9711.4</v>
      </c>
      <c r="G247" s="45">
        <f t="shared" si="19"/>
        <v>8786</v>
      </c>
      <c r="I247" s="49">
        <f t="shared" si="20"/>
        <v>0</v>
      </c>
      <c r="J247" s="49">
        <f t="shared" si="21"/>
        <v>0</v>
      </c>
      <c r="K247" s="49">
        <f t="shared" si="22"/>
        <v>17.325290234463928</v>
      </c>
      <c r="L247" s="49">
        <f t="shared" si="23"/>
        <v>10.532665604370587</v>
      </c>
      <c r="T247" s="49">
        <f>(100*('GA Arroyo'!AO247-E247))/E247</f>
        <v>0.65078155569743523</v>
      </c>
      <c r="U247" s="49">
        <f>(100*('GA Arroyo'!AR247-E247))/E247</f>
        <v>3.9283728401672264</v>
      </c>
      <c r="V247" s="49">
        <f>(100*('GA Arroyo'!AU247-E247))/E247</f>
        <v>0</v>
      </c>
      <c r="W247" s="49">
        <f>(100*('GA Arroyo'!AX247-E247))/E247</f>
        <v>1.036925674979928</v>
      </c>
    </row>
    <row r="248" spans="2:23" ht="15" customHeight="1">
      <c r="B248">
        <f>MIN('GA Arroyo'!B248,'GA Arroyo'!E248,'GA Arroyo'!H248,'GA Arroyo'!K248)</f>
        <v>9025.4</v>
      </c>
      <c r="C248">
        <f>MIN('GA Arroyo'!O248, 'GA Arroyo'!R248, 'GA Arroyo'!U248, 'GA Arroyo'!X248)</f>
        <v>8663</v>
      </c>
      <c r="D248">
        <f>MIN('GA Arroyo'!AB248, 'GA Arroyo'!AE248, 'GA Arroyo'!AH248, 'GA Arroyo'!AK248)</f>
        <v>9069.7000000000007</v>
      </c>
      <c r="E248">
        <f>MIN('GA Arroyo'!AO248, 'GA Arroyo'!AR248, 'GA Arroyo'!AU248, 'GA Arroyo'!AX248)</f>
        <v>9336.9</v>
      </c>
      <c r="G248" s="45">
        <f t="shared" si="19"/>
        <v>8663</v>
      </c>
      <c r="I248" s="49">
        <f t="shared" si="20"/>
        <v>4.1833083227519294</v>
      </c>
      <c r="J248" s="49">
        <f t="shared" si="21"/>
        <v>0</v>
      </c>
      <c r="K248" s="49">
        <f t="shared" si="22"/>
        <v>4.6946785178344772</v>
      </c>
      <c r="L248" s="49">
        <f t="shared" si="23"/>
        <v>7.7790603716957136</v>
      </c>
      <c r="T248" s="49">
        <f>(100*('GA Arroyo'!AO248-E248))/E248</f>
        <v>0.30738253595948045</v>
      </c>
      <c r="U248" s="49">
        <f>(100*('GA Arroyo'!AR248-E248))/E248</f>
        <v>8.5606571774357789</v>
      </c>
      <c r="V248" s="49">
        <f>(100*('GA Arroyo'!AU248-E248))/E248</f>
        <v>0.22170099283488875</v>
      </c>
      <c r="W248" s="49">
        <f>(100*('GA Arroyo'!AX248-E248))/E248</f>
        <v>0</v>
      </c>
    </row>
    <row r="249" spans="2:23" ht="15" customHeight="1">
      <c r="B249">
        <f>MIN('GA Arroyo'!B249,'GA Arroyo'!E249,'GA Arroyo'!H249,'GA Arroyo'!K249)</f>
        <v>10792.7</v>
      </c>
      <c r="C249">
        <f>MIN('GA Arroyo'!O249, 'GA Arroyo'!R249, 'GA Arroyo'!U249, 'GA Arroyo'!X249)</f>
        <v>10792.7</v>
      </c>
      <c r="D249">
        <f>MIN('GA Arroyo'!AB249, 'GA Arroyo'!AE249, 'GA Arroyo'!AH249, 'GA Arroyo'!AK249)</f>
        <v>12069.6</v>
      </c>
      <c r="E249">
        <f>MIN('GA Arroyo'!AO249, 'GA Arroyo'!AR249, 'GA Arroyo'!AU249, 'GA Arroyo'!AX249)</f>
        <v>11682.2</v>
      </c>
      <c r="G249" s="45">
        <f t="shared" si="19"/>
        <v>10792.7</v>
      </c>
      <c r="I249" s="49">
        <f t="shared" si="20"/>
        <v>0</v>
      </c>
      <c r="J249" s="49">
        <f t="shared" si="21"/>
        <v>0</v>
      </c>
      <c r="K249" s="49">
        <f t="shared" si="22"/>
        <v>11.831145125872114</v>
      </c>
      <c r="L249" s="49">
        <f t="shared" si="23"/>
        <v>8.2416818775653908</v>
      </c>
      <c r="T249" s="49">
        <f>(100*('GA Arroyo'!AO249-E249))/E249</f>
        <v>0.28162503638013076</v>
      </c>
      <c r="U249" s="49">
        <f>(100*('GA Arroyo'!AR249-E249))/E249</f>
        <v>0.13696050401465476</v>
      </c>
      <c r="V249" s="49">
        <f>(100*('GA Arroyo'!AU249-E249))/E249</f>
        <v>0</v>
      </c>
      <c r="W249" s="49">
        <f>(100*('GA Arroyo'!AX249-E249))/E249</f>
        <v>0.20544075602198214</v>
      </c>
    </row>
    <row r="250" spans="2:23" ht="15" customHeight="1">
      <c r="B250">
        <f>MIN('GA Arroyo'!B250,'GA Arroyo'!E250,'GA Arroyo'!H250,'GA Arroyo'!K250)</f>
        <v>10381.5</v>
      </c>
      <c r="C250">
        <f>MIN('GA Arroyo'!O250, 'GA Arroyo'!R250, 'GA Arroyo'!U250, 'GA Arroyo'!X250)</f>
        <v>10146.6</v>
      </c>
      <c r="D250">
        <f>MIN('GA Arroyo'!AB250, 'GA Arroyo'!AE250, 'GA Arroyo'!AH250, 'GA Arroyo'!AK250)</f>
        <v>11278.8</v>
      </c>
      <c r="E250">
        <f>MIN('GA Arroyo'!AO250, 'GA Arroyo'!AR250, 'GA Arroyo'!AU250, 'GA Arroyo'!AX250)</f>
        <v>10564.1</v>
      </c>
      <c r="G250" s="45">
        <f t="shared" si="19"/>
        <v>10146.6</v>
      </c>
      <c r="I250" s="49">
        <f t="shared" si="20"/>
        <v>2.315061202767426</v>
      </c>
      <c r="J250" s="49">
        <f t="shared" si="21"/>
        <v>0</v>
      </c>
      <c r="K250" s="49">
        <f t="shared" si="22"/>
        <v>11.158417598013116</v>
      </c>
      <c r="L250" s="49">
        <f t="shared" si="23"/>
        <v>4.114678808664971</v>
      </c>
      <c r="T250" s="49">
        <f>(100*('GA Arroyo'!AO250-E250))/E250</f>
        <v>7.9438854232731497</v>
      </c>
      <c r="U250" s="49">
        <f>(100*('GA Arroyo'!AR250-E250))/E250</f>
        <v>0.45436904232258307</v>
      </c>
      <c r="V250" s="49">
        <f>(100*('GA Arroyo'!AU250-E250))/E250</f>
        <v>0</v>
      </c>
      <c r="W250" s="49">
        <f>(100*('GA Arroyo'!AX250-E250))/E250</f>
        <v>0.45436904232258307</v>
      </c>
    </row>
    <row r="251" spans="2:23" ht="15" customHeight="1">
      <c r="B251">
        <f>MIN('GA Arroyo'!B251,'GA Arroyo'!E251,'GA Arroyo'!H251,'GA Arroyo'!K251)</f>
        <v>11948.1</v>
      </c>
      <c r="C251">
        <f>MIN('GA Arroyo'!O251, 'GA Arroyo'!R251, 'GA Arroyo'!U251, 'GA Arroyo'!X251)</f>
        <v>11948.1</v>
      </c>
      <c r="D251">
        <f>MIN('GA Arroyo'!AB251, 'GA Arroyo'!AE251, 'GA Arroyo'!AH251, 'GA Arroyo'!AK251)</f>
        <v>11948.1</v>
      </c>
      <c r="E251">
        <f>MIN('GA Arroyo'!AO251, 'GA Arroyo'!AR251, 'GA Arroyo'!AU251, 'GA Arroyo'!AX251)</f>
        <v>12163.5</v>
      </c>
      <c r="G251" s="45">
        <f t="shared" si="19"/>
        <v>11948.1</v>
      </c>
      <c r="I251" s="49">
        <f t="shared" si="20"/>
        <v>0</v>
      </c>
      <c r="J251" s="49">
        <f t="shared" si="21"/>
        <v>0</v>
      </c>
      <c r="K251" s="49">
        <f t="shared" si="22"/>
        <v>0</v>
      </c>
      <c r="L251" s="49">
        <f t="shared" si="23"/>
        <v>1.8027970974464529</v>
      </c>
      <c r="T251" s="49">
        <f>(100*('GA Arroyo'!AO251-E251))/E251</f>
        <v>0.26308217207218315</v>
      </c>
      <c r="U251" s="49">
        <f>(100*('GA Arroyo'!AR251-E251))/E251</f>
        <v>14.650388457269701</v>
      </c>
      <c r="V251" s="49">
        <f>(100*('GA Arroyo'!AU251-E251))/E251</f>
        <v>3.106836025814935</v>
      </c>
      <c r="W251" s="49">
        <f>(100*('GA Arroyo'!AX251-E251))/E251</f>
        <v>0</v>
      </c>
    </row>
    <row r="252" spans="2:23" ht="15" customHeight="1">
      <c r="B252">
        <f>MIN('GA Arroyo'!B252,'GA Arroyo'!E252,'GA Arroyo'!H252,'GA Arroyo'!K252)</f>
        <v>8975.7999999999993</v>
      </c>
      <c r="C252">
        <f>MIN('GA Arroyo'!O252, 'GA Arroyo'!R252, 'GA Arroyo'!U252, 'GA Arroyo'!X252)</f>
        <v>9307.7999999999993</v>
      </c>
      <c r="D252">
        <f>MIN('GA Arroyo'!AB252, 'GA Arroyo'!AE252, 'GA Arroyo'!AH252, 'GA Arroyo'!AK252)</f>
        <v>9607.5</v>
      </c>
      <c r="E252">
        <f>MIN('GA Arroyo'!AO252, 'GA Arroyo'!AR252, 'GA Arroyo'!AU252, 'GA Arroyo'!AX252)</f>
        <v>8983.7999999999993</v>
      </c>
      <c r="G252" s="45">
        <f t="shared" si="19"/>
        <v>8975.7999999999993</v>
      </c>
      <c r="I252" s="49">
        <f t="shared" si="20"/>
        <v>0</v>
      </c>
      <c r="J252" s="49">
        <f t="shared" si="21"/>
        <v>3.6988346442656925</v>
      </c>
      <c r="K252" s="49">
        <f t="shared" si="22"/>
        <v>7.0378127854898818</v>
      </c>
      <c r="L252" s="49">
        <f t="shared" si="23"/>
        <v>8.9128545644956439E-2</v>
      </c>
      <c r="T252" s="49">
        <f>(100*('GA Arroyo'!AO252-E252))/E252</f>
        <v>0.26714753222467108</v>
      </c>
      <c r="U252" s="49">
        <f>(100*('GA Arroyo'!AR252-E252))/E252</f>
        <v>0</v>
      </c>
      <c r="V252" s="49">
        <f>(100*('GA Arroyo'!AU252-E252))/E252</f>
        <v>0.35619670963289479</v>
      </c>
      <c r="W252" s="49">
        <f>(100*('GA Arroyo'!AX252-E252))/E252</f>
        <v>0.1780983548164474</v>
      </c>
    </row>
    <row r="253" spans="2:23" ht="15" customHeight="1">
      <c r="B253">
        <f>MIN('GA Arroyo'!B253,'GA Arroyo'!E253,'GA Arroyo'!H253,'GA Arroyo'!K253)</f>
        <v>14384.9</v>
      </c>
      <c r="C253">
        <f>MIN('GA Arroyo'!O253, 'GA Arroyo'!R253, 'GA Arroyo'!U253, 'GA Arroyo'!X253)</f>
        <v>14994.5</v>
      </c>
      <c r="D253">
        <f>MIN('GA Arroyo'!AB253, 'GA Arroyo'!AE253, 'GA Arroyo'!AH253, 'GA Arroyo'!AK253)</f>
        <v>14564.3</v>
      </c>
      <c r="E253">
        <f>MIN('GA Arroyo'!AO253, 'GA Arroyo'!AR253, 'GA Arroyo'!AU253, 'GA Arroyo'!AX253)</f>
        <v>14584.9</v>
      </c>
      <c r="G253" s="45">
        <f t="shared" si="19"/>
        <v>14384.9</v>
      </c>
      <c r="I253" s="49">
        <f t="shared" si="20"/>
        <v>0</v>
      </c>
      <c r="J253" s="49">
        <f t="shared" si="21"/>
        <v>4.2377771135009654</v>
      </c>
      <c r="K253" s="49">
        <f t="shared" si="22"/>
        <v>1.2471410993472296</v>
      </c>
      <c r="L253" s="49">
        <f t="shared" si="23"/>
        <v>1.3903468220147517</v>
      </c>
      <c r="T253" s="49">
        <f>(100*('GA Arroyo'!AO253-E253))/E253</f>
        <v>0</v>
      </c>
      <c r="U253" s="49">
        <f>(100*('GA Arroyo'!AR253-E253))/E253</f>
        <v>12.275709809460468</v>
      </c>
      <c r="V253" s="49">
        <f>(100*('GA Arroyo'!AU253-E253))/E253</f>
        <v>1.0901685990305041</v>
      </c>
      <c r="W253" s="49">
        <f>(100*('GA Arroyo'!AX253-E253))/E253</f>
        <v>1.0901685990305041</v>
      </c>
    </row>
    <row r="254" spans="2:23" ht="15" customHeight="1">
      <c r="B254">
        <f>MIN('GA Arroyo'!B254,'GA Arroyo'!E254,'GA Arroyo'!H254,'GA Arroyo'!K254)</f>
        <v>11494.1</v>
      </c>
      <c r="C254">
        <f>MIN('GA Arroyo'!O254, 'GA Arroyo'!R254, 'GA Arroyo'!U254, 'GA Arroyo'!X254)</f>
        <v>10709.1</v>
      </c>
      <c r="D254">
        <f>MIN('GA Arroyo'!AB254, 'GA Arroyo'!AE254, 'GA Arroyo'!AH254, 'GA Arroyo'!AK254)</f>
        <v>12499.9</v>
      </c>
      <c r="E254">
        <f>MIN('GA Arroyo'!AO254, 'GA Arroyo'!AR254, 'GA Arroyo'!AU254, 'GA Arroyo'!AX254)</f>
        <v>11460.4</v>
      </c>
      <c r="G254" s="45">
        <f t="shared" si="19"/>
        <v>10709.1</v>
      </c>
      <c r="I254" s="49">
        <f t="shared" si="20"/>
        <v>7.330214490480059</v>
      </c>
      <c r="J254" s="49">
        <f t="shared" si="21"/>
        <v>0</v>
      </c>
      <c r="K254" s="49">
        <f t="shared" si="22"/>
        <v>16.722226891148644</v>
      </c>
      <c r="L254" s="49">
        <f t="shared" si="23"/>
        <v>7.0155288492963859</v>
      </c>
      <c r="T254" s="49">
        <f>(100*('GA Arroyo'!AO254-E254))/E254</f>
        <v>7.0102265191441813</v>
      </c>
      <c r="U254" s="49">
        <f>(100*('GA Arroyo'!AR254-E254))/E254</f>
        <v>0.41883354856724025</v>
      </c>
      <c r="V254" s="49">
        <f>(100*('GA Arroyo'!AU254-E254))/E254</f>
        <v>5.1307109699486935</v>
      </c>
      <c r="W254" s="49">
        <f>(100*('GA Arroyo'!AX254-E254))/E254</f>
        <v>0</v>
      </c>
    </row>
    <row r="255" spans="2:23" ht="15" customHeight="1">
      <c r="B255">
        <f>MIN('GA Arroyo'!B255,'GA Arroyo'!E255,'GA Arroyo'!H255,'GA Arroyo'!K255)</f>
        <v>9984.2999999999993</v>
      </c>
      <c r="C255">
        <f>MIN('GA Arroyo'!O255, 'GA Arroyo'!R255, 'GA Arroyo'!U255, 'GA Arroyo'!X255)</f>
        <v>9950.9</v>
      </c>
      <c r="D255">
        <f>MIN('GA Arroyo'!AB255, 'GA Arroyo'!AE255, 'GA Arroyo'!AH255, 'GA Arroyo'!AK255)</f>
        <v>10961</v>
      </c>
      <c r="E255">
        <f>MIN('GA Arroyo'!AO255, 'GA Arroyo'!AR255, 'GA Arroyo'!AU255, 'GA Arroyo'!AX255)</f>
        <v>9984.2999999999993</v>
      </c>
      <c r="G255" s="45">
        <f t="shared" si="19"/>
        <v>9950.9</v>
      </c>
      <c r="I255" s="49">
        <f t="shared" si="20"/>
        <v>0.33564803183631264</v>
      </c>
      <c r="J255" s="49">
        <f t="shared" si="21"/>
        <v>0</v>
      </c>
      <c r="K255" s="49">
        <f t="shared" si="22"/>
        <v>10.150840627480935</v>
      </c>
      <c r="L255" s="49">
        <f t="shared" si="23"/>
        <v>0.33564803183631264</v>
      </c>
      <c r="T255" s="49">
        <f>(100*('GA Arroyo'!AO255-E255))/E255</f>
        <v>2.5630239475977432</v>
      </c>
      <c r="U255" s="49">
        <f>(100*('GA Arroyo'!AR255-E255))/E255</f>
        <v>8.0125797502078266E-2</v>
      </c>
      <c r="V255" s="49">
        <f>(100*('GA Arroyo'!AU255-E255))/E255</f>
        <v>0</v>
      </c>
      <c r="W255" s="49">
        <f>(100*('GA Arroyo'!AX255-E255))/E255</f>
        <v>1.6025159500415653</v>
      </c>
    </row>
    <row r="256" spans="2:23" ht="15" customHeight="1">
      <c r="B256">
        <f>MIN('GA Arroyo'!B256,'GA Arroyo'!E256,'GA Arroyo'!H256,'GA Arroyo'!K256)</f>
        <v>13204.5</v>
      </c>
      <c r="C256">
        <f>MIN('GA Arroyo'!O256, 'GA Arroyo'!R256, 'GA Arroyo'!U256, 'GA Arroyo'!X256)</f>
        <v>13344.2</v>
      </c>
      <c r="D256">
        <f>MIN('GA Arroyo'!AB256, 'GA Arroyo'!AE256, 'GA Arroyo'!AH256, 'GA Arroyo'!AK256)</f>
        <v>13716.1</v>
      </c>
      <c r="E256">
        <f>MIN('GA Arroyo'!AO256, 'GA Arroyo'!AR256, 'GA Arroyo'!AU256, 'GA Arroyo'!AX256)</f>
        <v>13530.3</v>
      </c>
      <c r="G256" s="45">
        <f t="shared" si="19"/>
        <v>13204.5</v>
      </c>
      <c r="I256" s="49">
        <f t="shared" si="20"/>
        <v>0</v>
      </c>
      <c r="J256" s="49">
        <f t="shared" si="21"/>
        <v>1.0579726608353268</v>
      </c>
      <c r="K256" s="49">
        <f t="shared" si="22"/>
        <v>3.8744367450490391</v>
      </c>
      <c r="L256" s="49">
        <f t="shared" si="23"/>
        <v>2.4673406793138648</v>
      </c>
      <c r="T256" s="49">
        <f>(100*('GA Arroyo'!AO256-E256))/E256</f>
        <v>4.5734388742304395</v>
      </c>
      <c r="U256" s="49">
        <f>(100*('GA Arroyo'!AR256-E256))/E256</f>
        <v>0.35475931797521121</v>
      </c>
      <c r="V256" s="49">
        <f>(100*('GA Arroyo'!AU256-E256))/E256</f>
        <v>0.76864518894629097</v>
      </c>
      <c r="W256" s="49">
        <f>(100*('GA Arroyo'!AX256-E256))/E256</f>
        <v>0</v>
      </c>
    </row>
    <row r="257" spans="2:23" ht="15" customHeight="1">
      <c r="B257">
        <f>MIN('GA Arroyo'!B257,'GA Arroyo'!E257,'GA Arroyo'!H257,'GA Arroyo'!K257)</f>
        <v>13672</v>
      </c>
      <c r="C257">
        <f>MIN('GA Arroyo'!O257, 'GA Arroyo'!R257, 'GA Arroyo'!U257, 'GA Arroyo'!X257)</f>
        <v>12816</v>
      </c>
      <c r="D257">
        <f>MIN('GA Arroyo'!AB257, 'GA Arroyo'!AE257, 'GA Arroyo'!AH257, 'GA Arroyo'!AK257)</f>
        <v>13836.2</v>
      </c>
      <c r="E257">
        <f>MIN('GA Arroyo'!AO257, 'GA Arroyo'!AR257, 'GA Arroyo'!AU257, 'GA Arroyo'!AX257)</f>
        <v>13190.5</v>
      </c>
      <c r="G257" s="45">
        <f t="shared" si="19"/>
        <v>12816</v>
      </c>
      <c r="I257" s="49">
        <f t="shared" si="20"/>
        <v>6.679151061173533</v>
      </c>
      <c r="J257" s="49">
        <f t="shared" si="21"/>
        <v>0</v>
      </c>
      <c r="K257" s="49">
        <f t="shared" si="22"/>
        <v>7.9603620474407046</v>
      </c>
      <c r="L257" s="49">
        <f t="shared" si="23"/>
        <v>2.9221285892634206</v>
      </c>
      <c r="T257" s="49">
        <f>(100*('GA Arroyo'!AO257-E257))/E257</f>
        <v>15.119214586255255</v>
      </c>
      <c r="U257" s="49">
        <f>(100*('GA Arroyo'!AR257-E257))/E257</f>
        <v>7.5205640423031728</v>
      </c>
      <c r="V257" s="49">
        <f>(100*('GA Arroyo'!AU257-E257))/E257</f>
        <v>9.351427163488875</v>
      </c>
      <c r="W257" s="49">
        <f>(100*('GA Arroyo'!AX257-E257))/E257</f>
        <v>0</v>
      </c>
    </row>
    <row r="258" spans="2:23" ht="15" customHeight="1">
      <c r="B258">
        <f>MIN('GA Arroyo'!B258,'GA Arroyo'!E258,'GA Arroyo'!H258,'GA Arroyo'!K258)</f>
        <v>8829.9</v>
      </c>
      <c r="C258">
        <f>MIN('GA Arroyo'!O258, 'GA Arroyo'!R258, 'GA Arroyo'!U258, 'GA Arroyo'!X258)</f>
        <v>8291.2000000000007</v>
      </c>
      <c r="D258">
        <f>MIN('GA Arroyo'!AB258, 'GA Arroyo'!AE258, 'GA Arroyo'!AH258, 'GA Arroyo'!AK258)</f>
        <v>9625</v>
      </c>
      <c r="E258">
        <f>MIN('GA Arroyo'!AO258, 'GA Arroyo'!AR258, 'GA Arroyo'!AU258, 'GA Arroyo'!AX258)</f>
        <v>8813.9</v>
      </c>
      <c r="G258" s="45">
        <f t="shared" si="19"/>
        <v>8291.2000000000007</v>
      </c>
      <c r="I258" s="49">
        <f t="shared" si="20"/>
        <v>6.4972500964878286</v>
      </c>
      <c r="J258" s="49">
        <f t="shared" si="21"/>
        <v>0</v>
      </c>
      <c r="K258" s="49">
        <f t="shared" si="22"/>
        <v>16.086935546121179</v>
      </c>
      <c r="L258" s="49">
        <f t="shared" si="23"/>
        <v>6.3042744114241467</v>
      </c>
      <c r="T258" s="49">
        <f>(100*('GA Arroyo'!AO258-E258))/E258</f>
        <v>0</v>
      </c>
      <c r="U258" s="49">
        <f>(100*('GA Arroyo'!AR258-E258))/E258</f>
        <v>5.9667116713373156</v>
      </c>
      <c r="V258" s="49">
        <f>(100*('GA Arroyo'!AU258-E258))/E258</f>
        <v>1.8924653104755114</v>
      </c>
      <c r="W258" s="49">
        <f>(100*('GA Arroyo'!AX258-E258))/E258</f>
        <v>7.6016292447165595E-2</v>
      </c>
    </row>
    <row r="259" spans="2:23" ht="15" customHeight="1">
      <c r="B259">
        <f>MIN('GA Arroyo'!B259,'GA Arroyo'!E259,'GA Arroyo'!H259,'GA Arroyo'!K259)</f>
        <v>12348.2</v>
      </c>
      <c r="C259">
        <f>MIN('GA Arroyo'!O259, 'GA Arroyo'!R259, 'GA Arroyo'!U259, 'GA Arroyo'!X259)</f>
        <v>11958.6</v>
      </c>
      <c r="D259">
        <f>MIN('GA Arroyo'!AB259, 'GA Arroyo'!AE259, 'GA Arroyo'!AH259, 'GA Arroyo'!AK259)</f>
        <v>12967.5</v>
      </c>
      <c r="E259">
        <f>MIN('GA Arroyo'!AO259, 'GA Arroyo'!AR259, 'GA Arroyo'!AU259, 'GA Arroyo'!AX259)</f>
        <v>12198.6</v>
      </c>
      <c r="G259" s="45">
        <f t="shared" si="19"/>
        <v>11958.6</v>
      </c>
      <c r="I259" s="49">
        <f t="shared" si="20"/>
        <v>3.257906443898118</v>
      </c>
      <c r="J259" s="49">
        <f t="shared" si="21"/>
        <v>0</v>
      </c>
      <c r="K259" s="49">
        <f t="shared" si="22"/>
        <v>8.4366062917063847</v>
      </c>
      <c r="L259" s="49">
        <f t="shared" si="23"/>
        <v>2.00692388741157</v>
      </c>
      <c r="T259" s="49">
        <f>(100*('GA Arroyo'!AO259-E259))/E259</f>
        <v>7.2098437525617696</v>
      </c>
      <c r="U259" s="49">
        <f>(100*('GA Arroyo'!AR259-E259))/E259</f>
        <v>8.521469676848163</v>
      </c>
      <c r="V259" s="49">
        <f>(100*('GA Arroyo'!AU259-E259))/E259</f>
        <v>0</v>
      </c>
      <c r="W259" s="49">
        <f>(100*('GA Arroyo'!AX259-E259))/E259</f>
        <v>3.4848261275884145</v>
      </c>
    </row>
    <row r="260" spans="2:23" ht="15" customHeight="1">
      <c r="B260">
        <f>MIN('GA Arroyo'!B260,'GA Arroyo'!E260,'GA Arroyo'!H260,'GA Arroyo'!K260)</f>
        <v>8850.5</v>
      </c>
      <c r="C260">
        <f>MIN('GA Arroyo'!O260, 'GA Arroyo'!R260, 'GA Arroyo'!U260, 'GA Arroyo'!X260)</f>
        <v>8836.5</v>
      </c>
      <c r="D260">
        <f>MIN('GA Arroyo'!AB260, 'GA Arroyo'!AE260, 'GA Arroyo'!AH260, 'GA Arroyo'!AK260)</f>
        <v>9533.7000000000007</v>
      </c>
      <c r="E260">
        <f>MIN('GA Arroyo'!AO260, 'GA Arroyo'!AR260, 'GA Arroyo'!AU260, 'GA Arroyo'!AX260)</f>
        <v>8836.5</v>
      </c>
      <c r="G260" s="45">
        <f t="shared" ref="G260:G323" si="24">MIN(B260,C260,D260,E260)</f>
        <v>8836.5</v>
      </c>
      <c r="I260" s="49">
        <f t="shared" ref="I260:I323" si="25">(100*(B260-G260))/G260</f>
        <v>0.15843376902619816</v>
      </c>
      <c r="J260" s="49">
        <f t="shared" ref="J260:J323" si="26">(100*(C260-G260))/G260</f>
        <v>0</v>
      </c>
      <c r="K260" s="49">
        <f t="shared" ref="K260:K323" si="27">(100*(D260-G260))/G260</f>
        <v>7.8900016975046761</v>
      </c>
      <c r="L260" s="49">
        <f t="shared" ref="L260:L323" si="28">(100*(E260-G260))/G260</f>
        <v>0</v>
      </c>
      <c r="T260" s="49">
        <f>(100*('GA Arroyo'!AO260-E260))/E260</f>
        <v>3.1890454365416088</v>
      </c>
      <c r="U260" s="49">
        <f>(100*('GA Arroyo'!AR260-E260))/E260</f>
        <v>6.6949584111356346</v>
      </c>
      <c r="V260" s="49">
        <f>(100*('GA Arroyo'!AU260-E260))/E260</f>
        <v>0</v>
      </c>
      <c r="W260" s="49">
        <f>(100*('GA Arroyo'!AX260-E260))/E260</f>
        <v>0.72426865840547727</v>
      </c>
    </row>
    <row r="261" spans="2:23" ht="15" customHeight="1">
      <c r="B261">
        <f>MIN('GA Arroyo'!B261,'GA Arroyo'!E261,'GA Arroyo'!H261,'GA Arroyo'!K261)</f>
        <v>7592</v>
      </c>
      <c r="C261">
        <f>MIN('GA Arroyo'!O261, 'GA Arroyo'!R261, 'GA Arroyo'!U261, 'GA Arroyo'!X261)</f>
        <v>7752.4</v>
      </c>
      <c r="D261">
        <f>MIN('GA Arroyo'!AB261, 'GA Arroyo'!AE261, 'GA Arroyo'!AH261, 'GA Arroyo'!AK261)</f>
        <v>8027.3</v>
      </c>
      <c r="E261">
        <f>MIN('GA Arroyo'!AO261, 'GA Arroyo'!AR261, 'GA Arroyo'!AU261, 'GA Arroyo'!AX261)</f>
        <v>7716</v>
      </c>
      <c r="G261" s="45">
        <f t="shared" si="24"/>
        <v>7592</v>
      </c>
      <c r="I261" s="49">
        <f t="shared" si="25"/>
        <v>0</v>
      </c>
      <c r="J261" s="49">
        <f t="shared" si="26"/>
        <v>2.1127502634351902</v>
      </c>
      <c r="K261" s="49">
        <f t="shared" si="27"/>
        <v>5.7336670179135956</v>
      </c>
      <c r="L261" s="49">
        <f t="shared" si="28"/>
        <v>1.6332982086406744</v>
      </c>
      <c r="T261" s="49">
        <f>(100*('GA Arroyo'!AO261-E261))/E261</f>
        <v>17.336702954898918</v>
      </c>
      <c r="U261" s="49">
        <f>(100*('GA Arroyo'!AR261-E261))/E261</f>
        <v>0</v>
      </c>
      <c r="V261" s="49">
        <f>(100*('GA Arroyo'!AU261-E261))/E261</f>
        <v>0.52617936754795702</v>
      </c>
      <c r="W261" s="49">
        <f>(100*('GA Arroyo'!AX261-E261))/E261</f>
        <v>2.9497148781752252</v>
      </c>
    </row>
    <row r="262" spans="2:23" ht="15" customHeight="1">
      <c r="B262">
        <f>MIN('GA Arroyo'!B262,'GA Arroyo'!E262,'GA Arroyo'!H262,'GA Arroyo'!K262)</f>
        <v>11651.5</v>
      </c>
      <c r="C262">
        <f>MIN('GA Arroyo'!O262, 'GA Arroyo'!R262, 'GA Arroyo'!U262, 'GA Arroyo'!X262)</f>
        <v>11595.5</v>
      </c>
      <c r="D262">
        <f>MIN('GA Arroyo'!AB262, 'GA Arroyo'!AE262, 'GA Arroyo'!AH262, 'GA Arroyo'!AK262)</f>
        <v>12491.1</v>
      </c>
      <c r="E262">
        <f>MIN('GA Arroyo'!AO262, 'GA Arroyo'!AR262, 'GA Arroyo'!AU262, 'GA Arroyo'!AX262)</f>
        <v>11791.5</v>
      </c>
      <c r="G262" s="45">
        <f t="shared" si="24"/>
        <v>11595.5</v>
      </c>
      <c r="I262" s="49">
        <f t="shared" si="25"/>
        <v>0.48294597041955933</v>
      </c>
      <c r="J262" s="49">
        <f t="shared" si="26"/>
        <v>0</v>
      </c>
      <c r="K262" s="49">
        <f t="shared" si="27"/>
        <v>7.7236859126385262</v>
      </c>
      <c r="L262" s="49">
        <f t="shared" si="28"/>
        <v>1.6903108964684577</v>
      </c>
      <c r="T262" s="49">
        <f>(100*('GA Arroyo'!AO262-E262))/E262</f>
        <v>4.2149005639655686</v>
      </c>
      <c r="U262" s="49">
        <f>(100*('GA Arroyo'!AR262-E262))/E262</f>
        <v>3.8604079209600197</v>
      </c>
      <c r="V262" s="49">
        <f>(100*('GA Arroyo'!AU262-E262))/E262</f>
        <v>0</v>
      </c>
      <c r="W262" s="49">
        <f>(100*('GA Arroyo'!AX262-E262))/E262</f>
        <v>2.4848407751346309</v>
      </c>
    </row>
    <row r="263" spans="2:23" ht="15" customHeight="1">
      <c r="B263">
        <f>MIN('GA Arroyo'!B263,'GA Arroyo'!E263,'GA Arroyo'!H263,'GA Arroyo'!K263)</f>
        <v>12964.1</v>
      </c>
      <c r="C263">
        <f>MIN('GA Arroyo'!O263, 'GA Arroyo'!R263, 'GA Arroyo'!U263, 'GA Arroyo'!X263)</f>
        <v>13169.2</v>
      </c>
      <c r="D263">
        <f>MIN('GA Arroyo'!AB263, 'GA Arroyo'!AE263, 'GA Arroyo'!AH263, 'GA Arroyo'!AK263)</f>
        <v>13641.9</v>
      </c>
      <c r="E263">
        <f>MIN('GA Arroyo'!AO263, 'GA Arroyo'!AR263, 'GA Arroyo'!AU263, 'GA Arroyo'!AX263)</f>
        <v>12956.1</v>
      </c>
      <c r="G263" s="45">
        <f t="shared" si="24"/>
        <v>12956.1</v>
      </c>
      <c r="I263" s="49">
        <f t="shared" si="25"/>
        <v>6.1746976327752952E-2</v>
      </c>
      <c r="J263" s="49">
        <f t="shared" si="26"/>
        <v>1.6447850819305221</v>
      </c>
      <c r="K263" s="49">
        <f t="shared" si="27"/>
        <v>5.2932595456966158</v>
      </c>
      <c r="L263" s="49">
        <f t="shared" si="28"/>
        <v>0</v>
      </c>
      <c r="T263" s="49">
        <f>(100*('GA Arroyo'!AO263-E263))/E263</f>
        <v>0</v>
      </c>
      <c r="U263" s="49">
        <f>(100*('GA Arroyo'!AR263-E263))/E263</f>
        <v>2.9376123987928495</v>
      </c>
      <c r="V263" s="49">
        <f>(100*('GA Arroyo'!AU263-E263))/E263</f>
        <v>3.8638170437091435</v>
      </c>
      <c r="W263" s="49">
        <f>(100*('GA Arroyo'!AX263-E263))/E263</f>
        <v>8.9255254281766856</v>
      </c>
    </row>
    <row r="264" spans="2:23" ht="15" customHeight="1">
      <c r="B264">
        <f>MIN('GA Arroyo'!B264,'GA Arroyo'!E264,'GA Arroyo'!H264,'GA Arroyo'!K264)</f>
        <v>7788.3</v>
      </c>
      <c r="C264">
        <f>MIN('GA Arroyo'!O264, 'GA Arroyo'!R264, 'GA Arroyo'!U264, 'GA Arroyo'!X264)</f>
        <v>7788.3</v>
      </c>
      <c r="D264">
        <f>MIN('GA Arroyo'!AB264, 'GA Arroyo'!AE264, 'GA Arroyo'!AH264, 'GA Arroyo'!AK264)</f>
        <v>8567.2999999999993</v>
      </c>
      <c r="E264">
        <f>MIN('GA Arroyo'!AO264, 'GA Arroyo'!AR264, 'GA Arroyo'!AU264, 'GA Arroyo'!AX264)</f>
        <v>7788.3</v>
      </c>
      <c r="G264" s="45">
        <f t="shared" si="24"/>
        <v>7788.3</v>
      </c>
      <c r="I264" s="49">
        <f t="shared" si="25"/>
        <v>0</v>
      </c>
      <c r="J264" s="49">
        <f t="shared" si="26"/>
        <v>0</v>
      </c>
      <c r="K264" s="49">
        <f t="shared" si="27"/>
        <v>10.002182761321459</v>
      </c>
      <c r="L264" s="49">
        <f t="shared" si="28"/>
        <v>0</v>
      </c>
      <c r="T264" s="49">
        <f>(100*('GA Arroyo'!AO264-E264))/E264</f>
        <v>6.7652761193071731</v>
      </c>
      <c r="U264" s="49">
        <f>(100*('GA Arroyo'!AR264-E264))/E264</f>
        <v>1.0271817983385334</v>
      </c>
      <c r="V264" s="49">
        <f>(100*('GA Arroyo'!AU264-E264))/E264</f>
        <v>0</v>
      </c>
      <c r="W264" s="49">
        <f>(100*('GA Arroyo'!AX264-E264))/E264</f>
        <v>0.20543635966770668</v>
      </c>
    </row>
    <row r="265" spans="2:23" ht="15" customHeight="1">
      <c r="B265">
        <f>MIN('GA Arroyo'!B265,'GA Arroyo'!E265,'GA Arroyo'!H265,'GA Arroyo'!K265)</f>
        <v>11414.6</v>
      </c>
      <c r="C265">
        <f>MIN('GA Arroyo'!O265, 'GA Arroyo'!R265, 'GA Arroyo'!U265, 'GA Arroyo'!X265)</f>
        <v>10064.799999999999</v>
      </c>
      <c r="D265">
        <f>MIN('GA Arroyo'!AB265, 'GA Arroyo'!AE265, 'GA Arroyo'!AH265, 'GA Arroyo'!AK265)</f>
        <v>12492.8</v>
      </c>
      <c r="E265">
        <f>MIN('GA Arroyo'!AO265, 'GA Arroyo'!AR265, 'GA Arroyo'!AU265, 'GA Arroyo'!AX265)</f>
        <v>10176.799999999999</v>
      </c>
      <c r="G265" s="45">
        <f t="shared" si="24"/>
        <v>10064.799999999999</v>
      </c>
      <c r="I265" s="49">
        <f t="shared" si="25"/>
        <v>13.411096097289576</v>
      </c>
      <c r="J265" s="49">
        <f t="shared" si="26"/>
        <v>0</v>
      </c>
      <c r="K265" s="49">
        <f t="shared" si="27"/>
        <v>24.123678562912328</v>
      </c>
      <c r="L265" s="49">
        <f t="shared" si="28"/>
        <v>1.1127891264605358</v>
      </c>
      <c r="T265" s="49">
        <f>(100*('GA Arroyo'!AO265-E265))/E265</f>
        <v>21.79172234887195</v>
      </c>
      <c r="U265" s="49">
        <f>(100*('GA Arroyo'!AR265-E265))/E265</f>
        <v>23.394387233708056</v>
      </c>
      <c r="V265" s="49">
        <f>(100*('GA Arroyo'!AU265-E265))/E265</f>
        <v>0</v>
      </c>
      <c r="W265" s="49">
        <f>(100*('GA Arroyo'!AX265-E265))/E265</f>
        <v>24.471346592249052</v>
      </c>
    </row>
    <row r="266" spans="2:23" ht="15" customHeight="1">
      <c r="B266">
        <f>MIN('GA Arroyo'!B266,'GA Arroyo'!E266,'GA Arroyo'!H266,'GA Arroyo'!K266)</f>
        <v>11297.4</v>
      </c>
      <c r="C266">
        <f>MIN('GA Arroyo'!O266, 'GA Arroyo'!R266, 'GA Arroyo'!U266, 'GA Arroyo'!X266)</f>
        <v>10878.2</v>
      </c>
      <c r="D266">
        <f>MIN('GA Arroyo'!AB266, 'GA Arroyo'!AE266, 'GA Arroyo'!AH266, 'GA Arroyo'!AK266)</f>
        <v>11417.4</v>
      </c>
      <c r="E266">
        <f>MIN('GA Arroyo'!AO266, 'GA Arroyo'!AR266, 'GA Arroyo'!AU266, 'GA Arroyo'!AX266)</f>
        <v>11534.4</v>
      </c>
      <c r="G266" s="45">
        <f t="shared" si="24"/>
        <v>10878.2</v>
      </c>
      <c r="I266" s="49">
        <f t="shared" si="25"/>
        <v>3.8535787170671516</v>
      </c>
      <c r="J266" s="49">
        <f t="shared" si="26"/>
        <v>0</v>
      </c>
      <c r="K266" s="49">
        <f t="shared" si="27"/>
        <v>4.9567023956169116</v>
      </c>
      <c r="L266" s="49">
        <f t="shared" si="28"/>
        <v>6.0322479822029269</v>
      </c>
      <c r="T266" s="49">
        <f>(100*('GA Arroyo'!AO266-E266))/E266</f>
        <v>6.2361284505479366</v>
      </c>
      <c r="U266" s="49">
        <f>(100*('GA Arroyo'!AR266-E266))/E266</f>
        <v>0</v>
      </c>
      <c r="V266" s="49">
        <f>(100*('GA Arroyo'!AU266-E266))/E266</f>
        <v>0.8322929671244278</v>
      </c>
      <c r="W266" s="49">
        <f>(100*('GA Arroyo'!AX266-E266))/E266</f>
        <v>3.7054376473852098</v>
      </c>
    </row>
    <row r="267" spans="2:23" ht="15" customHeight="1">
      <c r="B267">
        <f>MIN('GA Arroyo'!B267,'GA Arroyo'!E267,'GA Arroyo'!H267,'GA Arroyo'!K267)</f>
        <v>7350.2</v>
      </c>
      <c r="C267">
        <f>MIN('GA Arroyo'!O267, 'GA Arroyo'!R267, 'GA Arroyo'!U267, 'GA Arroyo'!X267)</f>
        <v>7350.2</v>
      </c>
      <c r="D267">
        <f>MIN('GA Arroyo'!AB267, 'GA Arroyo'!AE267, 'GA Arroyo'!AH267, 'GA Arroyo'!AK267)</f>
        <v>8585.2000000000007</v>
      </c>
      <c r="E267">
        <f>MIN('GA Arroyo'!AO267, 'GA Arroyo'!AR267, 'GA Arroyo'!AU267, 'GA Arroyo'!AX267)</f>
        <v>7318.2</v>
      </c>
      <c r="G267" s="45">
        <f t="shared" si="24"/>
        <v>7318.2</v>
      </c>
      <c r="I267" s="49">
        <f t="shared" si="25"/>
        <v>0.43726599437020031</v>
      </c>
      <c r="J267" s="49">
        <f t="shared" si="26"/>
        <v>0.43726599437020031</v>
      </c>
      <c r="K267" s="49">
        <f t="shared" si="27"/>
        <v>17.313000464595131</v>
      </c>
      <c r="L267" s="49">
        <f t="shared" si="28"/>
        <v>0</v>
      </c>
      <c r="T267" s="49">
        <f>(100*('GA Arroyo'!AO267-E267))/E267</f>
        <v>0</v>
      </c>
      <c r="U267" s="49">
        <f>(100*('GA Arroyo'!AR267-E267))/E267</f>
        <v>9.5214670274111146</v>
      </c>
      <c r="V267" s="49">
        <f>(100*('GA Arroyo'!AU267-E267))/E267</f>
        <v>9.5214670274111146</v>
      </c>
      <c r="W267" s="49">
        <f>(100*('GA Arroyo'!AX267-E267))/E267</f>
        <v>8.9748845344483641</v>
      </c>
    </row>
    <row r="268" spans="2:23" ht="15" customHeight="1">
      <c r="B268">
        <f>MIN('GA Arroyo'!B268,'GA Arroyo'!E268,'GA Arroyo'!H268,'GA Arroyo'!K268)</f>
        <v>11334.3</v>
      </c>
      <c r="C268">
        <f>MIN('GA Arroyo'!O268, 'GA Arroyo'!R268, 'GA Arroyo'!U268, 'GA Arroyo'!X268)</f>
        <v>11098</v>
      </c>
      <c r="D268">
        <f>MIN('GA Arroyo'!AB268, 'GA Arroyo'!AE268, 'GA Arroyo'!AH268, 'GA Arroyo'!AK268)</f>
        <v>11871.4</v>
      </c>
      <c r="E268">
        <f>MIN('GA Arroyo'!AO268, 'GA Arroyo'!AR268, 'GA Arroyo'!AU268, 'GA Arroyo'!AX268)</f>
        <v>11603.2</v>
      </c>
      <c r="G268" s="45">
        <f t="shared" si="24"/>
        <v>11098</v>
      </c>
      <c r="I268" s="49">
        <f t="shared" si="25"/>
        <v>2.1292124707154376</v>
      </c>
      <c r="J268" s="49">
        <f t="shared" si="26"/>
        <v>0</v>
      </c>
      <c r="K268" s="49">
        <f t="shared" si="27"/>
        <v>6.9688232113894371</v>
      </c>
      <c r="L268" s="49">
        <f t="shared" si="28"/>
        <v>4.5521715624436903</v>
      </c>
      <c r="T268" s="49">
        <f>(100*('GA Arroyo'!AO268-E268))/E268</f>
        <v>12.49482901268615</v>
      </c>
      <c r="U268" s="49">
        <f>(100*('GA Arroyo'!AR268-E268))/E268</f>
        <v>2.2424848317705366</v>
      </c>
      <c r="V268" s="49">
        <f>(100*('GA Arroyo'!AU268-E268))/E268</f>
        <v>2.3803778268063889</v>
      </c>
      <c r="W268" s="49">
        <f>(100*('GA Arroyo'!AX268-E268))/E268</f>
        <v>0</v>
      </c>
    </row>
    <row r="269" spans="2:23" ht="15" customHeight="1">
      <c r="B269">
        <f>MIN('GA Arroyo'!B269,'GA Arroyo'!E269,'GA Arroyo'!H269,'GA Arroyo'!K269)</f>
        <v>10578.1</v>
      </c>
      <c r="C269">
        <f>MIN('GA Arroyo'!O269, 'GA Arroyo'!R269, 'GA Arroyo'!U269, 'GA Arroyo'!X269)</f>
        <v>10483.9</v>
      </c>
      <c r="D269">
        <f>MIN('GA Arroyo'!AB269, 'GA Arroyo'!AE269, 'GA Arroyo'!AH269, 'GA Arroyo'!AK269)</f>
        <v>12236.4</v>
      </c>
      <c r="E269">
        <f>MIN('GA Arroyo'!AO269, 'GA Arroyo'!AR269, 'GA Arroyo'!AU269, 'GA Arroyo'!AX269)</f>
        <v>10722.1</v>
      </c>
      <c r="G269" s="45">
        <f t="shared" si="24"/>
        <v>10483.9</v>
      </c>
      <c r="I269" s="49">
        <f t="shared" si="25"/>
        <v>0.89852058871222285</v>
      </c>
      <c r="J269" s="49">
        <f t="shared" si="26"/>
        <v>0</v>
      </c>
      <c r="K269" s="49">
        <f t="shared" si="27"/>
        <v>16.716107555394462</v>
      </c>
      <c r="L269" s="49">
        <f t="shared" si="28"/>
        <v>2.2720552466162474</v>
      </c>
      <c r="T269" s="49">
        <f>(100*('GA Arroyo'!AO269-E269))/E269</f>
        <v>0</v>
      </c>
      <c r="U269" s="49">
        <f>(100*('GA Arroyo'!AR269-E269))/E269</f>
        <v>3.1253205995094278</v>
      </c>
      <c r="V269" s="49">
        <f>(100*('GA Arroyo'!AU269-E269))/E269</f>
        <v>13.713731451861106</v>
      </c>
      <c r="W269" s="49">
        <f>(100*('GA Arroyo'!AX269-E269))/E269</f>
        <v>7.7130412885535478</v>
      </c>
    </row>
    <row r="270" spans="2:23" ht="15" customHeight="1">
      <c r="B270">
        <f>MIN('GA Arroyo'!B270,'GA Arroyo'!E270,'GA Arroyo'!H270,'GA Arroyo'!K270)</f>
        <v>12975.2</v>
      </c>
      <c r="C270">
        <f>MIN('GA Arroyo'!O270, 'GA Arroyo'!R270, 'GA Arroyo'!U270, 'GA Arroyo'!X270)</f>
        <v>12967.2</v>
      </c>
      <c r="D270">
        <f>MIN('GA Arroyo'!AB270, 'GA Arroyo'!AE270, 'GA Arroyo'!AH270, 'GA Arroyo'!AK270)</f>
        <v>14545.3</v>
      </c>
      <c r="E270">
        <f>MIN('GA Arroyo'!AO270, 'GA Arroyo'!AR270, 'GA Arroyo'!AU270, 'GA Arroyo'!AX270)</f>
        <v>12935.2</v>
      </c>
      <c r="G270" s="45">
        <f t="shared" si="24"/>
        <v>12935.2</v>
      </c>
      <c r="I270" s="49">
        <f t="shared" si="25"/>
        <v>0.3092337188447028</v>
      </c>
      <c r="J270" s="49">
        <f t="shared" si="26"/>
        <v>0.24738697507576224</v>
      </c>
      <c r="K270" s="49">
        <f t="shared" si="27"/>
        <v>12.447430267796388</v>
      </c>
      <c r="L270" s="49">
        <f t="shared" si="28"/>
        <v>0</v>
      </c>
      <c r="T270" s="49">
        <f>(100*('GA Arroyo'!AO270-E270))/E270</f>
        <v>12.397952872781238</v>
      </c>
      <c r="U270" s="49">
        <f>(100*('GA Arroyo'!AR270-E270))/E270</f>
        <v>6.7428412394087358</v>
      </c>
      <c r="V270" s="49">
        <f>(100*('GA Arroyo'!AU270-E270))/E270</f>
        <v>0</v>
      </c>
      <c r="W270" s="49">
        <f>(100*('GA Arroyo'!AX270-E270))/E270</f>
        <v>6.4954542643329738</v>
      </c>
    </row>
    <row r="271" spans="2:23" ht="15" customHeight="1">
      <c r="B271">
        <f>MIN('GA Arroyo'!B271,'GA Arroyo'!E271,'GA Arroyo'!H271,'GA Arroyo'!K271)</f>
        <v>9660.5</v>
      </c>
      <c r="C271">
        <f>MIN('GA Arroyo'!O271, 'GA Arroyo'!R271, 'GA Arroyo'!U271, 'GA Arroyo'!X271)</f>
        <v>9481.7000000000007</v>
      </c>
      <c r="D271">
        <f>MIN('GA Arroyo'!AB271, 'GA Arroyo'!AE271, 'GA Arroyo'!AH271, 'GA Arroyo'!AK271)</f>
        <v>9971.4</v>
      </c>
      <c r="E271">
        <f>MIN('GA Arroyo'!AO271, 'GA Arroyo'!AR271, 'GA Arroyo'!AU271, 'GA Arroyo'!AX271)</f>
        <v>9505.7000000000007</v>
      </c>
      <c r="G271" s="45">
        <f t="shared" si="24"/>
        <v>9481.7000000000007</v>
      </c>
      <c r="I271" s="49">
        <f t="shared" si="25"/>
        <v>1.8857377896368717</v>
      </c>
      <c r="J271" s="49">
        <f t="shared" si="26"/>
        <v>0</v>
      </c>
      <c r="K271" s="49">
        <f t="shared" si="27"/>
        <v>5.1646856576352222</v>
      </c>
      <c r="L271" s="49">
        <f t="shared" si="28"/>
        <v>0.253119166394212</v>
      </c>
      <c r="T271" s="49">
        <f>(100*('GA Arroyo'!AO271-E271))/E271</f>
        <v>1.3844324983956839</v>
      </c>
      <c r="U271" s="49">
        <f>(100*('GA Arroyo'!AR271-E271))/E271</f>
        <v>13.208916755210016</v>
      </c>
      <c r="V271" s="49">
        <f>(100*('GA Arroyo'!AU271-E271))/E271</f>
        <v>4.8055377299935751</v>
      </c>
      <c r="W271" s="49">
        <f>(100*('GA Arroyo'!AX271-E271))/E271</f>
        <v>0</v>
      </c>
    </row>
    <row r="272" spans="2:23" ht="15" customHeight="1">
      <c r="B272">
        <f>MIN('GA Arroyo'!B272,'GA Arroyo'!E272,'GA Arroyo'!H272,'GA Arroyo'!K272)</f>
        <v>10769.4</v>
      </c>
      <c r="C272">
        <f>MIN('GA Arroyo'!O272, 'GA Arroyo'!R272, 'GA Arroyo'!U272, 'GA Arroyo'!X272)</f>
        <v>10979.4</v>
      </c>
      <c r="D272">
        <f>MIN('GA Arroyo'!AB272, 'GA Arroyo'!AE272, 'GA Arroyo'!AH272, 'GA Arroyo'!AK272)</f>
        <v>11146.4</v>
      </c>
      <c r="E272">
        <f>MIN('GA Arroyo'!AO272, 'GA Arroyo'!AR272, 'GA Arroyo'!AU272, 'GA Arroyo'!AX272)</f>
        <v>11256.6</v>
      </c>
      <c r="G272" s="45">
        <f t="shared" si="24"/>
        <v>10769.4</v>
      </c>
      <c r="I272" s="49">
        <f t="shared" si="25"/>
        <v>0</v>
      </c>
      <c r="J272" s="49">
        <f t="shared" si="26"/>
        <v>1.9499693576243802</v>
      </c>
      <c r="K272" s="49">
        <f t="shared" si="27"/>
        <v>3.5006592753542445</v>
      </c>
      <c r="L272" s="49">
        <f t="shared" si="28"/>
        <v>4.5239289096885686</v>
      </c>
      <c r="T272" s="49">
        <f>(100*('GA Arroyo'!AO272-E272))/E272</f>
        <v>4.7705346196897818</v>
      </c>
      <c r="U272" s="49">
        <f>(100*('GA Arroyo'!AR272-E272))/E272</f>
        <v>4.4151875344242484</v>
      </c>
      <c r="V272" s="49">
        <f>(100*('GA Arroyo'!AU272-E272))/E272</f>
        <v>4.7705346196897818</v>
      </c>
      <c r="W272" s="49">
        <f>(100*('GA Arroyo'!AX272-E272))/E272</f>
        <v>0</v>
      </c>
    </row>
    <row r="273" spans="2:23" ht="15" customHeight="1">
      <c r="B273">
        <f>MIN('GA Arroyo'!B273,'GA Arroyo'!E273,'GA Arroyo'!H273,'GA Arroyo'!K273)</f>
        <v>7530.9</v>
      </c>
      <c r="C273">
        <f>MIN('GA Arroyo'!O273, 'GA Arroyo'!R273, 'GA Arroyo'!U273, 'GA Arroyo'!X273)</f>
        <v>7370.9</v>
      </c>
      <c r="D273">
        <f>MIN('GA Arroyo'!AB273, 'GA Arroyo'!AE273, 'GA Arroyo'!AH273, 'GA Arroyo'!AK273)</f>
        <v>8636.9</v>
      </c>
      <c r="E273">
        <f>MIN('GA Arroyo'!AO273, 'GA Arroyo'!AR273, 'GA Arroyo'!AU273, 'GA Arroyo'!AX273)</f>
        <v>8012.1</v>
      </c>
      <c r="G273" s="45">
        <f t="shared" si="24"/>
        <v>7370.9</v>
      </c>
      <c r="I273" s="49">
        <f t="shared" si="25"/>
        <v>2.1706982865050404</v>
      </c>
      <c r="J273" s="49">
        <f t="shared" si="26"/>
        <v>0</v>
      </c>
      <c r="K273" s="49">
        <f t="shared" si="27"/>
        <v>17.17565019197113</v>
      </c>
      <c r="L273" s="49">
        <f t="shared" si="28"/>
        <v>8.6990733831689582</v>
      </c>
      <c r="T273" s="49">
        <f>(100*('GA Arroyo'!AO273-E273))/E273</f>
        <v>2.9854844547621586</v>
      </c>
      <c r="U273" s="49">
        <f>(100*('GA Arroyo'!AR273-E273))/E273</f>
        <v>10.098476054966866</v>
      </c>
      <c r="V273" s="49">
        <f>(100*('GA Arroyo'!AU273-E273))/E273</f>
        <v>2.9854844547621586</v>
      </c>
      <c r="W273" s="49">
        <f>(100*('GA Arroyo'!AX273-E273))/E273</f>
        <v>0</v>
      </c>
    </row>
    <row r="274" spans="2:23" ht="15" customHeight="1">
      <c r="B274">
        <f>MIN('GA Arroyo'!B274,'GA Arroyo'!E274,'GA Arroyo'!H274,'GA Arroyo'!K274)</f>
        <v>8584.4</v>
      </c>
      <c r="C274">
        <f>MIN('GA Arroyo'!O274, 'GA Arroyo'!R274, 'GA Arroyo'!U274, 'GA Arroyo'!X274)</f>
        <v>8245.1</v>
      </c>
      <c r="D274">
        <f>MIN('GA Arroyo'!AB274, 'GA Arroyo'!AE274, 'GA Arroyo'!AH274, 'GA Arroyo'!AK274)</f>
        <v>9238.2000000000007</v>
      </c>
      <c r="E274">
        <f>MIN('GA Arroyo'!AO274, 'GA Arroyo'!AR274, 'GA Arroyo'!AU274, 'GA Arroyo'!AX274)</f>
        <v>8964.1</v>
      </c>
      <c r="G274" s="45">
        <f t="shared" si="24"/>
        <v>8245.1</v>
      </c>
      <c r="I274" s="49">
        <f t="shared" si="25"/>
        <v>4.1151714351554167</v>
      </c>
      <c r="J274" s="49">
        <f t="shared" si="26"/>
        <v>0</v>
      </c>
      <c r="K274" s="49">
        <f t="shared" si="27"/>
        <v>12.044729596972751</v>
      </c>
      <c r="L274" s="49">
        <f t="shared" si="28"/>
        <v>8.7203308631793419</v>
      </c>
      <c r="T274" s="49">
        <f>(100*('GA Arroyo'!AO274-E274))/E274</f>
        <v>2.8803783982775615</v>
      </c>
      <c r="U274" s="49">
        <f>(100*('GA Arroyo'!AR274-E274))/E274</f>
        <v>0.53546926071775192</v>
      </c>
      <c r="V274" s="49">
        <f>(100*('GA Arroyo'!AU274-E274))/E274</f>
        <v>0</v>
      </c>
      <c r="W274" s="49">
        <f>(100*('GA Arroyo'!AX274-E274))/E274</f>
        <v>0</v>
      </c>
    </row>
    <row r="275" spans="2:23" ht="15" customHeight="1">
      <c r="B275">
        <f>MIN('GA Arroyo'!B275,'GA Arroyo'!E275,'GA Arroyo'!H275,'GA Arroyo'!K275)</f>
        <v>11942.4</v>
      </c>
      <c r="C275">
        <f>MIN('GA Arroyo'!O275, 'GA Arroyo'!R275, 'GA Arroyo'!U275, 'GA Arroyo'!X275)</f>
        <v>11638</v>
      </c>
      <c r="D275">
        <f>MIN('GA Arroyo'!AB275, 'GA Arroyo'!AE275, 'GA Arroyo'!AH275, 'GA Arroyo'!AK275)</f>
        <v>13131.9</v>
      </c>
      <c r="E275">
        <f>MIN('GA Arroyo'!AO275, 'GA Arroyo'!AR275, 'GA Arroyo'!AU275, 'GA Arroyo'!AX275)</f>
        <v>12413.9</v>
      </c>
      <c r="G275" s="45">
        <f t="shared" si="24"/>
        <v>11638</v>
      </c>
      <c r="I275" s="49">
        <f t="shared" si="25"/>
        <v>2.6155696855129715</v>
      </c>
      <c r="J275" s="49">
        <f t="shared" si="26"/>
        <v>0</v>
      </c>
      <c r="K275" s="49">
        <f t="shared" si="27"/>
        <v>12.836398006530329</v>
      </c>
      <c r="L275" s="49">
        <f t="shared" si="28"/>
        <v>6.6669530847224587</v>
      </c>
      <c r="T275" s="49">
        <f>(100*('GA Arroyo'!AO275-E275))/E275</f>
        <v>5.3101764957024038</v>
      </c>
      <c r="U275" s="49">
        <f>(100*('GA Arroyo'!AR275-E275))/E275</f>
        <v>0.57032842217192903</v>
      </c>
      <c r="V275" s="49">
        <f>(100*('GA Arroyo'!AU275-E275))/E275</f>
        <v>0</v>
      </c>
      <c r="W275" s="49">
        <f>(100*('GA Arroyo'!AX275-E275))/E275</f>
        <v>1.0641297255495885</v>
      </c>
    </row>
    <row r="276" spans="2:23" ht="15" customHeight="1">
      <c r="B276">
        <f>MIN('GA Arroyo'!B276,'GA Arroyo'!E276,'GA Arroyo'!H276,'GA Arroyo'!K276)</f>
        <v>12883.9</v>
      </c>
      <c r="C276">
        <f>MIN('GA Arroyo'!O276, 'GA Arroyo'!R276, 'GA Arroyo'!U276, 'GA Arroyo'!X276)</f>
        <v>12795.9</v>
      </c>
      <c r="D276">
        <f>MIN('GA Arroyo'!AB276, 'GA Arroyo'!AE276, 'GA Arroyo'!AH276, 'GA Arroyo'!AK276)</f>
        <v>14613.2</v>
      </c>
      <c r="E276">
        <f>MIN('GA Arroyo'!AO276, 'GA Arroyo'!AR276, 'GA Arroyo'!AU276, 'GA Arroyo'!AX276)</f>
        <v>12931.9</v>
      </c>
      <c r="G276" s="45">
        <f t="shared" si="24"/>
        <v>12795.9</v>
      </c>
      <c r="I276" s="49">
        <f t="shared" si="25"/>
        <v>0.6877202854039185</v>
      </c>
      <c r="J276" s="49">
        <f t="shared" si="26"/>
        <v>0</v>
      </c>
      <c r="K276" s="49">
        <f t="shared" si="27"/>
        <v>14.202205393915248</v>
      </c>
      <c r="L276" s="49">
        <f t="shared" si="28"/>
        <v>1.0628404410787831</v>
      </c>
      <c r="T276" s="49">
        <f>(100*('GA Arroyo'!AO276-E276))/E276</f>
        <v>2.7412831834455882</v>
      </c>
      <c r="U276" s="49">
        <f>(100*('GA Arroyo'!AR276-E276))/E276</f>
        <v>2.7412831834455882</v>
      </c>
      <c r="V276" s="49">
        <f>(100*('GA Arroyo'!AU276-E276))/E276</f>
        <v>3.9785337034774475</v>
      </c>
      <c r="W276" s="49">
        <f>(100*('GA Arroyo'!AX276-E276))/E276</f>
        <v>0</v>
      </c>
    </row>
    <row r="277" spans="2:23" ht="15" customHeight="1">
      <c r="B277">
        <f>MIN('GA Arroyo'!B277,'GA Arroyo'!E277,'GA Arroyo'!H277,'GA Arroyo'!K277)</f>
        <v>11056.9</v>
      </c>
      <c r="C277">
        <f>MIN('GA Arroyo'!O277, 'GA Arroyo'!R277, 'GA Arroyo'!U277, 'GA Arroyo'!X277)</f>
        <v>10976.9</v>
      </c>
      <c r="D277">
        <f>MIN('GA Arroyo'!AB277, 'GA Arroyo'!AE277, 'GA Arroyo'!AH277, 'GA Arroyo'!AK277)</f>
        <v>12137.2</v>
      </c>
      <c r="E277">
        <f>MIN('GA Arroyo'!AO277, 'GA Arroyo'!AR277, 'GA Arroyo'!AU277, 'GA Arroyo'!AX277)</f>
        <v>11815.2</v>
      </c>
      <c r="G277" s="45">
        <f t="shared" si="24"/>
        <v>10976.9</v>
      </c>
      <c r="I277" s="49">
        <f t="shared" si="25"/>
        <v>0.72880321402217385</v>
      </c>
      <c r="J277" s="49">
        <f t="shared" si="26"/>
        <v>0</v>
      </c>
      <c r="K277" s="49">
        <f t="shared" si="27"/>
        <v>10.570379615374115</v>
      </c>
      <c r="L277" s="49">
        <f t="shared" si="28"/>
        <v>7.6369466789348648</v>
      </c>
      <c r="T277" s="49">
        <f>(100*('GA Arroyo'!AO277-E277))/E277</f>
        <v>1.6910420475319865</v>
      </c>
      <c r="U277" s="49">
        <f>(100*('GA Arroyo'!AR277-E277))/E277</f>
        <v>1.4997630171304666</v>
      </c>
      <c r="V277" s="49">
        <f>(100*('GA Arroyo'!AU277-E277))/E277</f>
        <v>0</v>
      </c>
      <c r="W277" s="49">
        <f>(100*('GA Arroyo'!AX277-E277))/E277</f>
        <v>1.4879138736542696</v>
      </c>
    </row>
    <row r="278" spans="2:23" ht="15" customHeight="1">
      <c r="B278">
        <f>MIN('GA Arroyo'!B278,'GA Arroyo'!E278,'GA Arroyo'!H278,'GA Arroyo'!K278)</f>
        <v>12914.9</v>
      </c>
      <c r="C278">
        <f>MIN('GA Arroyo'!O278, 'GA Arroyo'!R278, 'GA Arroyo'!U278, 'GA Arroyo'!X278)</f>
        <v>12914.9</v>
      </c>
      <c r="D278">
        <f>MIN('GA Arroyo'!AB278, 'GA Arroyo'!AE278, 'GA Arroyo'!AH278, 'GA Arroyo'!AK278)</f>
        <v>13906.1</v>
      </c>
      <c r="E278">
        <f>MIN('GA Arroyo'!AO278, 'GA Arroyo'!AR278, 'GA Arroyo'!AU278, 'GA Arroyo'!AX278)</f>
        <v>13498.9</v>
      </c>
      <c r="G278" s="45">
        <f t="shared" si="24"/>
        <v>12914.9</v>
      </c>
      <c r="I278" s="49">
        <f t="shared" si="25"/>
        <v>0</v>
      </c>
      <c r="J278" s="49">
        <f t="shared" si="26"/>
        <v>0</v>
      </c>
      <c r="K278" s="49">
        <f t="shared" si="27"/>
        <v>7.6748561738766909</v>
      </c>
      <c r="L278" s="49">
        <f t="shared" si="28"/>
        <v>4.5219088030104766</v>
      </c>
      <c r="T278" s="49">
        <f>(100*('GA Arroyo'!AO278-E278))/E278</f>
        <v>8.6925601345294776</v>
      </c>
      <c r="U278" s="49">
        <f>(100*('GA Arroyo'!AR278-E278))/E278</f>
        <v>7.134655416367262</v>
      </c>
      <c r="V278" s="49">
        <f>(100*('GA Arroyo'!AU278-E278))/E278</f>
        <v>0</v>
      </c>
      <c r="W278" s="49">
        <f>(100*('GA Arroyo'!AX278-E278))/E278</f>
        <v>4.4085073598589544</v>
      </c>
    </row>
    <row r="279" spans="2:23" ht="15" customHeight="1">
      <c r="B279">
        <f>MIN('GA Arroyo'!B279,'GA Arroyo'!E279,'GA Arroyo'!H279,'GA Arroyo'!K279)</f>
        <v>10045</v>
      </c>
      <c r="C279">
        <f>MIN('GA Arroyo'!O279, 'GA Arroyo'!R279, 'GA Arroyo'!U279, 'GA Arroyo'!X279)</f>
        <v>9360.1</v>
      </c>
      <c r="D279">
        <f>MIN('GA Arroyo'!AB279, 'GA Arroyo'!AE279, 'GA Arroyo'!AH279, 'GA Arroyo'!AK279)</f>
        <v>10245.200000000001</v>
      </c>
      <c r="E279">
        <f>MIN('GA Arroyo'!AO279, 'GA Arroyo'!AR279, 'GA Arroyo'!AU279, 'GA Arroyo'!AX279)</f>
        <v>10447</v>
      </c>
      <c r="G279" s="45">
        <f t="shared" si="24"/>
        <v>9360.1</v>
      </c>
      <c r="I279" s="49">
        <f t="shared" si="25"/>
        <v>7.3172295167786636</v>
      </c>
      <c r="J279" s="49">
        <f t="shared" si="26"/>
        <v>0</v>
      </c>
      <c r="K279" s="49">
        <f t="shared" si="27"/>
        <v>9.4560955545346772</v>
      </c>
      <c r="L279" s="49">
        <f t="shared" si="28"/>
        <v>11.612055426758257</v>
      </c>
      <c r="T279" s="49">
        <f>(100*('GA Arroyo'!AO279-E279))/E279</f>
        <v>1.7612711783287067</v>
      </c>
      <c r="U279" s="49">
        <f>(100*('GA Arroyo'!AR279-E279))/E279</f>
        <v>10.61548769981813</v>
      </c>
      <c r="V279" s="49">
        <f>(100*('GA Arroyo'!AU279-E279))/E279</f>
        <v>0</v>
      </c>
      <c r="W279" s="49">
        <f>(100*('GA Arroyo'!AX279-E279))/E279</f>
        <v>1.2252321240547526</v>
      </c>
    </row>
    <row r="280" spans="2:23" ht="15" customHeight="1">
      <c r="B280">
        <f>MIN('GA Arroyo'!B280,'GA Arroyo'!E280,'GA Arroyo'!H280,'GA Arroyo'!K280)</f>
        <v>10769.6</v>
      </c>
      <c r="C280">
        <f>MIN('GA Arroyo'!O280, 'GA Arroyo'!R280, 'GA Arroyo'!U280, 'GA Arroyo'!X280)</f>
        <v>10197</v>
      </c>
      <c r="D280">
        <f>MIN('GA Arroyo'!AB280, 'GA Arroyo'!AE280, 'GA Arroyo'!AH280, 'GA Arroyo'!AK280)</f>
        <v>11807.6</v>
      </c>
      <c r="E280">
        <f>MIN('GA Arroyo'!AO280, 'GA Arroyo'!AR280, 'GA Arroyo'!AU280, 'GA Arroyo'!AX280)</f>
        <v>10781.1</v>
      </c>
      <c r="G280" s="45">
        <f t="shared" si="24"/>
        <v>10197</v>
      </c>
      <c r="I280" s="49">
        <f t="shared" si="25"/>
        <v>5.6153770716877549</v>
      </c>
      <c r="J280" s="49">
        <f t="shared" si="26"/>
        <v>0</v>
      </c>
      <c r="K280" s="49">
        <f t="shared" si="27"/>
        <v>15.794841620084341</v>
      </c>
      <c r="L280" s="49">
        <f t="shared" si="28"/>
        <v>5.7281553398058289</v>
      </c>
      <c r="T280" s="49">
        <f>(100*('GA Arroyo'!AO280-E280))/E280</f>
        <v>0</v>
      </c>
      <c r="U280" s="49">
        <f>(100*('GA Arroyo'!AR280-E280))/E280</f>
        <v>10.504493975568355</v>
      </c>
      <c r="V280" s="49">
        <f>(100*('GA Arroyo'!AU280-E280))/E280</f>
        <v>3.224160799918379</v>
      </c>
      <c r="W280" s="49">
        <f>(100*('GA Arroyo'!AX280-E280))/E280</f>
        <v>8.8293402342989094</v>
      </c>
    </row>
    <row r="281" spans="2:23" ht="15" customHeight="1">
      <c r="B281">
        <f>MIN('GA Arroyo'!B281,'GA Arroyo'!E281,'GA Arroyo'!H281,'GA Arroyo'!K281)</f>
        <v>15769.2</v>
      </c>
      <c r="C281">
        <f>MIN('GA Arroyo'!O281, 'GA Arroyo'!R281, 'GA Arroyo'!U281, 'GA Arroyo'!X281)</f>
        <v>19066.2</v>
      </c>
      <c r="D281">
        <f>MIN('GA Arroyo'!AB281, 'GA Arroyo'!AE281, 'GA Arroyo'!AH281, 'GA Arroyo'!AK281)</f>
        <v>16352.6</v>
      </c>
      <c r="E281">
        <f>MIN('GA Arroyo'!AO281, 'GA Arroyo'!AR281, 'GA Arroyo'!AU281, 'GA Arroyo'!AX281)</f>
        <v>15726</v>
      </c>
      <c r="G281" s="45">
        <f t="shared" si="24"/>
        <v>15726</v>
      </c>
      <c r="I281" s="49">
        <f t="shared" si="25"/>
        <v>0.27470431133155748</v>
      </c>
      <c r="J281" s="49">
        <f t="shared" si="26"/>
        <v>21.239984738649373</v>
      </c>
      <c r="K281" s="49">
        <f t="shared" si="27"/>
        <v>3.9844842935266462</v>
      </c>
      <c r="L281" s="49">
        <f t="shared" si="28"/>
        <v>0</v>
      </c>
      <c r="T281" s="49">
        <f>(100*('GA Arroyo'!AO281-E281))/E281</f>
        <v>1.9839755818389928</v>
      </c>
      <c r="U281" s="49">
        <f>(100*('GA Arroyo'!AR281-E281))/E281</f>
        <v>0.50871168765102381</v>
      </c>
      <c r="V281" s="49">
        <f>(100*('GA Arroyo'!AU281-E281))/E281</f>
        <v>1.3226503878926619</v>
      </c>
      <c r="W281" s="49">
        <f>(100*('GA Arroyo'!AX281-E281))/E281</f>
        <v>0</v>
      </c>
    </row>
    <row r="282" spans="2:23" ht="15" customHeight="1">
      <c r="B282">
        <f>MIN('GA Arroyo'!B282,'GA Arroyo'!E282,'GA Arroyo'!H282,'GA Arroyo'!K282)</f>
        <v>11488.9</v>
      </c>
      <c r="C282">
        <f>MIN('GA Arroyo'!O282, 'GA Arroyo'!R282, 'GA Arroyo'!U282, 'GA Arroyo'!X282)</f>
        <v>11400.9</v>
      </c>
      <c r="D282">
        <f>MIN('GA Arroyo'!AB282, 'GA Arroyo'!AE282, 'GA Arroyo'!AH282, 'GA Arroyo'!AK282)</f>
        <v>12094.3</v>
      </c>
      <c r="E282">
        <f>MIN('GA Arroyo'!AO282, 'GA Arroyo'!AR282, 'GA Arroyo'!AU282, 'GA Arroyo'!AX282)</f>
        <v>11989.4</v>
      </c>
      <c r="G282" s="45">
        <f t="shared" si="24"/>
        <v>11400.9</v>
      </c>
      <c r="I282" s="49">
        <f t="shared" si="25"/>
        <v>0.77186888754396588</v>
      </c>
      <c r="J282" s="49">
        <f t="shared" si="26"/>
        <v>0</v>
      </c>
      <c r="K282" s="49">
        <f t="shared" si="27"/>
        <v>6.08197598435211</v>
      </c>
      <c r="L282" s="49">
        <f t="shared" si="28"/>
        <v>5.161873185450272</v>
      </c>
      <c r="T282" s="49">
        <f>(100*('GA Arroyo'!AO282-E282))/E282</f>
        <v>13.677915492017947</v>
      </c>
      <c r="U282" s="49">
        <f>(100*('GA Arroyo'!AR282-E282))/E282</f>
        <v>0</v>
      </c>
      <c r="V282" s="49">
        <f>(100*('GA Arroyo'!AU282-E282))/E282</f>
        <v>9.1697666271873466</v>
      </c>
      <c r="W282" s="49">
        <f>(100*('GA Arroyo'!AX282-E282))/E282</f>
        <v>0.13345121524012879</v>
      </c>
    </row>
    <row r="283" spans="2:23" ht="15" customHeight="1">
      <c r="B283">
        <f>MIN('GA Arroyo'!B283,'GA Arroyo'!E283,'GA Arroyo'!H283,'GA Arroyo'!K283)</f>
        <v>13258</v>
      </c>
      <c r="C283">
        <f>MIN('GA Arroyo'!O283, 'GA Arroyo'!R283, 'GA Arroyo'!U283, 'GA Arroyo'!X283)</f>
        <v>12818.4</v>
      </c>
      <c r="D283">
        <f>MIN('GA Arroyo'!AB283, 'GA Arroyo'!AE283, 'GA Arroyo'!AH283, 'GA Arroyo'!AK283)</f>
        <v>13953.1</v>
      </c>
      <c r="E283">
        <f>MIN('GA Arroyo'!AO283, 'GA Arroyo'!AR283, 'GA Arroyo'!AU283, 'GA Arroyo'!AX283)</f>
        <v>12930.4</v>
      </c>
      <c r="G283" s="45">
        <f t="shared" si="24"/>
        <v>12818.4</v>
      </c>
      <c r="I283" s="49">
        <f t="shared" si="25"/>
        <v>3.4294451725644417</v>
      </c>
      <c r="J283" s="49">
        <f t="shared" si="26"/>
        <v>0</v>
      </c>
      <c r="K283" s="49">
        <f t="shared" si="27"/>
        <v>8.8521188291830555</v>
      </c>
      <c r="L283" s="49">
        <f t="shared" si="28"/>
        <v>0.87374399301004813</v>
      </c>
      <c r="T283" s="49">
        <f>(100*('GA Arroyo'!AO283-E283))/E283</f>
        <v>6.1490750479490215</v>
      </c>
      <c r="U283" s="49">
        <f>(100*('GA Arroyo'!AR283-E283))/E283</f>
        <v>9.1830105797191095</v>
      </c>
      <c r="V283" s="49">
        <f>(100*('GA Arroyo'!AU283-E283))/E283</f>
        <v>4.7678339417187408</v>
      </c>
      <c r="W283" s="49">
        <f>(100*('GA Arroyo'!AX283-E283))/E283</f>
        <v>0</v>
      </c>
    </row>
    <row r="284" spans="2:23" ht="15" customHeight="1">
      <c r="B284">
        <f>MIN('GA Arroyo'!B284,'GA Arroyo'!E284,'GA Arroyo'!H284,'GA Arroyo'!K284)</f>
        <v>9265.9</v>
      </c>
      <c r="C284">
        <f>MIN('GA Arroyo'!O284, 'GA Arroyo'!R284, 'GA Arroyo'!U284, 'GA Arroyo'!X284)</f>
        <v>9072.2999999999993</v>
      </c>
      <c r="D284">
        <f>MIN('GA Arroyo'!AB284, 'GA Arroyo'!AE284, 'GA Arroyo'!AH284, 'GA Arroyo'!AK284)</f>
        <v>10756.7</v>
      </c>
      <c r="E284">
        <f>MIN('GA Arroyo'!AO284, 'GA Arroyo'!AR284, 'GA Arroyo'!AU284, 'GA Arroyo'!AX284)</f>
        <v>9358.1</v>
      </c>
      <c r="G284" s="45">
        <f t="shared" si="24"/>
        <v>9072.2999999999993</v>
      </c>
      <c r="I284" s="49">
        <f t="shared" si="25"/>
        <v>2.1339682329728995</v>
      </c>
      <c r="J284" s="49">
        <f t="shared" si="26"/>
        <v>0</v>
      </c>
      <c r="K284" s="49">
        <f t="shared" si="27"/>
        <v>18.566405431919154</v>
      </c>
      <c r="L284" s="49">
        <f t="shared" si="28"/>
        <v>3.1502485587998756</v>
      </c>
      <c r="T284" s="49">
        <f>(100*('GA Arroyo'!AO284-E284))/E284</f>
        <v>17.219307338028013</v>
      </c>
      <c r="U284" s="49">
        <f>(100*('GA Arroyo'!AR284-E284))/E284</f>
        <v>0.68389950951582046</v>
      </c>
      <c r="V284" s="49">
        <f>(100*('GA Arroyo'!AU284-E284))/E284</f>
        <v>0</v>
      </c>
      <c r="W284" s="49">
        <f>(100*('GA Arroyo'!AX284-E284))/E284</f>
        <v>1.1968241416526859</v>
      </c>
    </row>
    <row r="285" spans="2:23" ht="15" customHeight="1">
      <c r="B285">
        <f>MIN('GA Arroyo'!B285,'GA Arroyo'!E285,'GA Arroyo'!H285,'GA Arroyo'!K285)</f>
        <v>10744.6</v>
      </c>
      <c r="C285">
        <f>MIN('GA Arroyo'!O285, 'GA Arroyo'!R285, 'GA Arroyo'!U285, 'GA Arroyo'!X285)</f>
        <v>10409.4</v>
      </c>
      <c r="D285">
        <f>MIN('GA Arroyo'!AB285, 'GA Arroyo'!AE285, 'GA Arroyo'!AH285, 'GA Arroyo'!AK285)</f>
        <v>11871.7</v>
      </c>
      <c r="E285">
        <f>MIN('GA Arroyo'!AO285, 'GA Arroyo'!AR285, 'GA Arroyo'!AU285, 'GA Arroyo'!AX285)</f>
        <v>10723.9</v>
      </c>
      <c r="G285" s="45">
        <f t="shared" si="24"/>
        <v>10409.4</v>
      </c>
      <c r="I285" s="49">
        <f t="shared" si="25"/>
        <v>3.2201663880723261</v>
      </c>
      <c r="J285" s="49">
        <f t="shared" si="26"/>
        <v>0</v>
      </c>
      <c r="K285" s="49">
        <f t="shared" si="27"/>
        <v>14.047879800949154</v>
      </c>
      <c r="L285" s="49">
        <f t="shared" si="28"/>
        <v>3.0213076642265646</v>
      </c>
      <c r="T285" s="49">
        <f>(100*('GA Arroyo'!AO285-E285))/E285</f>
        <v>4.3957888454759892</v>
      </c>
      <c r="U285" s="49">
        <f>(100*('GA Arroyo'!AR285-E285))/E285</f>
        <v>14.966569997855258</v>
      </c>
      <c r="V285" s="49">
        <f>(100*('GA Arroyo'!AU285-E285))/E285</f>
        <v>0</v>
      </c>
      <c r="W285" s="49">
        <f>(100*('GA Arroyo'!AX285-E285))/E285</f>
        <v>2.0831973442497564</v>
      </c>
    </row>
    <row r="286" spans="2:23" ht="15" customHeight="1">
      <c r="B286">
        <f>MIN('GA Arroyo'!B286,'GA Arroyo'!E286,'GA Arroyo'!H286,'GA Arroyo'!K286)</f>
        <v>11120.3</v>
      </c>
      <c r="C286">
        <f>MIN('GA Arroyo'!O286, 'GA Arroyo'!R286, 'GA Arroyo'!U286, 'GA Arroyo'!X286)</f>
        <v>12308.8</v>
      </c>
      <c r="D286">
        <f>MIN('GA Arroyo'!AB286, 'GA Arroyo'!AE286, 'GA Arroyo'!AH286, 'GA Arroyo'!AK286)</f>
        <v>11558.4</v>
      </c>
      <c r="E286">
        <f>MIN('GA Arroyo'!AO286, 'GA Arroyo'!AR286, 'GA Arroyo'!AU286, 'GA Arroyo'!AX286)</f>
        <v>11058.4</v>
      </c>
      <c r="G286" s="45">
        <f t="shared" si="24"/>
        <v>11058.4</v>
      </c>
      <c r="I286" s="49">
        <f t="shared" si="25"/>
        <v>0.55975547999710296</v>
      </c>
      <c r="J286" s="49">
        <f t="shared" si="26"/>
        <v>11.307241553931851</v>
      </c>
      <c r="K286" s="49">
        <f t="shared" si="27"/>
        <v>4.5214497576502932</v>
      </c>
      <c r="L286" s="49">
        <f t="shared" si="28"/>
        <v>0</v>
      </c>
      <c r="T286" s="49">
        <f>(100*('GA Arroyo'!AO286-E286))/E286</f>
        <v>0.66284453447154279</v>
      </c>
      <c r="U286" s="49">
        <f>(100*('GA Arroyo'!AR286-E286))/E286</f>
        <v>1.5653259060985347</v>
      </c>
      <c r="V286" s="49">
        <f>(100*('GA Arroyo'!AU286-E286))/E286</f>
        <v>7.1267091080083951</v>
      </c>
      <c r="W286" s="49">
        <f>(100*('GA Arroyo'!AX286-E286))/E286</f>
        <v>0</v>
      </c>
    </row>
    <row r="287" spans="2:23" ht="15" customHeight="1">
      <c r="B287">
        <f>MIN('GA Arroyo'!B287,'GA Arroyo'!E287,'GA Arroyo'!H287,'GA Arroyo'!K287)</f>
        <v>8205.7000000000007</v>
      </c>
      <c r="C287">
        <f>MIN('GA Arroyo'!O287, 'GA Arroyo'!R287, 'GA Arroyo'!U287, 'GA Arroyo'!X287)</f>
        <v>8053.7</v>
      </c>
      <c r="D287">
        <f>MIN('GA Arroyo'!AB287, 'GA Arroyo'!AE287, 'GA Arroyo'!AH287, 'GA Arroyo'!AK287)</f>
        <v>8754.5</v>
      </c>
      <c r="E287">
        <f>MIN('GA Arroyo'!AO287, 'GA Arroyo'!AR287, 'GA Arroyo'!AU287, 'GA Arroyo'!AX287)</f>
        <v>8829.7000000000007</v>
      </c>
      <c r="G287" s="45">
        <f t="shared" si="24"/>
        <v>8053.7</v>
      </c>
      <c r="I287" s="49">
        <f t="shared" si="25"/>
        <v>1.8873312887244484</v>
      </c>
      <c r="J287" s="49">
        <f t="shared" si="26"/>
        <v>0</v>
      </c>
      <c r="K287" s="49">
        <f t="shared" si="27"/>
        <v>8.7015905732768815</v>
      </c>
      <c r="L287" s="49">
        <f t="shared" si="28"/>
        <v>9.6353228950668743</v>
      </c>
      <c r="T287" s="49">
        <f>(100*('GA Arroyo'!AO287-E287))/E287</f>
        <v>6.9877798792710957</v>
      </c>
      <c r="U287" s="49">
        <f>(100*('GA Arroyo'!AR287-E287))/E287</f>
        <v>14.844218942885927</v>
      </c>
      <c r="V287" s="49">
        <f>(100*('GA Arroyo'!AU287-E287))/E287</f>
        <v>13.040080636941228</v>
      </c>
      <c r="W287" s="49">
        <f>(100*('GA Arroyo'!AX287-E287))/E287</f>
        <v>0</v>
      </c>
    </row>
    <row r="288" spans="2:23" ht="15" customHeight="1">
      <c r="B288">
        <f>MIN('GA Arroyo'!B288,'GA Arroyo'!E288,'GA Arroyo'!H288,'GA Arroyo'!K288)</f>
        <v>9932.6</v>
      </c>
      <c r="C288">
        <f>MIN('GA Arroyo'!O288, 'GA Arroyo'!R288, 'GA Arroyo'!U288, 'GA Arroyo'!X288)</f>
        <v>9223.2000000000007</v>
      </c>
      <c r="D288">
        <f>MIN('GA Arroyo'!AB288, 'GA Arroyo'!AE288, 'GA Arroyo'!AH288, 'GA Arroyo'!AK288)</f>
        <v>9263.2000000000007</v>
      </c>
      <c r="E288">
        <f>MIN('GA Arroyo'!AO288, 'GA Arroyo'!AR288, 'GA Arroyo'!AU288, 'GA Arroyo'!AX288)</f>
        <v>9582.6</v>
      </c>
      <c r="G288" s="45">
        <f t="shared" si="24"/>
        <v>9223.2000000000007</v>
      </c>
      <c r="I288" s="49">
        <f t="shared" si="25"/>
        <v>7.6914736750802284</v>
      </c>
      <c r="J288" s="49">
        <f t="shared" si="26"/>
        <v>0</v>
      </c>
      <c r="K288" s="49">
        <f t="shared" si="27"/>
        <v>0.43368895827912218</v>
      </c>
      <c r="L288" s="49">
        <f t="shared" si="28"/>
        <v>3.8966952901379091</v>
      </c>
      <c r="T288" s="49">
        <f>(100*('GA Arroyo'!AO288-E288))/E288</f>
        <v>17.641349946778536</v>
      </c>
      <c r="U288" s="49">
        <f>(100*('GA Arroyo'!AR288-E288))/E288</f>
        <v>0</v>
      </c>
      <c r="V288" s="49">
        <f>(100*('GA Arroyo'!AU288-E288))/E288</f>
        <v>7.1483730928975433</v>
      </c>
      <c r="W288" s="49">
        <f>(100*('GA Arroyo'!AX288-E288))/E288</f>
        <v>6.3970112495564875</v>
      </c>
    </row>
    <row r="289" spans="1:23" ht="15" customHeight="1">
      <c r="B289">
        <f>MIN('GA Arroyo'!B289,'GA Arroyo'!E289,'GA Arroyo'!H289,'GA Arroyo'!K289)</f>
        <v>11626.6</v>
      </c>
      <c r="C289">
        <f>MIN('GA Arroyo'!O289, 'GA Arroyo'!R289, 'GA Arroyo'!U289, 'GA Arroyo'!X289)</f>
        <v>11650.2</v>
      </c>
      <c r="D289">
        <f>MIN('GA Arroyo'!AB289, 'GA Arroyo'!AE289, 'GA Arroyo'!AH289, 'GA Arroyo'!AK289)</f>
        <v>12660.3</v>
      </c>
      <c r="E289">
        <f>MIN('GA Arroyo'!AO289, 'GA Arroyo'!AR289, 'GA Arroyo'!AU289, 'GA Arroyo'!AX289)</f>
        <v>11844.9</v>
      </c>
      <c r="G289" s="45">
        <f t="shared" si="24"/>
        <v>11626.6</v>
      </c>
      <c r="I289" s="49">
        <f t="shared" si="25"/>
        <v>0</v>
      </c>
      <c r="J289" s="49">
        <f t="shared" si="26"/>
        <v>0.20298281526843928</v>
      </c>
      <c r="K289" s="49">
        <f t="shared" si="27"/>
        <v>8.8908193280924674</v>
      </c>
      <c r="L289" s="49">
        <f t="shared" si="28"/>
        <v>1.8775910412330283</v>
      </c>
      <c r="T289" s="49">
        <f>(100*('GA Arroyo'!AO289-E289))/E289</f>
        <v>0.8645070874384726</v>
      </c>
      <c r="U289" s="49">
        <f>(100*('GA Arroyo'!AR289-E289))/E289</f>
        <v>3.8835279318525275</v>
      </c>
      <c r="V289" s="49">
        <f>(100*('GA Arroyo'!AU289-E289))/E289</f>
        <v>0.34445204265127688</v>
      </c>
      <c r="W289" s="49">
        <f>(100*('GA Arroyo'!AX289-E289))/E289</f>
        <v>0</v>
      </c>
    </row>
    <row r="290" spans="1:23" ht="15" customHeight="1">
      <c r="B290">
        <f>MIN('GA Arroyo'!B290,'GA Arroyo'!E290,'GA Arroyo'!H290,'GA Arroyo'!K290)</f>
        <v>11266</v>
      </c>
      <c r="C290">
        <f>MIN('GA Arroyo'!O290, 'GA Arroyo'!R290, 'GA Arroyo'!U290, 'GA Arroyo'!X290)</f>
        <v>11234</v>
      </c>
      <c r="D290">
        <f>MIN('GA Arroyo'!AB290, 'GA Arroyo'!AE290, 'GA Arroyo'!AH290, 'GA Arroyo'!AK290)</f>
        <v>13738.6</v>
      </c>
      <c r="E290">
        <f>MIN('GA Arroyo'!AO290, 'GA Arroyo'!AR290, 'GA Arroyo'!AU290, 'GA Arroyo'!AX290)</f>
        <v>12229.9</v>
      </c>
      <c r="G290" s="45">
        <f t="shared" si="24"/>
        <v>11234</v>
      </c>
      <c r="I290" s="49">
        <f t="shared" si="25"/>
        <v>0.28484956382410537</v>
      </c>
      <c r="J290" s="49">
        <f t="shared" si="26"/>
        <v>0</v>
      </c>
      <c r="K290" s="49">
        <f t="shared" si="27"/>
        <v>22.29481929855795</v>
      </c>
      <c r="L290" s="49">
        <f t="shared" si="28"/>
        <v>8.8650525191383274</v>
      </c>
      <c r="T290" s="49">
        <f>(100*('GA Arroyo'!AO290-E290))/E290</f>
        <v>5.421957661141958</v>
      </c>
      <c r="U290" s="49">
        <f>(100*('GA Arroyo'!AR290-E290))/E290</f>
        <v>8.0286837995404685</v>
      </c>
      <c r="V290" s="49">
        <f>(100*('GA Arroyo'!AU290-E290))/E290</f>
        <v>5.6067506684437385</v>
      </c>
      <c r="W290" s="49">
        <f>(100*('GA Arroyo'!AX290-E290))/E290</f>
        <v>0</v>
      </c>
    </row>
    <row r="291" spans="1:23" ht="15" customHeight="1">
      <c r="B291">
        <f>MIN('GA Arroyo'!B291,'GA Arroyo'!E291,'GA Arroyo'!H291,'GA Arroyo'!K291)</f>
        <v>10316.4</v>
      </c>
      <c r="C291">
        <f>MIN('GA Arroyo'!O291, 'GA Arroyo'!R291, 'GA Arroyo'!U291, 'GA Arroyo'!X291)</f>
        <v>9793.2999999999993</v>
      </c>
      <c r="D291">
        <f>MIN('GA Arroyo'!AB291, 'GA Arroyo'!AE291, 'GA Arroyo'!AH291, 'GA Arroyo'!AK291)</f>
        <v>12578.2</v>
      </c>
      <c r="E291">
        <f>MIN('GA Arroyo'!AO291, 'GA Arroyo'!AR291, 'GA Arroyo'!AU291, 'GA Arroyo'!AX291)</f>
        <v>10388.4</v>
      </c>
      <c r="G291" s="45">
        <f t="shared" si="24"/>
        <v>9793.2999999999993</v>
      </c>
      <c r="I291" s="49">
        <f t="shared" si="25"/>
        <v>5.341406880214028</v>
      </c>
      <c r="J291" s="49">
        <f t="shared" si="26"/>
        <v>0</v>
      </c>
      <c r="K291" s="49">
        <f t="shared" si="27"/>
        <v>28.436788416570526</v>
      </c>
      <c r="L291" s="49">
        <f t="shared" si="28"/>
        <v>6.0766033921150218</v>
      </c>
      <c r="T291" s="49">
        <f>(100*('GA Arroyo'!AO291-E291))/E291</f>
        <v>0</v>
      </c>
      <c r="U291" s="49">
        <f>(100*('GA Arroyo'!AR291-E291))/E291</f>
        <v>9.3691040006160833</v>
      </c>
      <c r="V291" s="49">
        <f>(100*('GA Arroyo'!AU291-E291))/E291</f>
        <v>1.6094875052943738</v>
      </c>
      <c r="W291" s="49">
        <f>(100*('GA Arroyo'!AX291-E291))/E291</f>
        <v>2.9263409187170306</v>
      </c>
    </row>
    <row r="292" spans="1:23" ht="15" customHeight="1">
      <c r="B292">
        <f>MIN('GA Arroyo'!B292,'GA Arroyo'!E292,'GA Arroyo'!H292,'GA Arroyo'!K292)</f>
        <v>11005.9</v>
      </c>
      <c r="C292">
        <f>MIN('GA Arroyo'!O292, 'GA Arroyo'!R292, 'GA Arroyo'!U292, 'GA Arroyo'!X292)</f>
        <v>10968.3</v>
      </c>
      <c r="D292">
        <f>MIN('GA Arroyo'!AB292, 'GA Arroyo'!AE292, 'GA Arroyo'!AH292, 'GA Arroyo'!AK292)</f>
        <v>11398.7</v>
      </c>
      <c r="E292">
        <f>MIN('GA Arroyo'!AO292, 'GA Arroyo'!AR292, 'GA Arroyo'!AU292, 'GA Arroyo'!AX292)</f>
        <v>11398.7</v>
      </c>
      <c r="G292" s="45">
        <f t="shared" si="24"/>
        <v>10968.3</v>
      </c>
      <c r="I292" s="49">
        <f t="shared" si="25"/>
        <v>0.34280608663147766</v>
      </c>
      <c r="J292" s="49">
        <f t="shared" si="26"/>
        <v>0</v>
      </c>
      <c r="K292" s="49">
        <f t="shared" si="27"/>
        <v>3.9240356299517836</v>
      </c>
      <c r="L292" s="49">
        <f t="shared" si="28"/>
        <v>3.9240356299517836</v>
      </c>
      <c r="T292" s="49">
        <f>(100*('GA Arroyo'!AO292-E292))/E292</f>
        <v>3.8021879688034566</v>
      </c>
      <c r="U292" s="49">
        <f>(100*('GA Arroyo'!AR292-E292))/E292</f>
        <v>0</v>
      </c>
      <c r="V292" s="49">
        <f>(100*('GA Arroyo'!AU292-E292))/E292</f>
        <v>5.1356733662610612</v>
      </c>
      <c r="W292" s="49">
        <f>(100*('GA Arroyo'!AX292-E292))/E292</f>
        <v>10.820532165948745</v>
      </c>
    </row>
    <row r="293" spans="1:23" ht="15" customHeight="1">
      <c r="B293">
        <f>MIN('GA Arroyo'!B293,'GA Arroyo'!E293,'GA Arroyo'!H293,'GA Arroyo'!K293)</f>
        <v>14166.7</v>
      </c>
      <c r="C293">
        <f>MIN('GA Arroyo'!O293, 'GA Arroyo'!R293, 'GA Arroyo'!U293, 'GA Arroyo'!X293)</f>
        <v>14405.8</v>
      </c>
      <c r="D293">
        <f>MIN('GA Arroyo'!AB293, 'GA Arroyo'!AE293, 'GA Arroyo'!AH293, 'GA Arroyo'!AK293)</f>
        <v>14061.3</v>
      </c>
      <c r="E293">
        <f>MIN('GA Arroyo'!AO293, 'GA Arroyo'!AR293, 'GA Arroyo'!AU293, 'GA Arroyo'!AX293)</f>
        <v>14863.6</v>
      </c>
      <c r="G293" s="45">
        <f t="shared" si="24"/>
        <v>14061.3</v>
      </c>
      <c r="I293" s="49">
        <f t="shared" si="25"/>
        <v>0.74957507485084207</v>
      </c>
      <c r="J293" s="49">
        <f t="shared" si="26"/>
        <v>2.4499868433217413</v>
      </c>
      <c r="K293" s="49">
        <f t="shared" si="27"/>
        <v>0</v>
      </c>
      <c r="L293" s="49">
        <f t="shared" si="28"/>
        <v>5.7057313335182469</v>
      </c>
      <c r="T293" s="49">
        <f>(100*('GA Arroyo'!AO293-E293))/E293</f>
        <v>1.0226324712721009</v>
      </c>
      <c r="U293" s="49">
        <f>(100*('GA Arroyo'!AR293-E293))/E293</f>
        <v>0</v>
      </c>
      <c r="V293" s="49">
        <f>(100*('GA Arroyo'!AU293-E293))/E293</f>
        <v>7.5372049839877233</v>
      </c>
      <c r="W293" s="49">
        <f>(100*('GA Arroyo'!AX293-E293))/E293</f>
        <v>4.073037487553484</v>
      </c>
    </row>
    <row r="294" spans="1:23" ht="15" customHeight="1">
      <c r="B294">
        <f>MIN('GA Arroyo'!B294,'GA Arroyo'!E294,'GA Arroyo'!H294,'GA Arroyo'!K294)</f>
        <v>10144.1</v>
      </c>
      <c r="C294">
        <f>MIN('GA Arroyo'!O294, 'GA Arroyo'!R294, 'GA Arroyo'!U294, 'GA Arroyo'!X294)</f>
        <v>9957.1</v>
      </c>
      <c r="D294">
        <f>MIN('GA Arroyo'!AB294, 'GA Arroyo'!AE294, 'GA Arroyo'!AH294, 'GA Arroyo'!AK294)</f>
        <v>10449.799999999999</v>
      </c>
      <c r="E294">
        <f>MIN('GA Arroyo'!AO294, 'GA Arroyo'!AR294, 'GA Arroyo'!AU294, 'GA Arroyo'!AX294)</f>
        <v>10181.1</v>
      </c>
      <c r="G294" s="45">
        <f t="shared" si="24"/>
        <v>9957.1</v>
      </c>
      <c r="I294" s="49">
        <f t="shared" si="25"/>
        <v>1.8780568639463298</v>
      </c>
      <c r="J294" s="49">
        <f t="shared" si="26"/>
        <v>0</v>
      </c>
      <c r="K294" s="49">
        <f t="shared" si="27"/>
        <v>4.9482278976810408</v>
      </c>
      <c r="L294" s="49">
        <f t="shared" si="28"/>
        <v>2.2496510028020205</v>
      </c>
      <c r="T294" s="49">
        <f>(100*('GA Arroyo'!AO294-E294))/E294</f>
        <v>7.4294526131753909</v>
      </c>
      <c r="U294" s="49">
        <f>(100*('GA Arroyo'!AR294-E294))/E294</f>
        <v>0</v>
      </c>
      <c r="V294" s="49">
        <f>(100*('GA Arroyo'!AU294-E294))/E294</f>
        <v>5.4424374576421046</v>
      </c>
      <c r="W294" s="49">
        <f>(100*('GA Arroyo'!AX294-E294))/E294</f>
        <v>6.0936441052538486</v>
      </c>
    </row>
    <row r="295" spans="1:23" ht="15" customHeight="1">
      <c r="B295">
        <f>MIN('GA Arroyo'!B295,'GA Arroyo'!E295,'GA Arroyo'!H295,'GA Arroyo'!K295)</f>
        <v>11019.6</v>
      </c>
      <c r="C295">
        <f>MIN('GA Arroyo'!O295, 'GA Arroyo'!R295, 'GA Arroyo'!U295, 'GA Arroyo'!X295)</f>
        <v>11014.4</v>
      </c>
      <c r="D295">
        <f>MIN('GA Arroyo'!AB295, 'GA Arroyo'!AE295, 'GA Arroyo'!AH295, 'GA Arroyo'!AK295)</f>
        <v>12177.4</v>
      </c>
      <c r="E295">
        <f>MIN('GA Arroyo'!AO295, 'GA Arroyo'!AR295, 'GA Arroyo'!AU295, 'GA Arroyo'!AX295)</f>
        <v>11202.2</v>
      </c>
      <c r="G295" s="45">
        <f t="shared" si="24"/>
        <v>11014.4</v>
      </c>
      <c r="I295" s="49">
        <f t="shared" si="25"/>
        <v>4.721092388147087E-2</v>
      </c>
      <c r="J295" s="49">
        <f t="shared" si="26"/>
        <v>0</v>
      </c>
      <c r="K295" s="49">
        <f t="shared" si="27"/>
        <v>10.558904706565951</v>
      </c>
      <c r="L295" s="49">
        <f t="shared" si="28"/>
        <v>1.7050406740267385</v>
      </c>
      <c r="T295" s="49">
        <f>(100*('GA Arroyo'!AO295-E295))/E295</f>
        <v>6.9816643159379277</v>
      </c>
      <c r="U295" s="49">
        <f>(100*('GA Arroyo'!AR295-E295))/E295</f>
        <v>4.8793986895431125</v>
      </c>
      <c r="V295" s="49">
        <f>(100*('GA Arroyo'!AU295-E295))/E295</f>
        <v>1.2140472407205727</v>
      </c>
      <c r="W295" s="49">
        <f>(100*('GA Arroyo'!AX295-E295))/E295</f>
        <v>0</v>
      </c>
    </row>
    <row r="296" spans="1:23" ht="15" customHeight="1">
      <c r="B296">
        <f>MIN('GA Arroyo'!B296,'GA Arroyo'!E296,'GA Arroyo'!H296,'GA Arroyo'!K296)</f>
        <v>9823.9</v>
      </c>
      <c r="C296">
        <f>MIN('GA Arroyo'!O296, 'GA Arroyo'!R296, 'GA Arroyo'!U296, 'GA Arroyo'!X296)</f>
        <v>10055.9</v>
      </c>
      <c r="D296">
        <f>MIN('GA Arroyo'!AB296, 'GA Arroyo'!AE296, 'GA Arroyo'!AH296, 'GA Arroyo'!AK296)</f>
        <v>10515.5</v>
      </c>
      <c r="E296">
        <f>MIN('GA Arroyo'!AO296, 'GA Arroyo'!AR296, 'GA Arroyo'!AU296, 'GA Arroyo'!AX296)</f>
        <v>10374.200000000001</v>
      </c>
      <c r="G296" s="45">
        <f t="shared" si="24"/>
        <v>9823.9</v>
      </c>
      <c r="I296" s="49">
        <f t="shared" si="25"/>
        <v>0</v>
      </c>
      <c r="J296" s="49">
        <f t="shared" si="26"/>
        <v>2.3615875568765969</v>
      </c>
      <c r="K296" s="49">
        <f t="shared" si="27"/>
        <v>7.0399739411028239</v>
      </c>
      <c r="L296" s="49">
        <f t="shared" si="28"/>
        <v>5.6016449678844564</v>
      </c>
      <c r="T296" s="49">
        <f>(100*('GA Arroyo'!AO296-E296))/E296</f>
        <v>8.0873705924312222</v>
      </c>
      <c r="U296" s="49">
        <f>(100*('GA Arroyo'!AR296-E296))/E296</f>
        <v>3.2127778527500843</v>
      </c>
      <c r="V296" s="49">
        <f>(100*('GA Arroyo'!AU296-E296))/E296</f>
        <v>8.616568024522369</v>
      </c>
      <c r="W296" s="49">
        <f>(100*('GA Arroyo'!AX296-E296))/E296</f>
        <v>0</v>
      </c>
    </row>
    <row r="297" spans="1:23" ht="15" customHeight="1">
      <c r="B297">
        <f>MIN('GA Arroyo'!B297,'GA Arroyo'!E297,'GA Arroyo'!H297,'GA Arroyo'!K297)</f>
        <v>8003.5</v>
      </c>
      <c r="C297">
        <f>MIN('GA Arroyo'!O297, 'GA Arroyo'!R297, 'GA Arroyo'!U297, 'GA Arroyo'!X297)</f>
        <v>8003.5</v>
      </c>
      <c r="D297">
        <f>MIN('GA Arroyo'!AB297, 'GA Arroyo'!AE297, 'GA Arroyo'!AH297, 'GA Arroyo'!AK297)</f>
        <v>8974.1</v>
      </c>
      <c r="E297">
        <f>MIN('GA Arroyo'!AO297, 'GA Arroyo'!AR297, 'GA Arroyo'!AU297, 'GA Arroyo'!AX297)</f>
        <v>8353.9</v>
      </c>
      <c r="G297" s="45">
        <f t="shared" si="24"/>
        <v>8003.5</v>
      </c>
      <c r="I297" s="49">
        <f t="shared" si="25"/>
        <v>0</v>
      </c>
      <c r="J297" s="49">
        <f t="shared" si="26"/>
        <v>0</v>
      </c>
      <c r="K297" s="49">
        <f t="shared" si="27"/>
        <v>12.127194352470797</v>
      </c>
      <c r="L297" s="49">
        <f t="shared" si="28"/>
        <v>4.378084587992749</v>
      </c>
      <c r="T297" s="49">
        <f>(100*('GA Arroyo'!AO297-E297))/E297</f>
        <v>4.0041178371778452</v>
      </c>
      <c r="U297" s="49">
        <f>(100*('GA Arroyo'!AR297-E297))/E297</f>
        <v>1.7237457953770097</v>
      </c>
      <c r="V297" s="49">
        <f>(100*('GA Arroyo'!AU297-E297))/E297</f>
        <v>3.9155364560265311</v>
      </c>
      <c r="W297" s="49">
        <f>(100*('GA Arroyo'!AX297-E297))/E297</f>
        <v>0</v>
      </c>
    </row>
    <row r="298" spans="1:23" ht="15" customHeight="1">
      <c r="B298">
        <f>MIN('GA Arroyo'!B298,'GA Arroyo'!E298,'GA Arroyo'!H298,'GA Arroyo'!K298)</f>
        <v>10826</v>
      </c>
      <c r="C298">
        <f>MIN('GA Arroyo'!O298, 'GA Arroyo'!R298, 'GA Arroyo'!U298, 'GA Arroyo'!X298)</f>
        <v>10701.8</v>
      </c>
      <c r="D298">
        <f>MIN('GA Arroyo'!AB298, 'GA Arroyo'!AE298, 'GA Arroyo'!AH298, 'GA Arroyo'!AK298)</f>
        <v>11360.5</v>
      </c>
      <c r="E298">
        <f>MIN('GA Arroyo'!AO298, 'GA Arroyo'!AR298, 'GA Arroyo'!AU298, 'GA Arroyo'!AX298)</f>
        <v>10725.8</v>
      </c>
      <c r="G298" s="45">
        <f t="shared" si="24"/>
        <v>10701.8</v>
      </c>
      <c r="I298" s="49">
        <f t="shared" si="25"/>
        <v>1.1605524304322705</v>
      </c>
      <c r="J298" s="49">
        <f t="shared" si="26"/>
        <v>0</v>
      </c>
      <c r="K298" s="49">
        <f t="shared" si="27"/>
        <v>6.1550393391765947</v>
      </c>
      <c r="L298" s="49">
        <f t="shared" si="28"/>
        <v>0.22426133921396402</v>
      </c>
      <c r="T298" s="49">
        <f>(100*('GA Arroyo'!AO298-E298))/E298</f>
        <v>11.882563538384083</v>
      </c>
      <c r="U298" s="49">
        <f>(100*('GA Arroyo'!AR298-E298))/E298</f>
        <v>0</v>
      </c>
      <c r="V298" s="49">
        <f>(100*('GA Arroyo'!AU298-E298))/E298</f>
        <v>0.63585000652632651</v>
      </c>
      <c r="W298" s="49">
        <f>(100*('GA Arroyo'!AX298-E298))/E298</f>
        <v>10.311585149825655</v>
      </c>
    </row>
    <row r="299" spans="1:23" ht="15" customHeight="1">
      <c r="B299">
        <f>MIN('GA Arroyo'!B299,'GA Arroyo'!E299,'GA Arroyo'!H299,'GA Arroyo'!K299)</f>
        <v>11977.2</v>
      </c>
      <c r="C299">
        <f>MIN('GA Arroyo'!O299, 'GA Arroyo'!R299, 'GA Arroyo'!U299, 'GA Arroyo'!X299)</f>
        <v>11913.2</v>
      </c>
      <c r="D299">
        <f>MIN('GA Arroyo'!AB299, 'GA Arroyo'!AE299, 'GA Arroyo'!AH299, 'GA Arroyo'!AK299)</f>
        <v>13016.5</v>
      </c>
      <c r="E299">
        <f>MIN('GA Arroyo'!AO299, 'GA Arroyo'!AR299, 'GA Arroyo'!AU299, 'GA Arroyo'!AX299)</f>
        <v>12009.2</v>
      </c>
      <c r="G299" s="45">
        <f t="shared" si="24"/>
        <v>11913.2</v>
      </c>
      <c r="I299" s="49">
        <f t="shared" si="25"/>
        <v>0.53721921901756031</v>
      </c>
      <c r="J299" s="49">
        <f t="shared" si="26"/>
        <v>0</v>
      </c>
      <c r="K299" s="49">
        <f t="shared" si="27"/>
        <v>9.2611556928449055</v>
      </c>
      <c r="L299" s="49">
        <f t="shared" si="28"/>
        <v>0.80582882852634052</v>
      </c>
      <c r="T299" s="49">
        <f>(100*('GA Arroyo'!AO299-E299))/E299</f>
        <v>0</v>
      </c>
      <c r="U299" s="49">
        <f>(100*('GA Arroyo'!AR299-E299))/E299</f>
        <v>7.9564000932618324</v>
      </c>
      <c r="V299" s="49">
        <f>(100*('GA Arroyo'!AU299-E299))/E299</f>
        <v>1.8535789228258213</v>
      </c>
      <c r="W299" s="49">
        <f>(100*('GA Arroyo'!AX299-E299))/E299</f>
        <v>6.5574726043366747</v>
      </c>
    </row>
    <row r="300" spans="1:23" ht="15" customHeight="1">
      <c r="B300">
        <f>MIN('GA Arroyo'!B300,'GA Arroyo'!E300,'GA Arroyo'!H300,'GA Arroyo'!K300)</f>
        <v>9217.7999999999993</v>
      </c>
      <c r="C300">
        <f>MIN('GA Arroyo'!O300, 'GA Arroyo'!R300, 'GA Arroyo'!U300, 'GA Arroyo'!X300)</f>
        <v>9065.7999999999993</v>
      </c>
      <c r="D300">
        <f>MIN('GA Arroyo'!AB300, 'GA Arroyo'!AE300, 'GA Arroyo'!AH300, 'GA Arroyo'!AK300)</f>
        <v>10528.8</v>
      </c>
      <c r="E300">
        <f>MIN('GA Arroyo'!AO300, 'GA Arroyo'!AR300, 'GA Arroyo'!AU300, 'GA Arroyo'!AX300)</f>
        <v>9421.7999999999993</v>
      </c>
      <c r="G300" s="45">
        <f t="shared" si="24"/>
        <v>9065.7999999999993</v>
      </c>
      <c r="I300" s="49">
        <f t="shared" si="25"/>
        <v>1.676630854419908</v>
      </c>
      <c r="J300" s="49">
        <f t="shared" si="26"/>
        <v>0</v>
      </c>
      <c r="K300" s="49">
        <f t="shared" si="27"/>
        <v>16.137571973791612</v>
      </c>
      <c r="L300" s="49">
        <f t="shared" si="28"/>
        <v>3.9268459485097842</v>
      </c>
      <c r="T300" s="49">
        <f>(100*('GA Arroyo'!AO300-E300))/E300</f>
        <v>10.074508055785527</v>
      </c>
      <c r="U300" s="49">
        <f>(100*('GA Arroyo'!AR300-E300))/E300</f>
        <v>10.414145916916096</v>
      </c>
      <c r="V300" s="49">
        <f>(100*('GA Arroyo'!AU300-E300))/E300</f>
        <v>0</v>
      </c>
      <c r="W300" s="49">
        <f>(100*('GA Arroyo'!AX300-E300))/E300</f>
        <v>10.074508055785527</v>
      </c>
    </row>
    <row r="301" spans="1:23" ht="15" customHeight="1">
      <c r="B301">
        <f>MIN('GA Arroyo'!B301,'GA Arroyo'!E301,'GA Arroyo'!H301,'GA Arroyo'!K301)</f>
        <v>10601.2</v>
      </c>
      <c r="C301">
        <f>MIN('GA Arroyo'!O301, 'GA Arroyo'!R301, 'GA Arroyo'!U301, 'GA Arroyo'!X301)</f>
        <v>10074.299999999999</v>
      </c>
      <c r="D301">
        <f>MIN('GA Arroyo'!AB301, 'GA Arroyo'!AE301, 'GA Arroyo'!AH301, 'GA Arroyo'!AK301)</f>
        <v>10980.6</v>
      </c>
      <c r="E301">
        <f>MIN('GA Arroyo'!AO301, 'GA Arroyo'!AR301, 'GA Arroyo'!AU301, 'GA Arroyo'!AX301)</f>
        <v>10814.1</v>
      </c>
      <c r="G301" s="45">
        <f t="shared" si="24"/>
        <v>10074.299999999999</v>
      </c>
      <c r="I301" s="49">
        <f t="shared" si="25"/>
        <v>5.2301400593589777</v>
      </c>
      <c r="J301" s="49">
        <f t="shared" si="26"/>
        <v>0</v>
      </c>
      <c r="K301" s="49">
        <f t="shared" si="27"/>
        <v>8.9961585420327097</v>
      </c>
      <c r="L301" s="49">
        <f t="shared" si="28"/>
        <v>7.343438253774468</v>
      </c>
      <c r="T301" s="49">
        <f>(100*('GA Arroyo'!AO301-E301))/E301</f>
        <v>9.300820225446401</v>
      </c>
      <c r="U301" s="49">
        <f>(100*('GA Arroyo'!AR301-E301))/E301</f>
        <v>0</v>
      </c>
      <c r="V301" s="49">
        <f>(100*('GA Arroyo'!AU301-E301))/E301</f>
        <v>10.484460103013651</v>
      </c>
      <c r="W301" s="49">
        <f>(100*('GA Arroyo'!AX301-E301))/E301</f>
        <v>11.150257534145229</v>
      </c>
    </row>
    <row r="302" spans="1:23" ht="15" customHeight="1">
      <c r="B302">
        <f>MIN('GA Arroyo'!B302,'GA Arroyo'!E302,'GA Arroyo'!H302,'GA Arroyo'!K302)</f>
        <v>9601.9</v>
      </c>
      <c r="C302">
        <f>MIN('GA Arroyo'!O302, 'GA Arroyo'!R302, 'GA Arroyo'!U302, 'GA Arroyo'!X302)</f>
        <v>9481.9</v>
      </c>
      <c r="D302">
        <f>MIN('GA Arroyo'!AB302, 'GA Arroyo'!AE302, 'GA Arroyo'!AH302, 'GA Arroyo'!AK302)</f>
        <v>11403.2</v>
      </c>
      <c r="E302">
        <f>MIN('GA Arroyo'!AO302, 'GA Arroyo'!AR302, 'GA Arroyo'!AU302, 'GA Arroyo'!AX302)</f>
        <v>9529.9</v>
      </c>
      <c r="G302" s="45">
        <f t="shared" si="24"/>
        <v>9481.9</v>
      </c>
      <c r="I302" s="49">
        <f t="shared" si="25"/>
        <v>1.2655691369873128</v>
      </c>
      <c r="J302" s="49">
        <f t="shared" si="26"/>
        <v>0</v>
      </c>
      <c r="K302" s="49">
        <f t="shared" si="27"/>
        <v>20.262816524114378</v>
      </c>
      <c r="L302" s="49">
        <f t="shared" si="28"/>
        <v>0.50622765479492504</v>
      </c>
      <c r="T302" s="49">
        <f>(100*('GA Arroyo'!AO302-E302))/E302</f>
        <v>28.377002906641216</v>
      </c>
      <c r="U302" s="49">
        <f>(100*('GA Arroyo'!AR302-E302))/E302</f>
        <v>4.0986788948467492</v>
      </c>
      <c r="V302" s="49">
        <f>(100*('GA Arroyo'!AU302-E302))/E302</f>
        <v>0</v>
      </c>
      <c r="W302" s="49">
        <f>(100*('GA Arroyo'!AX302-E302))/E302</f>
        <v>19.202719860649115</v>
      </c>
    </row>
    <row r="303" spans="1:23" ht="15" customHeight="1">
      <c r="A303" s="50"/>
      <c r="B303" s="50">
        <f>MIN('GA Arroyo'!B303,'GA Arroyo'!E303,'GA Arroyo'!H303,'GA Arroyo'!K303)</f>
        <v>60053.8</v>
      </c>
      <c r="C303" s="50">
        <f>MIN('GA Arroyo'!O303, 'GA Arroyo'!R303, 'GA Arroyo'!U303, 'GA Arroyo'!X303)</f>
        <v>70037.5</v>
      </c>
      <c r="D303" s="50">
        <f>MIN('GA Arroyo'!AB303, 'GA Arroyo'!AE303, 'GA Arroyo'!AH303, 'GA Arroyo'!AK303)</f>
        <v>57943.5</v>
      </c>
      <c r="E303" s="50">
        <f>MIN('GA Arroyo'!AO303, 'GA Arroyo'!AR303, 'GA Arroyo'!AU303, 'GA Arroyo'!AX303)</f>
        <v>55783</v>
      </c>
      <c r="F303" s="50"/>
      <c r="G303" s="50">
        <f t="shared" si="24"/>
        <v>55783</v>
      </c>
      <c r="H303" s="50"/>
      <c r="I303" s="50">
        <f t="shared" si="25"/>
        <v>7.6560959432085092</v>
      </c>
      <c r="J303" s="50">
        <f t="shared" si="26"/>
        <v>25.553484036355162</v>
      </c>
      <c r="K303" s="50">
        <f t="shared" si="27"/>
        <v>3.8730437588512627</v>
      </c>
      <c r="L303" s="50">
        <f t="shared" si="28"/>
        <v>0</v>
      </c>
      <c r="M303" s="50"/>
      <c r="N303" s="50"/>
      <c r="O303" s="50"/>
      <c r="P303" s="50"/>
      <c r="Q303" s="50"/>
      <c r="R303" s="50"/>
      <c r="S303" s="50"/>
      <c r="T303" s="49">
        <f>(100*('GA Arroyo'!AO303-E303))/E303</f>
        <v>80.467167416596453</v>
      </c>
      <c r="U303" s="49">
        <f>(100*('GA Arroyo'!AR303-E303))/E303</f>
        <v>14.256314647831775</v>
      </c>
      <c r="V303" s="49">
        <f>(100*('GA Arroyo'!AU303-E303))/E303</f>
        <v>45.520319810695021</v>
      </c>
      <c r="W303" s="49">
        <f>(100*('GA Arroyo'!AX303-E303))/E303</f>
        <v>0</v>
      </c>
    </row>
    <row r="304" spans="1:23" ht="15" customHeight="1">
      <c r="B304">
        <f>MIN('GA Arroyo'!B304,'GA Arroyo'!E304,'GA Arroyo'!H304,'GA Arroyo'!K304)</f>
        <v>57188.3</v>
      </c>
      <c r="C304">
        <f>MIN('GA Arroyo'!O304, 'GA Arroyo'!R304, 'GA Arroyo'!U304, 'GA Arroyo'!X304)</f>
        <v>59266.2</v>
      </c>
      <c r="D304">
        <f>MIN('GA Arroyo'!AB304, 'GA Arroyo'!AE304, 'GA Arroyo'!AH304, 'GA Arroyo'!AK304)</f>
        <v>59286.400000000001</v>
      </c>
      <c r="E304">
        <f>MIN('GA Arroyo'!AO304, 'GA Arroyo'!AR304, 'GA Arroyo'!AU304, 'GA Arroyo'!AX304)</f>
        <v>56212.6</v>
      </c>
      <c r="G304" s="45">
        <f t="shared" si="24"/>
        <v>56212.6</v>
      </c>
      <c r="I304" s="49">
        <f t="shared" si="25"/>
        <v>1.7357318465966782</v>
      </c>
      <c r="J304" s="49">
        <f t="shared" si="26"/>
        <v>5.4322340542867593</v>
      </c>
      <c r="K304" s="49">
        <f t="shared" si="27"/>
        <v>5.4681690581826903</v>
      </c>
      <c r="L304" s="49">
        <f t="shared" si="28"/>
        <v>0</v>
      </c>
      <c r="T304" s="49">
        <f>(100*('GA Arroyo'!AO304-E304))/E304</f>
        <v>0</v>
      </c>
      <c r="U304" s="49">
        <f>(100*('GA Arroyo'!AR304-E304))/E304</f>
        <v>11.627464305155781</v>
      </c>
      <c r="V304" s="49">
        <f>(100*('GA Arroyo'!AU304-E304))/E304</f>
        <v>14.974044965007849</v>
      </c>
      <c r="W304" s="49">
        <f>(100*('GA Arroyo'!AX304-E304))/E304</f>
        <v>0.16971284018174121</v>
      </c>
    </row>
    <row r="305" spans="2:23" ht="15" customHeight="1">
      <c r="B305">
        <f>MIN('GA Arroyo'!B305,'GA Arroyo'!E305,'GA Arroyo'!H305,'GA Arroyo'!K305)</f>
        <v>50903.4</v>
      </c>
      <c r="C305">
        <f>MIN('GA Arroyo'!O305, 'GA Arroyo'!R305, 'GA Arroyo'!U305, 'GA Arroyo'!X305)</f>
        <v>53365.7</v>
      </c>
      <c r="D305">
        <f>MIN('GA Arroyo'!AB305, 'GA Arroyo'!AE305, 'GA Arroyo'!AH305, 'GA Arroyo'!AK305)</f>
        <v>52332.2</v>
      </c>
      <c r="E305">
        <f>MIN('GA Arroyo'!AO305, 'GA Arroyo'!AR305, 'GA Arroyo'!AU305, 'GA Arroyo'!AX305)</f>
        <v>50723.9</v>
      </c>
      <c r="G305" s="45">
        <f t="shared" si="24"/>
        <v>50723.9</v>
      </c>
      <c r="I305" s="49">
        <f t="shared" si="25"/>
        <v>0.35387657494790425</v>
      </c>
      <c r="J305" s="49">
        <f t="shared" si="26"/>
        <v>5.2081957420466392</v>
      </c>
      <c r="K305" s="49">
        <f t="shared" si="27"/>
        <v>3.1706946823883722</v>
      </c>
      <c r="L305" s="49">
        <f t="shared" si="28"/>
        <v>0</v>
      </c>
      <c r="T305" s="49">
        <f>(100*('GA Arroyo'!AO305-E305))/E305</f>
        <v>40.151486774479096</v>
      </c>
      <c r="U305" s="49">
        <f>(100*('GA Arroyo'!AR305-E305))/E305</f>
        <v>8.1356126007661018</v>
      </c>
      <c r="V305" s="49">
        <f>(100*('GA Arroyo'!AU305-E305))/E305</f>
        <v>5.9770640664459851</v>
      </c>
      <c r="W305" s="49">
        <f>(100*('GA Arroyo'!AX305-E305))/E305</f>
        <v>0</v>
      </c>
    </row>
    <row r="306" spans="2:23" ht="15" customHeight="1">
      <c r="B306">
        <f>MIN('GA Arroyo'!B306,'GA Arroyo'!E306,'GA Arroyo'!H306,'GA Arroyo'!K306)</f>
        <v>49749.1</v>
      </c>
      <c r="C306">
        <f>MIN('GA Arroyo'!O306, 'GA Arroyo'!R306, 'GA Arroyo'!U306, 'GA Arroyo'!X306)</f>
        <v>48175</v>
      </c>
      <c r="D306">
        <f>MIN('GA Arroyo'!AB306, 'GA Arroyo'!AE306, 'GA Arroyo'!AH306, 'GA Arroyo'!AK306)</f>
        <v>43941.5</v>
      </c>
      <c r="E306">
        <f>MIN('GA Arroyo'!AO306, 'GA Arroyo'!AR306, 'GA Arroyo'!AU306, 'GA Arroyo'!AX306)</f>
        <v>51646.7</v>
      </c>
      <c r="G306" s="45">
        <f t="shared" si="24"/>
        <v>43941.5</v>
      </c>
      <c r="I306" s="49">
        <f t="shared" si="25"/>
        <v>13.216663063391097</v>
      </c>
      <c r="J306" s="49">
        <f t="shared" si="26"/>
        <v>9.6344002821933703</v>
      </c>
      <c r="K306" s="49">
        <f t="shared" si="27"/>
        <v>0</v>
      </c>
      <c r="L306" s="49">
        <f t="shared" si="28"/>
        <v>17.535131936779578</v>
      </c>
      <c r="T306" s="49">
        <f>(100*('GA Arroyo'!AO306-E306))/E306</f>
        <v>76.301486832653381</v>
      </c>
      <c r="U306" s="49">
        <f>(100*('GA Arroyo'!AR306-E306))/E306</f>
        <v>0</v>
      </c>
      <c r="V306" s="49">
        <f>(100*('GA Arroyo'!AU306-E306))/E306</f>
        <v>5.858457558759814</v>
      </c>
      <c r="W306" s="49">
        <f>(100*('GA Arroyo'!AX306-E306))/E306</f>
        <v>22.250211533360314</v>
      </c>
    </row>
    <row r="307" spans="2:23" ht="15" customHeight="1">
      <c r="B307">
        <f>MIN('GA Arroyo'!B307,'GA Arroyo'!E307,'GA Arroyo'!H307,'GA Arroyo'!K307)</f>
        <v>69593.8</v>
      </c>
      <c r="C307">
        <f>MIN('GA Arroyo'!O307, 'GA Arroyo'!R307, 'GA Arroyo'!U307, 'GA Arroyo'!X307)</f>
        <v>59509.9</v>
      </c>
      <c r="D307">
        <f>MIN('GA Arroyo'!AB307, 'GA Arroyo'!AE307, 'GA Arroyo'!AH307, 'GA Arroyo'!AK307)</f>
        <v>62659.4</v>
      </c>
      <c r="E307">
        <f>MIN('GA Arroyo'!AO307, 'GA Arroyo'!AR307, 'GA Arroyo'!AU307, 'GA Arroyo'!AX307)</f>
        <v>64047.5</v>
      </c>
      <c r="G307" s="45">
        <f t="shared" si="24"/>
        <v>59509.9</v>
      </c>
      <c r="I307" s="49">
        <f t="shared" si="25"/>
        <v>16.94491168696301</v>
      </c>
      <c r="J307" s="49">
        <f t="shared" si="26"/>
        <v>0</v>
      </c>
      <c r="K307" s="49">
        <f t="shared" si="27"/>
        <v>5.2923967272672279</v>
      </c>
      <c r="L307" s="49">
        <f t="shared" si="28"/>
        <v>7.6249497982688572</v>
      </c>
      <c r="T307" s="49">
        <f>(100*('GA Arroyo'!AO307-E307))/E307</f>
        <v>42.831336117725115</v>
      </c>
      <c r="U307" s="49">
        <f>(100*('GA Arroyo'!AR307-E307))/E307</f>
        <v>14.072524298372311</v>
      </c>
      <c r="V307" s="49">
        <f>(100*('GA Arroyo'!AU307-E307))/E307</f>
        <v>7.0822436472930246</v>
      </c>
      <c r="W307" s="49">
        <f>(100*('GA Arroyo'!AX307-E307))/E307</f>
        <v>0</v>
      </c>
    </row>
    <row r="308" spans="2:23" ht="15" customHeight="1">
      <c r="B308">
        <f>MIN('GA Arroyo'!B308,'GA Arroyo'!E308,'GA Arroyo'!H308,'GA Arroyo'!K308)</f>
        <v>69762.399999999994</v>
      </c>
      <c r="C308">
        <f>MIN('GA Arroyo'!O308, 'GA Arroyo'!R308, 'GA Arroyo'!U308, 'GA Arroyo'!X308)</f>
        <v>49508.2</v>
      </c>
      <c r="D308">
        <f>MIN('GA Arroyo'!AB308, 'GA Arroyo'!AE308, 'GA Arroyo'!AH308, 'GA Arroyo'!AK308)</f>
        <v>49891.3</v>
      </c>
      <c r="E308">
        <f>MIN('GA Arroyo'!AO308, 'GA Arroyo'!AR308, 'GA Arroyo'!AU308, 'GA Arroyo'!AX308)</f>
        <v>49819.3</v>
      </c>
      <c r="G308" s="45">
        <f t="shared" si="24"/>
        <v>49508.2</v>
      </c>
      <c r="I308" s="49">
        <f t="shared" si="25"/>
        <v>40.910798615178898</v>
      </c>
      <c r="J308" s="49">
        <f t="shared" si="26"/>
        <v>0</v>
      </c>
      <c r="K308" s="49">
        <f t="shared" si="27"/>
        <v>0.77381120703238215</v>
      </c>
      <c r="L308" s="49">
        <f t="shared" si="28"/>
        <v>0.62838075308737917</v>
      </c>
      <c r="T308" s="49">
        <f>(100*('GA Arroyo'!AO308-E308))/E308</f>
        <v>23.593466788975352</v>
      </c>
      <c r="U308" s="49">
        <f>(100*('GA Arroyo'!AR308-E308))/E308</f>
        <v>0</v>
      </c>
      <c r="V308" s="49">
        <f>(100*('GA Arroyo'!AU308-E308))/E308</f>
        <v>16.042778601867134</v>
      </c>
      <c r="W308" s="49">
        <f>(100*('GA Arroyo'!AX308-E308))/E308</f>
        <v>18.587575497849222</v>
      </c>
    </row>
    <row r="309" spans="2:23" ht="15" customHeight="1">
      <c r="B309">
        <f>MIN('GA Arroyo'!B309,'GA Arroyo'!E309,'GA Arroyo'!H309,'GA Arroyo'!K309)</f>
        <v>45731.9</v>
      </c>
      <c r="C309">
        <f>MIN('GA Arroyo'!O309, 'GA Arroyo'!R309, 'GA Arroyo'!U309, 'GA Arroyo'!X309)</f>
        <v>43070.6</v>
      </c>
      <c r="D309">
        <f>MIN('GA Arroyo'!AB309, 'GA Arroyo'!AE309, 'GA Arroyo'!AH309, 'GA Arroyo'!AK309)</f>
        <v>42989.5</v>
      </c>
      <c r="E309">
        <f>MIN('GA Arroyo'!AO309, 'GA Arroyo'!AR309, 'GA Arroyo'!AU309, 'GA Arroyo'!AX309)</f>
        <v>42935.9</v>
      </c>
      <c r="G309" s="45">
        <f t="shared" si="24"/>
        <v>42935.9</v>
      </c>
      <c r="I309" s="49">
        <f t="shared" si="25"/>
        <v>6.5120330539245712</v>
      </c>
      <c r="J309" s="49">
        <f t="shared" si="26"/>
        <v>0.31372348081674561</v>
      </c>
      <c r="K309" s="49">
        <f t="shared" si="27"/>
        <v>0.12483725739998124</v>
      </c>
      <c r="L309" s="49">
        <f t="shared" si="28"/>
        <v>0</v>
      </c>
      <c r="T309" s="49">
        <f>(100*('GA Arroyo'!AO309-E309))/E309</f>
        <v>0</v>
      </c>
      <c r="U309" s="49">
        <f>(100*('GA Arroyo'!AR309-E309))/E309</f>
        <v>35.771231067707902</v>
      </c>
      <c r="V309" s="49">
        <f>(100*('GA Arroyo'!AU309-E309))/E309</f>
        <v>5.5016897281761814</v>
      </c>
      <c r="W309" s="49">
        <f>(100*('GA Arroyo'!AX309-E309))/E309</f>
        <v>11.892379104665324</v>
      </c>
    </row>
    <row r="310" spans="2:23" ht="15" customHeight="1">
      <c r="B310">
        <f>MIN('GA Arroyo'!B310,'GA Arroyo'!E310,'GA Arroyo'!H310,'GA Arroyo'!K310)</f>
        <v>60958.3</v>
      </c>
      <c r="C310">
        <f>MIN('GA Arroyo'!O310, 'GA Arroyo'!R310, 'GA Arroyo'!U310, 'GA Arroyo'!X310)</f>
        <v>60986.7</v>
      </c>
      <c r="D310">
        <f>MIN('GA Arroyo'!AB310, 'GA Arroyo'!AE310, 'GA Arroyo'!AH310, 'GA Arroyo'!AK310)</f>
        <v>68161.8</v>
      </c>
      <c r="E310">
        <f>MIN('GA Arroyo'!AO310, 'GA Arroyo'!AR310, 'GA Arroyo'!AU310, 'GA Arroyo'!AX310)</f>
        <v>59563.5</v>
      </c>
      <c r="G310" s="45">
        <f t="shared" si="24"/>
        <v>59563.5</v>
      </c>
      <c r="I310" s="49">
        <f t="shared" si="25"/>
        <v>2.3417025527378392</v>
      </c>
      <c r="J310" s="49">
        <f t="shared" si="26"/>
        <v>2.3893827595759101</v>
      </c>
      <c r="K310" s="49">
        <f t="shared" si="27"/>
        <v>14.435518396333329</v>
      </c>
      <c r="L310" s="49">
        <f t="shared" si="28"/>
        <v>0</v>
      </c>
      <c r="T310" s="49">
        <f>(100*('GA Arroyo'!AO310-E310))/E310</f>
        <v>12.801296095763336</v>
      </c>
      <c r="U310" s="49">
        <f>(100*('GA Arroyo'!AR310-E310))/E310</f>
        <v>0</v>
      </c>
      <c r="V310" s="49">
        <f>(100*('GA Arroyo'!AU310-E310))/E310</f>
        <v>36.34373399817003</v>
      </c>
      <c r="W310" s="49">
        <f>(100*('GA Arroyo'!AX310-E310))/E310</f>
        <v>39.50070093261813</v>
      </c>
    </row>
    <row r="311" spans="2:23" ht="15" customHeight="1">
      <c r="B311">
        <f>MIN('GA Arroyo'!B311,'GA Arroyo'!E311,'GA Arroyo'!H311,'GA Arroyo'!K311)</f>
        <v>58400.4</v>
      </c>
      <c r="C311">
        <f>MIN('GA Arroyo'!O311, 'GA Arroyo'!R311, 'GA Arroyo'!U311, 'GA Arroyo'!X311)</f>
        <v>55515.8</v>
      </c>
      <c r="D311">
        <f>MIN('GA Arroyo'!AB311, 'GA Arroyo'!AE311, 'GA Arroyo'!AH311, 'GA Arroyo'!AK311)</f>
        <v>57892.1</v>
      </c>
      <c r="E311">
        <f>MIN('GA Arroyo'!AO311, 'GA Arroyo'!AR311, 'GA Arroyo'!AU311, 'GA Arroyo'!AX311)</f>
        <v>60010.5</v>
      </c>
      <c r="G311" s="45">
        <f t="shared" si="24"/>
        <v>55515.8</v>
      </c>
      <c r="I311" s="49">
        <f t="shared" si="25"/>
        <v>5.1959982563522429</v>
      </c>
      <c r="J311" s="49">
        <f t="shared" si="26"/>
        <v>0</v>
      </c>
      <c r="K311" s="49">
        <f t="shared" si="27"/>
        <v>4.2804030564271711</v>
      </c>
      <c r="L311" s="49">
        <f t="shared" si="28"/>
        <v>8.096253679132781</v>
      </c>
      <c r="T311" s="49">
        <f>(100*('GA Arroyo'!AO311-E311))/E311</f>
        <v>0</v>
      </c>
      <c r="U311" s="49">
        <f>(100*('GA Arroyo'!AR311-E311))/E311</f>
        <v>7.0890927421034604</v>
      </c>
      <c r="V311" s="49">
        <f>(100*('GA Arroyo'!AU311-E311))/E311</f>
        <v>0.30477999683388984</v>
      </c>
      <c r="W311" s="49">
        <f>(100*('GA Arroyo'!AX311-E311))/E311</f>
        <v>2.4990626640337892</v>
      </c>
    </row>
    <row r="312" spans="2:23" ht="15" customHeight="1">
      <c r="B312">
        <f>MIN('GA Arroyo'!B312,'GA Arroyo'!E312,'GA Arroyo'!H312,'GA Arroyo'!K312)</f>
        <v>52147.9</v>
      </c>
      <c r="C312">
        <f>MIN('GA Arroyo'!O312, 'GA Arroyo'!R312, 'GA Arroyo'!U312, 'GA Arroyo'!X312)</f>
        <v>52451.7</v>
      </c>
      <c r="D312">
        <f>MIN('GA Arroyo'!AB312, 'GA Arroyo'!AE312, 'GA Arroyo'!AH312, 'GA Arroyo'!AK312)</f>
        <v>48327.6</v>
      </c>
      <c r="E312">
        <f>MIN('GA Arroyo'!AO312, 'GA Arroyo'!AR312, 'GA Arroyo'!AU312, 'GA Arroyo'!AX312)</f>
        <v>52575.3</v>
      </c>
      <c r="G312" s="45">
        <f t="shared" si="24"/>
        <v>48327.6</v>
      </c>
      <c r="I312" s="49">
        <f t="shared" si="25"/>
        <v>7.905006662859325</v>
      </c>
      <c r="J312" s="49">
        <f t="shared" si="26"/>
        <v>8.5336329550815666</v>
      </c>
      <c r="K312" s="49">
        <f t="shared" si="27"/>
        <v>0</v>
      </c>
      <c r="L312" s="49">
        <f t="shared" si="28"/>
        <v>8.7893874307849025</v>
      </c>
      <c r="T312" s="49">
        <f>(100*('GA Arroyo'!AO312-E312))/E312</f>
        <v>0</v>
      </c>
      <c r="U312" s="49">
        <f>(100*('GA Arroyo'!AR312-E312))/E312</f>
        <v>3.26065662012389</v>
      </c>
      <c r="V312" s="49">
        <f>(100*('GA Arroyo'!AU312-E312))/E312</f>
        <v>11.735168415586777</v>
      </c>
      <c r="W312" s="49">
        <f>(100*('GA Arroyo'!AX312-E312))/E312</f>
        <v>12.125846167306696</v>
      </c>
    </row>
    <row r="313" spans="2:23" ht="15" customHeight="1">
      <c r="B313">
        <f>MIN('GA Arroyo'!B313,'GA Arroyo'!E313,'GA Arroyo'!H313,'GA Arroyo'!K313)</f>
        <v>66877.3</v>
      </c>
      <c r="C313">
        <f>MIN('GA Arroyo'!O313, 'GA Arroyo'!R313, 'GA Arroyo'!U313, 'GA Arroyo'!X313)</f>
        <v>67773.399999999994</v>
      </c>
      <c r="D313">
        <f>MIN('GA Arroyo'!AB313, 'GA Arroyo'!AE313, 'GA Arroyo'!AH313, 'GA Arroyo'!AK313)</f>
        <v>58536.2</v>
      </c>
      <c r="E313">
        <f>MIN('GA Arroyo'!AO313, 'GA Arroyo'!AR313, 'GA Arroyo'!AU313, 'GA Arroyo'!AX313)</f>
        <v>62385.9</v>
      </c>
      <c r="G313" s="45">
        <f t="shared" si="24"/>
        <v>58536.2</v>
      </c>
      <c r="I313" s="49">
        <f t="shared" si="25"/>
        <v>14.249472975697101</v>
      </c>
      <c r="J313" s="49">
        <f t="shared" si="26"/>
        <v>15.780320553776976</v>
      </c>
      <c r="K313" s="49">
        <f t="shared" si="27"/>
        <v>0</v>
      </c>
      <c r="L313" s="49">
        <f t="shared" si="28"/>
        <v>6.5766141293763596</v>
      </c>
      <c r="T313" s="49">
        <f>(100*('GA Arroyo'!AO313-E313))/E313</f>
        <v>3.3302396855699743</v>
      </c>
      <c r="U313" s="49">
        <f>(100*('GA Arroyo'!AR313-E313))/E313</f>
        <v>4.5321138270025774</v>
      </c>
      <c r="V313" s="49">
        <f>(100*('GA Arroyo'!AU313-E313))/E313</f>
        <v>0</v>
      </c>
      <c r="W313" s="49">
        <f>(100*('GA Arroyo'!AX313-E313))/E313</f>
        <v>17.984993403958264</v>
      </c>
    </row>
    <row r="314" spans="2:23" ht="15" customHeight="1">
      <c r="B314">
        <f>MIN('GA Arroyo'!B314,'GA Arroyo'!E314,'GA Arroyo'!H314,'GA Arroyo'!K314)</f>
        <v>54465.7</v>
      </c>
      <c r="C314">
        <f>MIN('GA Arroyo'!O314, 'GA Arroyo'!R314, 'GA Arroyo'!U314, 'GA Arroyo'!X314)</f>
        <v>55003.1</v>
      </c>
      <c r="D314">
        <f>MIN('GA Arroyo'!AB314, 'GA Arroyo'!AE314, 'GA Arroyo'!AH314, 'GA Arroyo'!AK314)</f>
        <v>55579.5</v>
      </c>
      <c r="E314">
        <f>MIN('GA Arroyo'!AO314, 'GA Arroyo'!AR314, 'GA Arroyo'!AU314, 'GA Arroyo'!AX314)</f>
        <v>51926.5</v>
      </c>
      <c r="G314" s="45">
        <f t="shared" si="24"/>
        <v>51926.5</v>
      </c>
      <c r="I314" s="49">
        <f t="shared" si="25"/>
        <v>4.8899887340760442</v>
      </c>
      <c r="J314" s="49">
        <f t="shared" si="26"/>
        <v>5.9249130983216638</v>
      </c>
      <c r="K314" s="49">
        <f t="shared" si="27"/>
        <v>7.034943622235275</v>
      </c>
      <c r="L314" s="49">
        <f t="shared" si="28"/>
        <v>0</v>
      </c>
      <c r="T314" s="49">
        <f>(100*('GA Arroyo'!AO314-E314))/E314</f>
        <v>17.639548207562612</v>
      </c>
      <c r="U314" s="49">
        <f>(100*('GA Arroyo'!AR314-E314))/E314</f>
        <v>7.5666567167053405</v>
      </c>
      <c r="V314" s="49">
        <f>(100*('GA Arroyo'!AU314-E314))/E314</f>
        <v>39.624469201660048</v>
      </c>
      <c r="W314" s="49">
        <f>(100*('GA Arroyo'!AX314-E314))/E314</f>
        <v>0</v>
      </c>
    </row>
    <row r="315" spans="2:23" ht="15" customHeight="1">
      <c r="B315">
        <f>MIN('GA Arroyo'!B315,'GA Arroyo'!E315,'GA Arroyo'!H315,'GA Arroyo'!K315)</f>
        <v>56910.3</v>
      </c>
      <c r="C315">
        <f>MIN('GA Arroyo'!O315, 'GA Arroyo'!R315, 'GA Arroyo'!U315, 'GA Arroyo'!X315)</f>
        <v>50709.7</v>
      </c>
      <c r="D315">
        <f>MIN('GA Arroyo'!AB315, 'GA Arroyo'!AE315, 'GA Arroyo'!AH315, 'GA Arroyo'!AK315)</f>
        <v>46102.2</v>
      </c>
      <c r="E315">
        <f>MIN('GA Arroyo'!AO315, 'GA Arroyo'!AR315, 'GA Arroyo'!AU315, 'GA Arroyo'!AX315)</f>
        <v>46351</v>
      </c>
      <c r="G315" s="45">
        <f t="shared" si="24"/>
        <v>46102.2</v>
      </c>
      <c r="I315" s="49">
        <f t="shared" si="25"/>
        <v>23.44378359384152</v>
      </c>
      <c r="J315" s="49">
        <f t="shared" si="26"/>
        <v>9.9941000646389977</v>
      </c>
      <c r="K315" s="49">
        <f t="shared" si="27"/>
        <v>0</v>
      </c>
      <c r="L315" s="49">
        <f t="shared" si="28"/>
        <v>0.53967055802109865</v>
      </c>
      <c r="T315" s="49">
        <f>(100*('GA Arroyo'!AO315-E315))/E315</f>
        <v>17.044939699251366</v>
      </c>
      <c r="U315" s="49">
        <f>(100*('GA Arroyo'!AR315-E315))/E315</f>
        <v>0</v>
      </c>
      <c r="V315" s="49">
        <f>(100*('GA Arroyo'!AU315-E315))/E315</f>
        <v>6.2158313736488937</v>
      </c>
      <c r="W315" s="49">
        <f>(100*('GA Arroyo'!AX315-E315))/E315</f>
        <v>6.4779616405255522</v>
      </c>
    </row>
    <row r="316" spans="2:23" ht="15" customHeight="1">
      <c r="B316">
        <f>MIN('GA Arroyo'!B316,'GA Arroyo'!E316,'GA Arroyo'!H316,'GA Arroyo'!K316)</f>
        <v>47642.400000000001</v>
      </c>
      <c r="C316">
        <f>MIN('GA Arroyo'!O316, 'GA Arroyo'!R316, 'GA Arroyo'!U316, 'GA Arroyo'!X316)</f>
        <v>48890.400000000001</v>
      </c>
      <c r="D316">
        <f>MIN('GA Arroyo'!AB316, 'GA Arroyo'!AE316, 'GA Arroyo'!AH316, 'GA Arroyo'!AK316)</f>
        <v>54483.5</v>
      </c>
      <c r="E316">
        <f>MIN('GA Arroyo'!AO316, 'GA Arroyo'!AR316, 'GA Arroyo'!AU316, 'GA Arroyo'!AX316)</f>
        <v>55158.1</v>
      </c>
      <c r="G316" s="45">
        <f t="shared" si="24"/>
        <v>47642.400000000001</v>
      </c>
      <c r="I316" s="49">
        <f t="shared" si="25"/>
        <v>0</v>
      </c>
      <c r="J316" s="49">
        <f t="shared" si="26"/>
        <v>2.6195153896529142</v>
      </c>
      <c r="K316" s="49">
        <f t="shared" si="27"/>
        <v>14.359268214867425</v>
      </c>
      <c r="L316" s="49">
        <f t="shared" si="28"/>
        <v>15.775233825332052</v>
      </c>
      <c r="T316" s="49">
        <f>(100*('GA Arroyo'!AO316-E316))/E316</f>
        <v>0</v>
      </c>
      <c r="U316" s="49">
        <f>(100*('GA Arroyo'!AR316-E316))/E316</f>
        <v>25.66440830993092</v>
      </c>
      <c r="V316" s="49">
        <f>(100*('GA Arroyo'!AU316-E316))/E316</f>
        <v>29.087840226548767</v>
      </c>
      <c r="W316" s="49">
        <f>(100*('GA Arroyo'!AX316-E316))/E316</f>
        <v>7.5296284679856713</v>
      </c>
    </row>
    <row r="317" spans="2:23" ht="15" customHeight="1">
      <c r="B317">
        <f>MIN('GA Arroyo'!B317,'GA Arroyo'!E317,'GA Arroyo'!H317,'GA Arroyo'!K317)</f>
        <v>38961.800000000003</v>
      </c>
      <c r="C317">
        <f>MIN('GA Arroyo'!O317, 'GA Arroyo'!R317, 'GA Arroyo'!U317, 'GA Arroyo'!X317)</f>
        <v>39428</v>
      </c>
      <c r="D317">
        <f>MIN('GA Arroyo'!AB317, 'GA Arroyo'!AE317, 'GA Arroyo'!AH317, 'GA Arroyo'!AK317)</f>
        <v>39891.199999999997</v>
      </c>
      <c r="E317">
        <f>MIN('GA Arroyo'!AO317, 'GA Arroyo'!AR317, 'GA Arroyo'!AU317, 'GA Arroyo'!AX317)</f>
        <v>42250.9</v>
      </c>
      <c r="G317" s="45">
        <f t="shared" si="24"/>
        <v>38961.800000000003</v>
      </c>
      <c r="I317" s="49">
        <f t="shared" si="25"/>
        <v>0</v>
      </c>
      <c r="J317" s="49">
        <f t="shared" si="26"/>
        <v>1.1965566272605399</v>
      </c>
      <c r="K317" s="49">
        <f t="shared" si="27"/>
        <v>2.3854134049248086</v>
      </c>
      <c r="L317" s="49">
        <f t="shared" si="28"/>
        <v>8.4418584356985527</v>
      </c>
      <c r="T317" s="49">
        <f>(100*('GA Arroyo'!AO317-E317))/E317</f>
        <v>5.393967939144491</v>
      </c>
      <c r="U317" s="49">
        <f>(100*('GA Arroyo'!AR317-E317))/E317</f>
        <v>0.57584572162958803</v>
      </c>
      <c r="V317" s="49">
        <f>(100*('GA Arroyo'!AU317-E317))/E317</f>
        <v>0</v>
      </c>
      <c r="W317" s="49">
        <f>(100*('GA Arroyo'!AX317-E317))/E317</f>
        <v>24.233329940900656</v>
      </c>
    </row>
    <row r="318" spans="2:23" ht="15" customHeight="1">
      <c r="B318">
        <f>MIN('GA Arroyo'!B318,'GA Arroyo'!E318,'GA Arroyo'!H318,'GA Arroyo'!K318)</f>
        <v>64689.1</v>
      </c>
      <c r="C318">
        <f>MIN('GA Arroyo'!O318, 'GA Arroyo'!R318, 'GA Arroyo'!U318, 'GA Arroyo'!X318)</f>
        <v>61162.9</v>
      </c>
      <c r="D318">
        <f>MIN('GA Arroyo'!AB318, 'GA Arroyo'!AE318, 'GA Arroyo'!AH318, 'GA Arroyo'!AK318)</f>
        <v>55296.7</v>
      </c>
      <c r="E318">
        <f>MIN('GA Arroyo'!AO318, 'GA Arroyo'!AR318, 'GA Arroyo'!AU318, 'GA Arroyo'!AX318)</f>
        <v>55944.800000000003</v>
      </c>
      <c r="G318" s="45">
        <f t="shared" si="24"/>
        <v>55296.7</v>
      </c>
      <c r="I318" s="49">
        <f t="shared" si="25"/>
        <v>16.985462061931365</v>
      </c>
      <c r="J318" s="49">
        <f t="shared" si="26"/>
        <v>10.608589662674273</v>
      </c>
      <c r="K318" s="49">
        <f t="shared" si="27"/>
        <v>0</v>
      </c>
      <c r="L318" s="49">
        <f t="shared" si="28"/>
        <v>1.1720410078720898</v>
      </c>
      <c r="T318" s="49">
        <f>(100*('GA Arroyo'!AO318-E318))/E318</f>
        <v>0</v>
      </c>
      <c r="U318" s="49">
        <f>(100*('GA Arroyo'!AR318-E318))/E318</f>
        <v>53.537057957129157</v>
      </c>
      <c r="V318" s="49">
        <f>(100*('GA Arroyo'!AU318-E318))/E318</f>
        <v>16.396161931046308</v>
      </c>
      <c r="W318" s="49">
        <f>(100*('GA Arroyo'!AX318-E318))/E318</f>
        <v>62.538966981739151</v>
      </c>
    </row>
    <row r="319" spans="2:23" ht="15" customHeight="1">
      <c r="B319">
        <f>MIN('GA Arroyo'!B319,'GA Arroyo'!E319,'GA Arroyo'!H319,'GA Arroyo'!K319)</f>
        <v>51483.5</v>
      </c>
      <c r="C319">
        <f>MIN('GA Arroyo'!O319, 'GA Arroyo'!R319, 'GA Arroyo'!U319, 'GA Arroyo'!X319)</f>
        <v>54943</v>
      </c>
      <c r="D319">
        <f>MIN('GA Arroyo'!AB319, 'GA Arroyo'!AE319, 'GA Arroyo'!AH319, 'GA Arroyo'!AK319)</f>
        <v>57287.9</v>
      </c>
      <c r="E319">
        <f>MIN('GA Arroyo'!AO319, 'GA Arroyo'!AR319, 'GA Arroyo'!AU319, 'GA Arroyo'!AX319)</f>
        <v>57017.9</v>
      </c>
      <c r="G319" s="45">
        <f t="shared" si="24"/>
        <v>51483.5</v>
      </c>
      <c r="I319" s="49">
        <f t="shared" si="25"/>
        <v>0</v>
      </c>
      <c r="J319" s="49">
        <f t="shared" si="26"/>
        <v>6.7196286188778931</v>
      </c>
      <c r="K319" s="49">
        <f t="shared" si="27"/>
        <v>11.274291763380504</v>
      </c>
      <c r="L319" s="49">
        <f t="shared" si="28"/>
        <v>10.749851894296233</v>
      </c>
      <c r="T319" s="49">
        <f>(100*('GA Arroyo'!AO319-E319))/E319</f>
        <v>0.52404595749755012</v>
      </c>
      <c r="U319" s="49">
        <f>(100*('GA Arroyo'!AR319-E319))/E319</f>
        <v>29.830982901860629</v>
      </c>
      <c r="V319" s="49">
        <f>(100*('GA Arroyo'!AU319-E319))/E319</f>
        <v>43.814486327977704</v>
      </c>
      <c r="W319" s="49">
        <f>(100*('GA Arroyo'!AX319-E319))/E319</f>
        <v>0</v>
      </c>
    </row>
    <row r="320" spans="2:23" ht="15" customHeight="1">
      <c r="B320">
        <f>MIN('GA Arroyo'!B320,'GA Arroyo'!E320,'GA Arroyo'!H320,'GA Arroyo'!K320)</f>
        <v>49995.6</v>
      </c>
      <c r="C320">
        <f>MIN('GA Arroyo'!O320, 'GA Arroyo'!R320, 'GA Arroyo'!U320, 'GA Arroyo'!X320)</f>
        <v>50675</v>
      </c>
      <c r="D320">
        <f>MIN('GA Arroyo'!AB320, 'GA Arroyo'!AE320, 'GA Arroyo'!AH320, 'GA Arroyo'!AK320)</f>
        <v>45862</v>
      </c>
      <c r="E320">
        <f>MIN('GA Arroyo'!AO320, 'GA Arroyo'!AR320, 'GA Arroyo'!AU320, 'GA Arroyo'!AX320)</f>
        <v>49552.7</v>
      </c>
      <c r="G320" s="45">
        <f t="shared" si="24"/>
        <v>45862</v>
      </c>
      <c r="I320" s="49">
        <f t="shared" si="25"/>
        <v>9.0131263355283213</v>
      </c>
      <c r="J320" s="49">
        <f t="shared" si="26"/>
        <v>10.494527059439188</v>
      </c>
      <c r="K320" s="49">
        <f t="shared" si="27"/>
        <v>0</v>
      </c>
      <c r="L320" s="49">
        <f t="shared" si="28"/>
        <v>8.0474030788016151</v>
      </c>
      <c r="T320" s="49">
        <f>(100*('GA Arroyo'!AO320-E320))/E320</f>
        <v>3.6766916838033077</v>
      </c>
      <c r="U320" s="49">
        <f>(100*('GA Arroyo'!AR320-E320))/E320</f>
        <v>2.8622052885110256</v>
      </c>
      <c r="V320" s="49">
        <f>(100*('GA Arroyo'!AU320-E320))/E320</f>
        <v>0</v>
      </c>
      <c r="W320" s="49">
        <f>(100*('GA Arroyo'!AX320-E320))/E320</f>
        <v>0.54164556119041241</v>
      </c>
    </row>
    <row r="321" spans="2:23" ht="15" customHeight="1">
      <c r="B321">
        <f>MIN('GA Arroyo'!B321,'GA Arroyo'!E321,'GA Arroyo'!H321,'GA Arroyo'!K321)</f>
        <v>33965</v>
      </c>
      <c r="C321">
        <f>MIN('GA Arroyo'!O321, 'GA Arroyo'!R321, 'GA Arroyo'!U321, 'GA Arroyo'!X321)</f>
        <v>33386.699999999997</v>
      </c>
      <c r="D321">
        <f>MIN('GA Arroyo'!AB321, 'GA Arroyo'!AE321, 'GA Arroyo'!AH321, 'GA Arroyo'!AK321)</f>
        <v>34307.5</v>
      </c>
      <c r="E321">
        <f>MIN('GA Arroyo'!AO321, 'GA Arroyo'!AR321, 'GA Arroyo'!AU321, 'GA Arroyo'!AX321)</f>
        <v>30753.1</v>
      </c>
      <c r="G321" s="45">
        <f t="shared" si="24"/>
        <v>30753.1</v>
      </c>
      <c r="I321" s="49">
        <f t="shared" si="25"/>
        <v>10.4441503458188</v>
      </c>
      <c r="J321" s="49">
        <f t="shared" si="26"/>
        <v>8.5636895142278302</v>
      </c>
      <c r="K321" s="49">
        <f t="shared" si="27"/>
        <v>11.557859207689635</v>
      </c>
      <c r="L321" s="49">
        <f t="shared" si="28"/>
        <v>0</v>
      </c>
      <c r="T321" s="49">
        <f>(100*('GA Arroyo'!AO321-E321))/E321</f>
        <v>40.587778142691306</v>
      </c>
      <c r="U321" s="49">
        <f>(100*('GA Arroyo'!AR321-E321))/E321</f>
        <v>54.170148700456217</v>
      </c>
      <c r="V321" s="49">
        <f>(100*('GA Arroyo'!AU321-E321))/E321</f>
        <v>24.262919835723874</v>
      </c>
      <c r="W321" s="49">
        <f>(100*('GA Arroyo'!AX321-E321))/E321</f>
        <v>0</v>
      </c>
    </row>
    <row r="322" spans="2:23" ht="15" customHeight="1">
      <c r="B322">
        <f>MIN('GA Arroyo'!B322,'GA Arroyo'!E322,'GA Arroyo'!H322,'GA Arroyo'!K322)</f>
        <v>53578.5</v>
      </c>
      <c r="C322">
        <f>MIN('GA Arroyo'!O322, 'GA Arroyo'!R322, 'GA Arroyo'!U322, 'GA Arroyo'!X322)</f>
        <v>56150.8</v>
      </c>
      <c r="D322">
        <f>MIN('GA Arroyo'!AB322, 'GA Arroyo'!AE322, 'GA Arroyo'!AH322, 'GA Arroyo'!AK322)</f>
        <v>54572</v>
      </c>
      <c r="E322">
        <f>MIN('GA Arroyo'!AO322, 'GA Arroyo'!AR322, 'GA Arroyo'!AU322, 'GA Arroyo'!AX322)</f>
        <v>57286.6</v>
      </c>
      <c r="G322" s="45">
        <f t="shared" si="24"/>
        <v>53578.5</v>
      </c>
      <c r="I322" s="49">
        <f t="shared" si="25"/>
        <v>0</v>
      </c>
      <c r="J322" s="49">
        <f t="shared" si="26"/>
        <v>4.8009929355991732</v>
      </c>
      <c r="K322" s="49">
        <f t="shared" si="27"/>
        <v>1.8542885672424574</v>
      </c>
      <c r="L322" s="49">
        <f t="shared" si="28"/>
        <v>6.9208731114159576</v>
      </c>
      <c r="T322" s="49">
        <f>(100*('GA Arroyo'!AO322-E322))/E322</f>
        <v>28.872022427583406</v>
      </c>
      <c r="U322" s="49">
        <f>(100*('GA Arroyo'!AR322-E322))/E322</f>
        <v>67.702220065425422</v>
      </c>
      <c r="V322" s="49">
        <f>(100*('GA Arroyo'!AU322-E322))/E322</f>
        <v>0</v>
      </c>
      <c r="W322" s="49">
        <f>(100*('GA Arroyo'!AX322-E322))/E322</f>
        <v>8.4984970307192267</v>
      </c>
    </row>
    <row r="323" spans="2:23" ht="15" customHeight="1">
      <c r="B323">
        <f>MIN('GA Arroyo'!B323,'GA Arroyo'!E323,'GA Arroyo'!H323,'GA Arroyo'!K323)</f>
        <v>49606.1</v>
      </c>
      <c r="C323">
        <f>MIN('GA Arroyo'!O323, 'GA Arroyo'!R323, 'GA Arroyo'!U323, 'GA Arroyo'!X323)</f>
        <v>47419.6</v>
      </c>
      <c r="D323">
        <f>MIN('GA Arroyo'!AB323, 'GA Arroyo'!AE323, 'GA Arroyo'!AH323, 'GA Arroyo'!AK323)</f>
        <v>55373.7</v>
      </c>
      <c r="E323">
        <f>MIN('GA Arroyo'!AO323, 'GA Arroyo'!AR323, 'GA Arroyo'!AU323, 'GA Arroyo'!AX323)</f>
        <v>50467.7</v>
      </c>
      <c r="G323" s="45">
        <f t="shared" si="24"/>
        <v>47419.6</v>
      </c>
      <c r="I323" s="49">
        <f t="shared" si="25"/>
        <v>4.61096255556774</v>
      </c>
      <c r="J323" s="49">
        <f t="shared" si="26"/>
        <v>0</v>
      </c>
      <c r="K323" s="49">
        <f t="shared" si="27"/>
        <v>16.773865658925843</v>
      </c>
      <c r="L323" s="49">
        <f t="shared" si="28"/>
        <v>6.4279327535449458</v>
      </c>
      <c r="T323" s="49">
        <f>(100*('GA Arroyo'!AO323-E323))/E323</f>
        <v>3.9369735494187403</v>
      </c>
      <c r="U323" s="49">
        <f>(100*('GA Arroyo'!AR323-E323))/E323</f>
        <v>3.2389032985454178</v>
      </c>
      <c r="V323" s="49">
        <f>(100*('GA Arroyo'!AU323-E323))/E323</f>
        <v>0</v>
      </c>
      <c r="W323" s="49">
        <f>(100*('GA Arroyo'!AX323-E323))/E323</f>
        <v>3.7398177448150034</v>
      </c>
    </row>
    <row r="324" spans="2:23" ht="15" customHeight="1">
      <c r="B324">
        <f>MIN('GA Arroyo'!B324,'GA Arroyo'!E324,'GA Arroyo'!H324,'GA Arroyo'!K324)</f>
        <v>45561.599999999999</v>
      </c>
      <c r="C324">
        <f>MIN('GA Arroyo'!O324, 'GA Arroyo'!R324, 'GA Arroyo'!U324, 'GA Arroyo'!X324)</f>
        <v>45283.8</v>
      </c>
      <c r="D324">
        <f>MIN('GA Arroyo'!AB324, 'GA Arroyo'!AE324, 'GA Arroyo'!AH324, 'GA Arroyo'!AK324)</f>
        <v>54607.5</v>
      </c>
      <c r="E324">
        <f>MIN('GA Arroyo'!AO324, 'GA Arroyo'!AR324, 'GA Arroyo'!AU324, 'GA Arroyo'!AX324)</f>
        <v>47065.2</v>
      </c>
      <c r="G324" s="45">
        <f t="shared" ref="G324:G387" si="29">MIN(B324,C324,D324,E324)</f>
        <v>45283.8</v>
      </c>
      <c r="I324" s="49">
        <f t="shared" ref="I324:I387" si="30">(100*(B324-G324))/G324</f>
        <v>0.61346441773878435</v>
      </c>
      <c r="J324" s="49">
        <f t="shared" ref="J324:J387" si="31">(100*(C324-G324))/G324</f>
        <v>0</v>
      </c>
      <c r="K324" s="49">
        <f t="shared" ref="K324:K387" si="32">(100*(D324-G324))/G324</f>
        <v>20.589482331429778</v>
      </c>
      <c r="L324" s="49">
        <f t="shared" ref="L324:L387" si="33">(100*(E324-G324))/G324</f>
        <v>3.9338571409643053</v>
      </c>
      <c r="T324" s="49">
        <f>(100*('GA Arroyo'!AO324-E324))/E324</f>
        <v>76.952610421287943</v>
      </c>
      <c r="U324" s="49">
        <f>(100*('GA Arroyo'!AR324-E324))/E324</f>
        <v>11.407579273008508</v>
      </c>
      <c r="V324" s="49">
        <f>(100*('GA Arroyo'!AU324-E324))/E324</f>
        <v>133.60997084894998</v>
      </c>
      <c r="W324" s="49">
        <f>(100*('GA Arroyo'!AX324-E324))/E324</f>
        <v>0</v>
      </c>
    </row>
    <row r="325" spans="2:23" ht="15" customHeight="1">
      <c r="B325">
        <f>MIN('GA Arroyo'!B325,'GA Arroyo'!E325,'GA Arroyo'!H325,'GA Arroyo'!K325)</f>
        <v>52249.4</v>
      </c>
      <c r="C325">
        <f>MIN('GA Arroyo'!O325, 'GA Arroyo'!R325, 'GA Arroyo'!U325, 'GA Arroyo'!X325)</f>
        <v>51348.800000000003</v>
      </c>
      <c r="D325">
        <f>MIN('GA Arroyo'!AB325, 'GA Arroyo'!AE325, 'GA Arroyo'!AH325, 'GA Arroyo'!AK325)</f>
        <v>53194.3</v>
      </c>
      <c r="E325">
        <f>MIN('GA Arroyo'!AO325, 'GA Arroyo'!AR325, 'GA Arroyo'!AU325, 'GA Arroyo'!AX325)</f>
        <v>52285.1</v>
      </c>
      <c r="G325" s="45">
        <f t="shared" si="29"/>
        <v>51348.800000000003</v>
      </c>
      <c r="I325" s="49">
        <f t="shared" si="30"/>
        <v>1.753887140497925</v>
      </c>
      <c r="J325" s="49">
        <f t="shared" si="31"/>
        <v>0</v>
      </c>
      <c r="K325" s="49">
        <f t="shared" si="32"/>
        <v>3.5940469884398465</v>
      </c>
      <c r="L325" s="49">
        <f t="shared" si="33"/>
        <v>1.8234116473997359</v>
      </c>
      <c r="T325" s="49">
        <f>(100*('GA Arroyo'!AO325-E325))/E325</f>
        <v>11.148109117128977</v>
      </c>
      <c r="U325" s="49">
        <f>(100*('GA Arroyo'!AR325-E325))/E325</f>
        <v>9.3070492358243637</v>
      </c>
      <c r="V325" s="49">
        <f>(100*('GA Arroyo'!AU325-E325))/E325</f>
        <v>0</v>
      </c>
      <c r="W325" s="49">
        <f>(100*('GA Arroyo'!AX325-E325))/E325</f>
        <v>1.5006187231161432</v>
      </c>
    </row>
    <row r="326" spans="2:23" ht="15" customHeight="1">
      <c r="B326">
        <f>MIN('GA Arroyo'!B326,'GA Arroyo'!E326,'GA Arroyo'!H326,'GA Arroyo'!K326)</f>
        <v>37200.300000000003</v>
      </c>
      <c r="C326">
        <f>MIN('GA Arroyo'!O326, 'GA Arroyo'!R326, 'GA Arroyo'!U326, 'GA Arroyo'!X326)</f>
        <v>36653.300000000003</v>
      </c>
      <c r="D326">
        <f>MIN('GA Arroyo'!AB326, 'GA Arroyo'!AE326, 'GA Arroyo'!AH326, 'GA Arroyo'!AK326)</f>
        <v>35024.199999999997</v>
      </c>
      <c r="E326">
        <f>MIN('GA Arroyo'!AO326, 'GA Arroyo'!AR326, 'GA Arroyo'!AU326, 'GA Arroyo'!AX326)</f>
        <v>36042.5</v>
      </c>
      <c r="G326" s="45">
        <f t="shared" si="29"/>
        <v>35024.199999999997</v>
      </c>
      <c r="I326" s="49">
        <f t="shared" si="30"/>
        <v>6.2131326340073603</v>
      </c>
      <c r="J326" s="49">
        <f t="shared" si="31"/>
        <v>4.6513553485875647</v>
      </c>
      <c r="K326" s="49">
        <f t="shared" si="32"/>
        <v>0</v>
      </c>
      <c r="L326" s="49">
        <f t="shared" si="33"/>
        <v>2.907418299347317</v>
      </c>
      <c r="T326" s="49">
        <f>(100*('GA Arroyo'!AO326-E326))/E326</f>
        <v>28.322952070472365</v>
      </c>
      <c r="U326" s="49">
        <f>(100*('GA Arroyo'!AR326-E326))/E326</f>
        <v>0</v>
      </c>
      <c r="V326" s="49">
        <f>(100*('GA Arroyo'!AU326-E326))/E326</f>
        <v>15.490601373378643</v>
      </c>
      <c r="W326" s="49">
        <f>(100*('GA Arroyo'!AX326-E326))/E326</f>
        <v>9.4982312547686796</v>
      </c>
    </row>
    <row r="327" spans="2:23" ht="15" customHeight="1">
      <c r="B327">
        <f>MIN('GA Arroyo'!B327,'GA Arroyo'!E327,'GA Arroyo'!H327,'GA Arroyo'!K327)</f>
        <v>47097.7</v>
      </c>
      <c r="C327">
        <f>MIN('GA Arroyo'!O327, 'GA Arroyo'!R327, 'GA Arroyo'!U327, 'GA Arroyo'!X327)</f>
        <v>50953.1</v>
      </c>
      <c r="D327">
        <f>MIN('GA Arroyo'!AB327, 'GA Arroyo'!AE327, 'GA Arroyo'!AH327, 'GA Arroyo'!AK327)</f>
        <v>48923.9</v>
      </c>
      <c r="E327">
        <f>MIN('GA Arroyo'!AO327, 'GA Arroyo'!AR327, 'GA Arroyo'!AU327, 'GA Arroyo'!AX327)</f>
        <v>47638</v>
      </c>
      <c r="G327" s="45">
        <f t="shared" si="29"/>
        <v>47097.7</v>
      </c>
      <c r="I327" s="49">
        <f t="shared" si="30"/>
        <v>0</v>
      </c>
      <c r="J327" s="49">
        <f t="shared" si="31"/>
        <v>8.1859623718355703</v>
      </c>
      <c r="K327" s="49">
        <f t="shared" si="32"/>
        <v>3.8774717236722909</v>
      </c>
      <c r="L327" s="49">
        <f t="shared" si="33"/>
        <v>1.1471897778447842</v>
      </c>
      <c r="T327" s="49">
        <f>(100*('GA Arroyo'!AO327-E327))/E327</f>
        <v>14.042571056719423</v>
      </c>
      <c r="U327" s="49">
        <f>(100*('GA Arroyo'!AR327-E327))/E327</f>
        <v>23.253495108946638</v>
      </c>
      <c r="V327" s="49">
        <f>(100*('GA Arroyo'!AU327-E327))/E327</f>
        <v>6.4477937780763233</v>
      </c>
      <c r="W327" s="49">
        <f>(100*('GA Arroyo'!AX327-E327))/E327</f>
        <v>0</v>
      </c>
    </row>
    <row r="328" spans="2:23" ht="15" customHeight="1">
      <c r="B328">
        <f>MIN('GA Arroyo'!B328,'GA Arroyo'!E328,'GA Arroyo'!H328,'GA Arroyo'!K328)</f>
        <v>60312.9</v>
      </c>
      <c r="C328">
        <f>MIN('GA Arroyo'!O328, 'GA Arroyo'!R328, 'GA Arroyo'!U328, 'GA Arroyo'!X328)</f>
        <v>55506</v>
      </c>
      <c r="D328">
        <f>MIN('GA Arroyo'!AB328, 'GA Arroyo'!AE328, 'GA Arroyo'!AH328, 'GA Arroyo'!AK328)</f>
        <v>44702.9</v>
      </c>
      <c r="E328">
        <f>MIN('GA Arroyo'!AO328, 'GA Arroyo'!AR328, 'GA Arroyo'!AU328, 'GA Arroyo'!AX328)</f>
        <v>51191.6</v>
      </c>
      <c r="G328" s="45">
        <f t="shared" si="29"/>
        <v>44702.9</v>
      </c>
      <c r="I328" s="49">
        <f t="shared" si="30"/>
        <v>34.919434757029187</v>
      </c>
      <c r="J328" s="49">
        <f t="shared" si="31"/>
        <v>24.1664411033736</v>
      </c>
      <c r="K328" s="49">
        <f t="shared" si="32"/>
        <v>0</v>
      </c>
      <c r="L328" s="49">
        <f t="shared" si="33"/>
        <v>14.515165682763305</v>
      </c>
      <c r="T328" s="49">
        <f>(100*('GA Arroyo'!AO328-E328))/E328</f>
        <v>13.096093890403893</v>
      </c>
      <c r="U328" s="49">
        <f>(100*('GA Arroyo'!AR328-E328))/E328</f>
        <v>0</v>
      </c>
      <c r="V328" s="49">
        <f>(100*('GA Arroyo'!AU328-E328))/E328</f>
        <v>27.063229123528075</v>
      </c>
      <c r="W328" s="49">
        <f>(100*('GA Arroyo'!AX328-E328))/E328</f>
        <v>25.142601520561971</v>
      </c>
    </row>
    <row r="329" spans="2:23" ht="15" customHeight="1">
      <c r="B329">
        <f>MIN('GA Arroyo'!B329,'GA Arroyo'!E329,'GA Arroyo'!H329,'GA Arroyo'!K329)</f>
        <v>55846.7</v>
      </c>
      <c r="C329">
        <f>MIN('GA Arroyo'!O329, 'GA Arroyo'!R329, 'GA Arroyo'!U329, 'GA Arroyo'!X329)</f>
        <v>57770.6</v>
      </c>
      <c r="D329">
        <f>MIN('GA Arroyo'!AB329, 'GA Arroyo'!AE329, 'GA Arroyo'!AH329, 'GA Arroyo'!AK329)</f>
        <v>56194.9</v>
      </c>
      <c r="E329">
        <f>MIN('GA Arroyo'!AO329, 'GA Arroyo'!AR329, 'GA Arroyo'!AU329, 'GA Arroyo'!AX329)</f>
        <v>57744.2</v>
      </c>
      <c r="G329" s="45">
        <f t="shared" si="29"/>
        <v>55846.7</v>
      </c>
      <c r="I329" s="49">
        <f t="shared" si="30"/>
        <v>0</v>
      </c>
      <c r="J329" s="49">
        <f t="shared" si="31"/>
        <v>3.4449663095581324</v>
      </c>
      <c r="K329" s="49">
        <f t="shared" si="32"/>
        <v>0.6234925250731097</v>
      </c>
      <c r="L329" s="49">
        <f t="shared" si="33"/>
        <v>3.3976940445899224</v>
      </c>
      <c r="T329" s="49">
        <f>(100*('GA Arroyo'!AO329-E329))/E329</f>
        <v>1.8209621052850331</v>
      </c>
      <c r="U329" s="49">
        <f>(100*('GA Arroyo'!AR329-E329))/E329</f>
        <v>16.347615864450461</v>
      </c>
      <c r="V329" s="49">
        <f>(100*('GA Arroyo'!AU329-E329))/E329</f>
        <v>0</v>
      </c>
      <c r="W329" s="49">
        <f>(100*('GA Arroyo'!AX329-E329))/E329</f>
        <v>37.964332348530235</v>
      </c>
    </row>
    <row r="330" spans="2:23" ht="15" customHeight="1">
      <c r="B330">
        <f>MIN('GA Arroyo'!B330,'GA Arroyo'!E330,'GA Arroyo'!H330,'GA Arroyo'!K330)</f>
        <v>54159.7</v>
      </c>
      <c r="C330">
        <f>MIN('GA Arroyo'!O330, 'GA Arroyo'!R330, 'GA Arroyo'!U330, 'GA Arroyo'!X330)</f>
        <v>53727.5</v>
      </c>
      <c r="D330">
        <f>MIN('GA Arroyo'!AB330, 'GA Arroyo'!AE330, 'GA Arroyo'!AH330, 'GA Arroyo'!AK330)</f>
        <v>59725.3</v>
      </c>
      <c r="E330">
        <f>MIN('GA Arroyo'!AO330, 'GA Arroyo'!AR330, 'GA Arroyo'!AU330, 'GA Arroyo'!AX330)</f>
        <v>55038.2</v>
      </c>
      <c r="G330" s="45">
        <f t="shared" si="29"/>
        <v>53727.5</v>
      </c>
      <c r="I330" s="49">
        <f t="shared" si="30"/>
        <v>0.80442976129542054</v>
      </c>
      <c r="J330" s="49">
        <f t="shared" si="31"/>
        <v>0</v>
      </c>
      <c r="K330" s="49">
        <f t="shared" si="32"/>
        <v>11.163370713321861</v>
      </c>
      <c r="L330" s="49">
        <f t="shared" si="33"/>
        <v>2.439532827695309</v>
      </c>
      <c r="T330" s="49">
        <f>(100*('GA Arroyo'!AO330-E330))/E330</f>
        <v>0</v>
      </c>
      <c r="U330" s="49">
        <f>(100*('GA Arroyo'!AR330-E330))/E330</f>
        <v>7.2625921632611616</v>
      </c>
      <c r="V330" s="49">
        <f>(100*('GA Arroyo'!AU330-E330))/E330</f>
        <v>19.083472933344474</v>
      </c>
      <c r="W330" s="49">
        <f>(100*('GA Arroyo'!AX330-E330))/E330</f>
        <v>21.457278762750231</v>
      </c>
    </row>
    <row r="331" spans="2:23" ht="15" customHeight="1">
      <c r="B331">
        <f>MIN('GA Arroyo'!B331,'GA Arroyo'!E331,'GA Arroyo'!H331,'GA Arroyo'!K331)</f>
        <v>78524.3</v>
      </c>
      <c r="C331">
        <f>MIN('GA Arroyo'!O331, 'GA Arroyo'!R331, 'GA Arroyo'!U331, 'GA Arroyo'!X331)</f>
        <v>78177</v>
      </c>
      <c r="D331">
        <f>MIN('GA Arroyo'!AB331, 'GA Arroyo'!AE331, 'GA Arroyo'!AH331, 'GA Arroyo'!AK331)</f>
        <v>76104.5</v>
      </c>
      <c r="E331">
        <f>MIN('GA Arroyo'!AO331, 'GA Arroyo'!AR331, 'GA Arroyo'!AU331, 'GA Arroyo'!AX331)</f>
        <v>75707.8</v>
      </c>
      <c r="G331" s="45">
        <f t="shared" si="29"/>
        <v>75707.8</v>
      </c>
      <c r="I331" s="49">
        <f t="shared" si="30"/>
        <v>3.7202243361978553</v>
      </c>
      <c r="J331" s="49">
        <f t="shared" si="31"/>
        <v>3.2614869273707559</v>
      </c>
      <c r="K331" s="49">
        <f t="shared" si="32"/>
        <v>0.52398828126031538</v>
      </c>
      <c r="L331" s="49">
        <f t="shared" si="33"/>
        <v>0</v>
      </c>
      <c r="T331" s="49">
        <f>(100*('GA Arroyo'!AO331-E331))/E331</f>
        <v>0</v>
      </c>
      <c r="U331" s="49">
        <f>(100*('GA Arroyo'!AR331-E331))/E331</f>
        <v>0.74787538404232734</v>
      </c>
      <c r="V331" s="49">
        <f>(100*('GA Arroyo'!AU331-E331))/E331</f>
        <v>2.1045387661509154</v>
      </c>
      <c r="W331" s="49">
        <f>(100*('GA Arroyo'!AX331-E331))/E331</f>
        <v>14.282676289629325</v>
      </c>
    </row>
    <row r="332" spans="2:23" ht="15" customHeight="1">
      <c r="B332">
        <f>MIN('GA Arroyo'!B332,'GA Arroyo'!E332,'GA Arroyo'!H332,'GA Arroyo'!K332)</f>
        <v>53082.5</v>
      </c>
      <c r="C332">
        <f>MIN('GA Arroyo'!O332, 'GA Arroyo'!R332, 'GA Arroyo'!U332, 'GA Arroyo'!X332)</f>
        <v>55187.6</v>
      </c>
      <c r="D332">
        <f>MIN('GA Arroyo'!AB332, 'GA Arroyo'!AE332, 'GA Arroyo'!AH332, 'GA Arroyo'!AK332)</f>
        <v>50985.599999999999</v>
      </c>
      <c r="E332">
        <f>MIN('GA Arroyo'!AO332, 'GA Arroyo'!AR332, 'GA Arroyo'!AU332, 'GA Arroyo'!AX332)</f>
        <v>54825.2</v>
      </c>
      <c r="G332" s="45">
        <f t="shared" si="29"/>
        <v>50985.599999999999</v>
      </c>
      <c r="I332" s="49">
        <f t="shared" si="30"/>
        <v>4.1127298688257108</v>
      </c>
      <c r="J332" s="49">
        <f t="shared" si="31"/>
        <v>8.2415427100985372</v>
      </c>
      <c r="K332" s="49">
        <f t="shared" si="32"/>
        <v>0</v>
      </c>
      <c r="L332" s="49">
        <f t="shared" si="33"/>
        <v>7.5307537814598611</v>
      </c>
      <c r="T332" s="49">
        <f>(100*('GA Arroyo'!AO332-E332))/E332</f>
        <v>0.4098480260902001</v>
      </c>
      <c r="U332" s="49">
        <f>(100*('GA Arroyo'!AR332-E332))/E332</f>
        <v>8.1801799172643292</v>
      </c>
      <c r="V332" s="49">
        <f>(100*('GA Arroyo'!AU332-E332))/E332</f>
        <v>68.436594850543187</v>
      </c>
      <c r="W332" s="49">
        <f>(100*('GA Arroyo'!AX332-E332))/E332</f>
        <v>0</v>
      </c>
    </row>
    <row r="333" spans="2:23" ht="15" customHeight="1">
      <c r="B333">
        <f>MIN('GA Arroyo'!B333,'GA Arroyo'!E333,'GA Arroyo'!H333,'GA Arroyo'!K333)</f>
        <v>49649.2</v>
      </c>
      <c r="C333">
        <f>MIN('GA Arroyo'!O333, 'GA Arroyo'!R333, 'GA Arroyo'!U333, 'GA Arroyo'!X333)</f>
        <v>51074.7</v>
      </c>
      <c r="D333">
        <f>MIN('GA Arroyo'!AB333, 'GA Arroyo'!AE333, 'GA Arroyo'!AH333, 'GA Arroyo'!AK333)</f>
        <v>49609.9</v>
      </c>
      <c r="E333">
        <f>MIN('GA Arroyo'!AO333, 'GA Arroyo'!AR333, 'GA Arroyo'!AU333, 'GA Arroyo'!AX333)</f>
        <v>49119.3</v>
      </c>
      <c r="G333" s="45">
        <f t="shared" si="29"/>
        <v>49119.3</v>
      </c>
      <c r="I333" s="49">
        <f t="shared" si="30"/>
        <v>1.0788020187583987</v>
      </c>
      <c r="J333" s="49">
        <f t="shared" si="31"/>
        <v>3.9809199235331003</v>
      </c>
      <c r="K333" s="49">
        <f t="shared" si="32"/>
        <v>0.99879273523848777</v>
      </c>
      <c r="L333" s="49">
        <f t="shared" si="33"/>
        <v>0</v>
      </c>
      <c r="T333" s="49">
        <f>(100*('GA Arroyo'!AO333-E333))/E333</f>
        <v>31.731315389266534</v>
      </c>
      <c r="U333" s="49">
        <f>(100*('GA Arroyo'!AR333-E333))/E333</f>
        <v>27.394934374064771</v>
      </c>
      <c r="V333" s="49">
        <f>(100*('GA Arroyo'!AU333-E333))/E333</f>
        <v>5.2622899756307513</v>
      </c>
      <c r="W333" s="49">
        <f>(100*('GA Arroyo'!AX333-E333))/E333</f>
        <v>0</v>
      </c>
    </row>
    <row r="334" spans="2:23" ht="15" customHeight="1">
      <c r="B334">
        <f>MIN('GA Arroyo'!B334,'GA Arroyo'!E334,'GA Arroyo'!H334,'GA Arroyo'!K334)</f>
        <v>53720.5</v>
      </c>
      <c r="C334">
        <f>MIN('GA Arroyo'!O334, 'GA Arroyo'!R334, 'GA Arroyo'!U334, 'GA Arroyo'!X334)</f>
        <v>51669</v>
      </c>
      <c r="D334">
        <f>MIN('GA Arroyo'!AB334, 'GA Arroyo'!AE334, 'GA Arroyo'!AH334, 'GA Arroyo'!AK334)</f>
        <v>48408.9</v>
      </c>
      <c r="E334">
        <f>MIN('GA Arroyo'!AO334, 'GA Arroyo'!AR334, 'GA Arroyo'!AU334, 'GA Arroyo'!AX334)</f>
        <v>50934.9</v>
      </c>
      <c r="G334" s="45">
        <f t="shared" si="29"/>
        <v>48408.9</v>
      </c>
      <c r="I334" s="49">
        <f t="shared" si="30"/>
        <v>10.9723625201151</v>
      </c>
      <c r="J334" s="49">
        <f t="shared" si="31"/>
        <v>6.7345054318524049</v>
      </c>
      <c r="K334" s="49">
        <f t="shared" si="32"/>
        <v>0</v>
      </c>
      <c r="L334" s="49">
        <f t="shared" si="33"/>
        <v>5.2180487472344961</v>
      </c>
      <c r="T334" s="49">
        <f>(100*('GA Arroyo'!AO334-E334))/E334</f>
        <v>19.178009576930542</v>
      </c>
      <c r="U334" s="49">
        <f>(100*('GA Arroyo'!AR334-E334))/E334</f>
        <v>6.9007694135062616</v>
      </c>
      <c r="V334" s="49">
        <f>(100*('GA Arroyo'!AU334-E334))/E334</f>
        <v>0</v>
      </c>
      <c r="W334" s="49">
        <f>(100*('GA Arroyo'!AX334-E334))/E334</f>
        <v>6.77924173798319</v>
      </c>
    </row>
    <row r="335" spans="2:23" ht="15" customHeight="1">
      <c r="B335">
        <f>MIN('GA Arroyo'!B335,'GA Arroyo'!E335,'GA Arroyo'!H335,'GA Arroyo'!K335)</f>
        <v>59978.9</v>
      </c>
      <c r="C335">
        <f>MIN('GA Arroyo'!O335, 'GA Arroyo'!R335, 'GA Arroyo'!U335, 'GA Arroyo'!X335)</f>
        <v>55719</v>
      </c>
      <c r="D335">
        <f>MIN('GA Arroyo'!AB335, 'GA Arroyo'!AE335, 'GA Arroyo'!AH335, 'GA Arroyo'!AK335)</f>
        <v>54483.4</v>
      </c>
      <c r="E335">
        <f>MIN('GA Arroyo'!AO335, 'GA Arroyo'!AR335, 'GA Arroyo'!AU335, 'GA Arroyo'!AX335)</f>
        <v>54640.2</v>
      </c>
      <c r="G335" s="45">
        <f t="shared" si="29"/>
        <v>54483.4</v>
      </c>
      <c r="I335" s="49">
        <f t="shared" si="30"/>
        <v>10.086558474691374</v>
      </c>
      <c r="J335" s="49">
        <f t="shared" si="31"/>
        <v>2.267846720285442</v>
      </c>
      <c r="K335" s="49">
        <f t="shared" si="32"/>
        <v>0</v>
      </c>
      <c r="L335" s="49">
        <f t="shared" si="33"/>
        <v>0.28779408039879234</v>
      </c>
      <c r="T335" s="49">
        <f>(100*('GA Arroyo'!AO335-E335))/E335</f>
        <v>0</v>
      </c>
      <c r="U335" s="49">
        <f>(100*('GA Arroyo'!AR335-E335))/E335</f>
        <v>74.025717328999534</v>
      </c>
      <c r="V335" s="49">
        <f>(100*('GA Arroyo'!AU335-E335))/E335</f>
        <v>36.180321448310956</v>
      </c>
      <c r="W335" s="49">
        <f>(100*('GA Arroyo'!AX335-E335))/E335</f>
        <v>6.0664126412421711</v>
      </c>
    </row>
    <row r="336" spans="2:23" ht="15" customHeight="1">
      <c r="B336">
        <f>MIN('GA Arroyo'!B336,'GA Arroyo'!E336,'GA Arroyo'!H336,'GA Arroyo'!K336)</f>
        <v>65681.100000000006</v>
      </c>
      <c r="C336">
        <f>MIN('GA Arroyo'!O336, 'GA Arroyo'!R336, 'GA Arroyo'!U336, 'GA Arroyo'!X336)</f>
        <v>68169.7</v>
      </c>
      <c r="D336">
        <f>MIN('GA Arroyo'!AB336, 'GA Arroyo'!AE336, 'GA Arroyo'!AH336, 'GA Arroyo'!AK336)</f>
        <v>63493.1</v>
      </c>
      <c r="E336">
        <f>MIN('GA Arroyo'!AO336, 'GA Arroyo'!AR336, 'GA Arroyo'!AU336, 'GA Arroyo'!AX336)</f>
        <v>65266.3</v>
      </c>
      <c r="G336" s="45">
        <f t="shared" si="29"/>
        <v>63493.1</v>
      </c>
      <c r="I336" s="49">
        <f t="shared" si="30"/>
        <v>3.4460437433359017</v>
      </c>
      <c r="J336" s="49">
        <f t="shared" si="31"/>
        <v>7.3655247578083269</v>
      </c>
      <c r="K336" s="49">
        <f t="shared" si="32"/>
        <v>0</v>
      </c>
      <c r="L336" s="49">
        <f t="shared" si="33"/>
        <v>2.7927444084475392</v>
      </c>
      <c r="T336" s="49">
        <f>(100*('GA Arroyo'!AO336-E336))/E336</f>
        <v>12.016155351230267</v>
      </c>
      <c r="U336" s="49">
        <f>(100*('GA Arroyo'!AR336-E336))/E336</f>
        <v>6.8940632455034221</v>
      </c>
      <c r="V336" s="49">
        <f>(100*('GA Arroyo'!AU336-E336))/E336</f>
        <v>5.654526149023309</v>
      </c>
      <c r="W336" s="49">
        <f>(100*('GA Arroyo'!AX336-E336))/E336</f>
        <v>0</v>
      </c>
    </row>
    <row r="337" spans="2:23" ht="15" customHeight="1">
      <c r="B337">
        <f>MIN('GA Arroyo'!B337,'GA Arroyo'!E337,'GA Arroyo'!H337,'GA Arroyo'!K337)</f>
        <v>63992.4</v>
      </c>
      <c r="C337">
        <f>MIN('GA Arroyo'!O337, 'GA Arroyo'!R337, 'GA Arroyo'!U337, 'GA Arroyo'!X337)</f>
        <v>59699.5</v>
      </c>
      <c r="D337">
        <f>MIN('GA Arroyo'!AB337, 'GA Arroyo'!AE337, 'GA Arroyo'!AH337, 'GA Arroyo'!AK337)</f>
        <v>70020.3</v>
      </c>
      <c r="E337">
        <f>MIN('GA Arroyo'!AO337, 'GA Arroyo'!AR337, 'GA Arroyo'!AU337, 'GA Arroyo'!AX337)</f>
        <v>59829.3</v>
      </c>
      <c r="G337" s="45">
        <f t="shared" si="29"/>
        <v>59699.5</v>
      </c>
      <c r="I337" s="49">
        <f t="shared" si="30"/>
        <v>7.1908474945351317</v>
      </c>
      <c r="J337" s="49">
        <f t="shared" si="31"/>
        <v>0</v>
      </c>
      <c r="K337" s="49">
        <f t="shared" si="32"/>
        <v>17.287916984229351</v>
      </c>
      <c r="L337" s="49">
        <f t="shared" si="33"/>
        <v>0.21742225646781449</v>
      </c>
      <c r="T337" s="49">
        <f>(100*('GA Arroyo'!AO337-E337))/E337</f>
        <v>43.764008604479734</v>
      </c>
      <c r="U337" s="49">
        <f>(100*('GA Arroyo'!AR337-E337))/E337</f>
        <v>8.2696939459428691</v>
      </c>
      <c r="V337" s="49">
        <f>(100*('GA Arroyo'!AU337-E337))/E337</f>
        <v>0</v>
      </c>
      <c r="W337" s="49">
        <f>(100*('GA Arroyo'!AX337-E337))/E337</f>
        <v>4.0242824168091502</v>
      </c>
    </row>
    <row r="338" spans="2:23" ht="15" customHeight="1">
      <c r="B338">
        <f>MIN('GA Arroyo'!B338,'GA Arroyo'!E338,'GA Arroyo'!H338,'GA Arroyo'!K338)</f>
        <v>48918.8</v>
      </c>
      <c r="C338">
        <f>MIN('GA Arroyo'!O338, 'GA Arroyo'!R338, 'GA Arroyo'!U338, 'GA Arroyo'!X338)</f>
        <v>48193</v>
      </c>
      <c r="D338">
        <f>MIN('GA Arroyo'!AB338, 'GA Arroyo'!AE338, 'GA Arroyo'!AH338, 'GA Arroyo'!AK338)</f>
        <v>46589.2</v>
      </c>
      <c r="E338">
        <f>MIN('GA Arroyo'!AO338, 'GA Arroyo'!AR338, 'GA Arroyo'!AU338, 'GA Arroyo'!AX338)</f>
        <v>46785.8</v>
      </c>
      <c r="G338" s="45">
        <f t="shared" si="29"/>
        <v>46589.2</v>
      </c>
      <c r="I338" s="49">
        <f t="shared" si="30"/>
        <v>5.000300498828067</v>
      </c>
      <c r="J338" s="49">
        <f t="shared" si="31"/>
        <v>3.4424287173851513</v>
      </c>
      <c r="K338" s="49">
        <f t="shared" si="32"/>
        <v>0</v>
      </c>
      <c r="L338" s="49">
        <f t="shared" si="33"/>
        <v>0.42198621139664522</v>
      </c>
      <c r="T338" s="49">
        <f>(100*('GA Arroyo'!AO338-E338))/E338</f>
        <v>0</v>
      </c>
      <c r="U338" s="49">
        <f>(100*('GA Arroyo'!AR338-E338))/E338</f>
        <v>22.06609697814293</v>
      </c>
      <c r="V338" s="49">
        <f>(100*('GA Arroyo'!AU338-E338))/E338</f>
        <v>5.2639903560481933</v>
      </c>
      <c r="W338" s="49">
        <f>(100*('GA Arroyo'!AX338-E338))/E338</f>
        <v>8.0669775872166269</v>
      </c>
    </row>
    <row r="339" spans="2:23" ht="15" customHeight="1">
      <c r="B339">
        <f>MIN('GA Arroyo'!B339,'GA Arroyo'!E339,'GA Arroyo'!H339,'GA Arroyo'!K339)</f>
        <v>52894.1</v>
      </c>
      <c r="C339">
        <f>MIN('GA Arroyo'!O339, 'GA Arroyo'!R339, 'GA Arroyo'!U339, 'GA Arroyo'!X339)</f>
        <v>54797.5</v>
      </c>
      <c r="D339">
        <f>MIN('GA Arroyo'!AB339, 'GA Arroyo'!AE339, 'GA Arroyo'!AH339, 'GA Arroyo'!AK339)</f>
        <v>51767.199999999997</v>
      </c>
      <c r="E339">
        <f>MIN('GA Arroyo'!AO339, 'GA Arroyo'!AR339, 'GA Arroyo'!AU339, 'GA Arroyo'!AX339)</f>
        <v>53894.8</v>
      </c>
      <c r="G339" s="45">
        <f t="shared" si="29"/>
        <v>51767.199999999997</v>
      </c>
      <c r="I339" s="49">
        <f t="shared" si="30"/>
        <v>2.176861023968848</v>
      </c>
      <c r="J339" s="49">
        <f t="shared" si="31"/>
        <v>5.8537065941368338</v>
      </c>
      <c r="K339" s="49">
        <f t="shared" si="32"/>
        <v>0</v>
      </c>
      <c r="L339" s="49">
        <f t="shared" si="33"/>
        <v>4.1099383393345708</v>
      </c>
      <c r="T339" s="49">
        <f>(100*('GA Arroyo'!AO339-E339))/E339</f>
        <v>6.5601876247801245</v>
      </c>
      <c r="U339" s="49">
        <f>(100*('GA Arroyo'!AR339-E339))/E339</f>
        <v>0</v>
      </c>
      <c r="V339" s="49">
        <f>(100*('GA Arroyo'!AU339-E339))/E339</f>
        <v>4.6460883053652671</v>
      </c>
      <c r="W339" s="49">
        <f>(100*('GA Arroyo'!AX339-E339))/E339</f>
        <v>0.36292926219226818</v>
      </c>
    </row>
    <row r="340" spans="2:23" ht="15" customHeight="1">
      <c r="B340">
        <f>MIN('GA Arroyo'!B340,'GA Arroyo'!E340,'GA Arroyo'!H340,'GA Arroyo'!K340)</f>
        <v>47337.8</v>
      </c>
      <c r="C340">
        <f>MIN('GA Arroyo'!O340, 'GA Arroyo'!R340, 'GA Arroyo'!U340, 'GA Arroyo'!X340)</f>
        <v>43640</v>
      </c>
      <c r="D340">
        <f>MIN('GA Arroyo'!AB340, 'GA Arroyo'!AE340, 'GA Arroyo'!AH340, 'GA Arroyo'!AK340)</f>
        <v>44969.4</v>
      </c>
      <c r="E340">
        <f>MIN('GA Arroyo'!AO340, 'GA Arroyo'!AR340, 'GA Arroyo'!AU340, 'GA Arroyo'!AX340)</f>
        <v>43877.2</v>
      </c>
      <c r="G340" s="45">
        <f t="shared" si="29"/>
        <v>43640</v>
      </c>
      <c r="I340" s="49">
        <f t="shared" si="30"/>
        <v>8.4734188817598604</v>
      </c>
      <c r="J340" s="49">
        <f t="shared" si="31"/>
        <v>0</v>
      </c>
      <c r="K340" s="49">
        <f t="shared" si="32"/>
        <v>3.0462878093492241</v>
      </c>
      <c r="L340" s="49">
        <f t="shared" si="33"/>
        <v>0.54353803849678528</v>
      </c>
      <c r="T340" s="49">
        <f>(100*('GA Arroyo'!AO340-E340))/E340</f>
        <v>5.2248092403343884</v>
      </c>
      <c r="U340" s="49">
        <f>(100*('GA Arroyo'!AR340-E340))/E340</f>
        <v>19.120864594823747</v>
      </c>
      <c r="V340" s="49">
        <f>(100*('GA Arroyo'!AU340-E340))/E340</f>
        <v>16.613639885863286</v>
      </c>
      <c r="W340" s="49">
        <f>(100*('GA Arroyo'!AX340-E340))/E340</f>
        <v>0</v>
      </c>
    </row>
    <row r="341" spans="2:23" ht="15" customHeight="1">
      <c r="B341">
        <f>MIN('GA Arroyo'!B341,'GA Arroyo'!E341,'GA Arroyo'!H341,'GA Arroyo'!K341)</f>
        <v>61467.4</v>
      </c>
      <c r="C341">
        <f>MIN('GA Arroyo'!O341, 'GA Arroyo'!R341, 'GA Arroyo'!U341, 'GA Arroyo'!X341)</f>
        <v>47634.1</v>
      </c>
      <c r="D341">
        <f>MIN('GA Arroyo'!AB341, 'GA Arroyo'!AE341, 'GA Arroyo'!AH341, 'GA Arroyo'!AK341)</f>
        <v>50886</v>
      </c>
      <c r="E341">
        <f>MIN('GA Arroyo'!AO341, 'GA Arroyo'!AR341, 'GA Arroyo'!AU341, 'GA Arroyo'!AX341)</f>
        <v>46415.1</v>
      </c>
      <c r="G341" s="45">
        <f t="shared" si="29"/>
        <v>46415.1</v>
      </c>
      <c r="I341" s="49">
        <f t="shared" si="30"/>
        <v>32.429748077673004</v>
      </c>
      <c r="J341" s="49">
        <f t="shared" si="31"/>
        <v>2.6263004927275824</v>
      </c>
      <c r="K341" s="49">
        <f t="shared" si="32"/>
        <v>9.6324256545822404</v>
      </c>
      <c r="L341" s="49">
        <f t="shared" si="33"/>
        <v>0</v>
      </c>
      <c r="T341" s="49">
        <f>(100*('GA Arroyo'!AO341-E341))/E341</f>
        <v>8.5424786330310614</v>
      </c>
      <c r="U341" s="49">
        <f>(100*('GA Arroyo'!AR341-E341))/E341</f>
        <v>17.97755471818439</v>
      </c>
      <c r="V341" s="49">
        <f>(100*('GA Arroyo'!AU341-E341))/E341</f>
        <v>10.22382802148439</v>
      </c>
      <c r="W341" s="49">
        <f>(100*('GA Arroyo'!AX341-E341))/E341</f>
        <v>0</v>
      </c>
    </row>
    <row r="342" spans="2:23" ht="15" customHeight="1">
      <c r="B342">
        <f>MIN('GA Arroyo'!B342,'GA Arroyo'!E342,'GA Arroyo'!H342,'GA Arroyo'!K342)</f>
        <v>50001.2</v>
      </c>
      <c r="C342">
        <f>MIN('GA Arroyo'!O342, 'GA Arroyo'!R342, 'GA Arroyo'!U342, 'GA Arroyo'!X342)</f>
        <v>48624.4</v>
      </c>
      <c r="D342">
        <f>MIN('GA Arroyo'!AB342, 'GA Arroyo'!AE342, 'GA Arroyo'!AH342, 'GA Arroyo'!AK342)</f>
        <v>47712</v>
      </c>
      <c r="E342">
        <f>MIN('GA Arroyo'!AO342, 'GA Arroyo'!AR342, 'GA Arroyo'!AU342, 'GA Arroyo'!AX342)</f>
        <v>49537.5</v>
      </c>
      <c r="G342" s="45">
        <f t="shared" si="29"/>
        <v>47712</v>
      </c>
      <c r="I342" s="49">
        <f t="shared" si="30"/>
        <v>4.7979543930248099</v>
      </c>
      <c r="J342" s="49">
        <f t="shared" si="31"/>
        <v>1.9123071763916866</v>
      </c>
      <c r="K342" s="49">
        <f t="shared" si="32"/>
        <v>0</v>
      </c>
      <c r="L342" s="49">
        <f t="shared" si="33"/>
        <v>3.8260814889336014</v>
      </c>
      <c r="T342" s="49">
        <f>(100*('GA Arroyo'!AO342-E342))/E342</f>
        <v>8.1746151905122382</v>
      </c>
      <c r="U342" s="49">
        <f>(100*('GA Arroyo'!AR342-E342))/E342</f>
        <v>0.43017915720413535</v>
      </c>
      <c r="V342" s="49">
        <f>(100*('GA Arroyo'!AU342-E342))/E342</f>
        <v>2.3884935654806907</v>
      </c>
      <c r="W342" s="49">
        <f>(100*('GA Arroyo'!AX342-E342))/E342</f>
        <v>0</v>
      </c>
    </row>
    <row r="343" spans="2:23" ht="15" customHeight="1">
      <c r="B343">
        <f>MIN('GA Arroyo'!B343,'GA Arroyo'!E343,'GA Arroyo'!H343,'GA Arroyo'!K343)</f>
        <v>64649.4</v>
      </c>
      <c r="C343">
        <f>MIN('GA Arroyo'!O343, 'GA Arroyo'!R343, 'GA Arroyo'!U343, 'GA Arroyo'!X343)</f>
        <v>56458.1</v>
      </c>
      <c r="D343">
        <f>MIN('GA Arroyo'!AB343, 'GA Arroyo'!AE343, 'GA Arroyo'!AH343, 'GA Arroyo'!AK343)</f>
        <v>63014.400000000001</v>
      </c>
      <c r="E343">
        <f>MIN('GA Arroyo'!AO343, 'GA Arroyo'!AR343, 'GA Arroyo'!AU343, 'GA Arroyo'!AX343)</f>
        <v>58362.7</v>
      </c>
      <c r="G343" s="45">
        <f t="shared" si="29"/>
        <v>56458.1</v>
      </c>
      <c r="I343" s="49">
        <f t="shared" si="30"/>
        <v>14.508635607645321</v>
      </c>
      <c r="J343" s="49">
        <f t="shared" si="31"/>
        <v>0</v>
      </c>
      <c r="K343" s="49">
        <f t="shared" si="32"/>
        <v>11.612682679721781</v>
      </c>
      <c r="L343" s="49">
        <f t="shared" si="33"/>
        <v>3.3734751966502565</v>
      </c>
      <c r="T343" s="49">
        <f>(100*('GA Arroyo'!AO343-E343))/E343</f>
        <v>0</v>
      </c>
      <c r="U343" s="49">
        <f>(100*('GA Arroyo'!AR343-E343))/E343</f>
        <v>48.182315074525341</v>
      </c>
      <c r="V343" s="49">
        <f>(100*('GA Arroyo'!AU343-E343))/E343</f>
        <v>3.5654621873216996</v>
      </c>
      <c r="W343" s="49">
        <f>(100*('GA Arroyo'!AX343-E343))/E343</f>
        <v>34.546893820882175</v>
      </c>
    </row>
    <row r="344" spans="2:23" ht="15" customHeight="1">
      <c r="B344">
        <f>MIN('GA Arroyo'!B344,'GA Arroyo'!E344,'GA Arroyo'!H344,'GA Arroyo'!K344)</f>
        <v>52501.599999999999</v>
      </c>
      <c r="C344">
        <f>MIN('GA Arroyo'!O344, 'GA Arroyo'!R344, 'GA Arroyo'!U344, 'GA Arroyo'!X344)</f>
        <v>53140.800000000003</v>
      </c>
      <c r="D344">
        <f>MIN('GA Arroyo'!AB344, 'GA Arroyo'!AE344, 'GA Arroyo'!AH344, 'GA Arroyo'!AK344)</f>
        <v>52856</v>
      </c>
      <c r="E344">
        <f>MIN('GA Arroyo'!AO344, 'GA Arroyo'!AR344, 'GA Arroyo'!AU344, 'GA Arroyo'!AX344)</f>
        <v>54082.6</v>
      </c>
      <c r="G344" s="45">
        <f t="shared" si="29"/>
        <v>52501.599999999999</v>
      </c>
      <c r="I344" s="49">
        <f t="shared" si="30"/>
        <v>0</v>
      </c>
      <c r="J344" s="49">
        <f t="shared" si="31"/>
        <v>1.217486705167089</v>
      </c>
      <c r="K344" s="49">
        <f t="shared" si="32"/>
        <v>0.6750270467947671</v>
      </c>
      <c r="L344" s="49">
        <f t="shared" si="33"/>
        <v>3.0113367973547476</v>
      </c>
      <c r="T344" s="49">
        <f>(100*('GA Arroyo'!AO344-E344))/E344</f>
        <v>2.1115848720290815</v>
      </c>
      <c r="U344" s="49">
        <f>(100*('GA Arroyo'!AR344-E344))/E344</f>
        <v>0</v>
      </c>
      <c r="V344" s="49">
        <f>(100*('GA Arroyo'!AU344-E344))/E344</f>
        <v>5.3492250742382952</v>
      </c>
      <c r="W344" s="49">
        <f>(100*('GA Arroyo'!AX344-E344))/E344</f>
        <v>5.291905344787418</v>
      </c>
    </row>
    <row r="345" spans="2:23" ht="15" customHeight="1">
      <c r="B345">
        <f>MIN('GA Arroyo'!B345,'GA Arroyo'!E345,'GA Arroyo'!H345,'GA Arroyo'!K345)</f>
        <v>56198.9</v>
      </c>
      <c r="C345">
        <f>MIN('GA Arroyo'!O345, 'GA Arroyo'!R345, 'GA Arroyo'!U345, 'GA Arroyo'!X345)</f>
        <v>55197.2</v>
      </c>
      <c r="D345">
        <f>MIN('GA Arroyo'!AB345, 'GA Arroyo'!AE345, 'GA Arroyo'!AH345, 'GA Arroyo'!AK345)</f>
        <v>53660.800000000003</v>
      </c>
      <c r="E345">
        <f>MIN('GA Arroyo'!AO345, 'GA Arroyo'!AR345, 'GA Arroyo'!AU345, 'GA Arroyo'!AX345)</f>
        <v>50793</v>
      </c>
      <c r="G345" s="45">
        <f t="shared" si="29"/>
        <v>50793</v>
      </c>
      <c r="I345" s="49">
        <f t="shared" si="30"/>
        <v>10.643001988462979</v>
      </c>
      <c r="J345" s="49">
        <f t="shared" si="31"/>
        <v>8.6708798456480167</v>
      </c>
      <c r="K345" s="49">
        <f t="shared" si="32"/>
        <v>5.6460535900616282</v>
      </c>
      <c r="L345" s="49">
        <f t="shared" si="33"/>
        <v>0</v>
      </c>
      <c r="T345" s="49">
        <f>(100*('GA Arroyo'!AO345-E345))/E345</f>
        <v>0</v>
      </c>
      <c r="U345" s="49">
        <f>(100*('GA Arroyo'!AR345-E345))/E345</f>
        <v>10.050991278325748</v>
      </c>
      <c r="V345" s="49">
        <f>(100*('GA Arroyo'!AU345-E345))/E345</f>
        <v>1.7685507845569328</v>
      </c>
      <c r="W345" s="49">
        <f>(100*('GA Arroyo'!AX345-E345))/E345</f>
        <v>7.2557242139664941</v>
      </c>
    </row>
    <row r="346" spans="2:23" ht="15" customHeight="1">
      <c r="B346">
        <f>MIN('GA Arroyo'!B346,'GA Arroyo'!E346,'GA Arroyo'!H346,'GA Arroyo'!K346)</f>
        <v>39728.699999999997</v>
      </c>
      <c r="C346">
        <f>MIN('GA Arroyo'!O346, 'GA Arroyo'!R346, 'GA Arroyo'!U346, 'GA Arroyo'!X346)</f>
        <v>39068.6</v>
      </c>
      <c r="D346">
        <f>MIN('GA Arroyo'!AB346, 'GA Arroyo'!AE346, 'GA Arroyo'!AH346, 'GA Arroyo'!AK346)</f>
        <v>40528.5</v>
      </c>
      <c r="E346">
        <f>MIN('GA Arroyo'!AO346, 'GA Arroyo'!AR346, 'GA Arroyo'!AU346, 'GA Arroyo'!AX346)</f>
        <v>38986.6</v>
      </c>
      <c r="G346" s="45">
        <f t="shared" si="29"/>
        <v>38986.6</v>
      </c>
      <c r="I346" s="49">
        <f t="shared" si="30"/>
        <v>1.9034745271452207</v>
      </c>
      <c r="J346" s="49">
        <f t="shared" si="31"/>
        <v>0.21032867703262148</v>
      </c>
      <c r="K346" s="49">
        <f t="shared" si="32"/>
        <v>3.9549486233731628</v>
      </c>
      <c r="L346" s="49">
        <f t="shared" si="33"/>
        <v>0</v>
      </c>
      <c r="T346" s="49">
        <f>(100*('GA Arroyo'!AO346-E346))/E346</f>
        <v>1.7667608870740279</v>
      </c>
      <c r="U346" s="49">
        <f>(100*('GA Arroyo'!AR346-E346))/E346</f>
        <v>26.325455412885457</v>
      </c>
      <c r="V346" s="49">
        <f>(100*('GA Arroyo'!AU346-E346))/E346</f>
        <v>8.50292151662366</v>
      </c>
      <c r="W346" s="49">
        <f>(100*('GA Arroyo'!AX346-E346))/E346</f>
        <v>0</v>
      </c>
    </row>
    <row r="347" spans="2:23" ht="15" customHeight="1">
      <c r="B347">
        <f>MIN('GA Arroyo'!B347,'GA Arroyo'!E347,'GA Arroyo'!H347,'GA Arroyo'!K347)</f>
        <v>69097.399999999994</v>
      </c>
      <c r="C347">
        <f>MIN('GA Arroyo'!O347, 'GA Arroyo'!R347, 'GA Arroyo'!U347, 'GA Arroyo'!X347)</f>
        <v>68319.600000000006</v>
      </c>
      <c r="D347">
        <f>MIN('GA Arroyo'!AB347, 'GA Arroyo'!AE347, 'GA Arroyo'!AH347, 'GA Arroyo'!AK347)</f>
        <v>71668.3</v>
      </c>
      <c r="E347">
        <f>MIN('GA Arroyo'!AO347, 'GA Arroyo'!AR347, 'GA Arroyo'!AU347, 'GA Arroyo'!AX347)</f>
        <v>71287.5</v>
      </c>
      <c r="G347" s="45">
        <f t="shared" si="29"/>
        <v>68319.600000000006</v>
      </c>
      <c r="I347" s="49">
        <f t="shared" si="30"/>
        <v>1.1384727076856251</v>
      </c>
      <c r="J347" s="49">
        <f t="shared" si="31"/>
        <v>0</v>
      </c>
      <c r="K347" s="49">
        <f t="shared" si="32"/>
        <v>4.9015216716725458</v>
      </c>
      <c r="L347" s="49">
        <f t="shared" si="33"/>
        <v>4.344141359141438</v>
      </c>
      <c r="T347" s="49">
        <f>(100*('GA Arroyo'!AO347-E347))/E347</f>
        <v>7.9932667017359256</v>
      </c>
      <c r="U347" s="49">
        <f>(100*('GA Arroyo'!AR347-E347))/E347</f>
        <v>0.53263194809748848</v>
      </c>
      <c r="V347" s="49">
        <f>(100*('GA Arroyo'!AU347-E347))/E347</f>
        <v>0</v>
      </c>
      <c r="W347" s="49">
        <f>(100*('GA Arroyo'!AX347-E347))/E347</f>
        <v>2.304471330878489</v>
      </c>
    </row>
    <row r="348" spans="2:23" ht="15" customHeight="1">
      <c r="B348">
        <f>MIN('GA Arroyo'!B348,'GA Arroyo'!E348,'GA Arroyo'!H348,'GA Arroyo'!K348)</f>
        <v>51292.1</v>
      </c>
      <c r="C348">
        <f>MIN('GA Arroyo'!O348, 'GA Arroyo'!R348, 'GA Arroyo'!U348, 'GA Arroyo'!X348)</f>
        <v>50881.5</v>
      </c>
      <c r="D348">
        <f>MIN('GA Arroyo'!AB348, 'GA Arroyo'!AE348, 'GA Arroyo'!AH348, 'GA Arroyo'!AK348)</f>
        <v>50154.8</v>
      </c>
      <c r="E348">
        <f>MIN('GA Arroyo'!AO348, 'GA Arroyo'!AR348, 'GA Arroyo'!AU348, 'GA Arroyo'!AX348)</f>
        <v>49714.9</v>
      </c>
      <c r="G348" s="45">
        <f t="shared" si="29"/>
        <v>49714.9</v>
      </c>
      <c r="I348" s="49">
        <f t="shared" si="30"/>
        <v>3.1724895353304481</v>
      </c>
      <c r="J348" s="49">
        <f t="shared" si="31"/>
        <v>2.3465802003021197</v>
      </c>
      <c r="K348" s="49">
        <f t="shared" si="32"/>
        <v>0.88484538840468641</v>
      </c>
      <c r="L348" s="49">
        <f t="shared" si="33"/>
        <v>0</v>
      </c>
      <c r="T348" s="49">
        <f>(100*('GA Arroyo'!AO348-E348))/E348</f>
        <v>17.800096148237238</v>
      </c>
      <c r="U348" s="49">
        <f>(100*('GA Arroyo'!AR348-E348))/E348</f>
        <v>7.1592218831778744</v>
      </c>
      <c r="V348" s="49">
        <f>(100*('GA Arroyo'!AU348-E348))/E348</f>
        <v>18.926921305282722</v>
      </c>
      <c r="W348" s="49">
        <f>(100*('GA Arroyo'!AX348-E348))/E348</f>
        <v>0</v>
      </c>
    </row>
    <row r="349" spans="2:23" ht="15" customHeight="1">
      <c r="B349">
        <f>MIN('GA Arroyo'!B349,'GA Arroyo'!E349,'GA Arroyo'!H349,'GA Arroyo'!K349)</f>
        <v>56334.400000000001</v>
      </c>
      <c r="C349">
        <f>MIN('GA Arroyo'!O349, 'GA Arroyo'!R349, 'GA Arroyo'!U349, 'GA Arroyo'!X349)</f>
        <v>54433.8</v>
      </c>
      <c r="D349">
        <f>MIN('GA Arroyo'!AB349, 'GA Arroyo'!AE349, 'GA Arroyo'!AH349, 'GA Arroyo'!AK349)</f>
        <v>53510.400000000001</v>
      </c>
      <c r="E349">
        <f>MIN('GA Arroyo'!AO349, 'GA Arroyo'!AR349, 'GA Arroyo'!AU349, 'GA Arroyo'!AX349)</f>
        <v>59054.3</v>
      </c>
      <c r="G349" s="45">
        <f t="shared" si="29"/>
        <v>53510.400000000001</v>
      </c>
      <c r="I349" s="49">
        <f t="shared" si="30"/>
        <v>5.2774787704819994</v>
      </c>
      <c r="J349" s="49">
        <f t="shared" si="31"/>
        <v>1.7256458557588832</v>
      </c>
      <c r="K349" s="49">
        <f t="shared" si="32"/>
        <v>0</v>
      </c>
      <c r="L349" s="49">
        <f t="shared" si="33"/>
        <v>10.36041591914843</v>
      </c>
      <c r="T349" s="49">
        <f>(100*('GA Arroyo'!AO349-E349))/E349</f>
        <v>62.927001082054971</v>
      </c>
      <c r="U349" s="49">
        <f>(100*('GA Arroyo'!AR349-E349))/E349</f>
        <v>0</v>
      </c>
      <c r="V349" s="49">
        <f>(100*('GA Arroyo'!AU349-E349))/E349</f>
        <v>0.75862384280230222</v>
      </c>
      <c r="W349" s="49">
        <f>(100*('GA Arroyo'!AX349-E349))/E349</f>
        <v>0.70121904755453635</v>
      </c>
    </row>
    <row r="350" spans="2:23" ht="15" customHeight="1">
      <c r="B350">
        <f>MIN('GA Arroyo'!B350,'GA Arroyo'!E350,'GA Arroyo'!H350,'GA Arroyo'!K350)</f>
        <v>69842.7</v>
      </c>
      <c r="C350">
        <f>MIN('GA Arroyo'!O350, 'GA Arroyo'!R350, 'GA Arroyo'!U350, 'GA Arroyo'!X350)</f>
        <v>53223</v>
      </c>
      <c r="D350">
        <f>MIN('GA Arroyo'!AB350, 'GA Arroyo'!AE350, 'GA Arroyo'!AH350, 'GA Arroyo'!AK350)</f>
        <v>52649</v>
      </c>
      <c r="E350">
        <f>MIN('GA Arroyo'!AO350, 'GA Arroyo'!AR350, 'GA Arroyo'!AU350, 'GA Arroyo'!AX350)</f>
        <v>49873.5</v>
      </c>
      <c r="G350" s="45">
        <f t="shared" si="29"/>
        <v>49873.5</v>
      </c>
      <c r="I350" s="49">
        <f t="shared" si="30"/>
        <v>40.039700442118558</v>
      </c>
      <c r="J350" s="49">
        <f t="shared" si="31"/>
        <v>6.715991458389726</v>
      </c>
      <c r="K350" s="49">
        <f t="shared" si="32"/>
        <v>5.5650796515183414</v>
      </c>
      <c r="L350" s="49">
        <f t="shared" si="33"/>
        <v>0</v>
      </c>
      <c r="T350" s="49">
        <f>(100*('GA Arroyo'!AO350-E350))/E350</f>
        <v>40.896267556918993</v>
      </c>
      <c r="U350" s="49">
        <f>(100*('GA Arroyo'!AR350-E350))/E350</f>
        <v>0</v>
      </c>
      <c r="V350" s="49">
        <f>(100*('GA Arroyo'!AU350-E350))/E350</f>
        <v>53.256338536497346</v>
      </c>
      <c r="W350" s="49">
        <f>(100*('GA Arroyo'!AX350-E350))/E350</f>
        <v>8.1327759230854042</v>
      </c>
    </row>
    <row r="351" spans="2:23" ht="15" customHeight="1">
      <c r="B351">
        <f>MIN('GA Arroyo'!B351,'GA Arroyo'!E351,'GA Arroyo'!H351,'GA Arroyo'!K351)</f>
        <v>61857.5</v>
      </c>
      <c r="C351">
        <f>MIN('GA Arroyo'!O351, 'GA Arroyo'!R351, 'GA Arroyo'!U351, 'GA Arroyo'!X351)</f>
        <v>76732.2</v>
      </c>
      <c r="D351">
        <f>MIN('GA Arroyo'!AB351, 'GA Arroyo'!AE351, 'GA Arroyo'!AH351, 'GA Arroyo'!AK351)</f>
        <v>58547.7</v>
      </c>
      <c r="E351">
        <f>MIN('GA Arroyo'!AO351, 'GA Arroyo'!AR351, 'GA Arroyo'!AU351, 'GA Arroyo'!AX351)</f>
        <v>55581.599999999999</v>
      </c>
      <c r="G351" s="45">
        <f t="shared" si="29"/>
        <v>55581.599999999999</v>
      </c>
      <c r="I351" s="49">
        <f t="shared" si="30"/>
        <v>11.291326626077698</v>
      </c>
      <c r="J351" s="49">
        <f t="shared" si="31"/>
        <v>38.0532406407876</v>
      </c>
      <c r="K351" s="49">
        <f t="shared" si="32"/>
        <v>5.3364782589921829</v>
      </c>
      <c r="L351" s="49">
        <f t="shared" si="33"/>
        <v>0</v>
      </c>
      <c r="T351" s="49">
        <f>(100*('GA Arroyo'!AO351-E351))/E351</f>
        <v>16.531729925011152</v>
      </c>
      <c r="U351" s="49">
        <f>(100*('GA Arroyo'!AR351-E351))/E351</f>
        <v>14.233487341134484</v>
      </c>
      <c r="V351" s="49">
        <f>(100*('GA Arroyo'!AU351-E351))/E351</f>
        <v>0</v>
      </c>
      <c r="W351" s="49">
        <f>(100*('GA Arroyo'!AX351-E351))/E351</f>
        <v>1.011485815449725</v>
      </c>
    </row>
    <row r="352" spans="2:23" ht="15" customHeight="1">
      <c r="B352">
        <f>MIN('GA Arroyo'!B352,'GA Arroyo'!E352,'GA Arroyo'!H352,'GA Arroyo'!K352)</f>
        <v>63341.4</v>
      </c>
      <c r="C352">
        <f>MIN('GA Arroyo'!O352, 'GA Arroyo'!R352, 'GA Arroyo'!U352, 'GA Arroyo'!X352)</f>
        <v>58333</v>
      </c>
      <c r="D352">
        <f>MIN('GA Arroyo'!AB352, 'GA Arroyo'!AE352, 'GA Arroyo'!AH352, 'GA Arroyo'!AK352)</f>
        <v>61663.8</v>
      </c>
      <c r="E352">
        <f>MIN('GA Arroyo'!AO352, 'GA Arroyo'!AR352, 'GA Arroyo'!AU352, 'GA Arroyo'!AX352)</f>
        <v>60651.4</v>
      </c>
      <c r="G352" s="45">
        <f t="shared" si="29"/>
        <v>58333</v>
      </c>
      <c r="I352" s="49">
        <f t="shared" si="30"/>
        <v>8.5858776335864793</v>
      </c>
      <c r="J352" s="49">
        <f t="shared" si="31"/>
        <v>0</v>
      </c>
      <c r="K352" s="49">
        <f t="shared" si="32"/>
        <v>5.7099754855742084</v>
      </c>
      <c r="L352" s="49">
        <f t="shared" si="33"/>
        <v>3.9744227109869223</v>
      </c>
      <c r="T352" s="49">
        <f>(100*('GA Arroyo'!AO352-E352))/E352</f>
        <v>27.712303425807157</v>
      </c>
      <c r="U352" s="49">
        <f>(100*('GA Arroyo'!AR352-E352))/E352</f>
        <v>22.65438225663382</v>
      </c>
      <c r="V352" s="49">
        <f>(100*('GA Arroyo'!AU352-E352))/E352</f>
        <v>9.5384442898267885</v>
      </c>
      <c r="W352" s="49">
        <f>(100*('GA Arroyo'!AX352-E352))/E352</f>
        <v>0</v>
      </c>
    </row>
    <row r="353" spans="2:23" ht="15" customHeight="1">
      <c r="B353">
        <f>MIN('GA Arroyo'!B353,'GA Arroyo'!E353,'GA Arroyo'!H353,'GA Arroyo'!K353)</f>
        <v>54993.7</v>
      </c>
      <c r="C353">
        <f>MIN('GA Arroyo'!O353, 'GA Arroyo'!R353, 'GA Arroyo'!U353, 'GA Arroyo'!X353)</f>
        <v>55549.5</v>
      </c>
      <c r="D353">
        <f>MIN('GA Arroyo'!AB353, 'GA Arroyo'!AE353, 'GA Arroyo'!AH353, 'GA Arroyo'!AK353)</f>
        <v>53343.1</v>
      </c>
      <c r="E353">
        <f>MIN('GA Arroyo'!AO353, 'GA Arroyo'!AR353, 'GA Arroyo'!AU353, 'GA Arroyo'!AX353)</f>
        <v>54879.8</v>
      </c>
      <c r="G353" s="45">
        <f t="shared" si="29"/>
        <v>53343.1</v>
      </c>
      <c r="I353" s="49">
        <f t="shared" si="30"/>
        <v>3.0943083547825276</v>
      </c>
      <c r="J353" s="49">
        <f t="shared" si="31"/>
        <v>4.136242550582927</v>
      </c>
      <c r="K353" s="49">
        <f t="shared" si="32"/>
        <v>0</v>
      </c>
      <c r="L353" s="49">
        <f t="shared" si="33"/>
        <v>2.8807849562548942</v>
      </c>
      <c r="T353" s="49">
        <f>(100*('GA Arroyo'!AO353-E353))/E353</f>
        <v>0</v>
      </c>
      <c r="U353" s="49">
        <f>(100*('GA Arroyo'!AR353-E353))/E353</f>
        <v>5.3407629036548965</v>
      </c>
      <c r="V353" s="49">
        <f>(100*('GA Arroyo'!AU353-E353))/E353</f>
        <v>6.8659142343813206</v>
      </c>
      <c r="W353" s="49">
        <f>(100*('GA Arroyo'!AX353-E353))/E353</f>
        <v>2.6111611193918343</v>
      </c>
    </row>
    <row r="354" spans="2:23" ht="15" customHeight="1">
      <c r="B354">
        <f>MIN('GA Arroyo'!B354,'GA Arroyo'!E354,'GA Arroyo'!H354,'GA Arroyo'!K354)</f>
        <v>57843.3</v>
      </c>
      <c r="C354">
        <f>MIN('GA Arroyo'!O354, 'GA Arroyo'!R354, 'GA Arroyo'!U354, 'GA Arroyo'!X354)</f>
        <v>57852.9</v>
      </c>
      <c r="D354">
        <f>MIN('GA Arroyo'!AB354, 'GA Arroyo'!AE354, 'GA Arroyo'!AH354, 'GA Arroyo'!AK354)</f>
        <v>57739</v>
      </c>
      <c r="E354">
        <f>MIN('GA Arroyo'!AO354, 'GA Arroyo'!AR354, 'GA Arroyo'!AU354, 'GA Arroyo'!AX354)</f>
        <v>57102.1</v>
      </c>
      <c r="G354" s="45">
        <f t="shared" si="29"/>
        <v>57102.1</v>
      </c>
      <c r="I354" s="49">
        <f t="shared" si="30"/>
        <v>1.2980258169139216</v>
      </c>
      <c r="J354" s="49">
        <f t="shared" si="31"/>
        <v>1.3148378080666085</v>
      </c>
      <c r="K354" s="49">
        <f t="shared" si="32"/>
        <v>1.1153705380362569</v>
      </c>
      <c r="L354" s="49">
        <f t="shared" si="33"/>
        <v>0</v>
      </c>
      <c r="T354" s="49">
        <f>(100*('GA Arroyo'!AO354-E354))/E354</f>
        <v>0</v>
      </c>
      <c r="U354" s="49">
        <f>(100*('GA Arroyo'!AR354-E354))/E354</f>
        <v>8.5800697347383039</v>
      </c>
      <c r="V354" s="49">
        <f>(100*('GA Arroyo'!AU354-E354))/E354</f>
        <v>4.2744487505713504</v>
      </c>
      <c r="W354" s="49">
        <f>(100*('GA Arroyo'!AX354-E354))/E354</f>
        <v>2.4491218361496339</v>
      </c>
    </row>
    <row r="355" spans="2:23" ht="15" customHeight="1">
      <c r="B355">
        <f>MIN('GA Arroyo'!B355,'GA Arroyo'!E355,'GA Arroyo'!H355,'GA Arroyo'!K355)</f>
        <v>71025.899999999994</v>
      </c>
      <c r="C355">
        <f>MIN('GA Arroyo'!O355, 'GA Arroyo'!R355, 'GA Arroyo'!U355, 'GA Arroyo'!X355)</f>
        <v>55307.6</v>
      </c>
      <c r="D355">
        <f>MIN('GA Arroyo'!AB355, 'GA Arroyo'!AE355, 'GA Arroyo'!AH355, 'GA Arroyo'!AK355)</f>
        <v>50188.800000000003</v>
      </c>
      <c r="E355">
        <f>MIN('GA Arroyo'!AO355, 'GA Arroyo'!AR355, 'GA Arroyo'!AU355, 'GA Arroyo'!AX355)</f>
        <v>49214.2</v>
      </c>
      <c r="G355" s="45">
        <f t="shared" si="29"/>
        <v>49214.2</v>
      </c>
      <c r="I355" s="49">
        <f t="shared" si="30"/>
        <v>44.319932052131286</v>
      </c>
      <c r="J355" s="49">
        <f t="shared" si="31"/>
        <v>12.38138586017857</v>
      </c>
      <c r="K355" s="49">
        <f t="shared" si="32"/>
        <v>1.9803227523763587</v>
      </c>
      <c r="L355" s="49">
        <f t="shared" si="33"/>
        <v>0</v>
      </c>
      <c r="T355" s="49">
        <f>(100*('GA Arroyo'!AO355-E355))/E355</f>
        <v>79.666844122224916</v>
      </c>
      <c r="U355" s="49">
        <f>(100*('GA Arroyo'!AR355-E355))/E355</f>
        <v>19.223923176644142</v>
      </c>
      <c r="V355" s="49">
        <f>(100*('GA Arroyo'!AU355-E355))/E355</f>
        <v>6.7163542229681701</v>
      </c>
      <c r="W355" s="49">
        <f>(100*('GA Arroyo'!AX355-E355))/E355</f>
        <v>0</v>
      </c>
    </row>
    <row r="356" spans="2:23" ht="15" customHeight="1">
      <c r="B356">
        <f>MIN('GA Arroyo'!B356,'GA Arroyo'!E356,'GA Arroyo'!H356,'GA Arroyo'!K356)</f>
        <v>64493.3</v>
      </c>
      <c r="C356">
        <f>MIN('GA Arroyo'!O356, 'GA Arroyo'!R356, 'GA Arroyo'!U356, 'GA Arroyo'!X356)</f>
        <v>62711.1</v>
      </c>
      <c r="D356">
        <f>MIN('GA Arroyo'!AB356, 'GA Arroyo'!AE356, 'GA Arroyo'!AH356, 'GA Arroyo'!AK356)</f>
        <v>60732.3</v>
      </c>
      <c r="E356">
        <f>MIN('GA Arroyo'!AO356, 'GA Arroyo'!AR356, 'GA Arroyo'!AU356, 'GA Arroyo'!AX356)</f>
        <v>60088.800000000003</v>
      </c>
      <c r="G356" s="45">
        <f t="shared" si="29"/>
        <v>60088.800000000003</v>
      </c>
      <c r="I356" s="49">
        <f t="shared" si="30"/>
        <v>7.3299849555990466</v>
      </c>
      <c r="J356" s="49">
        <f t="shared" si="31"/>
        <v>4.3640412189958777</v>
      </c>
      <c r="K356" s="49">
        <f t="shared" si="32"/>
        <v>1.0709150457323162</v>
      </c>
      <c r="L356" s="49">
        <f t="shared" si="33"/>
        <v>0</v>
      </c>
      <c r="T356" s="49">
        <f>(100*('GA Arroyo'!AO356-E356))/E356</f>
        <v>46.213271025548849</v>
      </c>
      <c r="U356" s="49">
        <f>(100*('GA Arroyo'!AR356-E356))/E356</f>
        <v>0.65852538243399283</v>
      </c>
      <c r="V356" s="49">
        <f>(100*('GA Arroyo'!AU356-E356))/E356</f>
        <v>0</v>
      </c>
      <c r="W356" s="49">
        <f>(100*('GA Arroyo'!AX356-E356))/E356</f>
        <v>35.20506317317038</v>
      </c>
    </row>
    <row r="357" spans="2:23" ht="15" customHeight="1">
      <c r="B357">
        <f>MIN('GA Arroyo'!B357,'GA Arroyo'!E357,'GA Arroyo'!H357,'GA Arroyo'!K357)</f>
        <v>40051.4</v>
      </c>
      <c r="C357">
        <f>MIN('GA Arroyo'!O357, 'GA Arroyo'!R357, 'GA Arroyo'!U357, 'GA Arroyo'!X357)</f>
        <v>39429.199999999997</v>
      </c>
      <c r="D357">
        <f>MIN('GA Arroyo'!AB357, 'GA Arroyo'!AE357, 'GA Arroyo'!AH357, 'GA Arroyo'!AK357)</f>
        <v>38668</v>
      </c>
      <c r="E357">
        <f>MIN('GA Arroyo'!AO357, 'GA Arroyo'!AR357, 'GA Arroyo'!AU357, 'GA Arroyo'!AX357)</f>
        <v>40368.300000000003</v>
      </c>
      <c r="G357" s="45">
        <f t="shared" si="29"/>
        <v>38668</v>
      </c>
      <c r="I357" s="49">
        <f t="shared" si="30"/>
        <v>3.577635253956764</v>
      </c>
      <c r="J357" s="49">
        <f t="shared" si="31"/>
        <v>1.9685528085238364</v>
      </c>
      <c r="K357" s="49">
        <f t="shared" si="32"/>
        <v>0</v>
      </c>
      <c r="L357" s="49">
        <f t="shared" si="33"/>
        <v>4.3971759594496813</v>
      </c>
      <c r="T357" s="49">
        <f>(100*('GA Arroyo'!AO357-E357))/E357</f>
        <v>14.404867185390517</v>
      </c>
      <c r="U357" s="49">
        <f>(100*('GA Arroyo'!AR357-E357))/E357</f>
        <v>3.4722789911886234</v>
      </c>
      <c r="V357" s="49">
        <f>(100*('GA Arroyo'!AU357-E357))/E357</f>
        <v>42.286397990502437</v>
      </c>
      <c r="W357" s="49">
        <f>(100*('GA Arroyo'!AX357-E357))/E357</f>
        <v>0</v>
      </c>
    </row>
    <row r="358" spans="2:23" ht="15" customHeight="1">
      <c r="B358">
        <f>MIN('GA Arroyo'!B358,'GA Arroyo'!E358,'GA Arroyo'!H358,'GA Arroyo'!K358)</f>
        <v>56021.8</v>
      </c>
      <c r="C358">
        <f>MIN('GA Arroyo'!O358, 'GA Arroyo'!R358, 'GA Arroyo'!U358, 'GA Arroyo'!X358)</f>
        <v>60188.3</v>
      </c>
      <c r="D358">
        <f>MIN('GA Arroyo'!AB358, 'GA Arroyo'!AE358, 'GA Arroyo'!AH358, 'GA Arroyo'!AK358)</f>
        <v>64329.7</v>
      </c>
      <c r="E358">
        <f>MIN('GA Arroyo'!AO358, 'GA Arroyo'!AR358, 'GA Arroyo'!AU358, 'GA Arroyo'!AX358)</f>
        <v>63810.7</v>
      </c>
      <c r="G358" s="45">
        <f t="shared" si="29"/>
        <v>56021.8</v>
      </c>
      <c r="I358" s="49">
        <f t="shared" si="30"/>
        <v>0</v>
      </c>
      <c r="J358" s="49">
        <f t="shared" si="31"/>
        <v>7.4372833432699412</v>
      </c>
      <c r="K358" s="49">
        <f t="shared" si="32"/>
        <v>14.829762699520533</v>
      </c>
      <c r="L358" s="49">
        <f t="shared" si="33"/>
        <v>13.903337629280019</v>
      </c>
      <c r="T358" s="49">
        <f>(100*('GA Arroyo'!AO358-E358))/E358</f>
        <v>67.095800547557076</v>
      </c>
      <c r="U358" s="49">
        <f>(100*('GA Arroyo'!AR358-E358))/E358</f>
        <v>110.74365271028213</v>
      </c>
      <c r="V358" s="49">
        <f>(100*('GA Arroyo'!AU358-E358))/E358</f>
        <v>0</v>
      </c>
      <c r="W358" s="49">
        <f>(100*('GA Arroyo'!AX358-E358))/E358</f>
        <v>89.309943316716485</v>
      </c>
    </row>
    <row r="359" spans="2:23" ht="15" customHeight="1">
      <c r="B359">
        <f>MIN('GA Arroyo'!B359,'GA Arroyo'!E359,'GA Arroyo'!H359,'GA Arroyo'!K359)</f>
        <v>49316.4</v>
      </c>
      <c r="C359">
        <f>MIN('GA Arroyo'!O359, 'GA Arroyo'!R359, 'GA Arroyo'!U359, 'GA Arroyo'!X359)</f>
        <v>48972.7</v>
      </c>
      <c r="D359">
        <f>MIN('GA Arroyo'!AB359, 'GA Arroyo'!AE359, 'GA Arroyo'!AH359, 'GA Arroyo'!AK359)</f>
        <v>48175</v>
      </c>
      <c r="E359">
        <f>MIN('GA Arroyo'!AO359, 'GA Arroyo'!AR359, 'GA Arroyo'!AU359, 'GA Arroyo'!AX359)</f>
        <v>54497.599999999999</v>
      </c>
      <c r="G359" s="45">
        <f t="shared" si="29"/>
        <v>48175</v>
      </c>
      <c r="I359" s="49">
        <f t="shared" si="30"/>
        <v>2.3692786715101222</v>
      </c>
      <c r="J359" s="49">
        <f t="shared" si="31"/>
        <v>1.6558380902957905</v>
      </c>
      <c r="K359" s="49">
        <f t="shared" si="32"/>
        <v>0</v>
      </c>
      <c r="L359" s="49">
        <f t="shared" si="33"/>
        <v>13.124234561494548</v>
      </c>
      <c r="T359" s="49">
        <f>(100*('GA Arroyo'!AO359-E359))/E359</f>
        <v>1.465202137341828</v>
      </c>
      <c r="U359" s="49">
        <f>(100*('GA Arroyo'!AR359-E359))/E359</f>
        <v>0</v>
      </c>
      <c r="V359" s="49">
        <f>(100*('GA Arroyo'!AU359-E359))/E359</f>
        <v>1.0128886409676756</v>
      </c>
      <c r="W359" s="49">
        <f>(100*('GA Arroyo'!AX359-E359))/E359</f>
        <v>2.8711356096415335</v>
      </c>
    </row>
    <row r="360" spans="2:23" ht="15" customHeight="1">
      <c r="B360">
        <f>MIN('GA Arroyo'!B360,'GA Arroyo'!E360,'GA Arroyo'!H360,'GA Arroyo'!K360)</f>
        <v>63477</v>
      </c>
      <c r="C360">
        <f>MIN('GA Arroyo'!O360, 'GA Arroyo'!R360, 'GA Arroyo'!U360, 'GA Arroyo'!X360)</f>
        <v>63833.9</v>
      </c>
      <c r="D360">
        <f>MIN('GA Arroyo'!AB360, 'GA Arroyo'!AE360, 'GA Arroyo'!AH360, 'GA Arroyo'!AK360)</f>
        <v>59419.8</v>
      </c>
      <c r="E360">
        <f>MIN('GA Arroyo'!AO360, 'GA Arroyo'!AR360, 'GA Arroyo'!AU360, 'GA Arroyo'!AX360)</f>
        <v>63354.2</v>
      </c>
      <c r="G360" s="45">
        <f t="shared" si="29"/>
        <v>59419.8</v>
      </c>
      <c r="I360" s="49">
        <f t="shared" si="30"/>
        <v>6.8280270212959264</v>
      </c>
      <c r="J360" s="49">
        <f t="shared" si="31"/>
        <v>7.4286685582920144</v>
      </c>
      <c r="K360" s="49">
        <f t="shared" si="32"/>
        <v>0</v>
      </c>
      <c r="L360" s="49">
        <f t="shared" si="33"/>
        <v>6.6213619029347015</v>
      </c>
      <c r="T360" s="49">
        <f>(100*('GA Arroyo'!AO360-E360))/E360</f>
        <v>48.975127142320488</v>
      </c>
      <c r="U360" s="49">
        <f>(100*('GA Arroyo'!AR360-E360))/E360</f>
        <v>65.684358732333465</v>
      </c>
      <c r="V360" s="49">
        <f>(100*('GA Arroyo'!AU360-E360))/E360</f>
        <v>0</v>
      </c>
      <c r="W360" s="49">
        <f>(100*('GA Arroyo'!AX360-E360))/E360</f>
        <v>18.272506005915961</v>
      </c>
    </row>
    <row r="361" spans="2:23" ht="15" customHeight="1">
      <c r="B361">
        <f>MIN('GA Arroyo'!B361,'GA Arroyo'!E361,'GA Arroyo'!H361,'GA Arroyo'!K361)</f>
        <v>69739.5</v>
      </c>
      <c r="C361">
        <f>MIN('GA Arroyo'!O361, 'GA Arroyo'!R361, 'GA Arroyo'!U361, 'GA Arroyo'!X361)</f>
        <v>71168.5</v>
      </c>
      <c r="D361">
        <f>MIN('GA Arroyo'!AB361, 'GA Arroyo'!AE361, 'GA Arroyo'!AH361, 'GA Arroyo'!AK361)</f>
        <v>68832.3</v>
      </c>
      <c r="E361">
        <f>MIN('GA Arroyo'!AO361, 'GA Arroyo'!AR361, 'GA Arroyo'!AU361, 'GA Arroyo'!AX361)</f>
        <v>69596.800000000003</v>
      </c>
      <c r="G361" s="45">
        <f t="shared" si="29"/>
        <v>68832.3</v>
      </c>
      <c r="I361" s="49">
        <f t="shared" si="30"/>
        <v>1.3179858874394681</v>
      </c>
      <c r="J361" s="49">
        <f t="shared" si="31"/>
        <v>3.3940461091667675</v>
      </c>
      <c r="K361" s="49">
        <f t="shared" si="32"/>
        <v>0</v>
      </c>
      <c r="L361" s="49">
        <f t="shared" si="33"/>
        <v>1.1106704265294054</v>
      </c>
      <c r="T361" s="49">
        <f>(100*('GA Arroyo'!AO361-E361))/E361</f>
        <v>52.71966527196652</v>
      </c>
      <c r="U361" s="49">
        <f>(100*('GA Arroyo'!AR361-E361))/E361</f>
        <v>0</v>
      </c>
      <c r="V361" s="49">
        <f>(100*('GA Arroyo'!AU361-E361))/E361</f>
        <v>4.3381304887580994</v>
      </c>
      <c r="W361" s="49">
        <f>(100*('GA Arroyo'!AX361-E361))/E361</f>
        <v>3.4880914065014355</v>
      </c>
    </row>
    <row r="362" spans="2:23" ht="15" customHeight="1">
      <c r="B362">
        <f>MIN('GA Arroyo'!B362,'GA Arroyo'!E362,'GA Arroyo'!H362,'GA Arroyo'!K362)</f>
        <v>58667.5</v>
      </c>
      <c r="C362">
        <f>MIN('GA Arroyo'!O362, 'GA Arroyo'!R362, 'GA Arroyo'!U362, 'GA Arroyo'!X362)</f>
        <v>54283.6</v>
      </c>
      <c r="D362">
        <f>MIN('GA Arroyo'!AB362, 'GA Arroyo'!AE362, 'GA Arroyo'!AH362, 'GA Arroyo'!AK362)</f>
        <v>55636.7</v>
      </c>
      <c r="E362">
        <f>MIN('GA Arroyo'!AO362, 'GA Arroyo'!AR362, 'GA Arroyo'!AU362, 'GA Arroyo'!AX362)</f>
        <v>55760.7</v>
      </c>
      <c r="G362" s="45">
        <f t="shared" si="29"/>
        <v>54283.6</v>
      </c>
      <c r="I362" s="49">
        <f t="shared" si="30"/>
        <v>8.075919798981646</v>
      </c>
      <c r="J362" s="49">
        <f t="shared" si="31"/>
        <v>0</v>
      </c>
      <c r="K362" s="49">
        <f t="shared" si="32"/>
        <v>2.4926497137256898</v>
      </c>
      <c r="L362" s="49">
        <f t="shared" si="33"/>
        <v>2.7210796631026657</v>
      </c>
      <c r="T362" s="49">
        <f>(100*('GA Arroyo'!AO362-E362))/E362</f>
        <v>25.553122539709879</v>
      </c>
      <c r="U362" s="49">
        <f>(100*('GA Arroyo'!AR362-E362))/E362</f>
        <v>4.8030243522767915</v>
      </c>
      <c r="V362" s="49">
        <f>(100*('GA Arroyo'!AU362-E362))/E362</f>
        <v>0</v>
      </c>
      <c r="W362" s="49">
        <f>(100*('GA Arroyo'!AX362-E362))/E362</f>
        <v>4.5641464328819401</v>
      </c>
    </row>
    <row r="363" spans="2:23" ht="15" customHeight="1">
      <c r="B363">
        <f>MIN('GA Arroyo'!B363,'GA Arroyo'!E363,'GA Arroyo'!H363,'GA Arroyo'!K363)</f>
        <v>57792</v>
      </c>
      <c r="C363">
        <f>MIN('GA Arroyo'!O363, 'GA Arroyo'!R363, 'GA Arroyo'!U363, 'GA Arroyo'!X363)</f>
        <v>56577</v>
      </c>
      <c r="D363">
        <f>MIN('GA Arroyo'!AB363, 'GA Arroyo'!AE363, 'GA Arroyo'!AH363, 'GA Arroyo'!AK363)</f>
        <v>59397.4</v>
      </c>
      <c r="E363">
        <f>MIN('GA Arroyo'!AO363, 'GA Arroyo'!AR363, 'GA Arroyo'!AU363, 'GA Arroyo'!AX363)</f>
        <v>57127.199999999997</v>
      </c>
      <c r="G363" s="45">
        <f t="shared" si="29"/>
        <v>56577</v>
      </c>
      <c r="I363" s="49">
        <f t="shared" si="30"/>
        <v>2.147515774961557</v>
      </c>
      <c r="J363" s="49">
        <f t="shared" si="31"/>
        <v>0</v>
      </c>
      <c r="K363" s="49">
        <f t="shared" si="32"/>
        <v>4.9850646022235203</v>
      </c>
      <c r="L363" s="49">
        <f t="shared" si="33"/>
        <v>0.97247998303196903</v>
      </c>
      <c r="T363" s="49">
        <f>(100*('GA Arroyo'!AO363-E363))/E363</f>
        <v>0</v>
      </c>
      <c r="U363" s="49">
        <f>(100*('GA Arroyo'!AR363-E363))/E363</f>
        <v>6.7353204778109284</v>
      </c>
      <c r="V363" s="49">
        <f>(100*('GA Arroyo'!AU363-E363))/E363</f>
        <v>8.6100841630606872</v>
      </c>
      <c r="W363" s="49">
        <f>(100*('GA Arroyo'!AX363-E363))/E363</f>
        <v>2.0359828593034592</v>
      </c>
    </row>
    <row r="364" spans="2:23" ht="15" customHeight="1">
      <c r="B364">
        <f>MIN('GA Arroyo'!B364,'GA Arroyo'!E364,'GA Arroyo'!H364,'GA Arroyo'!K364)</f>
        <v>52730.7</v>
      </c>
      <c r="C364">
        <f>MIN('GA Arroyo'!O364, 'GA Arroyo'!R364, 'GA Arroyo'!U364, 'GA Arroyo'!X364)</f>
        <v>53400.7</v>
      </c>
      <c r="D364">
        <f>MIN('GA Arroyo'!AB364, 'GA Arroyo'!AE364, 'GA Arroyo'!AH364, 'GA Arroyo'!AK364)</f>
        <v>52408.9</v>
      </c>
      <c r="E364">
        <f>MIN('GA Arroyo'!AO364, 'GA Arroyo'!AR364, 'GA Arroyo'!AU364, 'GA Arroyo'!AX364)</f>
        <v>50288</v>
      </c>
      <c r="G364" s="45">
        <f t="shared" si="29"/>
        <v>50288</v>
      </c>
      <c r="I364" s="49">
        <f t="shared" si="30"/>
        <v>4.8574212535793766</v>
      </c>
      <c r="J364" s="49">
        <f t="shared" si="31"/>
        <v>6.1897470569519513</v>
      </c>
      <c r="K364" s="49">
        <f t="shared" si="32"/>
        <v>4.217507158765514</v>
      </c>
      <c r="L364" s="49">
        <f t="shared" si="33"/>
        <v>0</v>
      </c>
      <c r="T364" s="49">
        <f>(100*('GA Arroyo'!AO364-E364))/E364</f>
        <v>15.178571428571429</v>
      </c>
      <c r="U364" s="49">
        <f>(100*('GA Arroyo'!AR364-E364))/E364</f>
        <v>0</v>
      </c>
      <c r="V364" s="49">
        <f>(100*('GA Arroyo'!AU364-E364))/E364</f>
        <v>3.0044941139039163</v>
      </c>
      <c r="W364" s="49">
        <f>(100*('GA Arroyo'!AX364-E364))/E364</f>
        <v>9.7512328985046075</v>
      </c>
    </row>
    <row r="365" spans="2:23" ht="15" customHeight="1">
      <c r="B365">
        <f>MIN('GA Arroyo'!B365,'GA Arroyo'!E365,'GA Arroyo'!H365,'GA Arroyo'!K365)</f>
        <v>45195.1</v>
      </c>
      <c r="C365">
        <f>MIN('GA Arroyo'!O365, 'GA Arroyo'!R365, 'GA Arroyo'!U365, 'GA Arroyo'!X365)</f>
        <v>50643.1</v>
      </c>
      <c r="D365">
        <f>MIN('GA Arroyo'!AB365, 'GA Arroyo'!AE365, 'GA Arroyo'!AH365, 'GA Arroyo'!AK365)</f>
        <v>44605.2</v>
      </c>
      <c r="E365">
        <f>MIN('GA Arroyo'!AO365, 'GA Arroyo'!AR365, 'GA Arroyo'!AU365, 'GA Arroyo'!AX365)</f>
        <v>45174.6</v>
      </c>
      <c r="G365" s="45">
        <f t="shared" si="29"/>
        <v>44605.2</v>
      </c>
      <c r="I365" s="49">
        <f t="shared" si="30"/>
        <v>1.3224915480706319</v>
      </c>
      <c r="J365" s="49">
        <f t="shared" si="31"/>
        <v>13.536314151713256</v>
      </c>
      <c r="K365" s="49">
        <f t="shared" si="32"/>
        <v>0</v>
      </c>
      <c r="L365" s="49">
        <f t="shared" si="33"/>
        <v>1.2765327809313747</v>
      </c>
      <c r="T365" s="49">
        <f>(100*('GA Arroyo'!AO365-E365))/E365</f>
        <v>43.614774674263863</v>
      </c>
      <c r="U365" s="49">
        <f>(100*('GA Arroyo'!AR365-E365))/E365</f>
        <v>22.282211685327599</v>
      </c>
      <c r="V365" s="49">
        <f>(100*('GA Arroyo'!AU365-E365))/E365</f>
        <v>31.857503995608152</v>
      </c>
      <c r="W365" s="49">
        <f>(100*('GA Arroyo'!AX365-E365))/E365</f>
        <v>0</v>
      </c>
    </row>
    <row r="366" spans="2:23" ht="15" customHeight="1">
      <c r="B366">
        <f>MIN('GA Arroyo'!B366,'GA Arroyo'!E366,'GA Arroyo'!H366,'GA Arroyo'!K366)</f>
        <v>67851.899999999994</v>
      </c>
      <c r="C366">
        <f>MIN('GA Arroyo'!O366, 'GA Arroyo'!R366, 'GA Arroyo'!U366, 'GA Arroyo'!X366)</f>
        <v>65698.600000000006</v>
      </c>
      <c r="D366">
        <f>MIN('GA Arroyo'!AB366, 'GA Arroyo'!AE366, 'GA Arroyo'!AH366, 'GA Arroyo'!AK366)</f>
        <v>70662.899999999994</v>
      </c>
      <c r="E366">
        <f>MIN('GA Arroyo'!AO366, 'GA Arroyo'!AR366, 'GA Arroyo'!AU366, 'GA Arroyo'!AX366)</f>
        <v>66022.7</v>
      </c>
      <c r="G366" s="45">
        <f t="shared" si="29"/>
        <v>65698.600000000006</v>
      </c>
      <c r="I366" s="49">
        <f t="shared" si="30"/>
        <v>3.277543204878016</v>
      </c>
      <c r="J366" s="49">
        <f t="shared" si="31"/>
        <v>0</v>
      </c>
      <c r="K366" s="49">
        <f t="shared" si="32"/>
        <v>7.5561731909051151</v>
      </c>
      <c r="L366" s="49">
        <f t="shared" si="33"/>
        <v>0.49331340393857898</v>
      </c>
      <c r="T366" s="49">
        <f>(100*('GA Arroyo'!AO366-E366))/E366</f>
        <v>12.217161673182112</v>
      </c>
      <c r="U366" s="49">
        <f>(100*('GA Arroyo'!AR366-E366))/E366</f>
        <v>1.3298456439982007</v>
      </c>
      <c r="V366" s="49">
        <f>(100*('GA Arroyo'!AU366-E366))/E366</f>
        <v>0</v>
      </c>
      <c r="W366" s="49">
        <f>(100*('GA Arroyo'!AX366-E366))/E366</f>
        <v>10.046998986712151</v>
      </c>
    </row>
    <row r="367" spans="2:23" ht="15" customHeight="1">
      <c r="B367">
        <f>MIN('GA Arroyo'!B367,'GA Arroyo'!E367,'GA Arroyo'!H367,'GA Arroyo'!K367)</f>
        <v>61583.3</v>
      </c>
      <c r="C367">
        <f>MIN('GA Arroyo'!O367, 'GA Arroyo'!R367, 'GA Arroyo'!U367, 'GA Arroyo'!X367)</f>
        <v>60226</v>
      </c>
      <c r="D367">
        <f>MIN('GA Arroyo'!AB367, 'GA Arroyo'!AE367, 'GA Arroyo'!AH367, 'GA Arroyo'!AK367)</f>
        <v>58580.6</v>
      </c>
      <c r="E367">
        <f>MIN('GA Arroyo'!AO367, 'GA Arroyo'!AR367, 'GA Arroyo'!AU367, 'GA Arroyo'!AX367)</f>
        <v>58442.5</v>
      </c>
      <c r="G367" s="45">
        <f t="shared" si="29"/>
        <v>58442.5</v>
      </c>
      <c r="I367" s="49">
        <f t="shared" si="30"/>
        <v>5.3741711939085475</v>
      </c>
      <c r="J367" s="49">
        <f t="shared" si="31"/>
        <v>3.0517175001069425</v>
      </c>
      <c r="K367" s="49">
        <f t="shared" si="32"/>
        <v>0.23630063737861753</v>
      </c>
      <c r="L367" s="49">
        <f t="shared" si="33"/>
        <v>0</v>
      </c>
      <c r="T367" s="49">
        <f>(100*('GA Arroyo'!AO367-E367))/E367</f>
        <v>15.15883132993968</v>
      </c>
      <c r="U367" s="49">
        <f>(100*('GA Arroyo'!AR367-E367))/E367</f>
        <v>6.0346494417589991</v>
      </c>
      <c r="V367" s="49">
        <f>(100*('GA Arroyo'!AU367-E367))/E367</f>
        <v>0</v>
      </c>
      <c r="W367" s="49">
        <f>(100*('GA Arroyo'!AX367-E367))/E367</f>
        <v>2.8174701629807051</v>
      </c>
    </row>
    <row r="368" spans="2:23" ht="15" customHeight="1">
      <c r="B368">
        <f>MIN('GA Arroyo'!B368,'GA Arroyo'!E368,'GA Arroyo'!H368,'GA Arroyo'!K368)</f>
        <v>49463.1</v>
      </c>
      <c r="C368">
        <f>MIN('GA Arroyo'!O368, 'GA Arroyo'!R368, 'GA Arroyo'!U368, 'GA Arroyo'!X368)</f>
        <v>51907.199999999997</v>
      </c>
      <c r="D368">
        <f>MIN('GA Arroyo'!AB368, 'GA Arroyo'!AE368, 'GA Arroyo'!AH368, 'GA Arroyo'!AK368)</f>
        <v>49564.2</v>
      </c>
      <c r="E368">
        <f>MIN('GA Arroyo'!AO368, 'GA Arroyo'!AR368, 'GA Arroyo'!AU368, 'GA Arroyo'!AX368)</f>
        <v>48048.9</v>
      </c>
      <c r="G368" s="45">
        <f t="shared" si="29"/>
        <v>48048.9</v>
      </c>
      <c r="I368" s="49">
        <f t="shared" si="30"/>
        <v>2.9432515624707269</v>
      </c>
      <c r="J368" s="49">
        <f t="shared" si="31"/>
        <v>8.0299444940466795</v>
      </c>
      <c r="K368" s="49">
        <f t="shared" si="32"/>
        <v>3.1536622066269895</v>
      </c>
      <c r="L368" s="49">
        <f t="shared" si="33"/>
        <v>0</v>
      </c>
      <c r="T368" s="49">
        <f>(100*('GA Arroyo'!AO368-E368))/E368</f>
        <v>13.730803410692024</v>
      </c>
      <c r="U368" s="49">
        <f>(100*('GA Arroyo'!AR368-E368))/E368</f>
        <v>14.81178549352847</v>
      </c>
      <c r="V368" s="49">
        <f>(100*('GA Arroyo'!AU368-E368))/E368</f>
        <v>76.011105353088183</v>
      </c>
      <c r="W368" s="49">
        <f>(100*('GA Arroyo'!AX368-E368))/E368</f>
        <v>0</v>
      </c>
    </row>
    <row r="369" spans="2:23" ht="15" customHeight="1">
      <c r="B369">
        <f>MIN('GA Arroyo'!B369,'GA Arroyo'!E369,'GA Arroyo'!H369,'GA Arroyo'!K369)</f>
        <v>64308.3</v>
      </c>
      <c r="C369">
        <f>MIN('GA Arroyo'!O369, 'GA Arroyo'!R369, 'GA Arroyo'!U369, 'GA Arroyo'!X369)</f>
        <v>63115.1</v>
      </c>
      <c r="D369">
        <f>MIN('GA Arroyo'!AB369, 'GA Arroyo'!AE369, 'GA Arroyo'!AH369, 'GA Arroyo'!AK369)</f>
        <v>66012</v>
      </c>
      <c r="E369">
        <f>MIN('GA Arroyo'!AO369, 'GA Arroyo'!AR369, 'GA Arroyo'!AU369, 'GA Arroyo'!AX369)</f>
        <v>69353.399999999994</v>
      </c>
      <c r="G369" s="45">
        <f t="shared" si="29"/>
        <v>63115.1</v>
      </c>
      <c r="I369" s="49">
        <f t="shared" si="30"/>
        <v>1.8905143143241545</v>
      </c>
      <c r="J369" s="49">
        <f t="shared" si="31"/>
        <v>0</v>
      </c>
      <c r="K369" s="49">
        <f t="shared" si="32"/>
        <v>4.589868351630594</v>
      </c>
      <c r="L369" s="49">
        <f t="shared" si="33"/>
        <v>9.8840055707746561</v>
      </c>
      <c r="T369" s="49">
        <f>(100*('GA Arroyo'!AO369-E369))/E369</f>
        <v>4.3785885046731838</v>
      </c>
      <c r="U369" s="49">
        <f>(100*('GA Arroyo'!AR369-E369))/E369</f>
        <v>0</v>
      </c>
      <c r="V369" s="49">
        <f>(100*('GA Arroyo'!AU369-E369))/E369</f>
        <v>1.8091398547151427</v>
      </c>
      <c r="W369" s="49">
        <f>(100*('GA Arroyo'!AX369-E369))/E369</f>
        <v>2.7775134312088565</v>
      </c>
    </row>
    <row r="370" spans="2:23" ht="15" customHeight="1">
      <c r="B370">
        <f>MIN('GA Arroyo'!B370,'GA Arroyo'!E370,'GA Arroyo'!H370,'GA Arroyo'!K370)</f>
        <v>46333.599999999999</v>
      </c>
      <c r="C370">
        <f>MIN('GA Arroyo'!O370, 'GA Arroyo'!R370, 'GA Arroyo'!U370, 'GA Arroyo'!X370)</f>
        <v>47646.5</v>
      </c>
      <c r="D370">
        <f>MIN('GA Arroyo'!AB370, 'GA Arroyo'!AE370, 'GA Arroyo'!AH370, 'GA Arroyo'!AK370)</f>
        <v>54469.8</v>
      </c>
      <c r="E370">
        <f>MIN('GA Arroyo'!AO370, 'GA Arroyo'!AR370, 'GA Arroyo'!AU370, 'GA Arroyo'!AX370)</f>
        <v>47170.7</v>
      </c>
      <c r="G370" s="45">
        <f t="shared" si="29"/>
        <v>46333.599999999999</v>
      </c>
      <c r="I370" s="49">
        <f t="shared" si="30"/>
        <v>0</v>
      </c>
      <c r="J370" s="49">
        <f t="shared" si="31"/>
        <v>2.8335808139233762</v>
      </c>
      <c r="K370" s="49">
        <f t="shared" si="32"/>
        <v>17.560042819897451</v>
      </c>
      <c r="L370" s="49">
        <f t="shared" si="33"/>
        <v>1.8066802493223029</v>
      </c>
      <c r="T370" s="49">
        <f>(100*('GA Arroyo'!AO370-E370))/E370</f>
        <v>12.356823197450966</v>
      </c>
      <c r="U370" s="49">
        <f>(100*('GA Arroyo'!AR370-E370))/E370</f>
        <v>0</v>
      </c>
      <c r="V370" s="49">
        <f>(100*('GA Arroyo'!AU370-E370))/E370</f>
        <v>39.935807609384639</v>
      </c>
      <c r="W370" s="49">
        <f>(100*('GA Arroyo'!AX370-E370))/E370</f>
        <v>69.294922483660429</v>
      </c>
    </row>
    <row r="371" spans="2:23" ht="15" customHeight="1">
      <c r="B371">
        <f>MIN('GA Arroyo'!B371,'GA Arroyo'!E371,'GA Arroyo'!H371,'GA Arroyo'!K371)</f>
        <v>58287.6</v>
      </c>
      <c r="C371">
        <f>MIN('GA Arroyo'!O371, 'GA Arroyo'!R371, 'GA Arroyo'!U371, 'GA Arroyo'!X371)</f>
        <v>55777.4</v>
      </c>
      <c r="D371">
        <f>MIN('GA Arroyo'!AB371, 'GA Arroyo'!AE371, 'GA Arroyo'!AH371, 'GA Arroyo'!AK371)</f>
        <v>58601.3</v>
      </c>
      <c r="E371">
        <f>MIN('GA Arroyo'!AO371, 'GA Arroyo'!AR371, 'GA Arroyo'!AU371, 'GA Arroyo'!AX371)</f>
        <v>53449.8</v>
      </c>
      <c r="G371" s="45">
        <f t="shared" si="29"/>
        <v>53449.8</v>
      </c>
      <c r="I371" s="49">
        <f t="shared" si="30"/>
        <v>9.051109639325114</v>
      </c>
      <c r="J371" s="49">
        <f t="shared" si="31"/>
        <v>4.3547403357917123</v>
      </c>
      <c r="K371" s="49">
        <f t="shared" si="32"/>
        <v>9.6380154836874965</v>
      </c>
      <c r="L371" s="49">
        <f t="shared" si="33"/>
        <v>0</v>
      </c>
      <c r="T371" s="49">
        <f>(100*('GA Arroyo'!AO371-E371))/E371</f>
        <v>58.536795273321886</v>
      </c>
      <c r="U371" s="49">
        <f>(100*('GA Arroyo'!AR371-E371))/E371</f>
        <v>13.884616967696783</v>
      </c>
      <c r="V371" s="49">
        <f>(100*('GA Arroyo'!AU371-E371))/E371</f>
        <v>0</v>
      </c>
      <c r="W371" s="49">
        <f>(100*('GA Arroyo'!AX371-E371))/E371</f>
        <v>13.768433184034359</v>
      </c>
    </row>
    <row r="372" spans="2:23" ht="15" customHeight="1">
      <c r="B372">
        <f>MIN('GA Arroyo'!B372,'GA Arroyo'!E372,'GA Arroyo'!H372,'GA Arroyo'!K372)</f>
        <v>40803.699999999997</v>
      </c>
      <c r="C372">
        <f>MIN('GA Arroyo'!O372, 'GA Arroyo'!R372, 'GA Arroyo'!U372, 'GA Arroyo'!X372)</f>
        <v>38923.699999999997</v>
      </c>
      <c r="D372">
        <f>MIN('GA Arroyo'!AB372, 'GA Arroyo'!AE372, 'GA Arroyo'!AH372, 'GA Arroyo'!AK372)</f>
        <v>41489.4</v>
      </c>
      <c r="E372">
        <f>MIN('GA Arroyo'!AO372, 'GA Arroyo'!AR372, 'GA Arroyo'!AU372, 'GA Arroyo'!AX372)</f>
        <v>39910.199999999997</v>
      </c>
      <c r="G372" s="45">
        <f t="shared" si="29"/>
        <v>38923.699999999997</v>
      </c>
      <c r="I372" s="49">
        <f t="shared" si="30"/>
        <v>4.8299622081148508</v>
      </c>
      <c r="J372" s="49">
        <f t="shared" si="31"/>
        <v>0</v>
      </c>
      <c r="K372" s="49">
        <f t="shared" si="32"/>
        <v>6.5916138496597307</v>
      </c>
      <c r="L372" s="49">
        <f t="shared" si="33"/>
        <v>2.5344455948432447</v>
      </c>
      <c r="T372" s="49">
        <f>(100*('GA Arroyo'!AO372-E372))/E372</f>
        <v>28.363676453638419</v>
      </c>
      <c r="U372" s="49">
        <f>(100*('GA Arroyo'!AR372-E372))/E372</f>
        <v>7.9052472801439233</v>
      </c>
      <c r="V372" s="49">
        <f>(100*('GA Arroyo'!AU372-E372))/E372</f>
        <v>0</v>
      </c>
      <c r="W372" s="49">
        <f>(100*('GA Arroyo'!AX372-E372))/E372</f>
        <v>8.4622477461902044</v>
      </c>
    </row>
    <row r="373" spans="2:23" ht="15" customHeight="1">
      <c r="B373">
        <f>MIN('GA Arroyo'!B373,'GA Arroyo'!E373,'GA Arroyo'!H373,'GA Arroyo'!K373)</f>
        <v>49765.2</v>
      </c>
      <c r="C373">
        <f>MIN('GA Arroyo'!O373, 'GA Arroyo'!R373, 'GA Arroyo'!U373, 'GA Arroyo'!X373)</f>
        <v>51706.7</v>
      </c>
      <c r="D373">
        <f>MIN('GA Arroyo'!AB373, 'GA Arroyo'!AE373, 'GA Arroyo'!AH373, 'GA Arroyo'!AK373)</f>
        <v>50879.7</v>
      </c>
      <c r="E373">
        <f>MIN('GA Arroyo'!AO373, 'GA Arroyo'!AR373, 'GA Arroyo'!AU373, 'GA Arroyo'!AX373)</f>
        <v>51180.1</v>
      </c>
      <c r="G373" s="45">
        <f t="shared" si="29"/>
        <v>49765.2</v>
      </c>
      <c r="I373" s="49">
        <f t="shared" si="30"/>
        <v>0</v>
      </c>
      <c r="J373" s="49">
        <f t="shared" si="31"/>
        <v>3.9013206015448549</v>
      </c>
      <c r="K373" s="49">
        <f t="shared" si="32"/>
        <v>2.239516770755468</v>
      </c>
      <c r="L373" s="49">
        <f t="shared" si="33"/>
        <v>2.8431514391582904</v>
      </c>
      <c r="T373" s="49">
        <f>(100*('GA Arroyo'!AO373-E373))/E373</f>
        <v>4.135982540088829</v>
      </c>
      <c r="U373" s="49">
        <f>(100*('GA Arroyo'!AR373-E373))/E373</f>
        <v>27.135351435421196</v>
      </c>
      <c r="V373" s="49">
        <f>(100*('GA Arroyo'!AU373-E373))/E373</f>
        <v>8.1740754707396039</v>
      </c>
      <c r="W373" s="49">
        <f>(100*('GA Arroyo'!AX373-E373))/E373</f>
        <v>0</v>
      </c>
    </row>
    <row r="374" spans="2:23" ht="15" customHeight="1">
      <c r="B374">
        <f>MIN('GA Arroyo'!B374,'GA Arroyo'!E374,'GA Arroyo'!H374,'GA Arroyo'!K374)</f>
        <v>59816.3</v>
      </c>
      <c r="C374">
        <f>MIN('GA Arroyo'!O374, 'GA Arroyo'!R374, 'GA Arroyo'!U374, 'GA Arroyo'!X374)</f>
        <v>57789.9</v>
      </c>
      <c r="D374">
        <f>MIN('GA Arroyo'!AB374, 'GA Arroyo'!AE374, 'GA Arroyo'!AH374, 'GA Arroyo'!AK374)</f>
        <v>55820.1</v>
      </c>
      <c r="E374">
        <f>MIN('GA Arroyo'!AO374, 'GA Arroyo'!AR374, 'GA Arroyo'!AU374, 'GA Arroyo'!AX374)</f>
        <v>55047.7</v>
      </c>
      <c r="G374" s="45">
        <f t="shared" si="29"/>
        <v>55047.7</v>
      </c>
      <c r="I374" s="49">
        <f t="shared" si="30"/>
        <v>8.6626689216806625</v>
      </c>
      <c r="J374" s="49">
        <f t="shared" si="31"/>
        <v>4.981497864579274</v>
      </c>
      <c r="K374" s="49">
        <f t="shared" si="32"/>
        <v>1.4031467254762715</v>
      </c>
      <c r="L374" s="49">
        <f t="shared" si="33"/>
        <v>0</v>
      </c>
      <c r="T374" s="49">
        <f>(100*('GA Arroyo'!AO374-E374))/E374</f>
        <v>18.369886480270758</v>
      </c>
      <c r="U374" s="49">
        <f>(100*('GA Arroyo'!AR374-E374))/E374</f>
        <v>13.071390811968529</v>
      </c>
      <c r="V374" s="49">
        <f>(100*('GA Arroyo'!AU374-E374))/E374</f>
        <v>0</v>
      </c>
      <c r="W374" s="49">
        <f>(100*('GA Arroyo'!AX374-E374))/E374</f>
        <v>14.48089565958251</v>
      </c>
    </row>
    <row r="375" spans="2:23" ht="15" customHeight="1">
      <c r="B375">
        <f>MIN('GA Arroyo'!B375,'GA Arroyo'!E375,'GA Arroyo'!H375,'GA Arroyo'!K375)</f>
        <v>60624.800000000003</v>
      </c>
      <c r="C375">
        <f>MIN('GA Arroyo'!O375, 'GA Arroyo'!R375, 'GA Arroyo'!U375, 'GA Arroyo'!X375)</f>
        <v>57995.3</v>
      </c>
      <c r="D375">
        <f>MIN('GA Arroyo'!AB375, 'GA Arroyo'!AE375, 'GA Arroyo'!AH375, 'GA Arroyo'!AK375)</f>
        <v>59232.3</v>
      </c>
      <c r="E375">
        <f>MIN('GA Arroyo'!AO375, 'GA Arroyo'!AR375, 'GA Arroyo'!AU375, 'GA Arroyo'!AX375)</f>
        <v>57936.800000000003</v>
      </c>
      <c r="G375" s="45">
        <f t="shared" si="29"/>
        <v>57936.800000000003</v>
      </c>
      <c r="I375" s="49">
        <f t="shared" si="30"/>
        <v>4.6395382554783833</v>
      </c>
      <c r="J375" s="49">
        <f t="shared" si="31"/>
        <v>0.10097209372971927</v>
      </c>
      <c r="K375" s="49">
        <f t="shared" si="32"/>
        <v>2.2360572209718175</v>
      </c>
      <c r="L375" s="49">
        <f t="shared" si="33"/>
        <v>0</v>
      </c>
      <c r="T375" s="49">
        <f>(100*('GA Arroyo'!AO375-E375))/E375</f>
        <v>0</v>
      </c>
      <c r="U375" s="49">
        <f>(100*('GA Arroyo'!AR375-E375))/E375</f>
        <v>7.4213625881995497</v>
      </c>
      <c r="V375" s="49">
        <f>(100*('GA Arroyo'!AU375-E375))/E375</f>
        <v>3.8617942309550997</v>
      </c>
      <c r="W375" s="49">
        <f>(100*('GA Arroyo'!AX375-E375))/E375</f>
        <v>9.2794217146960083</v>
      </c>
    </row>
    <row r="376" spans="2:23" ht="15" customHeight="1">
      <c r="B376">
        <f>MIN('GA Arroyo'!B376,'GA Arroyo'!E376,'GA Arroyo'!H376,'GA Arroyo'!K376)</f>
        <v>57157.7</v>
      </c>
      <c r="C376">
        <f>MIN('GA Arroyo'!O376, 'GA Arroyo'!R376, 'GA Arroyo'!U376, 'GA Arroyo'!X376)</f>
        <v>49177.3</v>
      </c>
      <c r="D376">
        <f>MIN('GA Arroyo'!AB376, 'GA Arroyo'!AE376, 'GA Arroyo'!AH376, 'GA Arroyo'!AK376)</f>
        <v>45927.7</v>
      </c>
      <c r="E376">
        <f>MIN('GA Arroyo'!AO376, 'GA Arroyo'!AR376, 'GA Arroyo'!AU376, 'GA Arroyo'!AX376)</f>
        <v>48236.1</v>
      </c>
      <c r="G376" s="45">
        <f t="shared" si="29"/>
        <v>45927.7</v>
      </c>
      <c r="I376" s="49">
        <f t="shared" si="30"/>
        <v>24.451474818029208</v>
      </c>
      <c r="J376" s="49">
        <f t="shared" si="31"/>
        <v>7.075468616978438</v>
      </c>
      <c r="K376" s="49">
        <f t="shared" si="32"/>
        <v>0</v>
      </c>
      <c r="L376" s="49">
        <f t="shared" si="33"/>
        <v>5.0261606829865233</v>
      </c>
      <c r="T376" s="49">
        <f>(100*('GA Arroyo'!AO376-E376))/E376</f>
        <v>22.312541851434933</v>
      </c>
      <c r="U376" s="49">
        <f>(100*('GA Arroyo'!AR376-E376))/E376</f>
        <v>32.48915231538205</v>
      </c>
      <c r="V376" s="49">
        <f>(100*('GA Arroyo'!AU376-E376))/E376</f>
        <v>17.247248430117693</v>
      </c>
      <c r="W376" s="49">
        <f>(100*('GA Arroyo'!AX376-E376))/E376</f>
        <v>0</v>
      </c>
    </row>
    <row r="377" spans="2:23" ht="15" customHeight="1">
      <c r="B377">
        <f>MIN('GA Arroyo'!B377,'GA Arroyo'!E377,'GA Arroyo'!H377,'GA Arroyo'!K377)</f>
        <v>62773.8</v>
      </c>
      <c r="C377">
        <f>MIN('GA Arroyo'!O377, 'GA Arroyo'!R377, 'GA Arroyo'!U377, 'GA Arroyo'!X377)</f>
        <v>61943</v>
      </c>
      <c r="D377">
        <f>MIN('GA Arroyo'!AB377, 'GA Arroyo'!AE377, 'GA Arroyo'!AH377, 'GA Arroyo'!AK377)</f>
        <v>65174.6</v>
      </c>
      <c r="E377">
        <f>MIN('GA Arroyo'!AO377, 'GA Arroyo'!AR377, 'GA Arroyo'!AU377, 'GA Arroyo'!AX377)</f>
        <v>55911</v>
      </c>
      <c r="G377" s="45">
        <f t="shared" si="29"/>
        <v>55911</v>
      </c>
      <c r="I377" s="49">
        <f t="shared" si="30"/>
        <v>12.274507699737086</v>
      </c>
      <c r="J377" s="49">
        <f t="shared" si="31"/>
        <v>10.788574699075316</v>
      </c>
      <c r="K377" s="49">
        <f t="shared" si="32"/>
        <v>16.568474897605121</v>
      </c>
      <c r="L377" s="49">
        <f t="shared" si="33"/>
        <v>0</v>
      </c>
      <c r="T377" s="49">
        <f>(100*('GA Arroyo'!AO377-E377))/E377</f>
        <v>19.371501135733581</v>
      </c>
      <c r="U377" s="49">
        <f>(100*('GA Arroyo'!AR377-E377))/E377</f>
        <v>13.231027883600721</v>
      </c>
      <c r="V377" s="49">
        <f>(100*('GA Arroyo'!AU377-E377))/E377</f>
        <v>7.5747169608842606</v>
      </c>
      <c r="W377" s="49">
        <f>(100*('GA Arroyo'!AX377-E377))/E377</f>
        <v>0</v>
      </c>
    </row>
    <row r="378" spans="2:23" ht="15" customHeight="1">
      <c r="B378">
        <f>MIN('GA Arroyo'!B378,'GA Arroyo'!E378,'GA Arroyo'!H378,'GA Arroyo'!K378)</f>
        <v>49891.6</v>
      </c>
      <c r="C378">
        <f>MIN('GA Arroyo'!O378, 'GA Arroyo'!R378, 'GA Arroyo'!U378, 'GA Arroyo'!X378)</f>
        <v>46081.2</v>
      </c>
      <c r="D378">
        <f>MIN('GA Arroyo'!AB378, 'GA Arroyo'!AE378, 'GA Arroyo'!AH378, 'GA Arroyo'!AK378)</f>
        <v>45993.2</v>
      </c>
      <c r="E378">
        <f>MIN('GA Arroyo'!AO378, 'GA Arroyo'!AR378, 'GA Arroyo'!AU378, 'GA Arroyo'!AX378)</f>
        <v>43938.5</v>
      </c>
      <c r="G378" s="45">
        <f t="shared" si="29"/>
        <v>43938.5</v>
      </c>
      <c r="I378" s="49">
        <f t="shared" si="30"/>
        <v>13.548710128930207</v>
      </c>
      <c r="J378" s="49">
        <f t="shared" si="31"/>
        <v>4.8765888685321466</v>
      </c>
      <c r="K378" s="49">
        <f t="shared" si="32"/>
        <v>4.6763089318023994</v>
      </c>
      <c r="L378" s="49">
        <f t="shared" si="33"/>
        <v>0</v>
      </c>
      <c r="T378" s="49">
        <f>(100*('GA Arroyo'!AO378-E378))/E378</f>
        <v>11.212262594307953</v>
      </c>
      <c r="U378" s="49">
        <f>(100*('GA Arroyo'!AR378-E378))/E378</f>
        <v>0</v>
      </c>
      <c r="V378" s="49">
        <f>(100*('GA Arroyo'!AU378-E378))/E378</f>
        <v>5.7248199187500743</v>
      </c>
      <c r="W378" s="49">
        <f>(100*('GA Arroyo'!AX378-E378))/E378</f>
        <v>35.808687142255657</v>
      </c>
    </row>
    <row r="379" spans="2:23" ht="15" customHeight="1">
      <c r="B379">
        <f>MIN('GA Arroyo'!B379,'GA Arroyo'!E379,'GA Arroyo'!H379,'GA Arroyo'!K379)</f>
        <v>46230.9</v>
      </c>
      <c r="C379">
        <f>MIN('GA Arroyo'!O379, 'GA Arroyo'!R379, 'GA Arroyo'!U379, 'GA Arroyo'!X379)</f>
        <v>44255.1</v>
      </c>
      <c r="D379">
        <f>MIN('GA Arroyo'!AB379, 'GA Arroyo'!AE379, 'GA Arroyo'!AH379, 'GA Arroyo'!AK379)</f>
        <v>48934.3</v>
      </c>
      <c r="E379">
        <f>MIN('GA Arroyo'!AO379, 'GA Arroyo'!AR379, 'GA Arroyo'!AU379, 'GA Arroyo'!AX379)</f>
        <v>46425.5</v>
      </c>
      <c r="G379" s="45">
        <f t="shared" si="29"/>
        <v>44255.1</v>
      </c>
      <c r="I379" s="49">
        <f t="shared" si="30"/>
        <v>4.4645701851312118</v>
      </c>
      <c r="J379" s="49">
        <f t="shared" si="31"/>
        <v>0</v>
      </c>
      <c r="K379" s="49">
        <f t="shared" si="32"/>
        <v>10.573244665586577</v>
      </c>
      <c r="L379" s="49">
        <f t="shared" si="33"/>
        <v>4.9042935164534747</v>
      </c>
      <c r="T379" s="49">
        <f>(100*('GA Arroyo'!AO379-E379))/E379</f>
        <v>0</v>
      </c>
      <c r="U379" s="49">
        <f>(100*('GA Arroyo'!AR379-E379))/E379</f>
        <v>6.4783362591679117</v>
      </c>
      <c r="V379" s="49">
        <f>(100*('GA Arroyo'!AU379-E379))/E379</f>
        <v>3.03216982046504</v>
      </c>
      <c r="W379" s="49">
        <f>(100*('GA Arroyo'!AX379-E379))/E379</f>
        <v>1.4920679368019667</v>
      </c>
    </row>
    <row r="380" spans="2:23" ht="15" customHeight="1">
      <c r="B380">
        <f>MIN('GA Arroyo'!B380,'GA Arroyo'!E380,'GA Arroyo'!H380,'GA Arroyo'!K380)</f>
        <v>45578.5</v>
      </c>
      <c r="C380">
        <f>MIN('GA Arroyo'!O380, 'GA Arroyo'!R380, 'GA Arroyo'!U380, 'GA Arroyo'!X380)</f>
        <v>49386.6</v>
      </c>
      <c r="D380">
        <f>MIN('GA Arroyo'!AB380, 'GA Arroyo'!AE380, 'GA Arroyo'!AH380, 'GA Arroyo'!AK380)</f>
        <v>44637.5</v>
      </c>
      <c r="E380">
        <f>MIN('GA Arroyo'!AO380, 'GA Arroyo'!AR380, 'GA Arroyo'!AU380, 'GA Arroyo'!AX380)</f>
        <v>54299.5</v>
      </c>
      <c r="G380" s="45">
        <f t="shared" si="29"/>
        <v>44637.5</v>
      </c>
      <c r="I380" s="49">
        <f t="shared" si="30"/>
        <v>2.1080929711565388</v>
      </c>
      <c r="J380" s="49">
        <f t="shared" si="31"/>
        <v>10.639260711285351</v>
      </c>
      <c r="K380" s="49">
        <f t="shared" si="32"/>
        <v>0</v>
      </c>
      <c r="L380" s="49">
        <f t="shared" si="33"/>
        <v>21.645477457294877</v>
      </c>
      <c r="T380" s="49">
        <f>(100*('GA Arroyo'!AO380-E380))/E380</f>
        <v>14.735678965736335</v>
      </c>
      <c r="U380" s="49">
        <f>(100*('GA Arroyo'!AR380-E380))/E380</f>
        <v>36.929437655963682</v>
      </c>
      <c r="V380" s="49">
        <f>(100*('GA Arroyo'!AU380-E380))/E380</f>
        <v>18.080092818534244</v>
      </c>
      <c r="W380" s="49">
        <f>(100*('GA Arroyo'!AX380-E380))/E380</f>
        <v>0</v>
      </c>
    </row>
    <row r="381" spans="2:23" ht="15" customHeight="1">
      <c r="B381">
        <f>MIN('GA Arroyo'!B381,'GA Arroyo'!E381,'GA Arroyo'!H381,'GA Arroyo'!K381)</f>
        <v>56075.6</v>
      </c>
      <c r="C381">
        <f>MIN('GA Arroyo'!O381, 'GA Arroyo'!R381, 'GA Arroyo'!U381, 'GA Arroyo'!X381)</f>
        <v>60234.400000000001</v>
      </c>
      <c r="D381">
        <f>MIN('GA Arroyo'!AB381, 'GA Arroyo'!AE381, 'GA Arroyo'!AH381, 'GA Arroyo'!AK381)</f>
        <v>57555.4</v>
      </c>
      <c r="E381">
        <f>MIN('GA Arroyo'!AO381, 'GA Arroyo'!AR381, 'GA Arroyo'!AU381, 'GA Arroyo'!AX381)</f>
        <v>56509.5</v>
      </c>
      <c r="G381" s="45">
        <f t="shared" si="29"/>
        <v>56075.6</v>
      </c>
      <c r="I381" s="49">
        <f t="shared" si="30"/>
        <v>0</v>
      </c>
      <c r="J381" s="49">
        <f t="shared" si="31"/>
        <v>7.4164164092760538</v>
      </c>
      <c r="K381" s="49">
        <f t="shared" si="32"/>
        <v>2.6389374344634797</v>
      </c>
      <c r="L381" s="49">
        <f t="shared" si="33"/>
        <v>0.77377682985113216</v>
      </c>
      <c r="T381" s="49">
        <f>(100*('GA Arroyo'!AO381-E381))/E381</f>
        <v>11.60725187800281</v>
      </c>
      <c r="U381" s="49">
        <f>(100*('GA Arroyo'!AR381-E381))/E381</f>
        <v>5.4778400092019925</v>
      </c>
      <c r="V381" s="49">
        <f>(100*('GA Arroyo'!AU381-E381))/E381</f>
        <v>0</v>
      </c>
      <c r="W381" s="49">
        <f>(100*('GA Arroyo'!AX381-E381))/E381</f>
        <v>3.8639520788539978</v>
      </c>
    </row>
    <row r="382" spans="2:23" ht="15" customHeight="1">
      <c r="B382">
        <f>MIN('GA Arroyo'!B382,'GA Arroyo'!E382,'GA Arroyo'!H382,'GA Arroyo'!K382)</f>
        <v>58185.599999999999</v>
      </c>
      <c r="C382">
        <f>MIN('GA Arroyo'!O382, 'GA Arroyo'!R382, 'GA Arroyo'!U382, 'GA Arroyo'!X382)</f>
        <v>52656.4</v>
      </c>
      <c r="D382">
        <f>MIN('GA Arroyo'!AB382, 'GA Arroyo'!AE382, 'GA Arroyo'!AH382, 'GA Arroyo'!AK382)</f>
        <v>57931.6</v>
      </c>
      <c r="E382">
        <f>MIN('GA Arroyo'!AO382, 'GA Arroyo'!AR382, 'GA Arroyo'!AU382, 'GA Arroyo'!AX382)</f>
        <v>59595.7</v>
      </c>
      <c r="G382" s="45">
        <f t="shared" si="29"/>
        <v>52656.4</v>
      </c>
      <c r="I382" s="49">
        <f t="shared" si="30"/>
        <v>10.500527951018295</v>
      </c>
      <c r="J382" s="49">
        <f t="shared" si="31"/>
        <v>0</v>
      </c>
      <c r="K382" s="49">
        <f t="shared" si="32"/>
        <v>10.018155437895484</v>
      </c>
      <c r="L382" s="49">
        <f t="shared" si="33"/>
        <v>13.178455040602843</v>
      </c>
      <c r="T382" s="49">
        <f>(100*('GA Arroyo'!AO382-E382))/E382</f>
        <v>7.4884597378669993</v>
      </c>
      <c r="U382" s="49">
        <f>(100*('GA Arroyo'!AR382-E382))/E382</f>
        <v>0</v>
      </c>
      <c r="V382" s="49">
        <f>(100*('GA Arroyo'!AU382-E382))/E382</f>
        <v>64.225774678374464</v>
      </c>
      <c r="W382" s="49">
        <f>(100*('GA Arroyo'!AX382-E382))/E382</f>
        <v>1.9437643991093343</v>
      </c>
    </row>
    <row r="383" spans="2:23" ht="15" customHeight="1">
      <c r="B383">
        <f>MIN('GA Arroyo'!B383,'GA Arroyo'!E383,'GA Arroyo'!H383,'GA Arroyo'!K383)</f>
        <v>63819</v>
      </c>
      <c r="C383">
        <f>MIN('GA Arroyo'!O383, 'GA Arroyo'!R383, 'GA Arroyo'!U383, 'GA Arroyo'!X383)</f>
        <v>67153.7</v>
      </c>
      <c r="D383">
        <f>MIN('GA Arroyo'!AB383, 'GA Arroyo'!AE383, 'GA Arroyo'!AH383, 'GA Arroyo'!AK383)</f>
        <v>64357.599999999999</v>
      </c>
      <c r="E383">
        <f>MIN('GA Arroyo'!AO383, 'GA Arroyo'!AR383, 'GA Arroyo'!AU383, 'GA Arroyo'!AX383)</f>
        <v>63149.9</v>
      </c>
      <c r="G383" s="45">
        <f t="shared" si="29"/>
        <v>63149.9</v>
      </c>
      <c r="I383" s="49">
        <f t="shared" si="30"/>
        <v>1.0595424537489346</v>
      </c>
      <c r="J383" s="49">
        <f t="shared" si="31"/>
        <v>6.340152557644581</v>
      </c>
      <c r="K383" s="49">
        <f t="shared" si="32"/>
        <v>1.9124337489053775</v>
      </c>
      <c r="L383" s="49">
        <f t="shared" si="33"/>
        <v>0</v>
      </c>
      <c r="T383" s="49">
        <f>(100*('GA Arroyo'!AO383-E383))/E383</f>
        <v>33.534653261525357</v>
      </c>
      <c r="U383" s="49">
        <f>(100*('GA Arroyo'!AR383-E383))/E383</f>
        <v>0</v>
      </c>
      <c r="V383" s="49">
        <f>(100*('GA Arroyo'!AU383-E383))/E383</f>
        <v>35.692218039933557</v>
      </c>
      <c r="W383" s="49">
        <f>(100*('GA Arroyo'!AX383-E383))/E383</f>
        <v>21.103754716951244</v>
      </c>
    </row>
    <row r="384" spans="2:23" ht="15" customHeight="1">
      <c r="B384">
        <f>MIN('GA Arroyo'!B384,'GA Arroyo'!E384,'GA Arroyo'!H384,'GA Arroyo'!K384)</f>
        <v>51817.599999999999</v>
      </c>
      <c r="C384">
        <f>MIN('GA Arroyo'!O384, 'GA Arroyo'!R384, 'GA Arroyo'!U384, 'GA Arroyo'!X384)</f>
        <v>54468.9</v>
      </c>
      <c r="D384">
        <f>MIN('GA Arroyo'!AB384, 'GA Arroyo'!AE384, 'GA Arroyo'!AH384, 'GA Arroyo'!AK384)</f>
        <v>54052.7</v>
      </c>
      <c r="E384">
        <f>MIN('GA Arroyo'!AO384, 'GA Arroyo'!AR384, 'GA Arroyo'!AU384, 'GA Arroyo'!AX384)</f>
        <v>53966.5</v>
      </c>
      <c r="G384" s="45">
        <f t="shared" si="29"/>
        <v>51817.599999999999</v>
      </c>
      <c r="I384" s="49">
        <f t="shared" si="30"/>
        <v>0</v>
      </c>
      <c r="J384" s="49">
        <f t="shared" si="31"/>
        <v>5.1166013092076881</v>
      </c>
      <c r="K384" s="49">
        <f t="shared" si="32"/>
        <v>4.3133993083431088</v>
      </c>
      <c r="L384" s="49">
        <f t="shared" si="33"/>
        <v>4.1470465633298366</v>
      </c>
      <c r="T384" s="49">
        <f>(100*('GA Arroyo'!AO384-E384))/E384</f>
        <v>11.626842578266144</v>
      </c>
      <c r="U384" s="49">
        <f>(100*('GA Arroyo'!AR384-E384))/E384</f>
        <v>16.33272493120732</v>
      </c>
      <c r="V384" s="49">
        <f>(100*('GA Arroyo'!AU384-E384))/E384</f>
        <v>14.411347780567578</v>
      </c>
      <c r="W384" s="49">
        <f>(100*('GA Arroyo'!AX384-E384))/E384</f>
        <v>0</v>
      </c>
    </row>
    <row r="385" spans="2:23" ht="15" customHeight="1">
      <c r="B385">
        <f>MIN('GA Arroyo'!B385,'GA Arroyo'!E385,'GA Arroyo'!H385,'GA Arroyo'!K385)</f>
        <v>61900.1</v>
      </c>
      <c r="C385">
        <f>MIN('GA Arroyo'!O385, 'GA Arroyo'!R385, 'GA Arroyo'!U385, 'GA Arroyo'!X385)</f>
        <v>57061.8</v>
      </c>
      <c r="D385">
        <f>MIN('GA Arroyo'!AB385, 'GA Arroyo'!AE385, 'GA Arroyo'!AH385, 'GA Arroyo'!AK385)</f>
        <v>68942.7</v>
      </c>
      <c r="E385">
        <f>MIN('GA Arroyo'!AO385, 'GA Arroyo'!AR385, 'GA Arroyo'!AU385, 'GA Arroyo'!AX385)</f>
        <v>59325.1</v>
      </c>
      <c r="G385" s="45">
        <f t="shared" si="29"/>
        <v>57061.8</v>
      </c>
      <c r="I385" s="49">
        <f t="shared" si="30"/>
        <v>8.4790525360223388</v>
      </c>
      <c r="J385" s="49">
        <f t="shared" si="31"/>
        <v>0</v>
      </c>
      <c r="K385" s="49">
        <f t="shared" si="32"/>
        <v>20.821109744172098</v>
      </c>
      <c r="L385" s="49">
        <f t="shared" si="33"/>
        <v>3.9664013403012093</v>
      </c>
      <c r="T385" s="49">
        <f>(100*('GA Arroyo'!AO385-E385))/E385</f>
        <v>56.885871241683539</v>
      </c>
      <c r="U385" s="49">
        <f>(100*('GA Arroyo'!AR385-E385))/E385</f>
        <v>0</v>
      </c>
      <c r="V385" s="49">
        <f>(100*('GA Arroyo'!AU385-E385))/E385</f>
        <v>5.9768967941057038</v>
      </c>
      <c r="W385" s="49">
        <f>(100*('GA Arroyo'!AX385-E385))/E385</f>
        <v>45.628747359886447</v>
      </c>
    </row>
    <row r="386" spans="2:23" ht="15" customHeight="1">
      <c r="B386">
        <f>MIN('GA Arroyo'!B386,'GA Arroyo'!E386,'GA Arroyo'!H386,'GA Arroyo'!K386)</f>
        <v>46577.1</v>
      </c>
      <c r="C386">
        <f>MIN('GA Arroyo'!O386, 'GA Arroyo'!R386, 'GA Arroyo'!U386, 'GA Arroyo'!X386)</f>
        <v>44249</v>
      </c>
      <c r="D386">
        <f>MIN('GA Arroyo'!AB386, 'GA Arroyo'!AE386, 'GA Arroyo'!AH386, 'GA Arroyo'!AK386)</f>
        <v>44290.3</v>
      </c>
      <c r="E386">
        <f>MIN('GA Arroyo'!AO386, 'GA Arroyo'!AR386, 'GA Arroyo'!AU386, 'GA Arroyo'!AX386)</f>
        <v>45701.9</v>
      </c>
      <c r="G386" s="45">
        <f t="shared" si="29"/>
        <v>44249</v>
      </c>
      <c r="I386" s="49">
        <f t="shared" si="30"/>
        <v>5.2613618386856169</v>
      </c>
      <c r="J386" s="49">
        <f t="shared" si="31"/>
        <v>0</v>
      </c>
      <c r="K386" s="49">
        <f t="shared" si="32"/>
        <v>9.3335442608879091E-2</v>
      </c>
      <c r="L386" s="49">
        <f t="shared" si="33"/>
        <v>3.2834640330854969</v>
      </c>
      <c r="T386" s="49">
        <f>(100*('GA Arroyo'!AO386-E386))/E386</f>
        <v>0</v>
      </c>
      <c r="U386" s="49">
        <f>(100*('GA Arroyo'!AR386-E386))/E386</f>
        <v>15.326277463300215</v>
      </c>
      <c r="V386" s="49">
        <f>(100*('GA Arroyo'!AU386-E386))/E386</f>
        <v>26.474829274056439</v>
      </c>
      <c r="W386" s="49">
        <f>(100*('GA Arroyo'!AX386-E386))/E386</f>
        <v>13.386314354545425</v>
      </c>
    </row>
    <row r="387" spans="2:23" ht="15" customHeight="1">
      <c r="B387">
        <f>MIN('GA Arroyo'!B387,'GA Arroyo'!E387,'GA Arroyo'!H387,'GA Arroyo'!K387)</f>
        <v>47343.3</v>
      </c>
      <c r="C387">
        <f>MIN('GA Arroyo'!O387, 'GA Arroyo'!R387, 'GA Arroyo'!U387, 'GA Arroyo'!X387)</f>
        <v>51604.6</v>
      </c>
      <c r="D387">
        <f>MIN('GA Arroyo'!AB387, 'GA Arroyo'!AE387, 'GA Arroyo'!AH387, 'GA Arroyo'!AK387)</f>
        <v>48017.599999999999</v>
      </c>
      <c r="E387">
        <f>MIN('GA Arroyo'!AO387, 'GA Arroyo'!AR387, 'GA Arroyo'!AU387, 'GA Arroyo'!AX387)</f>
        <v>48199.8</v>
      </c>
      <c r="G387" s="45">
        <f t="shared" si="29"/>
        <v>47343.3</v>
      </c>
      <c r="I387" s="49">
        <f t="shared" si="30"/>
        <v>0</v>
      </c>
      <c r="J387" s="49">
        <f t="shared" si="31"/>
        <v>9.0008512292129925</v>
      </c>
      <c r="K387" s="49">
        <f t="shared" si="32"/>
        <v>1.4242775640903689</v>
      </c>
      <c r="L387" s="49">
        <f t="shared" si="33"/>
        <v>1.8091261065451709</v>
      </c>
      <c r="T387" s="49">
        <f>(100*('GA Arroyo'!AO387-E387))/E387</f>
        <v>13.78594931929177</v>
      </c>
      <c r="U387" s="49">
        <f>(100*('GA Arroyo'!AR387-E387))/E387</f>
        <v>20.798011610006675</v>
      </c>
      <c r="V387" s="49">
        <f>(100*('GA Arroyo'!AU387-E387))/E387</f>
        <v>0</v>
      </c>
      <c r="W387" s="49">
        <f>(100*('GA Arroyo'!AX387-E387))/E387</f>
        <v>8.0338507628662263</v>
      </c>
    </row>
    <row r="388" spans="2:23" ht="15" customHeight="1">
      <c r="B388">
        <f>MIN('GA Arroyo'!B388,'GA Arroyo'!E388,'GA Arroyo'!H388,'GA Arroyo'!K388)</f>
        <v>50564.7</v>
      </c>
      <c r="C388">
        <f>MIN('GA Arroyo'!O388, 'GA Arroyo'!R388, 'GA Arroyo'!U388, 'GA Arroyo'!X388)</f>
        <v>53237.8</v>
      </c>
      <c r="D388">
        <f>MIN('GA Arroyo'!AB388, 'GA Arroyo'!AE388, 'GA Arroyo'!AH388, 'GA Arroyo'!AK388)</f>
        <v>53335.6</v>
      </c>
      <c r="E388">
        <f>MIN('GA Arroyo'!AO388, 'GA Arroyo'!AR388, 'GA Arroyo'!AU388, 'GA Arroyo'!AX388)</f>
        <v>54815.7</v>
      </c>
      <c r="G388" s="45">
        <f t="shared" ref="G388:G451" si="34">MIN(B388,C388,D388,E388)</f>
        <v>50564.7</v>
      </c>
      <c r="I388" s="49">
        <f t="shared" ref="I388:I451" si="35">(100*(B388-G388))/G388</f>
        <v>0</v>
      </c>
      <c r="J388" s="49">
        <f t="shared" ref="J388:J451" si="36">(100*(C388-G388))/G388</f>
        <v>5.2864943330030751</v>
      </c>
      <c r="K388" s="49">
        <f t="shared" ref="K388:K451" si="37">(100*(D388-G388))/G388</f>
        <v>5.4799098976163236</v>
      </c>
      <c r="L388" s="49">
        <f t="shared" ref="L388:L451" si="38">(100*(E388-G388))/G388</f>
        <v>8.4070507686192144</v>
      </c>
      <c r="T388" s="49">
        <f>(100*('GA Arroyo'!AO388-E388))/E388</f>
        <v>3.0642680837789253</v>
      </c>
      <c r="U388" s="49">
        <f>(100*('GA Arroyo'!AR388-E388))/E388</f>
        <v>0</v>
      </c>
      <c r="V388" s="49">
        <f>(100*('GA Arroyo'!AU388-E388))/E388</f>
        <v>2.7402733158565993</v>
      </c>
      <c r="W388" s="49">
        <f>(100*('GA Arroyo'!AX388-E388))/E388</f>
        <v>18.591571392867383</v>
      </c>
    </row>
    <row r="389" spans="2:23" ht="15" customHeight="1">
      <c r="B389">
        <f>MIN('GA Arroyo'!B389,'GA Arroyo'!E389,'GA Arroyo'!H389,'GA Arroyo'!K389)</f>
        <v>59611.1</v>
      </c>
      <c r="C389">
        <f>MIN('GA Arroyo'!O389, 'GA Arroyo'!R389, 'GA Arroyo'!U389, 'GA Arroyo'!X389)</f>
        <v>72728.5</v>
      </c>
      <c r="D389">
        <f>MIN('GA Arroyo'!AB389, 'GA Arroyo'!AE389, 'GA Arroyo'!AH389, 'GA Arroyo'!AK389)</f>
        <v>62232.5</v>
      </c>
      <c r="E389">
        <f>MIN('GA Arroyo'!AO389, 'GA Arroyo'!AR389, 'GA Arroyo'!AU389, 'GA Arroyo'!AX389)</f>
        <v>58744.3</v>
      </c>
      <c r="G389" s="45">
        <f t="shared" si="34"/>
        <v>58744.3</v>
      </c>
      <c r="I389" s="49">
        <f t="shared" si="35"/>
        <v>1.4755474148130041</v>
      </c>
      <c r="J389" s="49">
        <f t="shared" si="36"/>
        <v>23.805203228228095</v>
      </c>
      <c r="K389" s="49">
        <f t="shared" si="37"/>
        <v>5.9379378084341745</v>
      </c>
      <c r="L389" s="49">
        <f t="shared" si="38"/>
        <v>0</v>
      </c>
      <c r="T389" s="49">
        <f>(100*('GA Arroyo'!AO389-E389))/E389</f>
        <v>40.351659650383105</v>
      </c>
      <c r="U389" s="49">
        <f>(100*('GA Arroyo'!AR389-E389))/E389</f>
        <v>39.463403257847993</v>
      </c>
      <c r="V389" s="49">
        <f>(100*('GA Arroyo'!AU389-E389))/E389</f>
        <v>2.6707272024689956</v>
      </c>
      <c r="W389" s="49">
        <f>(100*('GA Arroyo'!AX389-E389))/E389</f>
        <v>0</v>
      </c>
    </row>
    <row r="390" spans="2:23" ht="15" customHeight="1">
      <c r="B390">
        <f>MIN('GA Arroyo'!B390,'GA Arroyo'!E390,'GA Arroyo'!H390,'GA Arroyo'!K390)</f>
        <v>54911.3</v>
      </c>
      <c r="C390">
        <f>MIN('GA Arroyo'!O390, 'GA Arroyo'!R390, 'GA Arroyo'!U390, 'GA Arroyo'!X390)</f>
        <v>55286.8</v>
      </c>
      <c r="D390">
        <f>MIN('GA Arroyo'!AB390, 'GA Arroyo'!AE390, 'GA Arroyo'!AH390, 'GA Arroyo'!AK390)</f>
        <v>53148.3</v>
      </c>
      <c r="E390">
        <f>MIN('GA Arroyo'!AO390, 'GA Arroyo'!AR390, 'GA Arroyo'!AU390, 'GA Arroyo'!AX390)</f>
        <v>53615.9</v>
      </c>
      <c r="G390" s="45">
        <f t="shared" si="34"/>
        <v>53148.3</v>
      </c>
      <c r="I390" s="49">
        <f t="shared" si="35"/>
        <v>3.3171333796189151</v>
      </c>
      <c r="J390" s="49">
        <f t="shared" si="36"/>
        <v>4.0236470404509648</v>
      </c>
      <c r="K390" s="49">
        <f t="shared" si="37"/>
        <v>0</v>
      </c>
      <c r="L390" s="49">
        <f t="shared" si="38"/>
        <v>0.87980236432773673</v>
      </c>
      <c r="T390" s="49">
        <f>(100*('GA Arroyo'!AO390-E390))/E390</f>
        <v>0</v>
      </c>
      <c r="U390" s="49">
        <f>(100*('GA Arroyo'!AR390-E390))/E390</f>
        <v>2.2271378453033495</v>
      </c>
      <c r="V390" s="49">
        <f>(100*('GA Arroyo'!AU390-E390))/E390</f>
        <v>14.075115777222802</v>
      </c>
      <c r="W390" s="49">
        <f>(100*('GA Arroyo'!AX390-E390))/E390</f>
        <v>0.20646860352991758</v>
      </c>
    </row>
    <row r="391" spans="2:23" ht="15" customHeight="1">
      <c r="B391">
        <f>MIN('GA Arroyo'!B391,'GA Arroyo'!E391,'GA Arroyo'!H391,'GA Arroyo'!K391)</f>
        <v>41166</v>
      </c>
      <c r="C391">
        <f>MIN('GA Arroyo'!O391, 'GA Arroyo'!R391, 'GA Arroyo'!U391, 'GA Arroyo'!X391)</f>
        <v>43068.9</v>
      </c>
      <c r="D391">
        <f>MIN('GA Arroyo'!AB391, 'GA Arroyo'!AE391, 'GA Arroyo'!AH391, 'GA Arroyo'!AK391)</f>
        <v>39737.5</v>
      </c>
      <c r="E391">
        <f>MIN('GA Arroyo'!AO391, 'GA Arroyo'!AR391, 'GA Arroyo'!AU391, 'GA Arroyo'!AX391)</f>
        <v>40140.1</v>
      </c>
      <c r="G391" s="45">
        <f t="shared" si="34"/>
        <v>39737.5</v>
      </c>
      <c r="I391" s="49">
        <f t="shared" si="35"/>
        <v>3.5948411450141555</v>
      </c>
      <c r="J391" s="49">
        <f t="shared" si="36"/>
        <v>8.3835168291915725</v>
      </c>
      <c r="K391" s="49">
        <f t="shared" si="37"/>
        <v>0</v>
      </c>
      <c r="L391" s="49">
        <f t="shared" si="38"/>
        <v>1.0131487889273321</v>
      </c>
      <c r="T391" s="49">
        <f>(100*('GA Arroyo'!AO391-E391))/E391</f>
        <v>0</v>
      </c>
      <c r="U391" s="49">
        <f>(100*('GA Arroyo'!AR391-E391))/E391</f>
        <v>12.90206053298323</v>
      </c>
      <c r="V391" s="49">
        <f>(100*('GA Arroyo'!AU391-E391))/E391</f>
        <v>8.7204566007558562</v>
      </c>
      <c r="W391" s="49">
        <f>(100*('GA Arroyo'!AX391-E391))/E391</f>
        <v>0.93024182799744259</v>
      </c>
    </row>
    <row r="392" spans="2:23" ht="15" customHeight="1">
      <c r="B392">
        <f>MIN('GA Arroyo'!B392,'GA Arroyo'!E392,'GA Arroyo'!H392,'GA Arroyo'!K392)</f>
        <v>56372.800000000003</v>
      </c>
      <c r="C392">
        <f>MIN('GA Arroyo'!O392, 'GA Arroyo'!R392, 'GA Arroyo'!U392, 'GA Arroyo'!X392)</f>
        <v>51264.1</v>
      </c>
      <c r="D392">
        <f>MIN('GA Arroyo'!AB392, 'GA Arroyo'!AE392, 'GA Arroyo'!AH392, 'GA Arroyo'!AK392)</f>
        <v>47811.3</v>
      </c>
      <c r="E392">
        <f>MIN('GA Arroyo'!AO392, 'GA Arroyo'!AR392, 'GA Arroyo'!AU392, 'GA Arroyo'!AX392)</f>
        <v>53006.400000000001</v>
      </c>
      <c r="G392" s="45">
        <f t="shared" si="34"/>
        <v>47811.3</v>
      </c>
      <c r="I392" s="49">
        <f t="shared" si="35"/>
        <v>17.906854655698549</v>
      </c>
      <c r="J392" s="49">
        <f t="shared" si="36"/>
        <v>7.2217237347656207</v>
      </c>
      <c r="K392" s="49">
        <f t="shared" si="37"/>
        <v>0</v>
      </c>
      <c r="L392" s="49">
        <f t="shared" si="38"/>
        <v>10.865841338763008</v>
      </c>
      <c r="T392" s="49">
        <f>(100*('GA Arroyo'!AO392-E392))/E392</f>
        <v>9.3988650427118241</v>
      </c>
      <c r="U392" s="49">
        <f>(100*('GA Arroyo'!AR392-E392))/E392</f>
        <v>21.18102719671586</v>
      </c>
      <c r="V392" s="49">
        <f>(100*('GA Arroyo'!AU392-E392))/E392</f>
        <v>28.060573817501286</v>
      </c>
      <c r="W392" s="49">
        <f>(100*('GA Arroyo'!AX392-E392))/E392</f>
        <v>0</v>
      </c>
    </row>
    <row r="393" spans="2:23" ht="15" customHeight="1">
      <c r="B393">
        <f>MIN('GA Arroyo'!B393,'GA Arroyo'!E393,'GA Arroyo'!H393,'GA Arroyo'!K393)</f>
        <v>48879.4</v>
      </c>
      <c r="C393">
        <f>MIN('GA Arroyo'!O393, 'GA Arroyo'!R393, 'GA Arroyo'!U393, 'GA Arroyo'!X393)</f>
        <v>54986.9</v>
      </c>
      <c r="D393">
        <f>MIN('GA Arroyo'!AB393, 'GA Arroyo'!AE393, 'GA Arroyo'!AH393, 'GA Arroyo'!AK393)</f>
        <v>48497.1</v>
      </c>
      <c r="E393">
        <f>MIN('GA Arroyo'!AO393, 'GA Arroyo'!AR393, 'GA Arroyo'!AU393, 'GA Arroyo'!AX393)</f>
        <v>53604.5</v>
      </c>
      <c r="G393" s="45">
        <f t="shared" si="34"/>
        <v>48497.1</v>
      </c>
      <c r="I393" s="49">
        <f t="shared" si="35"/>
        <v>0.78829455781892721</v>
      </c>
      <c r="J393" s="49">
        <f t="shared" si="36"/>
        <v>13.381831078559342</v>
      </c>
      <c r="K393" s="49">
        <f t="shared" si="37"/>
        <v>0</v>
      </c>
      <c r="L393" s="49">
        <f t="shared" si="38"/>
        <v>10.531351359153437</v>
      </c>
      <c r="T393" s="49">
        <f>(100*('GA Arroyo'!AO393-E393))/E393</f>
        <v>43.902284323144521</v>
      </c>
      <c r="U393" s="49">
        <f>(100*('GA Arroyo'!AR393-E393))/E393</f>
        <v>0.57383242078556562</v>
      </c>
      <c r="V393" s="49">
        <f>(100*('GA Arroyo'!AU393-E393))/E393</f>
        <v>0.35108992715163295</v>
      </c>
      <c r="W393" s="49">
        <f>(100*('GA Arroyo'!AX393-E393))/E393</f>
        <v>0</v>
      </c>
    </row>
    <row r="394" spans="2:23" ht="15" customHeight="1">
      <c r="B394">
        <f>MIN('GA Arroyo'!B394,'GA Arroyo'!E394,'GA Arroyo'!H394,'GA Arroyo'!K394)</f>
        <v>58385.599999999999</v>
      </c>
      <c r="C394">
        <f>MIN('GA Arroyo'!O394, 'GA Arroyo'!R394, 'GA Arroyo'!U394, 'GA Arroyo'!X394)</f>
        <v>76901.3</v>
      </c>
      <c r="D394">
        <f>MIN('GA Arroyo'!AB394, 'GA Arroyo'!AE394, 'GA Arroyo'!AH394, 'GA Arroyo'!AK394)</f>
        <v>66959.399999999994</v>
      </c>
      <c r="E394">
        <f>MIN('GA Arroyo'!AO394, 'GA Arroyo'!AR394, 'GA Arroyo'!AU394, 'GA Arroyo'!AX394)</f>
        <v>64590.1</v>
      </c>
      <c r="G394" s="45">
        <f t="shared" si="34"/>
        <v>58385.599999999999</v>
      </c>
      <c r="I394" s="49">
        <f t="shared" si="35"/>
        <v>0</v>
      </c>
      <c r="J394" s="49">
        <f t="shared" si="36"/>
        <v>31.712785344331486</v>
      </c>
      <c r="K394" s="49">
        <f t="shared" si="37"/>
        <v>14.684785289523436</v>
      </c>
      <c r="L394" s="49">
        <f t="shared" si="38"/>
        <v>10.62676413362199</v>
      </c>
      <c r="T394" s="49">
        <f>(100*('GA Arroyo'!AO394-E394))/E394</f>
        <v>7.6784213060515576</v>
      </c>
      <c r="U394" s="49">
        <f>(100*('GA Arroyo'!AR394-E394))/E394</f>
        <v>0</v>
      </c>
      <c r="V394" s="49">
        <f>(100*('GA Arroyo'!AU394-E394))/E394</f>
        <v>1.9507633522784564</v>
      </c>
      <c r="W394" s="49">
        <f>(100*('GA Arroyo'!AX394-E394))/E394</f>
        <v>22.64464678023413</v>
      </c>
    </row>
    <row r="395" spans="2:23" ht="15" customHeight="1">
      <c r="B395">
        <f>MIN('GA Arroyo'!B395,'GA Arroyo'!E395,'GA Arroyo'!H395,'GA Arroyo'!K395)</f>
        <v>61126.3</v>
      </c>
      <c r="C395">
        <f>MIN('GA Arroyo'!O395, 'GA Arroyo'!R395, 'GA Arroyo'!U395, 'GA Arroyo'!X395)</f>
        <v>62588.2</v>
      </c>
      <c r="D395">
        <f>MIN('GA Arroyo'!AB395, 'GA Arroyo'!AE395, 'GA Arroyo'!AH395, 'GA Arroyo'!AK395)</f>
        <v>62350.1</v>
      </c>
      <c r="E395">
        <f>MIN('GA Arroyo'!AO395, 'GA Arroyo'!AR395, 'GA Arroyo'!AU395, 'GA Arroyo'!AX395)</f>
        <v>56978.3</v>
      </c>
      <c r="G395" s="45">
        <f t="shared" si="34"/>
        <v>56978.3</v>
      </c>
      <c r="I395" s="49">
        <f t="shared" si="35"/>
        <v>7.2799644777046693</v>
      </c>
      <c r="J395" s="49">
        <f t="shared" si="36"/>
        <v>9.8456780914839399</v>
      </c>
      <c r="K395" s="49">
        <f t="shared" si="37"/>
        <v>9.4277997062039329</v>
      </c>
      <c r="L395" s="49">
        <f t="shared" si="38"/>
        <v>0</v>
      </c>
      <c r="T395" s="49">
        <f>(100*('GA Arroyo'!AO395-E395))/E395</f>
        <v>44.752826953419095</v>
      </c>
      <c r="U395" s="49">
        <f>(100*('GA Arroyo'!AR395-E395))/E395</f>
        <v>10.051545939419038</v>
      </c>
      <c r="V395" s="49">
        <f>(100*('GA Arroyo'!AU395-E395))/E395</f>
        <v>0</v>
      </c>
      <c r="W395" s="49">
        <f>(100*('GA Arroyo'!AX395-E395))/E395</f>
        <v>11.491392337082711</v>
      </c>
    </row>
    <row r="396" spans="2:23" ht="15" customHeight="1">
      <c r="B396">
        <f>MIN('GA Arroyo'!B396,'GA Arroyo'!E396,'GA Arroyo'!H396,'GA Arroyo'!K396)</f>
        <v>50646.1</v>
      </c>
      <c r="C396">
        <f>MIN('GA Arroyo'!O396, 'GA Arroyo'!R396, 'GA Arroyo'!U396, 'GA Arroyo'!X396)</f>
        <v>51584</v>
      </c>
      <c r="D396">
        <f>MIN('GA Arroyo'!AB396, 'GA Arroyo'!AE396, 'GA Arroyo'!AH396, 'GA Arroyo'!AK396)</f>
        <v>50088.5</v>
      </c>
      <c r="E396">
        <f>MIN('GA Arroyo'!AO396, 'GA Arroyo'!AR396, 'GA Arroyo'!AU396, 'GA Arroyo'!AX396)</f>
        <v>48548.800000000003</v>
      </c>
      <c r="G396" s="45">
        <f t="shared" si="34"/>
        <v>48548.800000000003</v>
      </c>
      <c r="I396" s="49">
        <f t="shared" si="35"/>
        <v>4.3199831921695191</v>
      </c>
      <c r="J396" s="49">
        <f t="shared" si="36"/>
        <v>6.2518538048314207</v>
      </c>
      <c r="K396" s="49">
        <f t="shared" si="37"/>
        <v>3.171448109942979</v>
      </c>
      <c r="L396" s="49">
        <f t="shared" si="38"/>
        <v>0</v>
      </c>
      <c r="T396" s="49">
        <f>(100*('GA Arroyo'!AO396-E396))/E396</f>
        <v>15.428599677025989</v>
      </c>
      <c r="U396" s="49">
        <f>(100*('GA Arroyo'!AR396-E396))/E396</f>
        <v>7.9361384833404616</v>
      </c>
      <c r="V396" s="49">
        <f>(100*('GA Arroyo'!AU396-E396))/E396</f>
        <v>5.7088949675378151</v>
      </c>
      <c r="W396" s="49">
        <f>(100*('GA Arroyo'!AX396-E396))/E396</f>
        <v>0</v>
      </c>
    </row>
    <row r="397" spans="2:23" ht="15" customHeight="1">
      <c r="B397">
        <f>MIN('GA Arroyo'!B397,'GA Arroyo'!E397,'GA Arroyo'!H397,'GA Arroyo'!K397)</f>
        <v>68991.199999999997</v>
      </c>
      <c r="C397">
        <f>MIN('GA Arroyo'!O397, 'GA Arroyo'!R397, 'GA Arroyo'!U397, 'GA Arroyo'!X397)</f>
        <v>58456.9</v>
      </c>
      <c r="D397">
        <f>MIN('GA Arroyo'!AB397, 'GA Arroyo'!AE397, 'GA Arroyo'!AH397, 'GA Arroyo'!AK397)</f>
        <v>64458.6</v>
      </c>
      <c r="E397">
        <f>MIN('GA Arroyo'!AO397, 'GA Arroyo'!AR397, 'GA Arroyo'!AU397, 'GA Arroyo'!AX397)</f>
        <v>63794.8</v>
      </c>
      <c r="G397" s="45">
        <f t="shared" si="34"/>
        <v>58456.9</v>
      </c>
      <c r="I397" s="49">
        <f t="shared" si="35"/>
        <v>18.020627162918313</v>
      </c>
      <c r="J397" s="49">
        <f t="shared" si="36"/>
        <v>0</v>
      </c>
      <c r="K397" s="49">
        <f t="shared" si="37"/>
        <v>10.266880385377942</v>
      </c>
      <c r="L397" s="49">
        <f t="shared" si="38"/>
        <v>9.131342921023867</v>
      </c>
      <c r="T397" s="49">
        <f>(100*('GA Arroyo'!AO397-E397))/E397</f>
        <v>0</v>
      </c>
      <c r="U397" s="49">
        <f>(100*('GA Arroyo'!AR397-E397))/E397</f>
        <v>1.056198937844457</v>
      </c>
      <c r="V397" s="49">
        <f>(100*('GA Arroyo'!AU397-E397))/E397</f>
        <v>3.4990312690062466</v>
      </c>
      <c r="W397" s="49">
        <f>(100*('GA Arroyo'!AX397-E397))/E397</f>
        <v>2.6605616758732618</v>
      </c>
    </row>
    <row r="398" spans="2:23" ht="15" customHeight="1">
      <c r="B398">
        <f>MIN('GA Arroyo'!B398,'GA Arroyo'!E398,'GA Arroyo'!H398,'GA Arroyo'!K398)</f>
        <v>58524.800000000003</v>
      </c>
      <c r="C398">
        <f>MIN('GA Arroyo'!O398, 'GA Arroyo'!R398, 'GA Arroyo'!U398, 'GA Arroyo'!X398)</f>
        <v>58187.1</v>
      </c>
      <c r="D398">
        <f>MIN('GA Arroyo'!AB398, 'GA Arroyo'!AE398, 'GA Arroyo'!AH398, 'GA Arroyo'!AK398)</f>
        <v>57031.8</v>
      </c>
      <c r="E398">
        <f>MIN('GA Arroyo'!AO398, 'GA Arroyo'!AR398, 'GA Arroyo'!AU398, 'GA Arroyo'!AX398)</f>
        <v>51172.6</v>
      </c>
      <c r="G398" s="45">
        <f t="shared" si="34"/>
        <v>51172.6</v>
      </c>
      <c r="I398" s="49">
        <f t="shared" si="35"/>
        <v>14.367454458049826</v>
      </c>
      <c r="J398" s="49">
        <f t="shared" si="36"/>
        <v>13.707530983377824</v>
      </c>
      <c r="K398" s="49">
        <f t="shared" si="37"/>
        <v>11.449877473491682</v>
      </c>
      <c r="L398" s="49">
        <f t="shared" si="38"/>
        <v>0</v>
      </c>
      <c r="T398" s="49">
        <f>(100*('GA Arroyo'!AO398-E398))/E398</f>
        <v>13.515826829201568</v>
      </c>
      <c r="U398" s="49">
        <f>(100*('GA Arroyo'!AR398-E398))/E398</f>
        <v>29.670175054619087</v>
      </c>
      <c r="V398" s="49">
        <f>(100*('GA Arroyo'!AU398-E398))/E398</f>
        <v>0</v>
      </c>
      <c r="W398" s="49">
        <f>(100*('GA Arroyo'!AX398-E398))/E398</f>
        <v>23.54619464322705</v>
      </c>
    </row>
    <row r="399" spans="2:23" ht="15" customHeight="1">
      <c r="B399">
        <f>MIN('GA Arroyo'!B399,'GA Arroyo'!E399,'GA Arroyo'!H399,'GA Arroyo'!K399)</f>
        <v>53937.1</v>
      </c>
      <c r="C399">
        <f>MIN('GA Arroyo'!O399, 'GA Arroyo'!R399, 'GA Arroyo'!U399, 'GA Arroyo'!X399)</f>
        <v>51781.8</v>
      </c>
      <c r="D399">
        <f>MIN('GA Arroyo'!AB399, 'GA Arroyo'!AE399, 'GA Arroyo'!AH399, 'GA Arroyo'!AK399)</f>
        <v>51354.3</v>
      </c>
      <c r="E399">
        <f>MIN('GA Arroyo'!AO399, 'GA Arroyo'!AR399, 'GA Arroyo'!AU399, 'GA Arroyo'!AX399)</f>
        <v>51372.2</v>
      </c>
      <c r="G399" s="45">
        <f t="shared" si="34"/>
        <v>51354.3</v>
      </c>
      <c r="I399" s="49">
        <f t="shared" si="35"/>
        <v>5.029374365924558</v>
      </c>
      <c r="J399" s="49">
        <f t="shared" si="36"/>
        <v>0.83245219971842666</v>
      </c>
      <c r="K399" s="49">
        <f t="shared" si="37"/>
        <v>0</v>
      </c>
      <c r="L399" s="49">
        <f t="shared" si="38"/>
        <v>3.4855893274748521E-2</v>
      </c>
      <c r="T399" s="49">
        <f>(100*('GA Arroyo'!AO399-E399))/E399</f>
        <v>21.326709776883217</v>
      </c>
      <c r="U399" s="49">
        <f>(100*('GA Arroyo'!AR399-E399))/E399</f>
        <v>9.9509073000572297</v>
      </c>
      <c r="V399" s="49">
        <f>(100*('GA Arroyo'!AU399-E399))/E399</f>
        <v>5.6450765199855182</v>
      </c>
      <c r="W399" s="49">
        <f>(100*('GA Arroyo'!AX399-E399))/E399</f>
        <v>0</v>
      </c>
    </row>
    <row r="400" spans="2:23" ht="15" customHeight="1">
      <c r="B400">
        <f>MIN('GA Arroyo'!B400,'GA Arroyo'!E400,'GA Arroyo'!H400,'GA Arroyo'!K400)</f>
        <v>48270.2</v>
      </c>
      <c r="C400">
        <f>MIN('GA Arroyo'!O400, 'GA Arroyo'!R400, 'GA Arroyo'!U400, 'GA Arroyo'!X400)</f>
        <v>47622.3</v>
      </c>
      <c r="D400">
        <f>MIN('GA Arroyo'!AB400, 'GA Arroyo'!AE400, 'GA Arroyo'!AH400, 'GA Arroyo'!AK400)</f>
        <v>47587</v>
      </c>
      <c r="E400">
        <f>MIN('GA Arroyo'!AO400, 'GA Arroyo'!AR400, 'GA Arroyo'!AU400, 'GA Arroyo'!AX400)</f>
        <v>44096.4</v>
      </c>
      <c r="G400" s="45">
        <f t="shared" si="34"/>
        <v>44096.4</v>
      </c>
      <c r="I400" s="49">
        <f t="shared" si="35"/>
        <v>9.4651717600529643</v>
      </c>
      <c r="J400" s="49">
        <f t="shared" si="36"/>
        <v>7.9958908210194055</v>
      </c>
      <c r="K400" s="49">
        <f t="shared" si="37"/>
        <v>7.9158389346976143</v>
      </c>
      <c r="L400" s="49">
        <f t="shared" si="38"/>
        <v>0</v>
      </c>
      <c r="T400" s="49">
        <f>(100*('GA Arroyo'!AO400-E400))/E400</f>
        <v>64.832276557723546</v>
      </c>
      <c r="U400" s="49">
        <f>(100*('GA Arroyo'!AR400-E400))/E400</f>
        <v>12.435255485708584</v>
      </c>
      <c r="V400" s="49">
        <f>(100*('GA Arroyo'!AU400-E400))/E400</f>
        <v>6.1313395197793854</v>
      </c>
      <c r="W400" s="49">
        <f>(100*('GA Arroyo'!AX400-E400))/E400</f>
        <v>0</v>
      </c>
    </row>
    <row r="401" spans="2:23" ht="15" customHeight="1">
      <c r="B401">
        <f>MIN('GA Arroyo'!B401,'GA Arroyo'!E401,'GA Arroyo'!H401,'GA Arroyo'!K401)</f>
        <v>54804.6</v>
      </c>
      <c r="C401">
        <f>MIN('GA Arroyo'!O401, 'GA Arroyo'!R401, 'GA Arroyo'!U401, 'GA Arroyo'!X401)</f>
        <v>51956.1</v>
      </c>
      <c r="D401">
        <f>MIN('GA Arroyo'!AB401, 'GA Arroyo'!AE401, 'GA Arroyo'!AH401, 'GA Arroyo'!AK401)</f>
        <v>43503.1</v>
      </c>
      <c r="E401">
        <f>MIN('GA Arroyo'!AO401, 'GA Arroyo'!AR401, 'GA Arroyo'!AU401, 'GA Arroyo'!AX401)</f>
        <v>50703.199999999997</v>
      </c>
      <c r="G401" s="45">
        <f t="shared" si="34"/>
        <v>43503.1</v>
      </c>
      <c r="I401" s="49">
        <f t="shared" si="35"/>
        <v>25.978608421009078</v>
      </c>
      <c r="J401" s="49">
        <f t="shared" si="36"/>
        <v>19.43079918442594</v>
      </c>
      <c r="K401" s="49">
        <f t="shared" si="37"/>
        <v>0</v>
      </c>
      <c r="L401" s="49">
        <f t="shared" si="38"/>
        <v>16.550774542503866</v>
      </c>
      <c r="T401" s="49">
        <f>(100*('GA Arroyo'!AO401-E401))/E401</f>
        <v>0</v>
      </c>
      <c r="U401" s="49">
        <f>(100*('GA Arroyo'!AR401-E401))/E401</f>
        <v>2.1813218889537547</v>
      </c>
      <c r="V401" s="49">
        <f>(100*('GA Arroyo'!AU401-E401))/E401</f>
        <v>23.580957414916618</v>
      </c>
      <c r="W401" s="49">
        <f>(100*('GA Arroyo'!AX401-E401))/E401</f>
        <v>34.15366288518279</v>
      </c>
    </row>
    <row r="402" spans="2:23" ht="15" customHeight="1">
      <c r="B402">
        <f>MIN('GA Arroyo'!B402,'GA Arroyo'!E402,'GA Arroyo'!H402,'GA Arroyo'!K402)</f>
        <v>53547.6</v>
      </c>
      <c r="C402">
        <f>MIN('GA Arroyo'!O402, 'GA Arroyo'!R402, 'GA Arroyo'!U402, 'GA Arroyo'!X402)</f>
        <v>60022.6</v>
      </c>
      <c r="D402">
        <f>MIN('GA Arroyo'!AB402, 'GA Arroyo'!AE402, 'GA Arroyo'!AH402, 'GA Arroyo'!AK402)</f>
        <v>48576.7</v>
      </c>
      <c r="E402">
        <f>MIN('GA Arroyo'!AO402, 'GA Arroyo'!AR402, 'GA Arroyo'!AU402, 'GA Arroyo'!AX402)</f>
        <v>56445</v>
      </c>
      <c r="G402" s="45">
        <f t="shared" si="34"/>
        <v>48576.7</v>
      </c>
      <c r="I402" s="49">
        <f t="shared" si="35"/>
        <v>10.233095290540529</v>
      </c>
      <c r="J402" s="49">
        <f t="shared" si="36"/>
        <v>23.562531007664173</v>
      </c>
      <c r="K402" s="49">
        <f t="shared" si="37"/>
        <v>0</v>
      </c>
      <c r="L402" s="49">
        <f t="shared" si="38"/>
        <v>16.197683251435365</v>
      </c>
      <c r="T402" s="49">
        <f>(100*('GA Arroyo'!AO402-E402))/E402</f>
        <v>24.561608645584201</v>
      </c>
      <c r="U402" s="49">
        <f>(100*('GA Arroyo'!AR402-E402))/E402</f>
        <v>0</v>
      </c>
      <c r="V402" s="49">
        <f>(100*('GA Arroyo'!AU402-E402))/E402</f>
        <v>11.288510939852959</v>
      </c>
      <c r="W402" s="49">
        <f>(100*('GA Arroyo'!AX402-E402))/E402</f>
        <v>30.554344937549818</v>
      </c>
    </row>
    <row r="403" spans="2:23" ht="15" customHeight="1">
      <c r="B403">
        <f>MIN('GA Arroyo'!B403,'GA Arroyo'!E403,'GA Arroyo'!H403,'GA Arroyo'!K403)</f>
        <v>49659.9</v>
      </c>
      <c r="C403">
        <f>MIN('GA Arroyo'!O403, 'GA Arroyo'!R403, 'GA Arroyo'!U403, 'GA Arroyo'!X403)</f>
        <v>47653.3</v>
      </c>
      <c r="D403">
        <f>MIN('GA Arroyo'!AB403, 'GA Arroyo'!AE403, 'GA Arroyo'!AH403, 'GA Arroyo'!AK403)</f>
        <v>50171.9</v>
      </c>
      <c r="E403">
        <f>MIN('GA Arroyo'!AO403, 'GA Arroyo'!AR403, 'GA Arroyo'!AU403, 'GA Arroyo'!AX403)</f>
        <v>48040.5</v>
      </c>
      <c r="G403" s="45">
        <f t="shared" si="34"/>
        <v>47653.3</v>
      </c>
      <c r="I403" s="49">
        <f t="shared" si="35"/>
        <v>4.2108311491544095</v>
      </c>
      <c r="J403" s="49">
        <f t="shared" si="36"/>
        <v>0</v>
      </c>
      <c r="K403" s="49">
        <f t="shared" si="37"/>
        <v>5.285258313694956</v>
      </c>
      <c r="L403" s="49">
        <f t="shared" si="38"/>
        <v>0.81253554318378174</v>
      </c>
      <c r="T403" s="49">
        <f>(100*('GA Arroyo'!AO403-E403))/E403</f>
        <v>15.725065309478463</v>
      </c>
      <c r="U403" s="49">
        <f>(100*('GA Arroyo'!AR403-E403))/E403</f>
        <v>6.6393980079308061</v>
      </c>
      <c r="V403" s="49">
        <f>(100*('GA Arroyo'!AU403-E403))/E403</f>
        <v>0</v>
      </c>
      <c r="W403" s="49">
        <f>(100*('GA Arroyo'!AX403-E403))/E403</f>
        <v>1.3257563930433727</v>
      </c>
    </row>
    <row r="404" spans="2:23" ht="15" customHeight="1">
      <c r="B404">
        <f>MIN('GA Arroyo'!B404,'GA Arroyo'!E404,'GA Arroyo'!H404,'GA Arroyo'!K404)</f>
        <v>57243.199999999997</v>
      </c>
      <c r="C404">
        <f>MIN('GA Arroyo'!O404, 'GA Arroyo'!R404, 'GA Arroyo'!U404, 'GA Arroyo'!X404)</f>
        <v>49586.2</v>
      </c>
      <c r="D404">
        <f>MIN('GA Arroyo'!AB404, 'GA Arroyo'!AE404, 'GA Arroyo'!AH404, 'GA Arroyo'!AK404)</f>
        <v>47163.7</v>
      </c>
      <c r="E404">
        <f>MIN('GA Arroyo'!AO404, 'GA Arroyo'!AR404, 'GA Arroyo'!AU404, 'GA Arroyo'!AX404)</f>
        <v>55949.7</v>
      </c>
      <c r="G404" s="45">
        <f t="shared" si="34"/>
        <v>47163.7</v>
      </c>
      <c r="I404" s="49">
        <f t="shared" si="35"/>
        <v>21.371308866776779</v>
      </c>
      <c r="J404" s="49">
        <f t="shared" si="36"/>
        <v>5.1363654675099708</v>
      </c>
      <c r="K404" s="49">
        <f t="shared" si="37"/>
        <v>0</v>
      </c>
      <c r="L404" s="49">
        <f t="shared" si="38"/>
        <v>18.628733538717277</v>
      </c>
      <c r="T404" s="49">
        <f>(100*('GA Arroyo'!AO404-E404))/E404</f>
        <v>2.7287009581820891</v>
      </c>
      <c r="U404" s="49">
        <f>(100*('GA Arroyo'!AR404-E404))/E404</f>
        <v>37.874555180814191</v>
      </c>
      <c r="V404" s="49">
        <f>(100*('GA Arroyo'!AU404-E404))/E404</f>
        <v>48.973452940766443</v>
      </c>
      <c r="W404" s="49">
        <f>(100*('GA Arroyo'!AX404-E404))/E404</f>
        <v>0</v>
      </c>
    </row>
    <row r="405" spans="2:23" ht="15" customHeight="1">
      <c r="B405">
        <f>MIN('GA Arroyo'!B405,'GA Arroyo'!E405,'GA Arroyo'!H405,'GA Arroyo'!K405)</f>
        <v>49924.800000000003</v>
      </c>
      <c r="C405">
        <f>MIN('GA Arroyo'!O405, 'GA Arroyo'!R405, 'GA Arroyo'!U405, 'GA Arroyo'!X405)</f>
        <v>45250.6</v>
      </c>
      <c r="D405">
        <f>MIN('GA Arroyo'!AB405, 'GA Arroyo'!AE405, 'GA Arroyo'!AH405, 'GA Arroyo'!AK405)</f>
        <v>45164.9</v>
      </c>
      <c r="E405">
        <f>MIN('GA Arroyo'!AO405, 'GA Arroyo'!AR405, 'GA Arroyo'!AU405, 'GA Arroyo'!AX405)</f>
        <v>42882.8</v>
      </c>
      <c r="G405" s="45">
        <f t="shared" si="34"/>
        <v>42882.8</v>
      </c>
      <c r="I405" s="49">
        <f t="shared" si="35"/>
        <v>16.421502327273405</v>
      </c>
      <c r="J405" s="49">
        <f t="shared" si="36"/>
        <v>5.5215610920928562</v>
      </c>
      <c r="K405" s="49">
        <f t="shared" si="37"/>
        <v>5.3217140671784451</v>
      </c>
      <c r="L405" s="49">
        <f t="shared" si="38"/>
        <v>0</v>
      </c>
      <c r="T405" s="49">
        <f>(100*('GA Arroyo'!AO405-E405))/E405</f>
        <v>34.809294169224017</v>
      </c>
      <c r="U405" s="49">
        <f>(100*('GA Arroyo'!AR405-E405))/E405</f>
        <v>9.7897058960702168</v>
      </c>
      <c r="V405" s="49">
        <f>(100*('GA Arroyo'!AU405-E405))/E405</f>
        <v>23.615762030464424</v>
      </c>
      <c r="W405" s="49">
        <f>(100*('GA Arroyo'!AX405-E405))/E405</f>
        <v>0</v>
      </c>
    </row>
    <row r="406" spans="2:23" ht="15" customHeight="1">
      <c r="B406">
        <f>MIN('GA Arroyo'!B406,'GA Arroyo'!E406,'GA Arroyo'!H406,'GA Arroyo'!K406)</f>
        <v>59202.400000000001</v>
      </c>
      <c r="C406">
        <f>MIN('GA Arroyo'!O406, 'GA Arroyo'!R406, 'GA Arroyo'!U406, 'GA Arroyo'!X406)</f>
        <v>65031.1</v>
      </c>
      <c r="D406">
        <f>MIN('GA Arroyo'!AB406, 'GA Arroyo'!AE406, 'GA Arroyo'!AH406, 'GA Arroyo'!AK406)</f>
        <v>58107.1</v>
      </c>
      <c r="E406">
        <f>MIN('GA Arroyo'!AO406, 'GA Arroyo'!AR406, 'GA Arroyo'!AU406, 'GA Arroyo'!AX406)</f>
        <v>61257.5</v>
      </c>
      <c r="G406" s="45">
        <f t="shared" si="34"/>
        <v>58107.1</v>
      </c>
      <c r="I406" s="49">
        <f t="shared" si="35"/>
        <v>1.8849675857167247</v>
      </c>
      <c r="J406" s="49">
        <f t="shared" si="36"/>
        <v>11.91592765772169</v>
      </c>
      <c r="K406" s="49">
        <f t="shared" si="37"/>
        <v>0</v>
      </c>
      <c r="L406" s="49">
        <f t="shared" si="38"/>
        <v>5.4217126650615866</v>
      </c>
      <c r="T406" s="49">
        <f>(100*('GA Arroyo'!AO406-E406))/E406</f>
        <v>0</v>
      </c>
      <c r="U406" s="49">
        <f>(100*('GA Arroyo'!AR406-E406))/E406</f>
        <v>0.81998122678856122</v>
      </c>
      <c r="V406" s="49">
        <f>(100*('GA Arroyo'!AU406-E406))/E406</f>
        <v>5.0041219442517262</v>
      </c>
      <c r="W406" s="49">
        <f>(100*('GA Arroyo'!AX406-E406))/E406</f>
        <v>0.32224625556054598</v>
      </c>
    </row>
    <row r="407" spans="2:23" ht="15" customHeight="1">
      <c r="B407">
        <f>MIN('GA Arroyo'!B407,'GA Arroyo'!E407,'GA Arroyo'!H407,'GA Arroyo'!K407)</f>
        <v>43550.1</v>
      </c>
      <c r="C407">
        <f>MIN('GA Arroyo'!O407, 'GA Arroyo'!R407, 'GA Arroyo'!U407, 'GA Arroyo'!X407)</f>
        <v>42052.7</v>
      </c>
      <c r="D407">
        <f>MIN('GA Arroyo'!AB407, 'GA Arroyo'!AE407, 'GA Arroyo'!AH407, 'GA Arroyo'!AK407)</f>
        <v>43177.9</v>
      </c>
      <c r="E407">
        <f>MIN('GA Arroyo'!AO407, 'GA Arroyo'!AR407, 'GA Arroyo'!AU407, 'GA Arroyo'!AX407)</f>
        <v>45002.8</v>
      </c>
      <c r="G407" s="45">
        <f t="shared" si="34"/>
        <v>42052.7</v>
      </c>
      <c r="I407" s="49">
        <f t="shared" si="35"/>
        <v>3.5607701764690534</v>
      </c>
      <c r="J407" s="49">
        <f t="shared" si="36"/>
        <v>0</v>
      </c>
      <c r="K407" s="49">
        <f t="shared" si="37"/>
        <v>2.675690264834373</v>
      </c>
      <c r="L407" s="49">
        <f t="shared" si="38"/>
        <v>7.0152451566724752</v>
      </c>
      <c r="T407" s="49">
        <f>(100*('GA Arroyo'!AO407-E407))/E407</f>
        <v>6.9504564160452107</v>
      </c>
      <c r="U407" s="49">
        <f>(100*('GA Arroyo'!AR407-E407))/E407</f>
        <v>13.387833645906463</v>
      </c>
      <c r="V407" s="49">
        <f>(100*('GA Arroyo'!AU407-E407))/E407</f>
        <v>2.2689699307598605</v>
      </c>
      <c r="W407" s="49">
        <f>(100*('GA Arroyo'!AX407-E407))/E407</f>
        <v>0</v>
      </c>
    </row>
    <row r="408" spans="2:23" ht="15" customHeight="1">
      <c r="B408">
        <f>MIN('GA Arroyo'!B408,'GA Arroyo'!E408,'GA Arroyo'!H408,'GA Arroyo'!K408)</f>
        <v>51522.9</v>
      </c>
      <c r="C408">
        <f>MIN('GA Arroyo'!O408, 'GA Arroyo'!R408, 'GA Arroyo'!U408, 'GA Arroyo'!X408)</f>
        <v>49176.800000000003</v>
      </c>
      <c r="D408">
        <f>MIN('GA Arroyo'!AB408, 'GA Arroyo'!AE408, 'GA Arroyo'!AH408, 'GA Arroyo'!AK408)</f>
        <v>52685.5</v>
      </c>
      <c r="E408">
        <f>MIN('GA Arroyo'!AO408, 'GA Arroyo'!AR408, 'GA Arroyo'!AU408, 'GA Arroyo'!AX408)</f>
        <v>52983.8</v>
      </c>
      <c r="G408" s="45">
        <f t="shared" si="34"/>
        <v>49176.800000000003</v>
      </c>
      <c r="I408" s="49">
        <f t="shared" si="35"/>
        <v>4.7707455548144617</v>
      </c>
      <c r="J408" s="49">
        <f t="shared" si="36"/>
        <v>0</v>
      </c>
      <c r="K408" s="49">
        <f t="shared" si="37"/>
        <v>7.134868474565236</v>
      </c>
      <c r="L408" s="49">
        <f t="shared" si="38"/>
        <v>7.7414553203949827</v>
      </c>
      <c r="T408" s="49">
        <f>(100*('GA Arroyo'!AO408-E408))/E408</f>
        <v>33.353213623786893</v>
      </c>
      <c r="U408" s="49">
        <f>(100*('GA Arroyo'!AR408-E408))/E408</f>
        <v>150.64453663195164</v>
      </c>
      <c r="V408" s="49">
        <f>(100*('GA Arroyo'!AU408-E408))/E408</f>
        <v>88.390979884417476</v>
      </c>
      <c r="W408" s="49">
        <f>(100*('GA Arroyo'!AX408-E408))/E408</f>
        <v>0</v>
      </c>
    </row>
    <row r="409" spans="2:23" ht="15" customHeight="1">
      <c r="B409">
        <f>MIN('GA Arroyo'!B409,'GA Arroyo'!E409,'GA Arroyo'!H409,'GA Arroyo'!K409)</f>
        <v>40471.4</v>
      </c>
      <c r="C409">
        <f>MIN('GA Arroyo'!O409, 'GA Arroyo'!R409, 'GA Arroyo'!U409, 'GA Arroyo'!X409)</f>
        <v>38664</v>
      </c>
      <c r="D409">
        <f>MIN('GA Arroyo'!AB409, 'GA Arroyo'!AE409, 'GA Arroyo'!AH409, 'GA Arroyo'!AK409)</f>
        <v>40483.699999999997</v>
      </c>
      <c r="E409">
        <f>MIN('GA Arroyo'!AO409, 'GA Arroyo'!AR409, 'GA Arroyo'!AU409, 'GA Arroyo'!AX409)</f>
        <v>39839.9</v>
      </c>
      <c r="G409" s="45">
        <f t="shared" si="34"/>
        <v>38664</v>
      </c>
      <c r="I409" s="49">
        <f t="shared" si="35"/>
        <v>4.6746327332919551</v>
      </c>
      <c r="J409" s="49">
        <f t="shared" si="36"/>
        <v>0</v>
      </c>
      <c r="K409" s="49">
        <f t="shared" si="37"/>
        <v>4.7064452720877226</v>
      </c>
      <c r="L409" s="49">
        <f t="shared" si="38"/>
        <v>3.0413304365818372</v>
      </c>
      <c r="T409" s="49">
        <f>(100*('GA Arroyo'!AO409-E409))/E409</f>
        <v>0</v>
      </c>
      <c r="U409" s="49">
        <f>(100*('GA Arroyo'!AR409-E409))/E409</f>
        <v>55.165801118978713</v>
      </c>
      <c r="V409" s="49">
        <f>(100*('GA Arroyo'!AU409-E409))/E409</f>
        <v>4.0429318346682521</v>
      </c>
      <c r="W409" s="49">
        <f>(100*('GA Arroyo'!AX409-E409))/E409</f>
        <v>44.096998235437333</v>
      </c>
    </row>
    <row r="410" spans="2:23" ht="15" customHeight="1">
      <c r="B410">
        <f>MIN('GA Arroyo'!B410,'GA Arroyo'!E410,'GA Arroyo'!H410,'GA Arroyo'!K410)</f>
        <v>49890.3</v>
      </c>
      <c r="C410">
        <f>MIN('GA Arroyo'!O410, 'GA Arroyo'!R410, 'GA Arroyo'!U410, 'GA Arroyo'!X410)</f>
        <v>50725.5</v>
      </c>
      <c r="D410">
        <f>MIN('GA Arroyo'!AB410, 'GA Arroyo'!AE410, 'GA Arroyo'!AH410, 'GA Arroyo'!AK410)</f>
        <v>47654.9</v>
      </c>
      <c r="E410">
        <f>MIN('GA Arroyo'!AO410, 'GA Arroyo'!AR410, 'GA Arroyo'!AU410, 'GA Arroyo'!AX410)</f>
        <v>49352.7</v>
      </c>
      <c r="G410" s="45">
        <f t="shared" si="34"/>
        <v>47654.9</v>
      </c>
      <c r="I410" s="49">
        <f t="shared" si="35"/>
        <v>4.6908082904381319</v>
      </c>
      <c r="J410" s="49">
        <f t="shared" si="36"/>
        <v>6.4434087575464405</v>
      </c>
      <c r="K410" s="49">
        <f t="shared" si="37"/>
        <v>0</v>
      </c>
      <c r="L410" s="49">
        <f t="shared" si="38"/>
        <v>3.5626976449431131</v>
      </c>
      <c r="T410" s="49">
        <f>(100*('GA Arroyo'!AO410-E410))/E410</f>
        <v>1.719865377172886</v>
      </c>
      <c r="U410" s="49">
        <f>(100*('GA Arroyo'!AR410-E410))/E410</f>
        <v>0</v>
      </c>
      <c r="V410" s="49">
        <f>(100*('GA Arroyo'!AU410-E410))/E410</f>
        <v>75.427686833749732</v>
      </c>
      <c r="W410" s="49">
        <f>(100*('GA Arroyo'!AX410-E410))/E410</f>
        <v>39.268976165437763</v>
      </c>
    </row>
    <row r="411" spans="2:23" ht="15" customHeight="1">
      <c r="B411">
        <f>MIN('GA Arroyo'!B411,'GA Arroyo'!E411,'GA Arroyo'!H411,'GA Arroyo'!K411)</f>
        <v>69824.100000000006</v>
      </c>
      <c r="C411">
        <f>MIN('GA Arroyo'!O411, 'GA Arroyo'!R411, 'GA Arroyo'!U411, 'GA Arroyo'!X411)</f>
        <v>74546.3</v>
      </c>
      <c r="D411">
        <f>MIN('GA Arroyo'!AB411, 'GA Arroyo'!AE411, 'GA Arroyo'!AH411, 'GA Arroyo'!AK411)</f>
        <v>70609.399999999994</v>
      </c>
      <c r="E411">
        <f>MIN('GA Arroyo'!AO411, 'GA Arroyo'!AR411, 'GA Arroyo'!AU411, 'GA Arroyo'!AX411)</f>
        <v>72929.899999999994</v>
      </c>
      <c r="G411" s="45">
        <f t="shared" si="34"/>
        <v>69824.100000000006</v>
      </c>
      <c r="I411" s="49">
        <f t="shared" si="35"/>
        <v>0</v>
      </c>
      <c r="J411" s="49">
        <f t="shared" si="36"/>
        <v>6.7629944388828456</v>
      </c>
      <c r="K411" s="49">
        <f t="shared" si="37"/>
        <v>1.1246833113495029</v>
      </c>
      <c r="L411" s="49">
        <f t="shared" si="38"/>
        <v>4.44803441791586</v>
      </c>
      <c r="T411" s="49">
        <f>(100*('GA Arroyo'!AO411-E411))/E411</f>
        <v>1.2148652336010335</v>
      </c>
      <c r="U411" s="49">
        <f>(100*('GA Arroyo'!AR411-E411))/E411</f>
        <v>0</v>
      </c>
      <c r="V411" s="49">
        <f>(100*('GA Arroyo'!AU411-E411))/E411</f>
        <v>9.4474282838737933E-2</v>
      </c>
      <c r="W411" s="49">
        <f>(100*('GA Arroyo'!AX411-E411))/E411</f>
        <v>12.133432241097287</v>
      </c>
    </row>
    <row r="412" spans="2:23" ht="15" customHeight="1">
      <c r="B412">
        <f>MIN('GA Arroyo'!B412,'GA Arroyo'!E412,'GA Arroyo'!H412,'GA Arroyo'!K412)</f>
        <v>52594.7</v>
      </c>
      <c r="C412">
        <f>MIN('GA Arroyo'!O412, 'GA Arroyo'!R412, 'GA Arroyo'!U412, 'GA Arroyo'!X412)</f>
        <v>49650.400000000001</v>
      </c>
      <c r="D412">
        <f>MIN('GA Arroyo'!AB412, 'GA Arroyo'!AE412, 'GA Arroyo'!AH412, 'GA Arroyo'!AK412)</f>
        <v>54321.4</v>
      </c>
      <c r="E412">
        <f>MIN('GA Arroyo'!AO412, 'GA Arroyo'!AR412, 'GA Arroyo'!AU412, 'GA Arroyo'!AX412)</f>
        <v>51853.1</v>
      </c>
      <c r="G412" s="45">
        <f t="shared" si="34"/>
        <v>49650.400000000001</v>
      </c>
      <c r="I412" s="49">
        <f t="shared" si="35"/>
        <v>5.9300630004994828</v>
      </c>
      <c r="J412" s="49">
        <f t="shared" si="36"/>
        <v>0</v>
      </c>
      <c r="K412" s="49">
        <f t="shared" si="37"/>
        <v>9.4077791921112421</v>
      </c>
      <c r="L412" s="49">
        <f t="shared" si="38"/>
        <v>4.4364194447577399</v>
      </c>
      <c r="T412" s="49">
        <f>(100*('GA Arroyo'!AO412-E412))/E412</f>
        <v>15.337173669462389</v>
      </c>
      <c r="U412" s="49">
        <f>(100*('GA Arroyo'!AR412-E412))/E412</f>
        <v>6.4054029556574266</v>
      </c>
      <c r="V412" s="49">
        <f>(100*('GA Arroyo'!AU412-E412))/E412</f>
        <v>45.670557787287549</v>
      </c>
      <c r="W412" s="49">
        <f>(100*('GA Arroyo'!AX412-E412))/E412</f>
        <v>0</v>
      </c>
    </row>
    <row r="413" spans="2:23" ht="15" customHeight="1">
      <c r="B413">
        <f>MIN('GA Arroyo'!B413,'GA Arroyo'!E413,'GA Arroyo'!H413,'GA Arroyo'!K413)</f>
        <v>56313.3</v>
      </c>
      <c r="C413">
        <f>MIN('GA Arroyo'!O413, 'GA Arroyo'!R413, 'GA Arroyo'!U413, 'GA Arroyo'!X413)</f>
        <v>50831</v>
      </c>
      <c r="D413">
        <f>MIN('GA Arroyo'!AB413, 'GA Arroyo'!AE413, 'GA Arroyo'!AH413, 'GA Arroyo'!AK413)</f>
        <v>48934.5</v>
      </c>
      <c r="E413">
        <f>MIN('GA Arroyo'!AO413, 'GA Arroyo'!AR413, 'GA Arroyo'!AU413, 'GA Arroyo'!AX413)</f>
        <v>55872.6</v>
      </c>
      <c r="G413" s="45">
        <f t="shared" si="34"/>
        <v>48934.5</v>
      </c>
      <c r="I413" s="49">
        <f t="shared" si="35"/>
        <v>15.078932041810997</v>
      </c>
      <c r="J413" s="49">
        <f t="shared" si="36"/>
        <v>3.87558879726982</v>
      </c>
      <c r="K413" s="49">
        <f t="shared" si="37"/>
        <v>0</v>
      </c>
      <c r="L413" s="49">
        <f t="shared" si="38"/>
        <v>14.178340434662658</v>
      </c>
      <c r="T413" s="49">
        <f>(100*('GA Arroyo'!AO413-E413))/E413</f>
        <v>13.469750825986264</v>
      </c>
      <c r="U413" s="49">
        <f>(100*('GA Arroyo'!AR413-E413))/E413</f>
        <v>6.6345579049480445</v>
      </c>
      <c r="V413" s="49">
        <f>(100*('GA Arroyo'!AU413-E413))/E413</f>
        <v>0</v>
      </c>
      <c r="W413" s="49">
        <f>(100*('GA Arroyo'!AX413-E413))/E413</f>
        <v>1.1425994136660931</v>
      </c>
    </row>
    <row r="414" spans="2:23" ht="15" customHeight="1">
      <c r="B414">
        <f>MIN('GA Arroyo'!B414,'GA Arroyo'!E414,'GA Arroyo'!H414,'GA Arroyo'!K414)</f>
        <v>50493.7</v>
      </c>
      <c r="C414">
        <f>MIN('GA Arroyo'!O414, 'GA Arroyo'!R414, 'GA Arroyo'!U414, 'GA Arroyo'!X414)</f>
        <v>54857.9</v>
      </c>
      <c r="D414">
        <f>MIN('GA Arroyo'!AB414, 'GA Arroyo'!AE414, 'GA Arroyo'!AH414, 'GA Arroyo'!AK414)</f>
        <v>53533.1</v>
      </c>
      <c r="E414">
        <f>MIN('GA Arroyo'!AO414, 'GA Arroyo'!AR414, 'GA Arroyo'!AU414, 'GA Arroyo'!AX414)</f>
        <v>50523</v>
      </c>
      <c r="G414" s="45">
        <f t="shared" si="34"/>
        <v>50493.7</v>
      </c>
      <c r="I414" s="49">
        <f t="shared" si="35"/>
        <v>0</v>
      </c>
      <c r="J414" s="49">
        <f t="shared" si="36"/>
        <v>8.6430584409540305</v>
      </c>
      <c r="K414" s="49">
        <f t="shared" si="37"/>
        <v>6.0193647920433664</v>
      </c>
      <c r="L414" s="49">
        <f t="shared" si="38"/>
        <v>5.8027040997199478E-2</v>
      </c>
      <c r="T414" s="49">
        <f>(100*('GA Arroyo'!AO414-E414))/E414</f>
        <v>31.126417671159668</v>
      </c>
      <c r="U414" s="49">
        <f>(100*('GA Arroyo'!AR414-E414))/E414</f>
        <v>0</v>
      </c>
      <c r="V414" s="49">
        <f>(100*('GA Arroyo'!AU414-E414))/E414</f>
        <v>3.1530194168992338</v>
      </c>
      <c r="W414" s="49">
        <f>(100*('GA Arroyo'!AX414-E414))/E414</f>
        <v>11.215090156958212</v>
      </c>
    </row>
    <row r="415" spans="2:23" ht="15" customHeight="1">
      <c r="B415">
        <f>MIN('GA Arroyo'!B415,'GA Arroyo'!E415,'GA Arroyo'!H415,'GA Arroyo'!K415)</f>
        <v>51725.4</v>
      </c>
      <c r="C415">
        <f>MIN('GA Arroyo'!O415, 'GA Arroyo'!R415, 'GA Arroyo'!U415, 'GA Arroyo'!X415)</f>
        <v>58524.7</v>
      </c>
      <c r="D415">
        <f>MIN('GA Arroyo'!AB415, 'GA Arroyo'!AE415, 'GA Arroyo'!AH415, 'GA Arroyo'!AK415)</f>
        <v>51185.1</v>
      </c>
      <c r="E415">
        <f>MIN('GA Arroyo'!AO415, 'GA Arroyo'!AR415, 'GA Arroyo'!AU415, 'GA Arroyo'!AX415)</f>
        <v>51540.2</v>
      </c>
      <c r="G415" s="45">
        <f t="shared" si="34"/>
        <v>51185.1</v>
      </c>
      <c r="I415" s="49">
        <f t="shared" si="35"/>
        <v>1.0555806279561883</v>
      </c>
      <c r="J415" s="49">
        <f t="shared" si="36"/>
        <v>14.339329218854704</v>
      </c>
      <c r="K415" s="49">
        <f t="shared" si="37"/>
        <v>0</v>
      </c>
      <c r="L415" s="49">
        <f t="shared" si="38"/>
        <v>0.69375658150516173</v>
      </c>
      <c r="T415" s="49">
        <f>(100*('GA Arroyo'!AO415-E415))/E415</f>
        <v>30.616489652737094</v>
      </c>
      <c r="U415" s="49">
        <f>(100*('GA Arroyo'!AR415-E415))/E415</f>
        <v>0</v>
      </c>
      <c r="V415" s="49">
        <f>(100*('GA Arroyo'!AU415-E415))/E415</f>
        <v>4.4753415780303643</v>
      </c>
      <c r="W415" s="49">
        <f>(100*('GA Arroyo'!AX415-E415))/E415</f>
        <v>5.3794901843609573</v>
      </c>
    </row>
    <row r="416" spans="2:23" ht="15" customHeight="1">
      <c r="B416">
        <f>MIN('GA Arroyo'!B416,'GA Arroyo'!E416,'GA Arroyo'!H416,'GA Arroyo'!K416)</f>
        <v>65574.7</v>
      </c>
      <c r="C416">
        <f>MIN('GA Arroyo'!O416, 'GA Arroyo'!R416, 'GA Arroyo'!U416, 'GA Arroyo'!X416)</f>
        <v>67179.5</v>
      </c>
      <c r="D416">
        <f>MIN('GA Arroyo'!AB416, 'GA Arroyo'!AE416, 'GA Arroyo'!AH416, 'GA Arroyo'!AK416)</f>
        <v>73855.7</v>
      </c>
      <c r="E416">
        <f>MIN('GA Arroyo'!AO416, 'GA Arroyo'!AR416, 'GA Arroyo'!AU416, 'GA Arroyo'!AX416)</f>
        <v>64529</v>
      </c>
      <c r="G416" s="45">
        <f t="shared" si="34"/>
        <v>64529</v>
      </c>
      <c r="I416" s="49">
        <f t="shared" si="35"/>
        <v>1.6205117079142666</v>
      </c>
      <c r="J416" s="49">
        <f t="shared" si="36"/>
        <v>4.1074555626152582</v>
      </c>
      <c r="K416" s="49">
        <f t="shared" si="37"/>
        <v>14.453501526445471</v>
      </c>
      <c r="L416" s="49">
        <f t="shared" si="38"/>
        <v>0</v>
      </c>
      <c r="T416" s="49">
        <f>(100*('GA Arroyo'!AO416-E416))/E416</f>
        <v>13.478900959258631</v>
      </c>
      <c r="U416" s="49">
        <f>(100*('GA Arroyo'!AR416-E416))/E416</f>
        <v>68.521130034558112</v>
      </c>
      <c r="V416" s="49">
        <f>(100*('GA Arroyo'!AU416-E416))/E416</f>
        <v>0</v>
      </c>
      <c r="W416" s="49">
        <f>(100*('GA Arroyo'!AX416-E416))/E416</f>
        <v>2.3502611229059891</v>
      </c>
    </row>
    <row r="417" spans="2:23" ht="15" customHeight="1">
      <c r="B417">
        <f>MIN('GA Arroyo'!B417,'GA Arroyo'!E417,'GA Arroyo'!H417,'GA Arroyo'!K417)</f>
        <v>62235.7</v>
      </c>
      <c r="C417">
        <f>MIN('GA Arroyo'!O417, 'GA Arroyo'!R417, 'GA Arroyo'!U417, 'GA Arroyo'!X417)</f>
        <v>69578.5</v>
      </c>
      <c r="D417">
        <f>MIN('GA Arroyo'!AB417, 'GA Arroyo'!AE417, 'GA Arroyo'!AH417, 'GA Arroyo'!AK417)</f>
        <v>61261.9</v>
      </c>
      <c r="E417">
        <f>MIN('GA Arroyo'!AO417, 'GA Arroyo'!AR417, 'GA Arroyo'!AU417, 'GA Arroyo'!AX417)</f>
        <v>66677.8</v>
      </c>
      <c r="G417" s="45">
        <f t="shared" si="34"/>
        <v>61261.9</v>
      </c>
      <c r="I417" s="49">
        <f t="shared" si="35"/>
        <v>1.5895687205261273</v>
      </c>
      <c r="J417" s="49">
        <f t="shared" si="36"/>
        <v>13.57548492619393</v>
      </c>
      <c r="K417" s="49">
        <f t="shared" si="37"/>
        <v>0</v>
      </c>
      <c r="L417" s="49">
        <f t="shared" si="38"/>
        <v>8.8405681181941809</v>
      </c>
      <c r="T417" s="49">
        <f>(100*('GA Arroyo'!AO417-E417))/E417</f>
        <v>0</v>
      </c>
      <c r="U417" s="49">
        <f>(100*('GA Arroyo'!AR417-E417))/E417</f>
        <v>14.474832702938608</v>
      </c>
      <c r="V417" s="49">
        <f>(100*('GA Arroyo'!AU417-E417))/E417</f>
        <v>1.0288281856929893</v>
      </c>
      <c r="W417" s="49">
        <f>(100*('GA Arroyo'!AX417-E417))/E417</f>
        <v>12.685781474493744</v>
      </c>
    </row>
    <row r="418" spans="2:23" ht="15" customHeight="1">
      <c r="B418">
        <f>MIN('GA Arroyo'!B418,'GA Arroyo'!E418,'GA Arroyo'!H418,'GA Arroyo'!K418)</f>
        <v>52025</v>
      </c>
      <c r="C418">
        <f>MIN('GA Arroyo'!O418, 'GA Arroyo'!R418, 'GA Arroyo'!U418, 'GA Arroyo'!X418)</f>
        <v>51752.2</v>
      </c>
      <c r="D418">
        <f>MIN('GA Arroyo'!AB418, 'GA Arroyo'!AE418, 'GA Arroyo'!AH418, 'GA Arroyo'!AK418)</f>
        <v>51714.2</v>
      </c>
      <c r="E418">
        <f>MIN('GA Arroyo'!AO418, 'GA Arroyo'!AR418, 'GA Arroyo'!AU418, 'GA Arroyo'!AX418)</f>
        <v>49580.7</v>
      </c>
      <c r="G418" s="45">
        <f t="shared" si="34"/>
        <v>49580.7</v>
      </c>
      <c r="I418" s="49">
        <f t="shared" si="35"/>
        <v>4.9299424977864428</v>
      </c>
      <c r="J418" s="49">
        <f t="shared" si="36"/>
        <v>4.379728402382379</v>
      </c>
      <c r="K418" s="49">
        <f t="shared" si="37"/>
        <v>4.3030856764829863</v>
      </c>
      <c r="L418" s="49">
        <f t="shared" si="38"/>
        <v>0</v>
      </c>
      <c r="T418" s="49">
        <f>(100*('GA Arroyo'!AO418-E418))/E418</f>
        <v>1.2900180917171518</v>
      </c>
      <c r="U418" s="49">
        <f>(100*('GA Arroyo'!AR418-E418))/E418</f>
        <v>14.806366186842878</v>
      </c>
      <c r="V418" s="49">
        <f>(100*('GA Arroyo'!AU418-E418))/E418</f>
        <v>2.2722551315330479</v>
      </c>
      <c r="W418" s="49">
        <f>(100*('GA Arroyo'!AX418-E418))/E418</f>
        <v>0</v>
      </c>
    </row>
    <row r="419" spans="2:23" ht="15" customHeight="1">
      <c r="B419">
        <f>MIN('GA Arroyo'!B419,'GA Arroyo'!E419,'GA Arroyo'!H419,'GA Arroyo'!K419)</f>
        <v>49187.7</v>
      </c>
      <c r="C419">
        <f>MIN('GA Arroyo'!O419, 'GA Arroyo'!R419, 'GA Arroyo'!U419, 'GA Arroyo'!X419)</f>
        <v>50488.800000000003</v>
      </c>
      <c r="D419">
        <f>MIN('GA Arroyo'!AB419, 'GA Arroyo'!AE419, 'GA Arroyo'!AH419, 'GA Arroyo'!AK419)</f>
        <v>47996.4</v>
      </c>
      <c r="E419">
        <f>MIN('GA Arroyo'!AO419, 'GA Arroyo'!AR419, 'GA Arroyo'!AU419, 'GA Arroyo'!AX419)</f>
        <v>49245.8</v>
      </c>
      <c r="G419" s="45">
        <f t="shared" si="34"/>
        <v>47996.4</v>
      </c>
      <c r="I419" s="49">
        <f t="shared" si="35"/>
        <v>2.4820611545865847</v>
      </c>
      <c r="J419" s="49">
        <f t="shared" si="36"/>
        <v>5.1928894667100058</v>
      </c>
      <c r="K419" s="49">
        <f t="shared" si="37"/>
        <v>0</v>
      </c>
      <c r="L419" s="49">
        <f t="shared" si="38"/>
        <v>2.603111900059174</v>
      </c>
      <c r="T419" s="49">
        <f>(100*('GA Arroyo'!AO419-E419))/E419</f>
        <v>39.788164675972368</v>
      </c>
      <c r="U419" s="49">
        <f>(100*('GA Arroyo'!AR419-E419))/E419</f>
        <v>10.599482595470061</v>
      </c>
      <c r="V419" s="49">
        <f>(100*('GA Arroyo'!AU419-E419))/E419</f>
        <v>0</v>
      </c>
      <c r="W419" s="49">
        <f>(100*('GA Arroyo'!AX419-E419))/E419</f>
        <v>4.3561075259209865</v>
      </c>
    </row>
    <row r="420" spans="2:23" ht="15" customHeight="1">
      <c r="B420">
        <f>MIN('GA Arroyo'!B420,'GA Arroyo'!E420,'GA Arroyo'!H420,'GA Arroyo'!K420)</f>
        <v>39223.4</v>
      </c>
      <c r="C420">
        <f>MIN('GA Arroyo'!O420, 'GA Arroyo'!R420, 'GA Arroyo'!U420, 'GA Arroyo'!X420)</f>
        <v>44696.6</v>
      </c>
      <c r="D420">
        <f>MIN('GA Arroyo'!AB420, 'GA Arroyo'!AE420, 'GA Arroyo'!AH420, 'GA Arroyo'!AK420)</f>
        <v>43262.8</v>
      </c>
      <c r="E420">
        <f>MIN('GA Arroyo'!AO420, 'GA Arroyo'!AR420, 'GA Arroyo'!AU420, 'GA Arroyo'!AX420)</f>
        <v>41453.699999999997</v>
      </c>
      <c r="G420" s="45">
        <f t="shared" si="34"/>
        <v>39223.4</v>
      </c>
      <c r="I420" s="49">
        <f t="shared" si="35"/>
        <v>0</v>
      </c>
      <c r="J420" s="49">
        <f t="shared" si="36"/>
        <v>13.953915264867394</v>
      </c>
      <c r="K420" s="49">
        <f t="shared" si="37"/>
        <v>10.298444296006979</v>
      </c>
      <c r="L420" s="49">
        <f t="shared" si="38"/>
        <v>5.686146534976559</v>
      </c>
      <c r="T420" s="49">
        <f>(100*('GA Arroyo'!AO420-E420))/E420</f>
        <v>22.76178000998706</v>
      </c>
      <c r="U420" s="49">
        <f>(100*('GA Arroyo'!AR420-E420))/E420</f>
        <v>15.344106798669371</v>
      </c>
      <c r="V420" s="49">
        <f>(100*('GA Arroyo'!AU420-E420))/E420</f>
        <v>0</v>
      </c>
      <c r="W420" s="49">
        <f>(100*('GA Arroyo'!AX420-E420))/E420</f>
        <v>3.2402415224696575</v>
      </c>
    </row>
    <row r="421" spans="2:23" ht="15" customHeight="1">
      <c r="B421">
        <f>MIN('GA Arroyo'!B421,'GA Arroyo'!E421,'GA Arroyo'!H421,'GA Arroyo'!K421)</f>
        <v>73898.8</v>
      </c>
      <c r="C421">
        <f>MIN('GA Arroyo'!O421, 'GA Arroyo'!R421, 'GA Arroyo'!U421, 'GA Arroyo'!X421)</f>
        <v>74773.7</v>
      </c>
      <c r="D421">
        <f>MIN('GA Arroyo'!AB421, 'GA Arroyo'!AE421, 'GA Arroyo'!AH421, 'GA Arroyo'!AK421)</f>
        <v>67765.5</v>
      </c>
      <c r="E421">
        <f>MIN('GA Arroyo'!AO421, 'GA Arroyo'!AR421, 'GA Arroyo'!AU421, 'GA Arroyo'!AX421)</f>
        <v>75836.600000000006</v>
      </c>
      <c r="G421" s="45">
        <f t="shared" si="34"/>
        <v>67765.5</v>
      </c>
      <c r="I421" s="49">
        <f t="shared" si="35"/>
        <v>9.0507706723922983</v>
      </c>
      <c r="J421" s="49">
        <f t="shared" si="36"/>
        <v>10.341840612110879</v>
      </c>
      <c r="K421" s="49">
        <f t="shared" si="37"/>
        <v>0</v>
      </c>
      <c r="L421" s="49">
        <f t="shared" si="38"/>
        <v>11.91033785628381</v>
      </c>
      <c r="T421" s="49">
        <f>(100*('GA Arroyo'!AO421-E421))/E421</f>
        <v>4.7164561702396837</v>
      </c>
      <c r="U421" s="49">
        <f>(100*('GA Arroyo'!AR421-E421))/E421</f>
        <v>1.2726045207722805</v>
      </c>
      <c r="V421" s="49">
        <f>(100*('GA Arroyo'!AU421-E421))/E421</f>
        <v>0</v>
      </c>
      <c r="W421" s="49">
        <f>(100*('GA Arroyo'!AX421-E421))/E421</f>
        <v>12.401399851786588</v>
      </c>
    </row>
    <row r="422" spans="2:23" ht="15" customHeight="1">
      <c r="B422">
        <f>MIN('GA Arroyo'!B422,'GA Arroyo'!E422,'GA Arroyo'!H422,'GA Arroyo'!K422)</f>
        <v>52783.1</v>
      </c>
      <c r="C422">
        <f>MIN('GA Arroyo'!O422, 'GA Arroyo'!R422, 'GA Arroyo'!U422, 'GA Arroyo'!X422)</f>
        <v>52390.2</v>
      </c>
      <c r="D422">
        <f>MIN('GA Arroyo'!AB422, 'GA Arroyo'!AE422, 'GA Arroyo'!AH422, 'GA Arroyo'!AK422)</f>
        <v>53974.400000000001</v>
      </c>
      <c r="E422">
        <f>MIN('GA Arroyo'!AO422, 'GA Arroyo'!AR422, 'GA Arroyo'!AU422, 'GA Arroyo'!AX422)</f>
        <v>51056.1</v>
      </c>
      <c r="G422" s="45">
        <f t="shared" si="34"/>
        <v>51056.1</v>
      </c>
      <c r="I422" s="49">
        <f t="shared" si="35"/>
        <v>3.3825537007331152</v>
      </c>
      <c r="J422" s="49">
        <f t="shared" si="36"/>
        <v>2.613008044092672</v>
      </c>
      <c r="K422" s="49">
        <f t="shared" si="37"/>
        <v>5.715869406398066</v>
      </c>
      <c r="L422" s="49">
        <f t="shared" si="38"/>
        <v>0</v>
      </c>
      <c r="T422" s="49">
        <f>(100*('GA Arroyo'!AO422-E422))/E422</f>
        <v>2.4212581846243726</v>
      </c>
      <c r="U422" s="49">
        <f>(100*('GA Arroyo'!AR422-E422))/E422</f>
        <v>3.6009409257659715</v>
      </c>
      <c r="V422" s="49">
        <f>(100*('GA Arroyo'!AU422-E422))/E422</f>
        <v>3.9509480747648262</v>
      </c>
      <c r="W422" s="49">
        <f>(100*('GA Arroyo'!AX422-E422))/E422</f>
        <v>0</v>
      </c>
    </row>
    <row r="423" spans="2:23" ht="15" customHeight="1">
      <c r="B423">
        <f>MIN('GA Arroyo'!B423,'GA Arroyo'!E423,'GA Arroyo'!H423,'GA Arroyo'!K423)</f>
        <v>62019.3</v>
      </c>
      <c r="C423">
        <f>MIN('GA Arroyo'!O423, 'GA Arroyo'!R423, 'GA Arroyo'!U423, 'GA Arroyo'!X423)</f>
        <v>68227.5</v>
      </c>
      <c r="D423">
        <f>MIN('GA Arroyo'!AB423, 'GA Arroyo'!AE423, 'GA Arroyo'!AH423, 'GA Arroyo'!AK423)</f>
        <v>62043.8</v>
      </c>
      <c r="E423">
        <f>MIN('GA Arroyo'!AO423, 'GA Arroyo'!AR423, 'GA Arroyo'!AU423, 'GA Arroyo'!AX423)</f>
        <v>85899.199999999997</v>
      </c>
      <c r="G423" s="45">
        <f t="shared" si="34"/>
        <v>62019.3</v>
      </c>
      <c r="I423" s="49">
        <f t="shared" si="35"/>
        <v>0</v>
      </c>
      <c r="J423" s="49">
        <f t="shared" si="36"/>
        <v>10.010109756156547</v>
      </c>
      <c r="K423" s="49">
        <f t="shared" si="37"/>
        <v>3.9503831871691555E-2</v>
      </c>
      <c r="L423" s="49">
        <f t="shared" si="38"/>
        <v>38.503981825012524</v>
      </c>
      <c r="T423" s="49">
        <f>(100*('GA Arroyo'!AO423-E423))/E423</f>
        <v>0</v>
      </c>
      <c r="U423" s="49">
        <f>(100*('GA Arroyo'!AR423-E423))/E423</f>
        <v>16.125644941978507</v>
      </c>
      <c r="V423" s="49">
        <f>(100*('GA Arroyo'!AU423-E423))/E423</f>
        <v>7.2575763220146383</v>
      </c>
      <c r="W423" s="49">
        <f>(100*('GA Arroyo'!AX423-E423))/E423</f>
        <v>30.182818931957463</v>
      </c>
    </row>
    <row r="424" spans="2:23" ht="15" customHeight="1">
      <c r="B424">
        <f>MIN('GA Arroyo'!B424,'GA Arroyo'!E424,'GA Arroyo'!H424,'GA Arroyo'!K424)</f>
        <v>53868.5</v>
      </c>
      <c r="C424">
        <f>MIN('GA Arroyo'!O424, 'GA Arroyo'!R424, 'GA Arroyo'!U424, 'GA Arroyo'!X424)</f>
        <v>52523.6</v>
      </c>
      <c r="D424">
        <f>MIN('GA Arroyo'!AB424, 'GA Arroyo'!AE424, 'GA Arroyo'!AH424, 'GA Arroyo'!AK424)</f>
        <v>58680.1</v>
      </c>
      <c r="E424">
        <f>MIN('GA Arroyo'!AO424, 'GA Arroyo'!AR424, 'GA Arroyo'!AU424, 'GA Arroyo'!AX424)</f>
        <v>55026.9</v>
      </c>
      <c r="G424" s="45">
        <f t="shared" si="34"/>
        <v>52523.6</v>
      </c>
      <c r="I424" s="49">
        <f t="shared" si="35"/>
        <v>2.5605632515669177</v>
      </c>
      <c r="J424" s="49">
        <f t="shared" si="36"/>
        <v>0</v>
      </c>
      <c r="K424" s="49">
        <f t="shared" si="37"/>
        <v>11.721397619355871</v>
      </c>
      <c r="L424" s="49">
        <f t="shared" si="38"/>
        <v>4.7660480241263032</v>
      </c>
      <c r="T424" s="49">
        <f>(100*('GA Arroyo'!AO424-E424))/E424</f>
        <v>5.8311480385047982</v>
      </c>
      <c r="U424" s="49">
        <f>(100*('GA Arroyo'!AR424-E424))/E424</f>
        <v>4.5804869981772551</v>
      </c>
      <c r="V424" s="49">
        <f>(100*('GA Arroyo'!AU424-E424))/E424</f>
        <v>8.1712762303527935</v>
      </c>
      <c r="W424" s="49">
        <f>(100*('GA Arroyo'!AX424-E424))/E424</f>
        <v>0</v>
      </c>
    </row>
    <row r="425" spans="2:23" ht="15" customHeight="1">
      <c r="B425">
        <f>MIN('GA Arroyo'!B425,'GA Arroyo'!E425,'GA Arroyo'!H425,'GA Arroyo'!K425)</f>
        <v>44216.6</v>
      </c>
      <c r="C425">
        <f>MIN('GA Arroyo'!O425, 'GA Arroyo'!R425, 'GA Arroyo'!U425, 'GA Arroyo'!X425)</f>
        <v>49250.2</v>
      </c>
      <c r="D425">
        <f>MIN('GA Arroyo'!AB425, 'GA Arroyo'!AE425, 'GA Arroyo'!AH425, 'GA Arroyo'!AK425)</f>
        <v>47416.7</v>
      </c>
      <c r="E425">
        <f>MIN('GA Arroyo'!AO425, 'GA Arroyo'!AR425, 'GA Arroyo'!AU425, 'GA Arroyo'!AX425)</f>
        <v>48853.9</v>
      </c>
      <c r="G425" s="45">
        <f t="shared" si="34"/>
        <v>44216.6</v>
      </c>
      <c r="I425" s="49">
        <f t="shared" si="35"/>
        <v>0</v>
      </c>
      <c r="J425" s="49">
        <f t="shared" si="36"/>
        <v>11.383959870274962</v>
      </c>
      <c r="K425" s="49">
        <f t="shared" si="37"/>
        <v>7.2373271576738123</v>
      </c>
      <c r="L425" s="49">
        <f t="shared" si="38"/>
        <v>10.487690143520766</v>
      </c>
      <c r="T425" s="49">
        <f>(100*('GA Arroyo'!AO425-E425))/E425</f>
        <v>4.8847686673940078</v>
      </c>
      <c r="U425" s="49">
        <f>(100*('GA Arroyo'!AR425-E425))/E425</f>
        <v>13.490222889063103</v>
      </c>
      <c r="V425" s="49">
        <f>(100*('GA Arroyo'!AU425-E425))/E425</f>
        <v>21.147748695600555</v>
      </c>
      <c r="W425" s="49">
        <f>(100*('GA Arroyo'!AX425-E425))/E425</f>
        <v>0</v>
      </c>
    </row>
    <row r="426" spans="2:23" ht="15" customHeight="1">
      <c r="B426">
        <f>MIN('GA Arroyo'!B426,'GA Arroyo'!E426,'GA Arroyo'!H426,'GA Arroyo'!K426)</f>
        <v>61301.4</v>
      </c>
      <c r="C426">
        <f>MIN('GA Arroyo'!O426, 'GA Arroyo'!R426, 'GA Arroyo'!U426, 'GA Arroyo'!X426)</f>
        <v>60546.400000000001</v>
      </c>
      <c r="D426">
        <f>MIN('GA Arroyo'!AB426, 'GA Arroyo'!AE426, 'GA Arroyo'!AH426, 'GA Arroyo'!AK426)</f>
        <v>57269.3</v>
      </c>
      <c r="E426">
        <f>MIN('GA Arroyo'!AO426, 'GA Arroyo'!AR426, 'GA Arroyo'!AU426, 'GA Arroyo'!AX426)</f>
        <v>59206.400000000001</v>
      </c>
      <c r="G426" s="45">
        <f t="shared" si="34"/>
        <v>57269.3</v>
      </c>
      <c r="I426" s="49">
        <f t="shared" si="35"/>
        <v>7.0405959213749751</v>
      </c>
      <c r="J426" s="49">
        <f t="shared" si="36"/>
        <v>5.7222630624086532</v>
      </c>
      <c r="K426" s="49">
        <f t="shared" si="37"/>
        <v>0</v>
      </c>
      <c r="L426" s="49">
        <f t="shared" si="38"/>
        <v>3.3824405047730606</v>
      </c>
      <c r="T426" s="49">
        <f>(100*('GA Arroyo'!AO426-E426))/E426</f>
        <v>3.3445708572046216</v>
      </c>
      <c r="U426" s="49">
        <f>(100*('GA Arroyo'!AR426-E426))/E426</f>
        <v>0</v>
      </c>
      <c r="V426" s="49">
        <f>(100*('GA Arroyo'!AU426-E426))/E426</f>
        <v>8.2695451843043966</v>
      </c>
      <c r="W426" s="49">
        <f>(100*('GA Arroyo'!AX426-E426))/E426</f>
        <v>9.4825897200302585</v>
      </c>
    </row>
    <row r="427" spans="2:23" ht="15" customHeight="1">
      <c r="B427">
        <f>MIN('GA Arroyo'!B427,'GA Arroyo'!E427,'GA Arroyo'!H427,'GA Arroyo'!K427)</f>
        <v>65261.599999999999</v>
      </c>
      <c r="C427">
        <f>MIN('GA Arroyo'!O427, 'GA Arroyo'!R427, 'GA Arroyo'!U427, 'GA Arroyo'!X427)</f>
        <v>66376.800000000003</v>
      </c>
      <c r="D427">
        <f>MIN('GA Arroyo'!AB427, 'GA Arroyo'!AE427, 'GA Arroyo'!AH427, 'GA Arroyo'!AK427)</f>
        <v>63447.1</v>
      </c>
      <c r="E427">
        <f>MIN('GA Arroyo'!AO427, 'GA Arroyo'!AR427, 'GA Arroyo'!AU427, 'GA Arroyo'!AX427)</f>
        <v>60970.3</v>
      </c>
      <c r="G427" s="45">
        <f t="shared" si="34"/>
        <v>60970.3</v>
      </c>
      <c r="I427" s="49">
        <f t="shared" si="35"/>
        <v>7.0383448990738033</v>
      </c>
      <c r="J427" s="49">
        <f t="shared" si="36"/>
        <v>8.8674321759938852</v>
      </c>
      <c r="K427" s="49">
        <f t="shared" si="37"/>
        <v>4.0623057455843181</v>
      </c>
      <c r="L427" s="49">
        <f t="shared" si="38"/>
        <v>0</v>
      </c>
      <c r="T427" s="49">
        <f>(100*('GA Arroyo'!AO427-E427))/E427</f>
        <v>7.9445238091333037</v>
      </c>
      <c r="U427" s="49">
        <f>(100*('GA Arroyo'!AR427-E427))/E427</f>
        <v>9.2200628830758582</v>
      </c>
      <c r="V427" s="49">
        <f>(100*('GA Arroyo'!AU427-E427))/E427</f>
        <v>0</v>
      </c>
      <c r="W427" s="49">
        <f>(100*('GA Arroyo'!AX427-E427))/E427</f>
        <v>25.927869798902091</v>
      </c>
    </row>
    <row r="428" spans="2:23" ht="15" customHeight="1">
      <c r="B428">
        <f>MIN('GA Arroyo'!B428,'GA Arroyo'!E428,'GA Arroyo'!H428,'GA Arroyo'!K428)</f>
        <v>58184.1</v>
      </c>
      <c r="C428">
        <f>MIN('GA Arroyo'!O428, 'GA Arroyo'!R428, 'GA Arroyo'!U428, 'GA Arroyo'!X428)</f>
        <v>56352.3</v>
      </c>
      <c r="D428">
        <f>MIN('GA Arroyo'!AB428, 'GA Arroyo'!AE428, 'GA Arroyo'!AH428, 'GA Arroyo'!AK428)</f>
        <v>53684.9</v>
      </c>
      <c r="E428">
        <f>MIN('GA Arroyo'!AO428, 'GA Arroyo'!AR428, 'GA Arroyo'!AU428, 'GA Arroyo'!AX428)</f>
        <v>53597.9</v>
      </c>
      <c r="G428" s="45">
        <f t="shared" si="34"/>
        <v>53597.9</v>
      </c>
      <c r="I428" s="49">
        <f t="shared" si="35"/>
        <v>8.5566785265840579</v>
      </c>
      <c r="J428" s="49">
        <f t="shared" si="36"/>
        <v>5.1390073118536383</v>
      </c>
      <c r="K428" s="49">
        <f t="shared" si="37"/>
        <v>0.16231979237992533</v>
      </c>
      <c r="L428" s="49">
        <f t="shared" si="38"/>
        <v>0</v>
      </c>
      <c r="T428" s="49">
        <f>(100*('GA Arroyo'!AO428-E428))/E428</f>
        <v>7.3340559984626283</v>
      </c>
      <c r="U428" s="49">
        <f>(100*('GA Arroyo'!AR428-E428))/E428</f>
        <v>11.674711136070631</v>
      </c>
      <c r="V428" s="49">
        <f>(100*('GA Arroyo'!AU428-E428))/E428</f>
        <v>7.4321941717865814</v>
      </c>
      <c r="W428" s="49">
        <f>(100*('GA Arroyo'!AX428-E428))/E428</f>
        <v>0</v>
      </c>
    </row>
    <row r="429" spans="2:23" ht="15" customHeight="1">
      <c r="B429">
        <f>MIN('GA Arroyo'!B429,'GA Arroyo'!E429,'GA Arroyo'!H429,'GA Arroyo'!K429)</f>
        <v>51963</v>
      </c>
      <c r="C429">
        <f>MIN('GA Arroyo'!O429, 'GA Arroyo'!R429, 'GA Arroyo'!U429, 'GA Arroyo'!X429)</f>
        <v>48642.7</v>
      </c>
      <c r="D429">
        <f>MIN('GA Arroyo'!AB429, 'GA Arroyo'!AE429, 'GA Arroyo'!AH429, 'GA Arroyo'!AK429)</f>
        <v>51721.599999999999</v>
      </c>
      <c r="E429">
        <f>MIN('GA Arroyo'!AO429, 'GA Arroyo'!AR429, 'GA Arroyo'!AU429, 'GA Arroyo'!AX429)</f>
        <v>50606.6</v>
      </c>
      <c r="G429" s="45">
        <f t="shared" si="34"/>
        <v>48642.7</v>
      </c>
      <c r="I429" s="49">
        <f t="shared" si="35"/>
        <v>6.8258957664767852</v>
      </c>
      <c r="J429" s="49">
        <f t="shared" si="36"/>
        <v>0</v>
      </c>
      <c r="K429" s="49">
        <f t="shared" si="37"/>
        <v>6.3296239723535113</v>
      </c>
      <c r="L429" s="49">
        <f t="shared" si="38"/>
        <v>4.0373992397625988</v>
      </c>
      <c r="T429" s="49">
        <f>(100*('GA Arroyo'!AO429-E429))/E429</f>
        <v>8.2313374144874363</v>
      </c>
      <c r="U429" s="49">
        <f>(100*('GA Arroyo'!AR429-E429))/E429</f>
        <v>11.155066730426476</v>
      </c>
      <c r="V429" s="49">
        <f>(100*('GA Arroyo'!AU429-E429))/E429</f>
        <v>6.9378302434860277</v>
      </c>
      <c r="W429" s="49">
        <f>(100*('GA Arroyo'!AX429-E429))/E429</f>
        <v>0</v>
      </c>
    </row>
    <row r="430" spans="2:23" ht="15" customHeight="1">
      <c r="B430">
        <f>MIN('GA Arroyo'!B430,'GA Arroyo'!E430,'GA Arroyo'!H430,'GA Arroyo'!K430)</f>
        <v>68213</v>
      </c>
      <c r="C430">
        <f>MIN('GA Arroyo'!O430, 'GA Arroyo'!R430, 'GA Arroyo'!U430, 'GA Arroyo'!X430)</f>
        <v>66686.5</v>
      </c>
      <c r="D430">
        <f>MIN('GA Arroyo'!AB430, 'GA Arroyo'!AE430, 'GA Arroyo'!AH430, 'GA Arroyo'!AK430)</f>
        <v>66452</v>
      </c>
      <c r="E430">
        <f>MIN('GA Arroyo'!AO430, 'GA Arroyo'!AR430, 'GA Arroyo'!AU430, 'GA Arroyo'!AX430)</f>
        <v>66712.800000000003</v>
      </c>
      <c r="G430" s="45">
        <f t="shared" si="34"/>
        <v>66452</v>
      </c>
      <c r="I430" s="49">
        <f t="shared" si="35"/>
        <v>2.6500331066032623</v>
      </c>
      <c r="J430" s="49">
        <f t="shared" si="36"/>
        <v>0.35288629386624931</v>
      </c>
      <c r="K430" s="49">
        <f t="shared" si="37"/>
        <v>0</v>
      </c>
      <c r="L430" s="49">
        <f t="shared" si="38"/>
        <v>0.39246373322097589</v>
      </c>
      <c r="T430" s="49">
        <f>(100*('GA Arroyo'!AO430-E430))/E430</f>
        <v>9.5932114976436207</v>
      </c>
      <c r="U430" s="49">
        <f>(100*('GA Arroyo'!AR430-E430))/E430</f>
        <v>5.2193881833771032</v>
      </c>
      <c r="V430" s="49">
        <f>(100*('GA Arroyo'!AU430-E430))/E430</f>
        <v>3.2606936000287843</v>
      </c>
      <c r="W430" s="49">
        <f>(100*('GA Arroyo'!AX430-E430))/E430</f>
        <v>0</v>
      </c>
    </row>
    <row r="431" spans="2:23" ht="15" customHeight="1">
      <c r="B431">
        <f>MIN('GA Arroyo'!B431,'GA Arroyo'!E431,'GA Arroyo'!H431,'GA Arroyo'!K431)</f>
        <v>50114.8</v>
      </c>
      <c r="C431">
        <f>MIN('GA Arroyo'!O431, 'GA Arroyo'!R431, 'GA Arroyo'!U431, 'GA Arroyo'!X431)</f>
        <v>49319.8</v>
      </c>
      <c r="D431">
        <f>MIN('GA Arroyo'!AB431, 'GA Arroyo'!AE431, 'GA Arroyo'!AH431, 'GA Arroyo'!AK431)</f>
        <v>48533.3</v>
      </c>
      <c r="E431">
        <f>MIN('GA Arroyo'!AO431, 'GA Arroyo'!AR431, 'GA Arroyo'!AU431, 'GA Arroyo'!AX431)</f>
        <v>49552.800000000003</v>
      </c>
      <c r="G431" s="45">
        <f t="shared" si="34"/>
        <v>48533.3</v>
      </c>
      <c r="I431" s="49">
        <f t="shared" si="35"/>
        <v>3.2585874028759632</v>
      </c>
      <c r="J431" s="49">
        <f t="shared" si="36"/>
        <v>1.6205368272917768</v>
      </c>
      <c r="K431" s="49">
        <f t="shared" si="37"/>
        <v>0</v>
      </c>
      <c r="L431" s="49">
        <f t="shared" si="38"/>
        <v>2.1006195746013558</v>
      </c>
      <c r="T431" s="49">
        <f>(100*('GA Arroyo'!AO431-E431))/E431</f>
        <v>2.0832324308616172</v>
      </c>
      <c r="U431" s="49">
        <f>(100*('GA Arroyo'!AR431-E431))/E431</f>
        <v>5.2430942348363736</v>
      </c>
      <c r="V431" s="49">
        <f>(100*('GA Arroyo'!AU431-E431))/E431</f>
        <v>0</v>
      </c>
      <c r="W431" s="49">
        <f>(100*('GA Arroyo'!AX431-E431))/E431</f>
        <v>0.89460131415378263</v>
      </c>
    </row>
    <row r="432" spans="2:23" ht="15" customHeight="1">
      <c r="B432">
        <f>MIN('GA Arroyo'!B432,'GA Arroyo'!E432,'GA Arroyo'!H432,'GA Arroyo'!K432)</f>
        <v>64094.400000000001</v>
      </c>
      <c r="C432">
        <f>MIN('GA Arroyo'!O432, 'GA Arroyo'!R432, 'GA Arroyo'!U432, 'GA Arroyo'!X432)</f>
        <v>61005.599999999999</v>
      </c>
      <c r="D432">
        <f>MIN('GA Arroyo'!AB432, 'GA Arroyo'!AE432, 'GA Arroyo'!AH432, 'GA Arroyo'!AK432)</f>
        <v>72961.399999999994</v>
      </c>
      <c r="E432">
        <f>MIN('GA Arroyo'!AO432, 'GA Arroyo'!AR432, 'GA Arroyo'!AU432, 'GA Arroyo'!AX432)</f>
        <v>68582.899999999994</v>
      </c>
      <c r="G432" s="45">
        <f t="shared" si="34"/>
        <v>61005.599999999999</v>
      </c>
      <c r="I432" s="49">
        <f t="shared" si="35"/>
        <v>5.0631417443644571</v>
      </c>
      <c r="J432" s="49">
        <f t="shared" si="36"/>
        <v>0</v>
      </c>
      <c r="K432" s="49">
        <f t="shared" si="37"/>
        <v>19.597872982152452</v>
      </c>
      <c r="L432" s="49">
        <f t="shared" si="38"/>
        <v>12.420663021099696</v>
      </c>
      <c r="T432" s="49">
        <f>(100*('GA Arroyo'!AO432-E432))/E432</f>
        <v>12.764114669983336</v>
      </c>
      <c r="U432" s="49">
        <f>(100*('GA Arroyo'!AR432-E432))/E432</f>
        <v>72.035594878606787</v>
      </c>
      <c r="V432" s="49">
        <f>(100*('GA Arroyo'!AU432-E432))/E432</f>
        <v>13.634302428156294</v>
      </c>
      <c r="W432" s="49">
        <f>(100*('GA Arroyo'!AX432-E432))/E432</f>
        <v>0</v>
      </c>
    </row>
    <row r="433" spans="2:23" ht="15" customHeight="1">
      <c r="B433">
        <f>MIN('GA Arroyo'!B433,'GA Arroyo'!E433,'GA Arroyo'!H433,'GA Arroyo'!K433)</f>
        <v>56445.9</v>
      </c>
      <c r="C433">
        <f>MIN('GA Arroyo'!O433, 'GA Arroyo'!R433, 'GA Arroyo'!U433, 'GA Arroyo'!X433)</f>
        <v>59174.5</v>
      </c>
      <c r="D433">
        <f>MIN('GA Arroyo'!AB433, 'GA Arroyo'!AE433, 'GA Arroyo'!AH433, 'GA Arroyo'!AK433)</f>
        <v>56812.9</v>
      </c>
      <c r="E433">
        <f>MIN('GA Arroyo'!AO433, 'GA Arroyo'!AR433, 'GA Arroyo'!AU433, 'GA Arroyo'!AX433)</f>
        <v>58973.9</v>
      </c>
      <c r="G433" s="45">
        <f t="shared" si="34"/>
        <v>56445.9</v>
      </c>
      <c r="I433" s="49">
        <f t="shared" si="35"/>
        <v>0</v>
      </c>
      <c r="J433" s="49">
        <f t="shared" si="36"/>
        <v>4.8340092017312131</v>
      </c>
      <c r="K433" s="49">
        <f t="shared" si="37"/>
        <v>0.65018008393878035</v>
      </c>
      <c r="L433" s="49">
        <f t="shared" si="38"/>
        <v>4.4786246653875654</v>
      </c>
      <c r="T433" s="49">
        <f>(100*('GA Arroyo'!AO433-E433))/E433</f>
        <v>9.3863556590288244</v>
      </c>
      <c r="U433" s="49">
        <f>(100*('GA Arroyo'!AR433-E433))/E433</f>
        <v>2.9986146413922117</v>
      </c>
      <c r="V433" s="49">
        <f>(100*('GA Arroyo'!AU433-E433))/E433</f>
        <v>0</v>
      </c>
      <c r="W433" s="49">
        <f>(100*('GA Arroyo'!AX433-E433))/E433</f>
        <v>4.8280680097466764</v>
      </c>
    </row>
    <row r="434" spans="2:23" ht="15" customHeight="1">
      <c r="B434">
        <f>MIN('GA Arroyo'!B434,'GA Arroyo'!E434,'GA Arroyo'!H434,'GA Arroyo'!K434)</f>
        <v>55271.5</v>
      </c>
      <c r="C434">
        <f>MIN('GA Arroyo'!O434, 'GA Arroyo'!R434, 'GA Arroyo'!U434, 'GA Arroyo'!X434)</f>
        <v>55733.599999999999</v>
      </c>
      <c r="D434">
        <f>MIN('GA Arroyo'!AB434, 'GA Arroyo'!AE434, 'GA Arroyo'!AH434, 'GA Arroyo'!AK434)</f>
        <v>52741.8</v>
      </c>
      <c r="E434">
        <f>MIN('GA Arroyo'!AO434, 'GA Arroyo'!AR434, 'GA Arroyo'!AU434, 'GA Arroyo'!AX434)</f>
        <v>54415.3</v>
      </c>
      <c r="G434" s="45">
        <f t="shared" si="34"/>
        <v>52741.8</v>
      </c>
      <c r="I434" s="49">
        <f t="shared" si="35"/>
        <v>4.7963854096750529</v>
      </c>
      <c r="J434" s="49">
        <f t="shared" si="36"/>
        <v>5.6725405655476209</v>
      </c>
      <c r="K434" s="49">
        <f t="shared" si="37"/>
        <v>0</v>
      </c>
      <c r="L434" s="49">
        <f t="shared" si="38"/>
        <v>3.1730050927347948</v>
      </c>
      <c r="T434" s="49">
        <f>(100*('GA Arroyo'!AO434-E434))/E434</f>
        <v>12.706536580704315</v>
      </c>
      <c r="U434" s="49">
        <f>(100*('GA Arroyo'!AR434-E434))/E434</f>
        <v>3.7763276137409774</v>
      </c>
      <c r="V434" s="49">
        <f>(100*('GA Arroyo'!AU434-E434))/E434</f>
        <v>0</v>
      </c>
      <c r="W434" s="49">
        <f>(100*('GA Arroyo'!AX434-E434))/E434</f>
        <v>3.7572153420085894</v>
      </c>
    </row>
    <row r="435" spans="2:23" ht="15" customHeight="1">
      <c r="B435">
        <f>MIN('GA Arroyo'!B435,'GA Arroyo'!E435,'GA Arroyo'!H435,'GA Arroyo'!K435)</f>
        <v>56876.1</v>
      </c>
      <c r="C435">
        <f>MIN('GA Arroyo'!O435, 'GA Arroyo'!R435, 'GA Arroyo'!U435, 'GA Arroyo'!X435)</f>
        <v>58799.8</v>
      </c>
      <c r="D435">
        <f>MIN('GA Arroyo'!AB435, 'GA Arroyo'!AE435, 'GA Arroyo'!AH435, 'GA Arroyo'!AK435)</f>
        <v>55241.8</v>
      </c>
      <c r="E435">
        <f>MIN('GA Arroyo'!AO435, 'GA Arroyo'!AR435, 'GA Arroyo'!AU435, 'GA Arroyo'!AX435)</f>
        <v>57432.6</v>
      </c>
      <c r="G435" s="45">
        <f t="shared" si="34"/>
        <v>55241.8</v>
      </c>
      <c r="I435" s="49">
        <f t="shared" si="35"/>
        <v>2.9584481316684026</v>
      </c>
      <c r="J435" s="49">
        <f t="shared" si="36"/>
        <v>6.4407749204406803</v>
      </c>
      <c r="K435" s="49">
        <f t="shared" si="37"/>
        <v>0</v>
      </c>
      <c r="L435" s="49">
        <f t="shared" si="38"/>
        <v>3.9658374636597569</v>
      </c>
      <c r="T435" s="49">
        <f>(100*('GA Arroyo'!AO435-E435))/E435</f>
        <v>4.5366220578556433</v>
      </c>
      <c r="U435" s="49">
        <f>(100*('GA Arroyo'!AR435-E435))/E435</f>
        <v>0</v>
      </c>
      <c r="V435" s="49">
        <f>(100*('GA Arroyo'!AU435-E435))/E435</f>
        <v>3.0080476941667253</v>
      </c>
      <c r="W435" s="49">
        <f>(100*('GA Arroyo'!AX435-E435))/E435</f>
        <v>11.474841814579181</v>
      </c>
    </row>
    <row r="436" spans="2:23" ht="15" customHeight="1">
      <c r="B436">
        <f>MIN('GA Arroyo'!B436,'GA Arroyo'!E436,'GA Arroyo'!H436,'GA Arroyo'!K436)</f>
        <v>57140</v>
      </c>
      <c r="C436">
        <f>MIN('GA Arroyo'!O436, 'GA Arroyo'!R436, 'GA Arroyo'!U436, 'GA Arroyo'!X436)</f>
        <v>54604.800000000003</v>
      </c>
      <c r="D436">
        <f>MIN('GA Arroyo'!AB436, 'GA Arroyo'!AE436, 'GA Arroyo'!AH436, 'GA Arroyo'!AK436)</f>
        <v>52837.2</v>
      </c>
      <c r="E436">
        <f>MIN('GA Arroyo'!AO436, 'GA Arroyo'!AR436, 'GA Arroyo'!AU436, 'GA Arroyo'!AX436)</f>
        <v>54179.199999999997</v>
      </c>
      <c r="G436" s="45">
        <f t="shared" si="34"/>
        <v>52837.2</v>
      </c>
      <c r="I436" s="49">
        <f t="shared" si="35"/>
        <v>8.1435049548424274</v>
      </c>
      <c r="J436" s="49">
        <f t="shared" si="36"/>
        <v>3.3453703072835159</v>
      </c>
      <c r="K436" s="49">
        <f t="shared" si="37"/>
        <v>0</v>
      </c>
      <c r="L436" s="49">
        <f t="shared" si="38"/>
        <v>2.5398772077248606</v>
      </c>
      <c r="T436" s="49">
        <f>(100*('GA Arroyo'!AO436-E436))/E436</f>
        <v>3.9317671726419077</v>
      </c>
      <c r="U436" s="49">
        <f>(100*('GA Arroyo'!AR436-E436))/E436</f>
        <v>0.21078199751935128</v>
      </c>
      <c r="V436" s="49">
        <f>(100*('GA Arroyo'!AU436-E436))/E436</f>
        <v>4.4378654539011313</v>
      </c>
      <c r="W436" s="49">
        <f>(100*('GA Arroyo'!AX436-E436))/E436</f>
        <v>0</v>
      </c>
    </row>
    <row r="437" spans="2:23" ht="15" customHeight="1">
      <c r="B437">
        <f>MIN('GA Arroyo'!B437,'GA Arroyo'!E437,'GA Arroyo'!H437,'GA Arroyo'!K437)</f>
        <v>55112.800000000003</v>
      </c>
      <c r="C437">
        <f>MIN('GA Arroyo'!O437, 'GA Arroyo'!R437, 'GA Arroyo'!U437, 'GA Arroyo'!X437)</f>
        <v>55905.2</v>
      </c>
      <c r="D437">
        <f>MIN('GA Arroyo'!AB437, 'GA Arroyo'!AE437, 'GA Arroyo'!AH437, 'GA Arroyo'!AK437)</f>
        <v>53754.7</v>
      </c>
      <c r="E437">
        <f>MIN('GA Arroyo'!AO437, 'GA Arroyo'!AR437, 'GA Arroyo'!AU437, 'GA Arroyo'!AX437)</f>
        <v>52867</v>
      </c>
      <c r="G437" s="45">
        <f t="shared" si="34"/>
        <v>52867</v>
      </c>
      <c r="I437" s="49">
        <f t="shared" si="35"/>
        <v>4.248018612745196</v>
      </c>
      <c r="J437" s="49">
        <f t="shared" si="36"/>
        <v>5.7468742315622166</v>
      </c>
      <c r="K437" s="49">
        <f t="shared" si="37"/>
        <v>1.679119299373895</v>
      </c>
      <c r="L437" s="49">
        <f t="shared" si="38"/>
        <v>0</v>
      </c>
      <c r="T437" s="49">
        <f>(100*('GA Arroyo'!AO437-E437))/E437</f>
        <v>15.239752586679785</v>
      </c>
      <c r="U437" s="49">
        <f>(100*('GA Arroyo'!AR437-E437))/E437</f>
        <v>0</v>
      </c>
      <c r="V437" s="49">
        <f>(100*('GA Arroyo'!AU437-E437))/E437</f>
        <v>7.6264966803488017</v>
      </c>
      <c r="W437" s="49">
        <f>(100*('GA Arroyo'!AX437-E437))/E437</f>
        <v>9.0402330376227198</v>
      </c>
    </row>
    <row r="438" spans="2:23" ht="15" customHeight="1">
      <c r="B438">
        <f>MIN('GA Arroyo'!B438,'GA Arroyo'!E438,'GA Arroyo'!H438,'GA Arroyo'!K438)</f>
        <v>53118.8</v>
      </c>
      <c r="C438">
        <f>MIN('GA Arroyo'!O438, 'GA Arroyo'!R438, 'GA Arroyo'!U438, 'GA Arroyo'!X438)</f>
        <v>57043.3</v>
      </c>
      <c r="D438">
        <f>MIN('GA Arroyo'!AB438, 'GA Arroyo'!AE438, 'GA Arroyo'!AH438, 'GA Arroyo'!AK438)</f>
        <v>55305</v>
      </c>
      <c r="E438">
        <f>MIN('GA Arroyo'!AO438, 'GA Arroyo'!AR438, 'GA Arroyo'!AU438, 'GA Arroyo'!AX438)</f>
        <v>57670.2</v>
      </c>
      <c r="G438" s="45">
        <f t="shared" si="34"/>
        <v>53118.8</v>
      </c>
      <c r="I438" s="49">
        <f t="shared" si="35"/>
        <v>0</v>
      </c>
      <c r="J438" s="49">
        <f t="shared" si="36"/>
        <v>7.3881563589538919</v>
      </c>
      <c r="K438" s="49">
        <f t="shared" si="37"/>
        <v>4.1156803241037014</v>
      </c>
      <c r="L438" s="49">
        <f t="shared" si="38"/>
        <v>8.5683411522850559</v>
      </c>
      <c r="T438" s="49">
        <f>(100*('GA Arroyo'!AO438-E438))/E438</f>
        <v>0</v>
      </c>
      <c r="U438" s="49">
        <f>(100*('GA Arroyo'!AR438-E438))/E438</f>
        <v>8.0273694212955764</v>
      </c>
      <c r="V438" s="49">
        <f>(100*('GA Arroyo'!AU438-E438))/E438</f>
        <v>4.456200949537199</v>
      </c>
      <c r="W438" s="49">
        <f>(100*('GA Arroyo'!AX438-E438))/E438</f>
        <v>2.1843170302860133</v>
      </c>
    </row>
    <row r="439" spans="2:23" ht="15" customHeight="1">
      <c r="B439">
        <f>MIN('GA Arroyo'!B439,'GA Arroyo'!E439,'GA Arroyo'!H439,'GA Arroyo'!K439)</f>
        <v>59847.1</v>
      </c>
      <c r="C439">
        <f>MIN('GA Arroyo'!O439, 'GA Arroyo'!R439, 'GA Arroyo'!U439, 'GA Arroyo'!X439)</f>
        <v>58927.4</v>
      </c>
      <c r="D439">
        <f>MIN('GA Arroyo'!AB439, 'GA Arroyo'!AE439, 'GA Arroyo'!AH439, 'GA Arroyo'!AK439)</f>
        <v>59561.4</v>
      </c>
      <c r="E439">
        <f>MIN('GA Arroyo'!AO439, 'GA Arroyo'!AR439, 'GA Arroyo'!AU439, 'GA Arroyo'!AX439)</f>
        <v>64854.2</v>
      </c>
      <c r="G439" s="45">
        <f t="shared" si="34"/>
        <v>58927.4</v>
      </c>
      <c r="I439" s="49">
        <f t="shared" si="35"/>
        <v>1.5607340558042559</v>
      </c>
      <c r="J439" s="49">
        <f t="shared" si="36"/>
        <v>0</v>
      </c>
      <c r="K439" s="49">
        <f t="shared" si="37"/>
        <v>1.0759001754701547</v>
      </c>
      <c r="L439" s="49">
        <f t="shared" si="38"/>
        <v>10.057799936871465</v>
      </c>
      <c r="T439" s="49">
        <f>(100*('GA Arroyo'!AO439-E439))/E439</f>
        <v>7.4078471402006398</v>
      </c>
      <c r="U439" s="49">
        <f>(100*('GA Arroyo'!AR439-E439))/E439</f>
        <v>0</v>
      </c>
      <c r="V439" s="49">
        <f>(100*('GA Arroyo'!AU439-E439))/E439</f>
        <v>4.4973186007999439</v>
      </c>
      <c r="W439" s="49">
        <f>(100*('GA Arroyo'!AX439-E439))/E439</f>
        <v>3.1086652830502972</v>
      </c>
    </row>
    <row r="440" spans="2:23" ht="15" customHeight="1">
      <c r="B440">
        <f>MIN('GA Arroyo'!B440,'GA Arroyo'!E440,'GA Arroyo'!H440,'GA Arroyo'!K440)</f>
        <v>57650.2</v>
      </c>
      <c r="C440">
        <f>MIN('GA Arroyo'!O440, 'GA Arroyo'!R440, 'GA Arroyo'!U440, 'GA Arroyo'!X440)</f>
        <v>59416.9</v>
      </c>
      <c r="D440">
        <f>MIN('GA Arroyo'!AB440, 'GA Arroyo'!AE440, 'GA Arroyo'!AH440, 'GA Arroyo'!AK440)</f>
        <v>55913</v>
      </c>
      <c r="E440">
        <f>MIN('GA Arroyo'!AO440, 'GA Arroyo'!AR440, 'GA Arroyo'!AU440, 'GA Arroyo'!AX440)</f>
        <v>55719.7</v>
      </c>
      <c r="G440" s="45">
        <f t="shared" si="34"/>
        <v>55719.7</v>
      </c>
      <c r="I440" s="49">
        <f t="shared" si="35"/>
        <v>3.4646633057966931</v>
      </c>
      <c r="J440" s="49">
        <f t="shared" si="36"/>
        <v>6.6353551795864023</v>
      </c>
      <c r="K440" s="49">
        <f t="shared" si="37"/>
        <v>0.34691500492644956</v>
      </c>
      <c r="L440" s="49">
        <f t="shared" si="38"/>
        <v>0</v>
      </c>
      <c r="T440" s="49">
        <f>(100*('GA Arroyo'!AO440-E440))/E440</f>
        <v>0</v>
      </c>
      <c r="U440" s="49">
        <f>(100*('GA Arroyo'!AR440-E440))/E440</f>
        <v>35.62528154315261</v>
      </c>
      <c r="V440" s="49">
        <f>(100*('GA Arroyo'!AU440-E440))/E440</f>
        <v>2.1647639883201175</v>
      </c>
      <c r="W440" s="49">
        <f>(100*('GA Arroyo'!AX440-E440))/E440</f>
        <v>8.8284753866226939</v>
      </c>
    </row>
    <row r="441" spans="2:23" ht="15" customHeight="1">
      <c r="B441">
        <f>MIN('GA Arroyo'!B441,'GA Arroyo'!E441,'GA Arroyo'!H441,'GA Arroyo'!K441)</f>
        <v>73035.8</v>
      </c>
      <c r="C441">
        <f>MIN('GA Arroyo'!O441, 'GA Arroyo'!R441, 'GA Arroyo'!U441, 'GA Arroyo'!X441)</f>
        <v>73728.3</v>
      </c>
      <c r="D441">
        <f>MIN('GA Arroyo'!AB441, 'GA Arroyo'!AE441, 'GA Arroyo'!AH441, 'GA Arroyo'!AK441)</f>
        <v>75425.5</v>
      </c>
      <c r="E441">
        <f>MIN('GA Arroyo'!AO441, 'GA Arroyo'!AR441, 'GA Arroyo'!AU441, 'GA Arroyo'!AX441)</f>
        <v>73725.100000000006</v>
      </c>
      <c r="G441" s="45">
        <f t="shared" si="34"/>
        <v>73035.8</v>
      </c>
      <c r="I441" s="49">
        <f t="shared" si="35"/>
        <v>0</v>
      </c>
      <c r="J441" s="49">
        <f t="shared" si="36"/>
        <v>0.94816514640765215</v>
      </c>
      <c r="K441" s="49">
        <f t="shared" si="37"/>
        <v>3.2719570402460123</v>
      </c>
      <c r="L441" s="49">
        <f t="shared" si="38"/>
        <v>0.94378373345674704</v>
      </c>
      <c r="T441" s="49">
        <f>(100*('GA Arroyo'!AO441-E441))/E441</f>
        <v>3.7770040325479259</v>
      </c>
      <c r="U441" s="49">
        <f>(100*('GA Arroyo'!AR441-E441))/E441</f>
        <v>5.3660151020480011</v>
      </c>
      <c r="V441" s="49">
        <f>(100*('GA Arroyo'!AU441-E441))/E441</f>
        <v>1.0445560602833923</v>
      </c>
      <c r="W441" s="49">
        <f>(100*('GA Arroyo'!AX441-E441))/E441</f>
        <v>0</v>
      </c>
    </row>
    <row r="442" spans="2:23" ht="15" customHeight="1">
      <c r="B442">
        <f>MIN('GA Arroyo'!B442,'GA Arroyo'!E442,'GA Arroyo'!H442,'GA Arroyo'!K442)</f>
        <v>62601.2</v>
      </c>
      <c r="C442">
        <f>MIN('GA Arroyo'!O442, 'GA Arroyo'!R442, 'GA Arroyo'!U442, 'GA Arroyo'!X442)</f>
        <v>65083.6</v>
      </c>
      <c r="D442">
        <f>MIN('GA Arroyo'!AB442, 'GA Arroyo'!AE442, 'GA Arroyo'!AH442, 'GA Arroyo'!AK442)</f>
        <v>75114.399999999994</v>
      </c>
      <c r="E442">
        <f>MIN('GA Arroyo'!AO442, 'GA Arroyo'!AR442, 'GA Arroyo'!AU442, 'GA Arroyo'!AX442)</f>
        <v>56917.7</v>
      </c>
      <c r="G442" s="45">
        <f t="shared" si="34"/>
        <v>56917.7</v>
      </c>
      <c r="I442" s="49">
        <f t="shared" si="35"/>
        <v>9.9854702491492109</v>
      </c>
      <c r="J442" s="49">
        <f t="shared" si="36"/>
        <v>14.346855196186779</v>
      </c>
      <c r="K442" s="49">
        <f t="shared" si="37"/>
        <v>31.970195563067374</v>
      </c>
      <c r="L442" s="49">
        <f t="shared" si="38"/>
        <v>0</v>
      </c>
      <c r="T442" s="49">
        <f>(100*('GA Arroyo'!AO442-E442))/E442</f>
        <v>4.3132452646540536</v>
      </c>
      <c r="U442" s="49">
        <f>(100*('GA Arroyo'!AR442-E442))/E442</f>
        <v>35.648137574076266</v>
      </c>
      <c r="V442" s="49">
        <f>(100*('GA Arroyo'!AU442-E442))/E442</f>
        <v>0</v>
      </c>
      <c r="W442" s="49">
        <f>(100*('GA Arroyo'!AX442-E442))/E442</f>
        <v>3.3892796089792911</v>
      </c>
    </row>
    <row r="443" spans="2:23" ht="15" customHeight="1">
      <c r="B443">
        <f>MIN('GA Arroyo'!B443,'GA Arroyo'!E443,'GA Arroyo'!H443,'GA Arroyo'!K443)</f>
        <v>59620.4</v>
      </c>
      <c r="C443">
        <f>MIN('GA Arroyo'!O443, 'GA Arroyo'!R443, 'GA Arroyo'!U443, 'GA Arroyo'!X443)</f>
        <v>65098</v>
      </c>
      <c r="D443">
        <f>MIN('GA Arroyo'!AB443, 'GA Arroyo'!AE443, 'GA Arroyo'!AH443, 'GA Arroyo'!AK443)</f>
        <v>60407.6</v>
      </c>
      <c r="E443">
        <f>MIN('GA Arroyo'!AO443, 'GA Arroyo'!AR443, 'GA Arroyo'!AU443, 'GA Arroyo'!AX443)</f>
        <v>60197.2</v>
      </c>
      <c r="G443" s="45">
        <f t="shared" si="34"/>
        <v>59620.4</v>
      </c>
      <c r="I443" s="49">
        <f t="shared" si="35"/>
        <v>0</v>
      </c>
      <c r="J443" s="49">
        <f t="shared" si="36"/>
        <v>9.1874593260025073</v>
      </c>
      <c r="K443" s="49">
        <f t="shared" si="37"/>
        <v>1.320353436072212</v>
      </c>
      <c r="L443" s="49">
        <f t="shared" si="38"/>
        <v>0.96745409289437112</v>
      </c>
      <c r="T443" s="49">
        <f>(100*('GA Arroyo'!AO443-E443))/E443</f>
        <v>29.790920507930608</v>
      </c>
      <c r="U443" s="49">
        <f>(100*('GA Arroyo'!AR443-E443))/E443</f>
        <v>0</v>
      </c>
      <c r="V443" s="49">
        <f>(100*('GA Arroyo'!AU443-E443))/E443</f>
        <v>2.0077345790169741</v>
      </c>
      <c r="W443" s="49">
        <f>(100*('GA Arroyo'!AX443-E443))/E443</f>
        <v>19.80374502468554</v>
      </c>
    </row>
    <row r="444" spans="2:23" ht="15" customHeight="1">
      <c r="B444">
        <f>MIN('GA Arroyo'!B444,'GA Arroyo'!E444,'GA Arroyo'!H444,'GA Arroyo'!K444)</f>
        <v>59248.7</v>
      </c>
      <c r="C444">
        <f>MIN('GA Arroyo'!O444, 'GA Arroyo'!R444, 'GA Arroyo'!U444, 'GA Arroyo'!X444)</f>
        <v>58242.9</v>
      </c>
      <c r="D444">
        <f>MIN('GA Arroyo'!AB444, 'GA Arroyo'!AE444, 'GA Arroyo'!AH444, 'GA Arroyo'!AK444)</f>
        <v>58820</v>
      </c>
      <c r="E444">
        <f>MIN('GA Arroyo'!AO444, 'GA Arroyo'!AR444, 'GA Arroyo'!AU444, 'GA Arroyo'!AX444)</f>
        <v>58904.7</v>
      </c>
      <c r="G444" s="45">
        <f t="shared" si="34"/>
        <v>58242.9</v>
      </c>
      <c r="I444" s="49">
        <f t="shared" si="35"/>
        <v>1.7269057687718083</v>
      </c>
      <c r="J444" s="49">
        <f t="shared" si="36"/>
        <v>0</v>
      </c>
      <c r="K444" s="49">
        <f t="shared" si="37"/>
        <v>0.99085038691411065</v>
      </c>
      <c r="L444" s="49">
        <f t="shared" si="38"/>
        <v>1.1362758379132831</v>
      </c>
      <c r="T444" s="49">
        <f>(100*('GA Arroyo'!AO444-E444))/E444</f>
        <v>7.8335005525874895</v>
      </c>
      <c r="U444" s="49">
        <f>(100*('GA Arroyo'!AR444-E444))/E444</f>
        <v>0</v>
      </c>
      <c r="V444" s="49">
        <f>(100*('GA Arroyo'!AU444-E444))/E444</f>
        <v>3.1331965021466979</v>
      </c>
      <c r="W444" s="49">
        <f>(100*('GA Arroyo'!AX444-E444))/E444</f>
        <v>1.0702032265676618</v>
      </c>
    </row>
    <row r="445" spans="2:23" ht="15" customHeight="1">
      <c r="B445">
        <f>MIN('GA Arroyo'!B445,'GA Arroyo'!E445,'GA Arroyo'!H445,'GA Arroyo'!K445)</f>
        <v>58356.2</v>
      </c>
      <c r="C445">
        <f>MIN('GA Arroyo'!O445, 'GA Arroyo'!R445, 'GA Arroyo'!U445, 'GA Arroyo'!X445)</f>
        <v>55467</v>
      </c>
      <c r="D445">
        <f>MIN('GA Arroyo'!AB445, 'GA Arroyo'!AE445, 'GA Arroyo'!AH445, 'GA Arroyo'!AK445)</f>
        <v>55968.2</v>
      </c>
      <c r="E445">
        <f>MIN('GA Arroyo'!AO445, 'GA Arroyo'!AR445, 'GA Arroyo'!AU445, 'GA Arroyo'!AX445)</f>
        <v>56942.8</v>
      </c>
      <c r="G445" s="45">
        <f t="shared" si="34"/>
        <v>55467</v>
      </c>
      <c r="I445" s="49">
        <f t="shared" si="35"/>
        <v>5.2088629275064404</v>
      </c>
      <c r="J445" s="49">
        <f t="shared" si="36"/>
        <v>0</v>
      </c>
      <c r="K445" s="49">
        <f t="shared" si="37"/>
        <v>0.90360033894026559</v>
      </c>
      <c r="L445" s="49">
        <f t="shared" si="38"/>
        <v>2.6606811257143939</v>
      </c>
      <c r="T445" s="49">
        <f>(100*('GA Arroyo'!AO445-E445))/E445</f>
        <v>13.100514902674254</v>
      </c>
      <c r="U445" s="49">
        <f>(100*('GA Arroyo'!AR445-E445))/E445</f>
        <v>5.7649079427074135</v>
      </c>
      <c r="V445" s="49">
        <f>(100*('GA Arroyo'!AU445-E445))/E445</f>
        <v>0</v>
      </c>
      <c r="W445" s="49">
        <f>(100*('GA Arroyo'!AX445-E445))/E445</f>
        <v>10.979790245650015</v>
      </c>
    </row>
    <row r="446" spans="2:23" ht="15" customHeight="1">
      <c r="B446">
        <f>MIN('GA Arroyo'!B446,'GA Arroyo'!E446,'GA Arroyo'!H446,'GA Arroyo'!K446)</f>
        <v>49569.1</v>
      </c>
      <c r="C446">
        <f>MIN('GA Arroyo'!O446, 'GA Arroyo'!R446, 'GA Arroyo'!U446, 'GA Arroyo'!X446)</f>
        <v>60281.4</v>
      </c>
      <c r="D446">
        <f>MIN('GA Arroyo'!AB446, 'GA Arroyo'!AE446, 'GA Arroyo'!AH446, 'GA Arroyo'!AK446)</f>
        <v>55145.2</v>
      </c>
      <c r="E446">
        <f>MIN('GA Arroyo'!AO446, 'GA Arroyo'!AR446, 'GA Arroyo'!AU446, 'GA Arroyo'!AX446)</f>
        <v>57503.4</v>
      </c>
      <c r="G446" s="45">
        <f t="shared" si="34"/>
        <v>49569.1</v>
      </c>
      <c r="I446" s="49">
        <f t="shared" si="35"/>
        <v>0</v>
      </c>
      <c r="J446" s="49">
        <f t="shared" si="36"/>
        <v>21.61084223841063</v>
      </c>
      <c r="K446" s="49">
        <f t="shared" si="37"/>
        <v>11.249145132754073</v>
      </c>
      <c r="L446" s="49">
        <f t="shared" si="38"/>
        <v>16.00654439963607</v>
      </c>
      <c r="T446" s="49">
        <f>(100*('GA Arroyo'!AO446-E446))/E446</f>
        <v>29.983096651676242</v>
      </c>
      <c r="U446" s="49">
        <f>(100*('GA Arroyo'!AR446-E446))/E446</f>
        <v>7.1724454553991608</v>
      </c>
      <c r="V446" s="49">
        <f>(100*('GA Arroyo'!AU446-E446))/E446</f>
        <v>0</v>
      </c>
      <c r="W446" s="49">
        <f>(100*('GA Arroyo'!AX446-E446))/E446</f>
        <v>10.695019772743873</v>
      </c>
    </row>
    <row r="447" spans="2:23" ht="15" customHeight="1">
      <c r="B447">
        <f>MIN('GA Arroyo'!B447,'GA Arroyo'!E447,'GA Arroyo'!H447,'GA Arroyo'!K447)</f>
        <v>53138.5</v>
      </c>
      <c r="C447">
        <f>MIN('GA Arroyo'!O447, 'GA Arroyo'!R447, 'GA Arroyo'!U447, 'GA Arroyo'!X447)</f>
        <v>51322.6</v>
      </c>
      <c r="D447">
        <f>MIN('GA Arroyo'!AB447, 'GA Arroyo'!AE447, 'GA Arroyo'!AH447, 'GA Arroyo'!AK447)</f>
        <v>50179</v>
      </c>
      <c r="E447">
        <f>MIN('GA Arroyo'!AO447, 'GA Arroyo'!AR447, 'GA Arroyo'!AU447, 'GA Arroyo'!AX447)</f>
        <v>54219.8</v>
      </c>
      <c r="G447" s="45">
        <f t="shared" si="34"/>
        <v>50179</v>
      </c>
      <c r="I447" s="49">
        <f t="shared" si="35"/>
        <v>5.8978855696606152</v>
      </c>
      <c r="J447" s="49">
        <f t="shared" si="36"/>
        <v>2.2790410331014939</v>
      </c>
      <c r="K447" s="49">
        <f t="shared" si="37"/>
        <v>0</v>
      </c>
      <c r="L447" s="49">
        <f t="shared" si="38"/>
        <v>8.0527710795352689</v>
      </c>
      <c r="T447" s="49">
        <f>(100*('GA Arroyo'!AO447-E447))/E447</f>
        <v>6.9279119436073078</v>
      </c>
      <c r="U447" s="49">
        <f>(100*('GA Arroyo'!AR447-E447))/E447</f>
        <v>12.17581031283774</v>
      </c>
      <c r="V447" s="49">
        <f>(100*('GA Arroyo'!AU447-E447))/E447</f>
        <v>25.568150380488309</v>
      </c>
      <c r="W447" s="49">
        <f>(100*('GA Arroyo'!AX447-E447))/E447</f>
        <v>0</v>
      </c>
    </row>
    <row r="448" spans="2:23" ht="15" customHeight="1">
      <c r="B448">
        <f>MIN('GA Arroyo'!B448,'GA Arroyo'!E448,'GA Arroyo'!H448,'GA Arroyo'!K448)</f>
        <v>48956.800000000003</v>
      </c>
      <c r="C448">
        <f>MIN('GA Arroyo'!O448, 'GA Arroyo'!R448, 'GA Arroyo'!U448, 'GA Arroyo'!X448)</f>
        <v>47167.5</v>
      </c>
      <c r="D448">
        <f>MIN('GA Arroyo'!AB448, 'GA Arroyo'!AE448, 'GA Arroyo'!AH448, 'GA Arroyo'!AK448)</f>
        <v>43433.9</v>
      </c>
      <c r="E448">
        <f>MIN('GA Arroyo'!AO448, 'GA Arroyo'!AR448, 'GA Arroyo'!AU448, 'GA Arroyo'!AX448)</f>
        <v>50858.400000000001</v>
      </c>
      <c r="G448" s="45">
        <f t="shared" si="34"/>
        <v>43433.9</v>
      </c>
      <c r="I448" s="49">
        <f t="shared" si="35"/>
        <v>12.7156437713399</v>
      </c>
      <c r="J448" s="49">
        <f t="shared" si="36"/>
        <v>8.5960505503765461</v>
      </c>
      <c r="K448" s="49">
        <f t="shared" si="37"/>
        <v>0</v>
      </c>
      <c r="L448" s="49">
        <f t="shared" si="38"/>
        <v>17.093790794747882</v>
      </c>
      <c r="T448" s="49">
        <f>(100*('GA Arroyo'!AO448-E448))/E448</f>
        <v>5.6582590093278533</v>
      </c>
      <c r="U448" s="49">
        <f>(100*('GA Arroyo'!AR448-E448))/E448</f>
        <v>3.1007660484797004</v>
      </c>
      <c r="V448" s="49">
        <f>(100*('GA Arroyo'!AU448-E448))/E448</f>
        <v>0</v>
      </c>
      <c r="W448" s="49">
        <f>(100*('GA Arroyo'!AX448-E448))/E448</f>
        <v>2.684708917307665</v>
      </c>
    </row>
    <row r="449" spans="2:23" ht="15" customHeight="1">
      <c r="B449">
        <f>MIN('GA Arroyo'!B449,'GA Arroyo'!E449,'GA Arroyo'!H449,'GA Arroyo'!K449)</f>
        <v>51266.6</v>
      </c>
      <c r="C449">
        <f>MIN('GA Arroyo'!O449, 'GA Arroyo'!R449, 'GA Arroyo'!U449, 'GA Arroyo'!X449)</f>
        <v>47425.2</v>
      </c>
      <c r="D449">
        <f>MIN('GA Arroyo'!AB449, 'GA Arroyo'!AE449, 'GA Arroyo'!AH449, 'GA Arroyo'!AK449)</f>
        <v>47333.599999999999</v>
      </c>
      <c r="E449">
        <f>MIN('GA Arroyo'!AO449, 'GA Arroyo'!AR449, 'GA Arroyo'!AU449, 'GA Arroyo'!AX449)</f>
        <v>49710.8</v>
      </c>
      <c r="G449" s="45">
        <f t="shared" si="34"/>
        <v>47333.599999999999</v>
      </c>
      <c r="I449" s="49">
        <f t="shared" si="35"/>
        <v>8.3091081177007453</v>
      </c>
      <c r="J449" s="49">
        <f t="shared" si="36"/>
        <v>0.19352003650683353</v>
      </c>
      <c r="K449" s="49">
        <f t="shared" si="37"/>
        <v>0</v>
      </c>
      <c r="L449" s="49">
        <f t="shared" si="38"/>
        <v>5.0222252269001393</v>
      </c>
      <c r="T449" s="49">
        <f>(100*('GA Arroyo'!AO449-E449))/E449</f>
        <v>5.7162628644077316</v>
      </c>
      <c r="U449" s="49">
        <f>(100*('GA Arroyo'!AR449-E449))/E449</f>
        <v>0</v>
      </c>
      <c r="V449" s="49">
        <f>(100*('GA Arroyo'!AU449-E449))/E449</f>
        <v>21.443227628603839</v>
      </c>
      <c r="W449" s="49">
        <f>(100*('GA Arroyo'!AX449-E449))/E449</f>
        <v>6.2137402737433192</v>
      </c>
    </row>
    <row r="450" spans="2:23" ht="15" customHeight="1">
      <c r="B450">
        <f>MIN('GA Arroyo'!B450,'GA Arroyo'!E450,'GA Arroyo'!H450,'GA Arroyo'!K450)</f>
        <v>42913.3</v>
      </c>
      <c r="C450">
        <f>MIN('GA Arroyo'!O450, 'GA Arroyo'!R450, 'GA Arroyo'!U450, 'GA Arroyo'!X450)</f>
        <v>44656.3</v>
      </c>
      <c r="D450">
        <f>MIN('GA Arroyo'!AB450, 'GA Arroyo'!AE450, 'GA Arroyo'!AH450, 'GA Arroyo'!AK450)</f>
        <v>47389</v>
      </c>
      <c r="E450">
        <f>MIN('GA Arroyo'!AO450, 'GA Arroyo'!AR450, 'GA Arroyo'!AU450, 'GA Arroyo'!AX450)</f>
        <v>44129.9</v>
      </c>
      <c r="G450" s="45">
        <f t="shared" si="34"/>
        <v>42913.3</v>
      </c>
      <c r="I450" s="49">
        <f t="shared" si="35"/>
        <v>0</v>
      </c>
      <c r="J450" s="49">
        <f t="shared" si="36"/>
        <v>4.0616778481263385</v>
      </c>
      <c r="K450" s="49">
        <f t="shared" si="37"/>
        <v>10.429633703304097</v>
      </c>
      <c r="L450" s="49">
        <f t="shared" si="38"/>
        <v>2.8350185140737216</v>
      </c>
      <c r="T450" s="49">
        <f>(100*('GA Arroyo'!AO450-E450))/E450</f>
        <v>2.8624583332389086</v>
      </c>
      <c r="U450" s="49">
        <f>(100*('GA Arroyo'!AR450-E450))/E450</f>
        <v>15.954715510345583</v>
      </c>
      <c r="V450" s="49">
        <f>(100*('GA Arroyo'!AU450-E450))/E450</f>
        <v>0</v>
      </c>
      <c r="W450" s="49">
        <f>(100*('GA Arroyo'!AX450-E450))/E450</f>
        <v>14.352173922895812</v>
      </c>
    </row>
    <row r="451" spans="2:23" ht="15" customHeight="1">
      <c r="B451">
        <f>MIN('GA Arroyo'!B451,'GA Arroyo'!E451,'GA Arroyo'!H451,'GA Arroyo'!K451)</f>
        <v>49828.5</v>
      </c>
      <c r="C451">
        <f>MIN('GA Arroyo'!O451, 'GA Arroyo'!R451, 'GA Arroyo'!U451, 'GA Arroyo'!X451)</f>
        <v>52687.6</v>
      </c>
      <c r="D451">
        <f>MIN('GA Arroyo'!AB451, 'GA Arroyo'!AE451, 'GA Arroyo'!AH451, 'GA Arroyo'!AK451)</f>
        <v>48595</v>
      </c>
      <c r="E451">
        <f>MIN('GA Arroyo'!AO451, 'GA Arroyo'!AR451, 'GA Arroyo'!AU451, 'GA Arroyo'!AX451)</f>
        <v>53791.7</v>
      </c>
      <c r="G451" s="45">
        <f t="shared" si="34"/>
        <v>48595</v>
      </c>
      <c r="I451" s="49">
        <f t="shared" si="35"/>
        <v>2.5383269883732895</v>
      </c>
      <c r="J451" s="49">
        <f t="shared" si="36"/>
        <v>8.4218541002160698</v>
      </c>
      <c r="K451" s="49">
        <f t="shared" si="37"/>
        <v>0</v>
      </c>
      <c r="L451" s="49">
        <f t="shared" si="38"/>
        <v>10.693898549233454</v>
      </c>
      <c r="T451" s="49">
        <f>(100*('GA Arroyo'!AO451-E451))/E451</f>
        <v>35.371070258050963</v>
      </c>
      <c r="U451" s="49">
        <f>(100*('GA Arroyo'!AR451-E451))/E451</f>
        <v>38.760626639425787</v>
      </c>
      <c r="V451" s="49">
        <f>(100*('GA Arroyo'!AU451-E451))/E451</f>
        <v>0</v>
      </c>
      <c r="W451" s="49">
        <f>(100*('GA Arroyo'!AX451-E451))/E451</f>
        <v>53.774652966907546</v>
      </c>
    </row>
    <row r="452" spans="2:23" ht="15" customHeight="1">
      <c r="B452">
        <f>MIN('GA Arroyo'!B452,'GA Arroyo'!E452,'GA Arroyo'!H452,'GA Arroyo'!K452)</f>
        <v>49804</v>
      </c>
      <c r="C452">
        <f>MIN('GA Arroyo'!O452, 'GA Arroyo'!R452, 'GA Arroyo'!U452, 'GA Arroyo'!X452)</f>
        <v>55032.800000000003</v>
      </c>
      <c r="D452">
        <f>MIN('GA Arroyo'!AB452, 'GA Arroyo'!AE452, 'GA Arroyo'!AH452, 'GA Arroyo'!AK452)</f>
        <v>45301</v>
      </c>
      <c r="E452">
        <f>MIN('GA Arroyo'!AO452, 'GA Arroyo'!AR452, 'GA Arroyo'!AU452, 'GA Arroyo'!AX452)</f>
        <v>48614</v>
      </c>
      <c r="G452" s="45">
        <f t="shared" ref="G452:G515" si="39">MIN(B452,C452,D452,E452)</f>
        <v>45301</v>
      </c>
      <c r="I452" s="49">
        <f t="shared" ref="I452:I515" si="40">(100*(B452-G452))/G452</f>
        <v>9.9401779210171952</v>
      </c>
      <c r="J452" s="49">
        <f t="shared" ref="J452:J515" si="41">(100*(C452-G452))/G452</f>
        <v>21.482527979514806</v>
      </c>
      <c r="K452" s="49">
        <f t="shared" ref="K452:K515" si="42">(100*(D452-G452))/G452</f>
        <v>0</v>
      </c>
      <c r="L452" s="49">
        <f t="shared" ref="L452:L515" si="43">(100*(E452-G452))/G452</f>
        <v>7.3133043420675037</v>
      </c>
      <c r="T452" s="49">
        <f>(100*('GA Arroyo'!AO452-E452))/E452</f>
        <v>12.081087752499277</v>
      </c>
      <c r="U452" s="49">
        <f>(100*('GA Arroyo'!AR452-E452))/E452</f>
        <v>3.5934093059612486</v>
      </c>
      <c r="V452" s="49">
        <f>(100*('GA Arroyo'!AU452-E452))/E452</f>
        <v>0</v>
      </c>
      <c r="W452" s="49">
        <f>(100*('GA Arroyo'!AX452-E452))/E452</f>
        <v>27.703953593615008</v>
      </c>
    </row>
    <row r="453" spans="2:23" ht="15" customHeight="1">
      <c r="B453">
        <f>MIN('GA Arroyo'!B453,'GA Arroyo'!E453,'GA Arroyo'!H453,'GA Arroyo'!K453)</f>
        <v>61596.2</v>
      </c>
      <c r="C453">
        <f>MIN('GA Arroyo'!O453, 'GA Arroyo'!R453, 'GA Arroyo'!U453, 'GA Arroyo'!X453)</f>
        <v>56883.7</v>
      </c>
      <c r="D453">
        <f>MIN('GA Arroyo'!AB453, 'GA Arroyo'!AE453, 'GA Arroyo'!AH453, 'GA Arroyo'!AK453)</f>
        <v>53640.9</v>
      </c>
      <c r="E453">
        <f>MIN('GA Arroyo'!AO453, 'GA Arroyo'!AR453, 'GA Arroyo'!AU453, 'GA Arroyo'!AX453)</f>
        <v>63470</v>
      </c>
      <c r="G453" s="45">
        <f t="shared" si="39"/>
        <v>53640.9</v>
      </c>
      <c r="I453" s="49">
        <f t="shared" si="40"/>
        <v>14.8306609322364</v>
      </c>
      <c r="J453" s="49">
        <f t="shared" si="41"/>
        <v>6.0453870087936545</v>
      </c>
      <c r="K453" s="49">
        <f t="shared" si="42"/>
        <v>0</v>
      </c>
      <c r="L453" s="49">
        <f t="shared" si="43"/>
        <v>18.323890911599168</v>
      </c>
      <c r="T453" s="49">
        <f>(100*('GA Arroyo'!AO453-E453))/E453</f>
        <v>32.952733574917289</v>
      </c>
      <c r="U453" s="49">
        <f>(100*('GA Arroyo'!AR453-E453))/E453</f>
        <v>18.260753111706325</v>
      </c>
      <c r="V453" s="49">
        <f>(100*('GA Arroyo'!AU453-E453))/E453</f>
        <v>0</v>
      </c>
      <c r="W453" s="49">
        <f>(100*('GA Arroyo'!AX453-E453))/E453</f>
        <v>8.3077044272884741</v>
      </c>
    </row>
    <row r="454" spans="2:23" ht="15" customHeight="1">
      <c r="B454">
        <f>MIN('GA Arroyo'!B454,'GA Arroyo'!E454,'GA Arroyo'!H454,'GA Arroyo'!K454)</f>
        <v>53601.9</v>
      </c>
      <c r="C454">
        <f>MIN('GA Arroyo'!O454, 'GA Arroyo'!R454, 'GA Arroyo'!U454, 'GA Arroyo'!X454)</f>
        <v>52986.7</v>
      </c>
      <c r="D454">
        <f>MIN('GA Arroyo'!AB454, 'GA Arroyo'!AE454, 'GA Arroyo'!AH454, 'GA Arroyo'!AK454)</f>
        <v>51822.6</v>
      </c>
      <c r="E454">
        <f>MIN('GA Arroyo'!AO454, 'GA Arroyo'!AR454, 'GA Arroyo'!AU454, 'GA Arroyo'!AX454)</f>
        <v>62098.6</v>
      </c>
      <c r="G454" s="45">
        <f t="shared" si="39"/>
        <v>51822.6</v>
      </c>
      <c r="I454" s="49">
        <f t="shared" si="40"/>
        <v>3.4334440958192043</v>
      </c>
      <c r="J454" s="49">
        <f t="shared" si="41"/>
        <v>2.2463172438279795</v>
      </c>
      <c r="K454" s="49">
        <f t="shared" si="42"/>
        <v>0</v>
      </c>
      <c r="L454" s="49">
        <f t="shared" si="43"/>
        <v>19.829186493923501</v>
      </c>
      <c r="T454" s="49">
        <f>(100*('GA Arroyo'!AO454-E454))/E454</f>
        <v>0</v>
      </c>
      <c r="U454" s="49">
        <f>(100*('GA Arroyo'!AR454-E454))/E454</f>
        <v>3.5665860421974136</v>
      </c>
      <c r="V454" s="49">
        <f>(100*('GA Arroyo'!AU454-E454))/E454</f>
        <v>34.924458844482807</v>
      </c>
      <c r="W454" s="49">
        <f>(100*('GA Arroyo'!AX454-E454))/E454</f>
        <v>15.255577420424949</v>
      </c>
    </row>
    <row r="455" spans="2:23" ht="15" customHeight="1">
      <c r="B455">
        <f>MIN('GA Arroyo'!B455,'GA Arroyo'!E455,'GA Arroyo'!H455,'GA Arroyo'!K455)</f>
        <v>56195.6</v>
      </c>
      <c r="C455">
        <f>MIN('GA Arroyo'!O455, 'GA Arroyo'!R455, 'GA Arroyo'!U455, 'GA Arroyo'!X455)</f>
        <v>54466.1</v>
      </c>
      <c r="D455">
        <f>MIN('GA Arroyo'!AB455, 'GA Arroyo'!AE455, 'GA Arroyo'!AH455, 'GA Arroyo'!AK455)</f>
        <v>53473.9</v>
      </c>
      <c r="E455">
        <f>MIN('GA Arroyo'!AO455, 'GA Arroyo'!AR455, 'GA Arroyo'!AU455, 'GA Arroyo'!AX455)</f>
        <v>52227</v>
      </c>
      <c r="G455" s="45">
        <f t="shared" si="39"/>
        <v>52227</v>
      </c>
      <c r="I455" s="49">
        <f t="shared" si="40"/>
        <v>7.5987516035766918</v>
      </c>
      <c r="J455" s="49">
        <f t="shared" si="41"/>
        <v>4.2872460604668055</v>
      </c>
      <c r="K455" s="49">
        <f t="shared" si="42"/>
        <v>2.387462423650605</v>
      </c>
      <c r="L455" s="49">
        <f t="shared" si="43"/>
        <v>0</v>
      </c>
      <c r="T455" s="49">
        <f>(100*('GA Arroyo'!AO455-E455))/E455</f>
        <v>14.232868056752256</v>
      </c>
      <c r="U455" s="49">
        <f>(100*('GA Arroyo'!AR455-E455))/E455</f>
        <v>0</v>
      </c>
      <c r="V455" s="49">
        <f>(100*('GA Arroyo'!AU455-E455))/E455</f>
        <v>4.68531602427863</v>
      </c>
      <c r="W455" s="49">
        <f>(100*('GA Arroyo'!AX455-E455))/E455</f>
        <v>7.5171845980048637</v>
      </c>
    </row>
    <row r="456" spans="2:23" ht="15" customHeight="1">
      <c r="B456">
        <f>MIN('GA Arroyo'!B456,'GA Arroyo'!E456,'GA Arroyo'!H456,'GA Arroyo'!K456)</f>
        <v>45980.2</v>
      </c>
      <c r="C456">
        <f>MIN('GA Arroyo'!O456, 'GA Arroyo'!R456, 'GA Arroyo'!U456, 'GA Arroyo'!X456)</f>
        <v>45997.8</v>
      </c>
      <c r="D456">
        <f>MIN('GA Arroyo'!AB456, 'GA Arroyo'!AE456, 'GA Arroyo'!AH456, 'GA Arroyo'!AK456)</f>
        <v>42613.5</v>
      </c>
      <c r="E456">
        <f>MIN('GA Arroyo'!AO456, 'GA Arroyo'!AR456, 'GA Arroyo'!AU456, 'GA Arroyo'!AX456)</f>
        <v>45115.6</v>
      </c>
      <c r="G456" s="45">
        <f t="shared" si="39"/>
        <v>42613.5</v>
      </c>
      <c r="I456" s="49">
        <f t="shared" si="40"/>
        <v>7.9005479484200949</v>
      </c>
      <c r="J456" s="49">
        <f t="shared" si="41"/>
        <v>7.9418494139181313</v>
      </c>
      <c r="K456" s="49">
        <f t="shared" si="42"/>
        <v>0</v>
      </c>
      <c r="L456" s="49">
        <f t="shared" si="43"/>
        <v>5.8716134558297215</v>
      </c>
      <c r="T456" s="49">
        <f>(100*('GA Arroyo'!AO456-E456))/E456</f>
        <v>31.462287989076955</v>
      </c>
      <c r="U456" s="49">
        <f>(100*('GA Arroyo'!AR456-E456))/E456</f>
        <v>14.870466091551485</v>
      </c>
      <c r="V456" s="49">
        <f>(100*('GA Arroyo'!AU456-E456))/E456</f>
        <v>0</v>
      </c>
      <c r="W456" s="49">
        <f>(100*('GA Arroyo'!AX456-E456))/E456</f>
        <v>0.29767973827235572</v>
      </c>
    </row>
    <row r="457" spans="2:23" ht="15" customHeight="1">
      <c r="B457">
        <f>MIN('GA Arroyo'!B457,'GA Arroyo'!E457,'GA Arroyo'!H457,'GA Arroyo'!K457)</f>
        <v>57486.2</v>
      </c>
      <c r="C457">
        <f>MIN('GA Arroyo'!O457, 'GA Arroyo'!R457, 'GA Arroyo'!U457, 'GA Arroyo'!X457)</f>
        <v>63419.4</v>
      </c>
      <c r="D457">
        <f>MIN('GA Arroyo'!AB457, 'GA Arroyo'!AE457, 'GA Arroyo'!AH457, 'GA Arroyo'!AK457)</f>
        <v>57489.599999999999</v>
      </c>
      <c r="E457">
        <f>MIN('GA Arroyo'!AO457, 'GA Arroyo'!AR457, 'GA Arroyo'!AU457, 'GA Arroyo'!AX457)</f>
        <v>58934.3</v>
      </c>
      <c r="G457" s="45">
        <f t="shared" si="39"/>
        <v>57486.2</v>
      </c>
      <c r="I457" s="49">
        <f t="shared" si="40"/>
        <v>0</v>
      </c>
      <c r="J457" s="49">
        <f t="shared" si="41"/>
        <v>10.321085756233678</v>
      </c>
      <c r="K457" s="49">
        <f t="shared" si="42"/>
        <v>5.9144629493712497E-3</v>
      </c>
      <c r="L457" s="49">
        <f t="shared" si="43"/>
        <v>2.5190393520531988</v>
      </c>
      <c r="T457" s="49">
        <f>(100*('GA Arroyo'!AO457-E457))/E457</f>
        <v>0.18257619077514883</v>
      </c>
      <c r="U457" s="49">
        <f>(100*('GA Arroyo'!AR457-E457))/E457</f>
        <v>4.1390158193106483</v>
      </c>
      <c r="V457" s="49">
        <f>(100*('GA Arroyo'!AU457-E457))/E457</f>
        <v>0</v>
      </c>
      <c r="W457" s="49">
        <f>(100*('GA Arroyo'!AX457-E457))/E457</f>
        <v>1.154845310795239</v>
      </c>
    </row>
    <row r="458" spans="2:23" ht="15" customHeight="1">
      <c r="B458">
        <f>MIN('GA Arroyo'!B458,'GA Arroyo'!E458,'GA Arroyo'!H458,'GA Arroyo'!K458)</f>
        <v>52510.1</v>
      </c>
      <c r="C458">
        <f>MIN('GA Arroyo'!O458, 'GA Arroyo'!R458, 'GA Arroyo'!U458, 'GA Arroyo'!X458)</f>
        <v>55478.1</v>
      </c>
      <c r="D458">
        <f>MIN('GA Arroyo'!AB458, 'GA Arroyo'!AE458, 'GA Arroyo'!AH458, 'GA Arroyo'!AK458)</f>
        <v>51591.7</v>
      </c>
      <c r="E458">
        <f>MIN('GA Arroyo'!AO458, 'GA Arroyo'!AR458, 'GA Arroyo'!AU458, 'GA Arroyo'!AX458)</f>
        <v>53817.1</v>
      </c>
      <c r="G458" s="45">
        <f t="shared" si="39"/>
        <v>51591.7</v>
      </c>
      <c r="I458" s="49">
        <f t="shared" si="40"/>
        <v>1.7801313001897621</v>
      </c>
      <c r="J458" s="49">
        <f t="shared" si="41"/>
        <v>7.5329946483639834</v>
      </c>
      <c r="K458" s="49">
        <f t="shared" si="42"/>
        <v>0</v>
      </c>
      <c r="L458" s="49">
        <f t="shared" si="43"/>
        <v>4.3134845333648659</v>
      </c>
      <c r="T458" s="49">
        <f>(100*('GA Arroyo'!AO458-E458))/E458</f>
        <v>15.910927939260946</v>
      </c>
      <c r="U458" s="49">
        <f>(100*('GA Arroyo'!AR458-E458))/E458</f>
        <v>1.8027727246544396</v>
      </c>
      <c r="V458" s="49">
        <f>(100*('GA Arroyo'!AU458-E458))/E458</f>
        <v>0</v>
      </c>
      <c r="W458" s="49">
        <f>(100*('GA Arroyo'!AX458-E458))/E458</f>
        <v>0.36382488093933513</v>
      </c>
    </row>
    <row r="459" spans="2:23" ht="15" customHeight="1">
      <c r="B459">
        <f>MIN('GA Arroyo'!B459,'GA Arroyo'!E459,'GA Arroyo'!H459,'GA Arroyo'!K459)</f>
        <v>51816.6</v>
      </c>
      <c r="C459">
        <f>MIN('GA Arroyo'!O459, 'GA Arroyo'!R459, 'GA Arroyo'!U459, 'GA Arroyo'!X459)</f>
        <v>49288.2</v>
      </c>
      <c r="D459">
        <f>MIN('GA Arroyo'!AB459, 'GA Arroyo'!AE459, 'GA Arroyo'!AH459, 'GA Arroyo'!AK459)</f>
        <v>51501.2</v>
      </c>
      <c r="E459">
        <f>MIN('GA Arroyo'!AO459, 'GA Arroyo'!AR459, 'GA Arroyo'!AU459, 'GA Arroyo'!AX459)</f>
        <v>51435.5</v>
      </c>
      <c r="G459" s="45">
        <f t="shared" si="39"/>
        <v>49288.2</v>
      </c>
      <c r="I459" s="49">
        <f t="shared" si="40"/>
        <v>5.1298282347499029</v>
      </c>
      <c r="J459" s="49">
        <f t="shared" si="41"/>
        <v>0</v>
      </c>
      <c r="K459" s="49">
        <f t="shared" si="42"/>
        <v>4.489918479473789</v>
      </c>
      <c r="L459" s="49">
        <f t="shared" si="43"/>
        <v>4.3566208544844462</v>
      </c>
      <c r="T459" s="49">
        <f>(100*('GA Arroyo'!AO459-E459))/E459</f>
        <v>1.4966317037843568</v>
      </c>
      <c r="U459" s="49">
        <f>(100*('GA Arroyo'!AR459-E459))/E459</f>
        <v>11.147553732344397</v>
      </c>
      <c r="V459" s="49">
        <f>(100*('GA Arroyo'!AU459-E459))/E459</f>
        <v>0</v>
      </c>
      <c r="W459" s="49">
        <f>(100*('GA Arroyo'!AX459-E459))/E459</f>
        <v>16.638508423170766</v>
      </c>
    </row>
    <row r="460" spans="2:23" ht="15" customHeight="1">
      <c r="B460">
        <f>MIN('GA Arroyo'!B460,'GA Arroyo'!E460,'GA Arroyo'!H460,'GA Arroyo'!K460)</f>
        <v>51346</v>
      </c>
      <c r="C460">
        <f>MIN('GA Arroyo'!O460, 'GA Arroyo'!R460, 'GA Arroyo'!U460, 'GA Arroyo'!X460)</f>
        <v>52937.5</v>
      </c>
      <c r="D460">
        <f>MIN('GA Arroyo'!AB460, 'GA Arroyo'!AE460, 'GA Arroyo'!AH460, 'GA Arroyo'!AK460)</f>
        <v>51040.6</v>
      </c>
      <c r="E460">
        <f>MIN('GA Arroyo'!AO460, 'GA Arroyo'!AR460, 'GA Arroyo'!AU460, 'GA Arroyo'!AX460)</f>
        <v>49249.2</v>
      </c>
      <c r="G460" s="45">
        <f t="shared" si="39"/>
        <v>49249.2</v>
      </c>
      <c r="I460" s="49">
        <f t="shared" si="40"/>
        <v>4.2575310867993856</v>
      </c>
      <c r="J460" s="49">
        <f t="shared" si="41"/>
        <v>7.4890556597873736</v>
      </c>
      <c r="K460" s="49">
        <f t="shared" si="42"/>
        <v>3.6374194910780306</v>
      </c>
      <c r="L460" s="49">
        <f t="shared" si="43"/>
        <v>0</v>
      </c>
      <c r="T460" s="49">
        <f>(100*('GA Arroyo'!AO460-E460))/E460</f>
        <v>63.323262103749904</v>
      </c>
      <c r="U460" s="49">
        <f>(100*('GA Arroyo'!AR460-E460))/E460</f>
        <v>11.808922784532546</v>
      </c>
      <c r="V460" s="49">
        <f>(100*('GA Arroyo'!AU460-E460))/E460</f>
        <v>3.875189850799607</v>
      </c>
      <c r="W460" s="49">
        <f>(100*('GA Arroyo'!AX460-E460))/E460</f>
        <v>0</v>
      </c>
    </row>
    <row r="461" spans="2:23" ht="15" customHeight="1">
      <c r="B461">
        <f>MIN('GA Arroyo'!B461,'GA Arroyo'!E461,'GA Arroyo'!H461,'GA Arroyo'!K461)</f>
        <v>41267.5</v>
      </c>
      <c r="C461">
        <f>MIN('GA Arroyo'!O461, 'GA Arroyo'!R461, 'GA Arroyo'!U461, 'GA Arroyo'!X461)</f>
        <v>42954.2</v>
      </c>
      <c r="D461">
        <f>MIN('GA Arroyo'!AB461, 'GA Arroyo'!AE461, 'GA Arroyo'!AH461, 'GA Arroyo'!AK461)</f>
        <v>40078</v>
      </c>
      <c r="E461">
        <f>MIN('GA Arroyo'!AO461, 'GA Arroyo'!AR461, 'GA Arroyo'!AU461, 'GA Arroyo'!AX461)</f>
        <v>38644.9</v>
      </c>
      <c r="G461" s="45">
        <f t="shared" si="39"/>
        <v>38644.9</v>
      </c>
      <c r="I461" s="49">
        <f t="shared" si="40"/>
        <v>6.7864064857199757</v>
      </c>
      <c r="J461" s="49">
        <f t="shared" si="41"/>
        <v>11.151018633765375</v>
      </c>
      <c r="K461" s="49">
        <f t="shared" si="42"/>
        <v>3.7083806660128462</v>
      </c>
      <c r="L461" s="49">
        <f t="shared" si="43"/>
        <v>0</v>
      </c>
      <c r="T461" s="49">
        <f>(100*('GA Arroyo'!AO461-E461))/E461</f>
        <v>0</v>
      </c>
      <c r="U461" s="49">
        <f>(100*('GA Arroyo'!AR461-E461))/E461</f>
        <v>47.497858708393601</v>
      </c>
      <c r="V461" s="49">
        <f>(100*('GA Arroyo'!AU461-E461))/E461</f>
        <v>13.535550615993301</v>
      </c>
      <c r="W461" s="49">
        <f>(100*('GA Arroyo'!AX461-E461))/E461</f>
        <v>3.4309831310211734</v>
      </c>
    </row>
    <row r="462" spans="2:23" ht="15" customHeight="1">
      <c r="B462">
        <f>MIN('GA Arroyo'!B462,'GA Arroyo'!E462,'GA Arroyo'!H462,'GA Arroyo'!K462)</f>
        <v>56102.7</v>
      </c>
      <c r="C462">
        <f>MIN('GA Arroyo'!O462, 'GA Arroyo'!R462, 'GA Arroyo'!U462, 'GA Arroyo'!X462)</f>
        <v>56111.199999999997</v>
      </c>
      <c r="D462">
        <f>MIN('GA Arroyo'!AB462, 'GA Arroyo'!AE462, 'GA Arroyo'!AH462, 'GA Arroyo'!AK462)</f>
        <v>55191.3</v>
      </c>
      <c r="E462">
        <f>MIN('GA Arroyo'!AO462, 'GA Arroyo'!AR462, 'GA Arroyo'!AU462, 'GA Arroyo'!AX462)</f>
        <v>58352.3</v>
      </c>
      <c r="G462" s="45">
        <f t="shared" si="39"/>
        <v>55191.3</v>
      </c>
      <c r="I462" s="49">
        <f t="shared" si="40"/>
        <v>1.6513472232036466</v>
      </c>
      <c r="J462" s="49">
        <f t="shared" si="41"/>
        <v>1.6667482012563468</v>
      </c>
      <c r="K462" s="49">
        <f t="shared" si="42"/>
        <v>0</v>
      </c>
      <c r="L462" s="49">
        <f t="shared" si="43"/>
        <v>5.7273519558336181</v>
      </c>
      <c r="T462" s="49">
        <f>(100*('GA Arroyo'!AO462-E462))/E462</f>
        <v>34.580813438373461</v>
      </c>
      <c r="U462" s="49">
        <f>(100*('GA Arroyo'!AR462-E462))/E462</f>
        <v>8.3880155537999332</v>
      </c>
      <c r="V462" s="49">
        <f>(100*('GA Arroyo'!AU462-E462))/E462</f>
        <v>27.447589897913197</v>
      </c>
      <c r="W462" s="49">
        <f>(100*('GA Arroyo'!AX462-E462))/E462</f>
        <v>0</v>
      </c>
    </row>
    <row r="463" spans="2:23" ht="15" customHeight="1">
      <c r="B463">
        <f>MIN('GA Arroyo'!B463,'GA Arroyo'!E463,'GA Arroyo'!H463,'GA Arroyo'!K463)</f>
        <v>46526.1</v>
      </c>
      <c r="C463">
        <f>MIN('GA Arroyo'!O463, 'GA Arroyo'!R463, 'GA Arroyo'!U463, 'GA Arroyo'!X463)</f>
        <v>47312.6</v>
      </c>
      <c r="D463">
        <f>MIN('GA Arroyo'!AB463, 'GA Arroyo'!AE463, 'GA Arroyo'!AH463, 'GA Arroyo'!AK463)</f>
        <v>57402.8</v>
      </c>
      <c r="E463">
        <f>MIN('GA Arroyo'!AO463, 'GA Arroyo'!AR463, 'GA Arroyo'!AU463, 'GA Arroyo'!AX463)</f>
        <v>65626.2</v>
      </c>
      <c r="G463" s="45">
        <f t="shared" si="39"/>
        <v>46526.1</v>
      </c>
      <c r="I463" s="49">
        <f t="shared" si="40"/>
        <v>0</v>
      </c>
      <c r="J463" s="49">
        <f t="shared" si="41"/>
        <v>1.6904490167884263</v>
      </c>
      <c r="K463" s="49">
        <f t="shared" si="42"/>
        <v>23.377631050098774</v>
      </c>
      <c r="L463" s="49">
        <f t="shared" si="43"/>
        <v>41.052441532817063</v>
      </c>
      <c r="T463" s="49">
        <f>(100*('GA Arroyo'!AO463-E463))/E463</f>
        <v>5.4261864925898502</v>
      </c>
      <c r="U463" s="49">
        <f>(100*('GA Arroyo'!AR463-E463))/E463</f>
        <v>0</v>
      </c>
      <c r="V463" s="49">
        <f>(100*('GA Arroyo'!AU463-E463))/E463</f>
        <v>15.500211805650789</v>
      </c>
      <c r="W463" s="49">
        <f>(100*('GA Arroyo'!AX463-E463))/E463</f>
        <v>21.305210419009484</v>
      </c>
    </row>
    <row r="464" spans="2:23" ht="15" customHeight="1">
      <c r="B464">
        <f>MIN('GA Arroyo'!B464,'GA Arroyo'!E464,'GA Arroyo'!H464,'GA Arroyo'!K464)</f>
        <v>50222.3</v>
      </c>
      <c r="C464">
        <f>MIN('GA Arroyo'!O464, 'GA Arroyo'!R464, 'GA Arroyo'!U464, 'GA Arroyo'!X464)</f>
        <v>54732.5</v>
      </c>
      <c r="D464">
        <f>MIN('GA Arroyo'!AB464, 'GA Arroyo'!AE464, 'GA Arroyo'!AH464, 'GA Arroyo'!AK464)</f>
        <v>47164.5</v>
      </c>
      <c r="E464">
        <f>MIN('GA Arroyo'!AO464, 'GA Arroyo'!AR464, 'GA Arroyo'!AU464, 'GA Arroyo'!AX464)</f>
        <v>49037.5</v>
      </c>
      <c r="G464" s="45">
        <f t="shared" si="39"/>
        <v>47164.5</v>
      </c>
      <c r="I464" s="49">
        <f t="shared" si="40"/>
        <v>6.4832660157533804</v>
      </c>
      <c r="J464" s="49">
        <f t="shared" si="41"/>
        <v>16.045966775858961</v>
      </c>
      <c r="K464" s="49">
        <f t="shared" si="42"/>
        <v>0</v>
      </c>
      <c r="L464" s="49">
        <f t="shared" si="43"/>
        <v>3.9712071579259827</v>
      </c>
      <c r="T464" s="49">
        <f>(100*('GA Arroyo'!AO464-E464))/E464</f>
        <v>16.080958450165685</v>
      </c>
      <c r="U464" s="49">
        <f>(100*('GA Arroyo'!AR464-E464))/E464</f>
        <v>49.395666581697668</v>
      </c>
      <c r="V464" s="49">
        <f>(100*('GA Arroyo'!AU464-E464))/E464</f>
        <v>0.90991588070353724</v>
      </c>
      <c r="W464" s="49">
        <f>(100*('GA Arroyo'!AX464-E464))/E464</f>
        <v>0</v>
      </c>
    </row>
    <row r="465" spans="2:23" ht="15" customHeight="1">
      <c r="B465">
        <f>MIN('GA Arroyo'!B465,'GA Arroyo'!E465,'GA Arroyo'!H465,'GA Arroyo'!K465)</f>
        <v>46080.2</v>
      </c>
      <c r="C465">
        <f>MIN('GA Arroyo'!O465, 'GA Arroyo'!R465, 'GA Arroyo'!U465, 'GA Arroyo'!X465)</f>
        <v>48358.7</v>
      </c>
      <c r="D465">
        <f>MIN('GA Arroyo'!AB465, 'GA Arroyo'!AE465, 'GA Arroyo'!AH465, 'GA Arroyo'!AK465)</f>
        <v>42455</v>
      </c>
      <c r="E465">
        <f>MIN('GA Arroyo'!AO465, 'GA Arroyo'!AR465, 'GA Arroyo'!AU465, 'GA Arroyo'!AX465)</f>
        <v>44821.7</v>
      </c>
      <c r="G465" s="45">
        <f t="shared" si="39"/>
        <v>42455</v>
      </c>
      <c r="I465" s="49">
        <f t="shared" si="40"/>
        <v>8.538923566128835</v>
      </c>
      <c r="J465" s="49">
        <f t="shared" si="41"/>
        <v>13.905782593334113</v>
      </c>
      <c r="K465" s="49">
        <f t="shared" si="42"/>
        <v>0</v>
      </c>
      <c r="L465" s="49">
        <f t="shared" si="43"/>
        <v>5.5746084089035381</v>
      </c>
      <c r="T465" s="49">
        <f>(100*('GA Arroyo'!AO465-E465))/E465</f>
        <v>8.7999785818030176</v>
      </c>
      <c r="U465" s="49">
        <f>(100*('GA Arroyo'!AR465-E465))/E465</f>
        <v>35.611545300602174</v>
      </c>
      <c r="V465" s="49">
        <f>(100*('GA Arroyo'!AU465-E465))/E465</f>
        <v>0</v>
      </c>
      <c r="W465" s="49">
        <f>(100*('GA Arroyo'!AX465-E465))/E465</f>
        <v>35.057795665938599</v>
      </c>
    </row>
    <row r="466" spans="2:23" ht="15" customHeight="1">
      <c r="B466">
        <f>MIN('GA Arroyo'!B466,'GA Arroyo'!E466,'GA Arroyo'!H466,'GA Arroyo'!K466)</f>
        <v>57475.6</v>
      </c>
      <c r="C466">
        <f>MIN('GA Arroyo'!O466, 'GA Arroyo'!R466, 'GA Arroyo'!U466, 'GA Arroyo'!X466)</f>
        <v>57491.3</v>
      </c>
      <c r="D466">
        <f>MIN('GA Arroyo'!AB466, 'GA Arroyo'!AE466, 'GA Arroyo'!AH466, 'GA Arroyo'!AK466)</f>
        <v>55855.5</v>
      </c>
      <c r="E466">
        <f>MIN('GA Arroyo'!AO466, 'GA Arroyo'!AR466, 'GA Arroyo'!AU466, 'GA Arroyo'!AX466)</f>
        <v>53628.800000000003</v>
      </c>
      <c r="G466" s="45">
        <f t="shared" si="39"/>
        <v>53628.800000000003</v>
      </c>
      <c r="I466" s="49">
        <f t="shared" si="40"/>
        <v>7.1730115162002415</v>
      </c>
      <c r="J466" s="49">
        <f t="shared" si="41"/>
        <v>7.2022868309565009</v>
      </c>
      <c r="K466" s="49">
        <f t="shared" si="42"/>
        <v>4.1520600871173645</v>
      </c>
      <c r="L466" s="49">
        <f t="shared" si="43"/>
        <v>0</v>
      </c>
      <c r="T466" s="49">
        <f>(100*('GA Arroyo'!AO466-E466))/E466</f>
        <v>3.2680201682677934</v>
      </c>
      <c r="U466" s="49">
        <f>(100*('GA Arroyo'!AR466-E466))/E466</f>
        <v>20.09274867235515</v>
      </c>
      <c r="V466" s="49">
        <f>(100*('GA Arroyo'!AU466-E466))/E466</f>
        <v>8.9513470374127326</v>
      </c>
      <c r="W466" s="49">
        <f>(100*('GA Arroyo'!AX466-E466))/E466</f>
        <v>0</v>
      </c>
    </row>
    <row r="467" spans="2:23" ht="15" customHeight="1">
      <c r="B467">
        <f>MIN('GA Arroyo'!B467,'GA Arroyo'!E467,'GA Arroyo'!H467,'GA Arroyo'!K467)</f>
        <v>46786.7</v>
      </c>
      <c r="C467">
        <f>MIN('GA Arroyo'!O467, 'GA Arroyo'!R467, 'GA Arroyo'!U467, 'GA Arroyo'!X467)</f>
        <v>47401.9</v>
      </c>
      <c r="D467">
        <f>MIN('GA Arroyo'!AB467, 'GA Arroyo'!AE467, 'GA Arroyo'!AH467, 'GA Arroyo'!AK467)</f>
        <v>43288.9</v>
      </c>
      <c r="E467">
        <f>MIN('GA Arroyo'!AO467, 'GA Arroyo'!AR467, 'GA Arroyo'!AU467, 'GA Arroyo'!AX467)</f>
        <v>58756.800000000003</v>
      </c>
      <c r="G467" s="45">
        <f t="shared" si="39"/>
        <v>43288.9</v>
      </c>
      <c r="I467" s="49">
        <f t="shared" si="40"/>
        <v>8.0801313962701649</v>
      </c>
      <c r="J467" s="49">
        <f t="shared" si="41"/>
        <v>9.5012809288293294</v>
      </c>
      <c r="K467" s="49">
        <f t="shared" si="42"/>
        <v>0</v>
      </c>
      <c r="L467" s="49">
        <f t="shared" si="43"/>
        <v>35.731792676644595</v>
      </c>
      <c r="T467" s="49">
        <f>(100*('GA Arroyo'!AO467-E467))/E467</f>
        <v>44.909695558641722</v>
      </c>
      <c r="U467" s="49">
        <f>(100*('GA Arroyo'!AR467-E467))/E467</f>
        <v>75.787313128012414</v>
      </c>
      <c r="V467" s="49">
        <f>(100*('GA Arroyo'!AU467-E467))/E467</f>
        <v>18.78216648966588</v>
      </c>
      <c r="W467" s="49">
        <f>(100*('GA Arroyo'!AX467-E467))/E467</f>
        <v>0</v>
      </c>
    </row>
    <row r="468" spans="2:23" ht="15" customHeight="1">
      <c r="B468">
        <f>MIN('GA Arroyo'!B468,'GA Arroyo'!E468,'GA Arroyo'!H468,'GA Arroyo'!K468)</f>
        <v>51257.9</v>
      </c>
      <c r="C468">
        <f>MIN('GA Arroyo'!O468, 'GA Arroyo'!R468, 'GA Arroyo'!U468, 'GA Arroyo'!X468)</f>
        <v>48664.800000000003</v>
      </c>
      <c r="D468">
        <f>MIN('GA Arroyo'!AB468, 'GA Arroyo'!AE468, 'GA Arroyo'!AH468, 'GA Arroyo'!AK468)</f>
        <v>48999.6</v>
      </c>
      <c r="E468">
        <f>MIN('GA Arroyo'!AO468, 'GA Arroyo'!AR468, 'GA Arroyo'!AU468, 'GA Arroyo'!AX468)</f>
        <v>47958.8</v>
      </c>
      <c r="G468" s="45">
        <f t="shared" si="39"/>
        <v>47958.8</v>
      </c>
      <c r="I468" s="49">
        <f t="shared" si="40"/>
        <v>6.8790295003211064</v>
      </c>
      <c r="J468" s="49">
        <f t="shared" si="41"/>
        <v>1.4720968831580439</v>
      </c>
      <c r="K468" s="49">
        <f t="shared" si="42"/>
        <v>2.1701960849729258</v>
      </c>
      <c r="L468" s="49">
        <f t="shared" si="43"/>
        <v>0</v>
      </c>
      <c r="T468" s="49">
        <f>(100*('GA Arroyo'!AO468-E468))/E468</f>
        <v>0.6549371543908491</v>
      </c>
      <c r="U468" s="49">
        <f>(100*('GA Arroyo'!AR468-E468))/E468</f>
        <v>9.3205000959156603</v>
      </c>
      <c r="V468" s="49">
        <f>(100*('GA Arroyo'!AU468-E468))/E468</f>
        <v>6.0328865609648181</v>
      </c>
      <c r="W468" s="49">
        <f>(100*('GA Arroyo'!AX468-E468))/E468</f>
        <v>0</v>
      </c>
    </row>
    <row r="469" spans="2:23" ht="15" customHeight="1">
      <c r="B469">
        <f>MIN('GA Arroyo'!B469,'GA Arroyo'!E469,'GA Arroyo'!H469,'GA Arroyo'!K469)</f>
        <v>36184.6</v>
      </c>
      <c r="C469">
        <f>MIN('GA Arroyo'!O469, 'GA Arroyo'!R469, 'GA Arroyo'!U469, 'GA Arroyo'!X469)</f>
        <v>44503.199999999997</v>
      </c>
      <c r="D469">
        <f>MIN('GA Arroyo'!AB469, 'GA Arroyo'!AE469, 'GA Arroyo'!AH469, 'GA Arroyo'!AK469)</f>
        <v>40208.199999999997</v>
      </c>
      <c r="E469">
        <f>MIN('GA Arroyo'!AO469, 'GA Arroyo'!AR469, 'GA Arroyo'!AU469, 'GA Arroyo'!AX469)</f>
        <v>37620.6</v>
      </c>
      <c r="G469" s="45">
        <f t="shared" si="39"/>
        <v>36184.6</v>
      </c>
      <c r="I469" s="49">
        <f t="shared" si="40"/>
        <v>0</v>
      </c>
      <c r="J469" s="49">
        <f t="shared" si="41"/>
        <v>22.98933800567092</v>
      </c>
      <c r="K469" s="49">
        <f t="shared" si="42"/>
        <v>11.119647584884174</v>
      </c>
      <c r="L469" s="49">
        <f t="shared" si="43"/>
        <v>3.9685391022700265</v>
      </c>
      <c r="T469" s="49">
        <f>(100*('GA Arroyo'!AO469-E469))/E469</f>
        <v>0</v>
      </c>
      <c r="U469" s="49">
        <f>(100*('GA Arroyo'!AR469-E469))/E469</f>
        <v>2.662105335906392</v>
      </c>
      <c r="V469" s="49">
        <f>(100*('GA Arroyo'!AU469-E469))/E469</f>
        <v>49.833867615083236</v>
      </c>
      <c r="W469" s="49">
        <f>(100*('GA Arroyo'!AX469-E469))/E469</f>
        <v>3.8731439689957061</v>
      </c>
    </row>
    <row r="470" spans="2:23" ht="15" customHeight="1">
      <c r="B470">
        <f>MIN('GA Arroyo'!B470,'GA Arroyo'!E470,'GA Arroyo'!H470,'GA Arroyo'!K470)</f>
        <v>47675.6</v>
      </c>
      <c r="C470">
        <f>MIN('GA Arroyo'!O470, 'GA Arroyo'!R470, 'GA Arroyo'!U470, 'GA Arroyo'!X470)</f>
        <v>43603.6</v>
      </c>
      <c r="D470">
        <f>MIN('GA Arroyo'!AB470, 'GA Arroyo'!AE470, 'GA Arroyo'!AH470, 'GA Arroyo'!AK470)</f>
        <v>43039.6</v>
      </c>
      <c r="E470">
        <f>MIN('GA Arroyo'!AO470, 'GA Arroyo'!AR470, 'GA Arroyo'!AU470, 'GA Arroyo'!AX470)</f>
        <v>45530.6</v>
      </c>
      <c r="G470" s="45">
        <f t="shared" si="39"/>
        <v>43039.6</v>
      </c>
      <c r="I470" s="49">
        <f t="shared" si="40"/>
        <v>10.771475571334307</v>
      </c>
      <c r="J470" s="49">
        <f t="shared" si="41"/>
        <v>1.3104211005678492</v>
      </c>
      <c r="K470" s="49">
        <f t="shared" si="42"/>
        <v>0</v>
      </c>
      <c r="L470" s="49">
        <f t="shared" si="43"/>
        <v>5.7876931941746674</v>
      </c>
      <c r="T470" s="49">
        <f>(100*('GA Arroyo'!AO470-E470))/E470</f>
        <v>45.735395536188847</v>
      </c>
      <c r="U470" s="49">
        <f>(100*('GA Arroyo'!AR470-E470))/E470</f>
        <v>0</v>
      </c>
      <c r="V470" s="49">
        <f>(100*('GA Arroyo'!AU470-E470))/E470</f>
        <v>0.80605131493984272</v>
      </c>
      <c r="W470" s="49">
        <f>(100*('GA Arroyo'!AX470-E470))/E470</f>
        <v>3.9408661427699241</v>
      </c>
    </row>
    <row r="471" spans="2:23" ht="15" customHeight="1">
      <c r="B471">
        <f>MIN('GA Arroyo'!B471,'GA Arroyo'!E471,'GA Arroyo'!H471,'GA Arroyo'!K471)</f>
        <v>56184.9</v>
      </c>
      <c r="C471">
        <f>MIN('GA Arroyo'!O471, 'GA Arroyo'!R471, 'GA Arroyo'!U471, 'GA Arroyo'!X471)</f>
        <v>49664.3</v>
      </c>
      <c r="D471">
        <f>MIN('GA Arroyo'!AB471, 'GA Arroyo'!AE471, 'GA Arroyo'!AH471, 'GA Arroyo'!AK471)</f>
        <v>48253.8</v>
      </c>
      <c r="E471">
        <f>MIN('GA Arroyo'!AO471, 'GA Arroyo'!AR471, 'GA Arroyo'!AU471, 'GA Arroyo'!AX471)</f>
        <v>46441.9</v>
      </c>
      <c r="G471" s="45">
        <f t="shared" si="39"/>
        <v>46441.9</v>
      </c>
      <c r="I471" s="49">
        <f t="shared" si="40"/>
        <v>20.978900518712628</v>
      </c>
      <c r="J471" s="49">
        <f t="shared" si="41"/>
        <v>6.9385619451400586</v>
      </c>
      <c r="K471" s="49">
        <f t="shared" si="42"/>
        <v>3.901433834533043</v>
      </c>
      <c r="L471" s="49">
        <f t="shared" si="43"/>
        <v>0</v>
      </c>
      <c r="T471" s="49">
        <f>(100*('GA Arroyo'!AO471-E471))/E471</f>
        <v>9.4877685882791081</v>
      </c>
      <c r="U471" s="49">
        <f>(100*('GA Arroyo'!AR471-E471))/E471</f>
        <v>0</v>
      </c>
      <c r="V471" s="49">
        <f>(100*('GA Arroyo'!AU471-E471))/E471</f>
        <v>4.4720392576531136</v>
      </c>
      <c r="W471" s="49">
        <f>(100*('GA Arroyo'!AX471-E471))/E471</f>
        <v>5.8203906386258932</v>
      </c>
    </row>
    <row r="472" spans="2:23" ht="15" customHeight="1">
      <c r="B472">
        <f>MIN('GA Arroyo'!B472,'GA Arroyo'!E472,'GA Arroyo'!H472,'GA Arroyo'!K472)</f>
        <v>46209.8</v>
      </c>
      <c r="C472">
        <f>MIN('GA Arroyo'!O472, 'GA Arroyo'!R472, 'GA Arroyo'!U472, 'GA Arroyo'!X472)</f>
        <v>61978.8</v>
      </c>
      <c r="D472">
        <f>MIN('GA Arroyo'!AB472, 'GA Arroyo'!AE472, 'GA Arroyo'!AH472, 'GA Arroyo'!AK472)</f>
        <v>44382.3</v>
      </c>
      <c r="E472">
        <f>MIN('GA Arroyo'!AO472, 'GA Arroyo'!AR472, 'GA Arroyo'!AU472, 'GA Arroyo'!AX472)</f>
        <v>45506.5</v>
      </c>
      <c r="G472" s="45">
        <f t="shared" si="39"/>
        <v>44382.3</v>
      </c>
      <c r="I472" s="49">
        <f t="shared" si="40"/>
        <v>4.1176324796146213</v>
      </c>
      <c r="J472" s="49">
        <f t="shared" si="41"/>
        <v>39.647562203851535</v>
      </c>
      <c r="K472" s="49">
        <f t="shared" si="42"/>
        <v>0</v>
      </c>
      <c r="L472" s="49">
        <f t="shared" si="43"/>
        <v>2.5329917557224322</v>
      </c>
      <c r="T472" s="49">
        <f>(100*('GA Arroyo'!AO472-E472))/E472</f>
        <v>8.6284376957137994</v>
      </c>
      <c r="U472" s="49">
        <f>(100*('GA Arroyo'!AR472-E472))/E472</f>
        <v>0</v>
      </c>
      <c r="V472" s="49">
        <f>(100*('GA Arroyo'!AU472-E472))/E472</f>
        <v>4.3042202762242692</v>
      </c>
      <c r="W472" s="49">
        <f>(100*('GA Arroyo'!AX472-E472))/E472</f>
        <v>24.706140880973052</v>
      </c>
    </row>
    <row r="473" spans="2:23" ht="15" customHeight="1">
      <c r="B473">
        <f>MIN('GA Arroyo'!B473,'GA Arroyo'!E473,'GA Arroyo'!H473,'GA Arroyo'!K473)</f>
        <v>65569.8</v>
      </c>
      <c r="C473">
        <f>MIN('GA Arroyo'!O473, 'GA Arroyo'!R473, 'GA Arroyo'!U473, 'GA Arroyo'!X473)</f>
        <v>51458.3</v>
      </c>
      <c r="D473">
        <f>MIN('GA Arroyo'!AB473, 'GA Arroyo'!AE473, 'GA Arroyo'!AH473, 'GA Arroyo'!AK473)</f>
        <v>66914.5</v>
      </c>
      <c r="E473">
        <f>MIN('GA Arroyo'!AO473, 'GA Arroyo'!AR473, 'GA Arroyo'!AU473, 'GA Arroyo'!AX473)</f>
        <v>57416.2</v>
      </c>
      <c r="G473" s="45">
        <f t="shared" si="39"/>
        <v>51458.3</v>
      </c>
      <c r="I473" s="49">
        <f t="shared" si="40"/>
        <v>27.423175658737268</v>
      </c>
      <c r="J473" s="49">
        <f t="shared" si="41"/>
        <v>0</v>
      </c>
      <c r="K473" s="49">
        <f t="shared" si="42"/>
        <v>30.03635953772277</v>
      </c>
      <c r="L473" s="49">
        <f t="shared" si="43"/>
        <v>11.578112763149957</v>
      </c>
      <c r="T473" s="49">
        <f>(100*('GA Arroyo'!AO473-E473))/E473</f>
        <v>44.218356491721849</v>
      </c>
      <c r="U473" s="49">
        <f>(100*('GA Arroyo'!AR473-E473))/E473</f>
        <v>21.019503206412136</v>
      </c>
      <c r="V473" s="49">
        <f>(100*('GA Arroyo'!AU473-E473))/E473</f>
        <v>22.166566230436704</v>
      </c>
      <c r="W473" s="49">
        <f>(100*('GA Arroyo'!AX473-E473))/E473</f>
        <v>0</v>
      </c>
    </row>
    <row r="474" spans="2:23" ht="15" customHeight="1">
      <c r="B474">
        <f>MIN('GA Arroyo'!B474,'GA Arroyo'!E474,'GA Arroyo'!H474,'GA Arroyo'!K474)</f>
        <v>32590.2</v>
      </c>
      <c r="C474">
        <f>MIN('GA Arroyo'!O474, 'GA Arroyo'!R474, 'GA Arroyo'!U474, 'GA Arroyo'!X474)</f>
        <v>35397.800000000003</v>
      </c>
      <c r="D474">
        <f>MIN('GA Arroyo'!AB474, 'GA Arroyo'!AE474, 'GA Arroyo'!AH474, 'GA Arroyo'!AK474)</f>
        <v>29984</v>
      </c>
      <c r="E474">
        <f>MIN('GA Arroyo'!AO474, 'GA Arroyo'!AR474, 'GA Arroyo'!AU474, 'GA Arroyo'!AX474)</f>
        <v>32421.599999999999</v>
      </c>
      <c r="G474" s="45">
        <f t="shared" si="39"/>
        <v>29984</v>
      </c>
      <c r="I474" s="49">
        <f t="shared" si="40"/>
        <v>8.6919690501600879</v>
      </c>
      <c r="J474" s="49">
        <f t="shared" si="41"/>
        <v>18.055629669156893</v>
      </c>
      <c r="K474" s="49">
        <f t="shared" si="42"/>
        <v>0</v>
      </c>
      <c r="L474" s="49">
        <f t="shared" si="43"/>
        <v>8.1296691568836668</v>
      </c>
      <c r="T474" s="49">
        <f>(100*('GA Arroyo'!AO474-E474))/E474</f>
        <v>26.530769610383217</v>
      </c>
      <c r="U474" s="49">
        <f>(100*('GA Arroyo'!AR474-E474))/E474</f>
        <v>5.8692353245984208</v>
      </c>
      <c r="V474" s="49">
        <f>(100*('GA Arroyo'!AU474-E474))/E474</f>
        <v>15.152552619241508</v>
      </c>
      <c r="W474" s="49">
        <f>(100*('GA Arroyo'!AX474-E474))/E474</f>
        <v>0</v>
      </c>
    </row>
    <row r="475" spans="2:23" ht="15" customHeight="1">
      <c r="B475">
        <f>MIN('GA Arroyo'!B475,'GA Arroyo'!E475,'GA Arroyo'!H475,'GA Arroyo'!K475)</f>
        <v>54979.5</v>
      </c>
      <c r="C475">
        <f>MIN('GA Arroyo'!O475, 'GA Arroyo'!R475, 'GA Arroyo'!U475, 'GA Arroyo'!X475)</f>
        <v>51524.1</v>
      </c>
      <c r="D475">
        <f>MIN('GA Arroyo'!AB475, 'GA Arroyo'!AE475, 'GA Arroyo'!AH475, 'GA Arroyo'!AK475)</f>
        <v>59882.9</v>
      </c>
      <c r="E475">
        <f>MIN('GA Arroyo'!AO475, 'GA Arroyo'!AR475, 'GA Arroyo'!AU475, 'GA Arroyo'!AX475)</f>
        <v>52033.599999999999</v>
      </c>
      <c r="G475" s="45">
        <f t="shared" si="39"/>
        <v>51524.1</v>
      </c>
      <c r="I475" s="49">
        <f t="shared" si="40"/>
        <v>6.7063762394685229</v>
      </c>
      <c r="J475" s="49">
        <f t="shared" si="41"/>
        <v>0</v>
      </c>
      <c r="K475" s="49">
        <f t="shared" si="42"/>
        <v>16.223087836565806</v>
      </c>
      <c r="L475" s="49">
        <f t="shared" si="43"/>
        <v>0.98885764137558929</v>
      </c>
      <c r="T475" s="49">
        <f>(100*('GA Arroyo'!AO475-E475))/E475</f>
        <v>57.268188247593876</v>
      </c>
      <c r="U475" s="49">
        <f>(100*('GA Arroyo'!AR475-E475))/E475</f>
        <v>0</v>
      </c>
      <c r="V475" s="49">
        <f>(100*('GA Arroyo'!AU475-E475))/E475</f>
        <v>5.8906168322007302</v>
      </c>
      <c r="W475" s="49">
        <f>(100*('GA Arroyo'!AX475-E475))/E475</f>
        <v>31.297661511023637</v>
      </c>
    </row>
    <row r="476" spans="2:23" ht="15" customHeight="1">
      <c r="B476">
        <f>MIN('GA Arroyo'!B476,'GA Arroyo'!E476,'GA Arroyo'!H476,'GA Arroyo'!K476)</f>
        <v>52212</v>
      </c>
      <c r="C476">
        <f>MIN('GA Arroyo'!O476, 'GA Arroyo'!R476, 'GA Arroyo'!U476, 'GA Arroyo'!X476)</f>
        <v>51607.9</v>
      </c>
      <c r="D476">
        <f>MIN('GA Arroyo'!AB476, 'GA Arroyo'!AE476, 'GA Arroyo'!AH476, 'GA Arroyo'!AK476)</f>
        <v>52052.6</v>
      </c>
      <c r="E476">
        <f>MIN('GA Arroyo'!AO476, 'GA Arroyo'!AR476, 'GA Arroyo'!AU476, 'GA Arroyo'!AX476)</f>
        <v>49590.9</v>
      </c>
      <c r="G476" s="45">
        <f t="shared" si="39"/>
        <v>49590.9</v>
      </c>
      <c r="I476" s="49">
        <f t="shared" si="40"/>
        <v>5.2854455152054074</v>
      </c>
      <c r="J476" s="49">
        <f t="shared" si="41"/>
        <v>4.0672784724616813</v>
      </c>
      <c r="K476" s="49">
        <f t="shared" si="42"/>
        <v>4.9640155754382294</v>
      </c>
      <c r="L476" s="49">
        <f t="shared" si="43"/>
        <v>0</v>
      </c>
      <c r="T476" s="49">
        <f>(100*('GA Arroyo'!AO476-E476))/E476</f>
        <v>30.573552809083917</v>
      </c>
      <c r="U476" s="49">
        <f>(100*('GA Arroyo'!AR476-E476))/E476</f>
        <v>3.8095699009293984</v>
      </c>
      <c r="V476" s="49">
        <f>(100*('GA Arroyo'!AU476-E476))/E476</f>
        <v>32.256522870123341</v>
      </c>
      <c r="W476" s="49">
        <f>(100*('GA Arroyo'!AX476-E476))/E476</f>
        <v>0</v>
      </c>
    </row>
    <row r="477" spans="2:23" ht="15" customHeight="1">
      <c r="B477">
        <f>MIN('GA Arroyo'!B477,'GA Arroyo'!E477,'GA Arroyo'!H477,'GA Arroyo'!K477)</f>
        <v>44867.7</v>
      </c>
      <c r="C477">
        <f>MIN('GA Arroyo'!O477, 'GA Arroyo'!R477, 'GA Arroyo'!U477, 'GA Arroyo'!X477)</f>
        <v>43079.3</v>
      </c>
      <c r="D477">
        <f>MIN('GA Arroyo'!AB477, 'GA Arroyo'!AE477, 'GA Arroyo'!AH477, 'GA Arroyo'!AK477)</f>
        <v>47321.5</v>
      </c>
      <c r="E477">
        <f>MIN('GA Arroyo'!AO477, 'GA Arroyo'!AR477, 'GA Arroyo'!AU477, 'GA Arroyo'!AX477)</f>
        <v>41321.9</v>
      </c>
      <c r="G477" s="45">
        <f t="shared" si="39"/>
        <v>41321.9</v>
      </c>
      <c r="I477" s="49">
        <f t="shared" si="40"/>
        <v>8.5809219808382355</v>
      </c>
      <c r="J477" s="49">
        <f t="shared" si="41"/>
        <v>4.2529506145651617</v>
      </c>
      <c r="K477" s="49">
        <f t="shared" si="42"/>
        <v>14.519177482158367</v>
      </c>
      <c r="L477" s="49">
        <f t="shared" si="43"/>
        <v>0</v>
      </c>
      <c r="T477" s="49">
        <f>(100*('GA Arroyo'!AO477-E477))/E477</f>
        <v>19.306711453248763</v>
      </c>
      <c r="U477" s="49">
        <f>(100*('GA Arroyo'!AR477-E477))/E477</f>
        <v>28.79369051277893</v>
      </c>
      <c r="V477" s="49">
        <f>(100*('GA Arroyo'!AU477-E477))/E477</f>
        <v>18.582156193205055</v>
      </c>
      <c r="W477" s="49">
        <f>(100*('GA Arroyo'!AX477-E477))/E477</f>
        <v>0</v>
      </c>
    </row>
    <row r="478" spans="2:23" ht="15" customHeight="1">
      <c r="B478">
        <f>MIN('GA Arroyo'!B478,'GA Arroyo'!E478,'GA Arroyo'!H478,'GA Arroyo'!K478)</f>
        <v>58154.400000000001</v>
      </c>
      <c r="C478">
        <f>MIN('GA Arroyo'!O478, 'GA Arroyo'!R478, 'GA Arroyo'!U478, 'GA Arroyo'!X478)</f>
        <v>60493.3</v>
      </c>
      <c r="D478">
        <f>MIN('GA Arroyo'!AB478, 'GA Arroyo'!AE478, 'GA Arroyo'!AH478, 'GA Arroyo'!AK478)</f>
        <v>60995.9</v>
      </c>
      <c r="E478">
        <f>MIN('GA Arroyo'!AO478, 'GA Arroyo'!AR478, 'GA Arroyo'!AU478, 'GA Arroyo'!AX478)</f>
        <v>58998.9</v>
      </c>
      <c r="G478" s="45">
        <f t="shared" si="39"/>
        <v>58154.400000000001</v>
      </c>
      <c r="I478" s="49">
        <f t="shared" si="40"/>
        <v>0</v>
      </c>
      <c r="J478" s="49">
        <f t="shared" si="41"/>
        <v>4.0218796858019363</v>
      </c>
      <c r="K478" s="49">
        <f t="shared" si="42"/>
        <v>4.8861307140990187</v>
      </c>
      <c r="L478" s="49">
        <f t="shared" si="43"/>
        <v>1.4521687095043538</v>
      </c>
      <c r="T478" s="49">
        <f>(100*('GA Arroyo'!AO478-E478))/E478</f>
        <v>7.875231572114048</v>
      </c>
      <c r="U478" s="49">
        <f>(100*('GA Arroyo'!AR478-E478))/E478</f>
        <v>16.286405339760563</v>
      </c>
      <c r="V478" s="49">
        <f>(100*('GA Arroyo'!AU478-E478))/E478</f>
        <v>61.823695018042699</v>
      </c>
      <c r="W478" s="49">
        <f>(100*('GA Arroyo'!AX478-E478))/E478</f>
        <v>0</v>
      </c>
    </row>
    <row r="479" spans="2:23" ht="15" customHeight="1">
      <c r="B479">
        <f>MIN('GA Arroyo'!B479,'GA Arroyo'!E479,'GA Arroyo'!H479,'GA Arroyo'!K479)</f>
        <v>68521.2</v>
      </c>
      <c r="C479">
        <f>MIN('GA Arroyo'!O479, 'GA Arroyo'!R479, 'GA Arroyo'!U479, 'GA Arroyo'!X479)</f>
        <v>75056.3</v>
      </c>
      <c r="D479">
        <f>MIN('GA Arroyo'!AB479, 'GA Arroyo'!AE479, 'GA Arroyo'!AH479, 'GA Arroyo'!AK479)</f>
        <v>67737.899999999994</v>
      </c>
      <c r="E479">
        <f>MIN('GA Arroyo'!AO479, 'GA Arroyo'!AR479, 'GA Arroyo'!AU479, 'GA Arroyo'!AX479)</f>
        <v>70689.3</v>
      </c>
      <c r="G479" s="45">
        <f t="shared" si="39"/>
        <v>67737.899999999994</v>
      </c>
      <c r="I479" s="49">
        <f t="shared" si="40"/>
        <v>1.1563688865465316</v>
      </c>
      <c r="J479" s="49">
        <f t="shared" si="41"/>
        <v>10.803995990427826</v>
      </c>
      <c r="K479" s="49">
        <f t="shared" si="42"/>
        <v>0</v>
      </c>
      <c r="L479" s="49">
        <f t="shared" si="43"/>
        <v>4.3570881293928645</v>
      </c>
      <c r="T479" s="49">
        <f>(100*('GA Arroyo'!AO479-E479))/E479</f>
        <v>34.987473351695371</v>
      </c>
      <c r="U479" s="49">
        <f>(100*('GA Arroyo'!AR479-E479))/E479</f>
        <v>0</v>
      </c>
      <c r="V479" s="49">
        <f>(100*('GA Arroyo'!AU479-E479))/E479</f>
        <v>4.3271046678917502</v>
      </c>
      <c r="W479" s="49">
        <f>(100*('GA Arroyo'!AX479-E479))/E479</f>
        <v>31.942599516475617</v>
      </c>
    </row>
    <row r="480" spans="2:23" ht="15" customHeight="1">
      <c r="B480">
        <f>MIN('GA Arroyo'!B480,'GA Arroyo'!E480,'GA Arroyo'!H480,'GA Arroyo'!K480)</f>
        <v>46417</v>
      </c>
      <c r="C480">
        <f>MIN('GA Arroyo'!O480, 'GA Arroyo'!R480, 'GA Arroyo'!U480, 'GA Arroyo'!X480)</f>
        <v>44981.9</v>
      </c>
      <c r="D480">
        <f>MIN('GA Arroyo'!AB480, 'GA Arroyo'!AE480, 'GA Arroyo'!AH480, 'GA Arroyo'!AK480)</f>
        <v>49288</v>
      </c>
      <c r="E480">
        <f>MIN('GA Arroyo'!AO480, 'GA Arroyo'!AR480, 'GA Arroyo'!AU480, 'GA Arroyo'!AX480)</f>
        <v>47105.2</v>
      </c>
      <c r="G480" s="45">
        <f t="shared" si="39"/>
        <v>44981.9</v>
      </c>
      <c r="I480" s="49">
        <f t="shared" si="40"/>
        <v>3.1903943586197969</v>
      </c>
      <c r="J480" s="49">
        <f t="shared" si="41"/>
        <v>0</v>
      </c>
      <c r="K480" s="49">
        <f t="shared" si="42"/>
        <v>9.5729615689866332</v>
      </c>
      <c r="L480" s="49">
        <f t="shared" si="43"/>
        <v>4.7203430713242343</v>
      </c>
      <c r="T480" s="49">
        <f>(100*('GA Arroyo'!AO480-E480))/E480</f>
        <v>9.1938894219746512</v>
      </c>
      <c r="U480" s="49">
        <f>(100*('GA Arroyo'!AR480-E480))/E480</f>
        <v>1.122169102349647</v>
      </c>
      <c r="V480" s="49">
        <f>(100*('GA Arroyo'!AU480-E480))/E480</f>
        <v>8.210983076178433</v>
      </c>
      <c r="W480" s="49">
        <f>(100*('GA Arroyo'!AX480-E480))/E480</f>
        <v>0</v>
      </c>
    </row>
    <row r="481" spans="2:23" ht="15" customHeight="1">
      <c r="B481">
        <f>MIN('GA Arroyo'!B481,'GA Arroyo'!E481,'GA Arroyo'!H481,'GA Arroyo'!K481)</f>
        <v>63993.8</v>
      </c>
      <c r="C481">
        <f>MIN('GA Arroyo'!O481, 'GA Arroyo'!R481, 'GA Arroyo'!U481, 'GA Arroyo'!X481)</f>
        <v>65145.3</v>
      </c>
      <c r="D481">
        <f>MIN('GA Arroyo'!AB481, 'GA Arroyo'!AE481, 'GA Arroyo'!AH481, 'GA Arroyo'!AK481)</f>
        <v>63907</v>
      </c>
      <c r="E481">
        <f>MIN('GA Arroyo'!AO481, 'GA Arroyo'!AR481, 'GA Arroyo'!AU481, 'GA Arroyo'!AX481)</f>
        <v>63317.5</v>
      </c>
      <c r="G481" s="45">
        <f t="shared" si="39"/>
        <v>63317.5</v>
      </c>
      <c r="I481" s="49">
        <f t="shared" si="40"/>
        <v>1.068109132546299</v>
      </c>
      <c r="J481" s="49">
        <f t="shared" si="41"/>
        <v>2.8867216804201097</v>
      </c>
      <c r="K481" s="49">
        <f t="shared" si="42"/>
        <v>0.93102222924152089</v>
      </c>
      <c r="L481" s="49">
        <f t="shared" si="43"/>
        <v>0</v>
      </c>
      <c r="T481" s="49">
        <f>(100*('GA Arroyo'!AO481-E481))/E481</f>
        <v>5.2521024993090375</v>
      </c>
      <c r="U481" s="49">
        <f>(100*('GA Arroyo'!AR481-E481))/E481</f>
        <v>10.988905121017087</v>
      </c>
      <c r="V481" s="49">
        <f>(100*('GA Arroyo'!AU481-E481))/E481</f>
        <v>0</v>
      </c>
      <c r="W481" s="49">
        <f>(100*('GA Arroyo'!AX481-E481))/E481</f>
        <v>5.1423382161329805</v>
      </c>
    </row>
    <row r="482" spans="2:23" ht="15" customHeight="1">
      <c r="B482">
        <f>MIN('GA Arroyo'!B482,'GA Arroyo'!E482,'GA Arroyo'!H482,'GA Arroyo'!K482)</f>
        <v>49228.2</v>
      </c>
      <c r="C482">
        <f>MIN('GA Arroyo'!O482, 'GA Arroyo'!R482, 'GA Arroyo'!U482, 'GA Arroyo'!X482)</f>
        <v>52325.1</v>
      </c>
      <c r="D482">
        <f>MIN('GA Arroyo'!AB482, 'GA Arroyo'!AE482, 'GA Arroyo'!AH482, 'GA Arroyo'!AK482)</f>
        <v>48674.1</v>
      </c>
      <c r="E482">
        <f>MIN('GA Arroyo'!AO482, 'GA Arroyo'!AR482, 'GA Arroyo'!AU482, 'GA Arroyo'!AX482)</f>
        <v>53934.6</v>
      </c>
      <c r="G482" s="45">
        <f t="shared" si="39"/>
        <v>48674.1</v>
      </c>
      <c r="I482" s="49">
        <f t="shared" si="40"/>
        <v>1.1383877667999995</v>
      </c>
      <c r="J482" s="49">
        <f t="shared" si="41"/>
        <v>7.5009091077184786</v>
      </c>
      <c r="K482" s="49">
        <f t="shared" si="42"/>
        <v>0</v>
      </c>
      <c r="L482" s="49">
        <f t="shared" si="43"/>
        <v>10.80759582611697</v>
      </c>
      <c r="T482" s="49">
        <f>(100*('GA Arroyo'!AO482-E482))/E482</f>
        <v>20.642407656680504</v>
      </c>
      <c r="U482" s="49">
        <f>(100*('GA Arroyo'!AR482-E482))/E482</f>
        <v>1.2958286517374773</v>
      </c>
      <c r="V482" s="49">
        <f>(100*('GA Arroyo'!AU482-E482))/E482</f>
        <v>15.789122381550994</v>
      </c>
      <c r="W482" s="49">
        <f>(100*('GA Arroyo'!AX482-E482))/E482</f>
        <v>0</v>
      </c>
    </row>
    <row r="483" spans="2:23" ht="15" customHeight="1">
      <c r="B483">
        <f>MIN('GA Arroyo'!B483,'GA Arroyo'!E483,'GA Arroyo'!H483,'GA Arroyo'!K483)</f>
        <v>46857.9</v>
      </c>
      <c r="C483">
        <f>MIN('GA Arroyo'!O483, 'GA Arroyo'!R483, 'GA Arroyo'!U483, 'GA Arroyo'!X483)</f>
        <v>53117.5</v>
      </c>
      <c r="D483">
        <f>MIN('GA Arroyo'!AB483, 'GA Arroyo'!AE483, 'GA Arroyo'!AH483, 'GA Arroyo'!AK483)</f>
        <v>49354.1</v>
      </c>
      <c r="E483">
        <f>MIN('GA Arroyo'!AO483, 'GA Arroyo'!AR483, 'GA Arroyo'!AU483, 'GA Arroyo'!AX483)</f>
        <v>48210.9</v>
      </c>
      <c r="G483" s="45">
        <f t="shared" si="39"/>
        <v>46857.9</v>
      </c>
      <c r="I483" s="49">
        <f t="shared" si="40"/>
        <v>0</v>
      </c>
      <c r="J483" s="49">
        <f t="shared" si="41"/>
        <v>13.358686582198516</v>
      </c>
      <c r="K483" s="49">
        <f t="shared" si="42"/>
        <v>5.3271700182893325</v>
      </c>
      <c r="L483" s="49">
        <f t="shared" si="43"/>
        <v>2.8874533429795188</v>
      </c>
      <c r="T483" s="49">
        <f>(100*('GA Arroyo'!AO483-E483))/E483</f>
        <v>0</v>
      </c>
      <c r="U483" s="49">
        <f>(100*('GA Arroyo'!AR483-E483))/E483</f>
        <v>16.10548651860886</v>
      </c>
      <c r="V483" s="49">
        <f>(100*('GA Arroyo'!AU483-E483))/E483</f>
        <v>11.325032305972304</v>
      </c>
      <c r="W483" s="49">
        <f>(100*('GA Arroyo'!AX483-E483))/E483</f>
        <v>9.9911015973566037</v>
      </c>
    </row>
    <row r="484" spans="2:23" ht="15" customHeight="1">
      <c r="B484">
        <f>MIN('GA Arroyo'!B484,'GA Arroyo'!E484,'GA Arroyo'!H484,'GA Arroyo'!K484)</f>
        <v>51562.400000000001</v>
      </c>
      <c r="C484">
        <f>MIN('GA Arroyo'!O484, 'GA Arroyo'!R484, 'GA Arroyo'!U484, 'GA Arroyo'!X484)</f>
        <v>51560</v>
      </c>
      <c r="D484">
        <f>MIN('GA Arroyo'!AB484, 'GA Arroyo'!AE484, 'GA Arroyo'!AH484, 'GA Arroyo'!AK484)</f>
        <v>50230.3</v>
      </c>
      <c r="E484">
        <f>MIN('GA Arroyo'!AO484, 'GA Arroyo'!AR484, 'GA Arroyo'!AU484, 'GA Arroyo'!AX484)</f>
        <v>51834.400000000001</v>
      </c>
      <c r="G484" s="45">
        <f t="shared" si="39"/>
        <v>50230.3</v>
      </c>
      <c r="I484" s="49">
        <f t="shared" si="40"/>
        <v>2.6519849572867344</v>
      </c>
      <c r="J484" s="49">
        <f t="shared" si="41"/>
        <v>2.6472069647204917</v>
      </c>
      <c r="K484" s="49">
        <f t="shared" si="42"/>
        <v>0</v>
      </c>
      <c r="L484" s="49">
        <f t="shared" si="43"/>
        <v>3.1934907814605893</v>
      </c>
      <c r="T484" s="49">
        <f>(100*('GA Arroyo'!AO484-E484))/E484</f>
        <v>0.41285324031917026</v>
      </c>
      <c r="U484" s="49">
        <f>(100*('GA Arroyo'!AR484-E484))/E484</f>
        <v>0</v>
      </c>
      <c r="V484" s="49">
        <f>(100*('GA Arroyo'!AU484-E484))/E484</f>
        <v>2.3009815875171644</v>
      </c>
      <c r="W484" s="49">
        <f>(100*('GA Arroyo'!AX484-E484))/E484</f>
        <v>5.0717284274535848</v>
      </c>
    </row>
    <row r="485" spans="2:23" ht="15" customHeight="1">
      <c r="B485">
        <f>MIN('GA Arroyo'!B485,'GA Arroyo'!E485,'GA Arroyo'!H485,'GA Arroyo'!K485)</f>
        <v>42346.2</v>
      </c>
      <c r="C485">
        <f>MIN('GA Arroyo'!O485, 'GA Arroyo'!R485, 'GA Arroyo'!U485, 'GA Arroyo'!X485)</f>
        <v>44354.2</v>
      </c>
      <c r="D485">
        <f>MIN('GA Arroyo'!AB485, 'GA Arroyo'!AE485, 'GA Arroyo'!AH485, 'GA Arroyo'!AK485)</f>
        <v>43292.3</v>
      </c>
      <c r="E485">
        <f>MIN('GA Arroyo'!AO485, 'GA Arroyo'!AR485, 'GA Arroyo'!AU485, 'GA Arroyo'!AX485)</f>
        <v>45197.8</v>
      </c>
      <c r="G485" s="45">
        <f t="shared" si="39"/>
        <v>42346.2</v>
      </c>
      <c r="I485" s="49">
        <f t="shared" si="40"/>
        <v>0</v>
      </c>
      <c r="J485" s="49">
        <f t="shared" si="41"/>
        <v>4.7418658580935249</v>
      </c>
      <c r="K485" s="49">
        <f t="shared" si="42"/>
        <v>2.2342028328397965</v>
      </c>
      <c r="L485" s="49">
        <f t="shared" si="43"/>
        <v>6.7340162753682877</v>
      </c>
      <c r="T485" s="49">
        <f>(100*('GA Arroyo'!AO485-E485))/E485</f>
        <v>10.031240458606378</v>
      </c>
      <c r="U485" s="49">
        <f>(100*('GA Arroyo'!AR485-E485))/E485</f>
        <v>0</v>
      </c>
      <c r="V485" s="49">
        <f>(100*('GA Arroyo'!AU485-E485))/E485</f>
        <v>48.515193217368996</v>
      </c>
      <c r="W485" s="49">
        <f>(100*('GA Arroyo'!AX485-E485))/E485</f>
        <v>29.678435676072727</v>
      </c>
    </row>
    <row r="486" spans="2:23" ht="15" customHeight="1">
      <c r="B486">
        <f>MIN('GA Arroyo'!B486,'GA Arroyo'!E486,'GA Arroyo'!H486,'GA Arroyo'!K486)</f>
        <v>50075.199999999997</v>
      </c>
      <c r="C486">
        <f>MIN('GA Arroyo'!O486, 'GA Arroyo'!R486, 'GA Arroyo'!U486, 'GA Arroyo'!X486)</f>
        <v>53412.800000000003</v>
      </c>
      <c r="D486">
        <f>MIN('GA Arroyo'!AB486, 'GA Arroyo'!AE486, 'GA Arroyo'!AH486, 'GA Arroyo'!AK486)</f>
        <v>50603.6</v>
      </c>
      <c r="E486">
        <f>MIN('GA Arroyo'!AO486, 'GA Arroyo'!AR486, 'GA Arroyo'!AU486, 'GA Arroyo'!AX486)</f>
        <v>48997.1</v>
      </c>
      <c r="G486" s="45">
        <f t="shared" si="39"/>
        <v>48997.1</v>
      </c>
      <c r="I486" s="49">
        <f t="shared" si="40"/>
        <v>2.2003343054997102</v>
      </c>
      <c r="J486" s="49">
        <f t="shared" si="41"/>
        <v>9.0121660261525776</v>
      </c>
      <c r="K486" s="49">
        <f t="shared" si="42"/>
        <v>3.2787654779568589</v>
      </c>
      <c r="L486" s="49">
        <f t="shared" si="43"/>
        <v>0</v>
      </c>
      <c r="T486" s="49">
        <f>(100*('GA Arroyo'!AO486-E486))/E486</f>
        <v>26.857099705900971</v>
      </c>
      <c r="U486" s="49">
        <f>(100*('GA Arroyo'!AR486-E486))/E486</f>
        <v>0</v>
      </c>
      <c r="V486" s="49">
        <f>(100*('GA Arroyo'!AU486-E486))/E486</f>
        <v>5.2701078227078835</v>
      </c>
      <c r="W486" s="49">
        <f>(100*('GA Arroyo'!AX486-E486))/E486</f>
        <v>4.9217198568894895</v>
      </c>
    </row>
    <row r="487" spans="2:23" ht="15" customHeight="1">
      <c r="B487">
        <f>MIN('GA Arroyo'!B487,'GA Arroyo'!E487,'GA Arroyo'!H487,'GA Arroyo'!K487)</f>
        <v>48018.7</v>
      </c>
      <c r="C487">
        <f>MIN('GA Arroyo'!O487, 'GA Arroyo'!R487, 'GA Arroyo'!U487, 'GA Arroyo'!X487)</f>
        <v>44400</v>
      </c>
      <c r="D487">
        <f>MIN('GA Arroyo'!AB487, 'GA Arroyo'!AE487, 'GA Arroyo'!AH487, 'GA Arroyo'!AK487)</f>
        <v>45089.7</v>
      </c>
      <c r="E487">
        <f>MIN('GA Arroyo'!AO487, 'GA Arroyo'!AR487, 'GA Arroyo'!AU487, 'GA Arroyo'!AX487)</f>
        <v>44051.3</v>
      </c>
      <c r="G487" s="45">
        <f t="shared" si="39"/>
        <v>44051.3</v>
      </c>
      <c r="I487" s="49">
        <f t="shared" si="40"/>
        <v>9.0063176342128237</v>
      </c>
      <c r="J487" s="49">
        <f t="shared" si="41"/>
        <v>0.79157709307102642</v>
      </c>
      <c r="K487" s="49">
        <f t="shared" si="42"/>
        <v>2.3572516588613595</v>
      </c>
      <c r="L487" s="49">
        <f t="shared" si="43"/>
        <v>0</v>
      </c>
      <c r="T487" s="49">
        <f>(100*('GA Arroyo'!AO487-E487))/E487</f>
        <v>5.460451791434064</v>
      </c>
      <c r="U487" s="49">
        <f>(100*('GA Arroyo'!AR487-E487))/E487</f>
        <v>0</v>
      </c>
      <c r="V487" s="49">
        <f>(100*('GA Arroyo'!AU487-E487))/E487</f>
        <v>1.4421821830456663</v>
      </c>
      <c r="W487" s="49">
        <f>(100*('GA Arroyo'!AX487-E487))/E487</f>
        <v>0.63289846156639107</v>
      </c>
    </row>
    <row r="488" spans="2:23" ht="15" customHeight="1">
      <c r="B488">
        <f>MIN('GA Arroyo'!B488,'GA Arroyo'!E488,'GA Arroyo'!H488,'GA Arroyo'!K488)</f>
        <v>55798.1</v>
      </c>
      <c r="C488">
        <f>MIN('GA Arroyo'!O488, 'GA Arroyo'!R488, 'GA Arroyo'!U488, 'GA Arroyo'!X488)</f>
        <v>58679.6</v>
      </c>
      <c r="D488">
        <f>MIN('GA Arroyo'!AB488, 'GA Arroyo'!AE488, 'GA Arroyo'!AH488, 'GA Arroyo'!AK488)</f>
        <v>52242</v>
      </c>
      <c r="E488">
        <f>MIN('GA Arroyo'!AO488, 'GA Arroyo'!AR488, 'GA Arroyo'!AU488, 'GA Arroyo'!AX488)</f>
        <v>53383.5</v>
      </c>
      <c r="G488" s="45">
        <f t="shared" si="39"/>
        <v>52242</v>
      </c>
      <c r="I488" s="49">
        <f t="shared" si="40"/>
        <v>6.806975230657323</v>
      </c>
      <c r="J488" s="49">
        <f t="shared" si="41"/>
        <v>12.322652272118217</v>
      </c>
      <c r="K488" s="49">
        <f t="shared" si="42"/>
        <v>0</v>
      </c>
      <c r="L488" s="49">
        <f t="shared" si="43"/>
        <v>2.1850235442747215</v>
      </c>
      <c r="T488" s="49">
        <f>(100*('GA Arroyo'!AO488-E488))/E488</f>
        <v>2.0792941639270559</v>
      </c>
      <c r="U488" s="49">
        <f>(100*('GA Arroyo'!AR488-E488))/E488</f>
        <v>0</v>
      </c>
      <c r="V488" s="49">
        <f>(100*('GA Arroyo'!AU488-E488))/E488</f>
        <v>14.328959322637148</v>
      </c>
      <c r="W488" s="49">
        <f>(100*('GA Arroyo'!AX488-E488))/E488</f>
        <v>1.8134816937817837</v>
      </c>
    </row>
    <row r="489" spans="2:23" ht="15" customHeight="1">
      <c r="B489">
        <f>MIN('GA Arroyo'!B489,'GA Arroyo'!E489,'GA Arroyo'!H489,'GA Arroyo'!K489)</f>
        <v>43708.1</v>
      </c>
      <c r="C489">
        <f>MIN('GA Arroyo'!O489, 'GA Arroyo'!R489, 'GA Arroyo'!U489, 'GA Arroyo'!X489)</f>
        <v>45725.2</v>
      </c>
      <c r="D489">
        <f>MIN('GA Arroyo'!AB489, 'GA Arroyo'!AE489, 'GA Arroyo'!AH489, 'GA Arroyo'!AK489)</f>
        <v>41943.3</v>
      </c>
      <c r="E489">
        <f>MIN('GA Arroyo'!AO489, 'GA Arroyo'!AR489, 'GA Arroyo'!AU489, 'GA Arroyo'!AX489)</f>
        <v>40079.1</v>
      </c>
      <c r="G489" s="45">
        <f t="shared" si="39"/>
        <v>40079.1</v>
      </c>
      <c r="I489" s="49">
        <f t="shared" si="40"/>
        <v>9.0545945392985381</v>
      </c>
      <c r="J489" s="49">
        <f t="shared" si="41"/>
        <v>14.087392181960171</v>
      </c>
      <c r="K489" s="49">
        <f t="shared" si="42"/>
        <v>4.6513020501957492</v>
      </c>
      <c r="L489" s="49">
        <f t="shared" si="43"/>
        <v>0</v>
      </c>
      <c r="T489" s="49">
        <f>(100*('GA Arroyo'!AO489-E489))/E489</f>
        <v>16.464441566801657</v>
      </c>
      <c r="U489" s="49">
        <f>(100*('GA Arroyo'!AR489-E489))/E489</f>
        <v>15.52929082738884</v>
      </c>
      <c r="V489" s="49">
        <f>(100*('GA Arroyo'!AU489-E489))/E489</f>
        <v>11.483790803685709</v>
      </c>
      <c r="W489" s="49">
        <f>(100*('GA Arroyo'!AX489-E489))/E489</f>
        <v>0</v>
      </c>
    </row>
    <row r="490" spans="2:23" ht="15" customHeight="1">
      <c r="B490">
        <f>MIN('GA Arroyo'!B490,'GA Arroyo'!E490,'GA Arroyo'!H490,'GA Arroyo'!K490)</f>
        <v>50876.800000000003</v>
      </c>
      <c r="C490">
        <f>MIN('GA Arroyo'!O490, 'GA Arroyo'!R490, 'GA Arroyo'!U490, 'GA Arroyo'!X490)</f>
        <v>56661.5</v>
      </c>
      <c r="D490">
        <f>MIN('GA Arroyo'!AB490, 'GA Arroyo'!AE490, 'GA Arroyo'!AH490, 'GA Arroyo'!AK490)</f>
        <v>50800.3</v>
      </c>
      <c r="E490">
        <f>MIN('GA Arroyo'!AO490, 'GA Arroyo'!AR490, 'GA Arroyo'!AU490, 'GA Arroyo'!AX490)</f>
        <v>53532.4</v>
      </c>
      <c r="G490" s="45">
        <f t="shared" si="39"/>
        <v>50800.3</v>
      </c>
      <c r="I490" s="49">
        <f t="shared" si="40"/>
        <v>0.15058966187207554</v>
      </c>
      <c r="J490" s="49">
        <f t="shared" si="41"/>
        <v>11.537727139406652</v>
      </c>
      <c r="K490" s="49">
        <f t="shared" si="42"/>
        <v>0</v>
      </c>
      <c r="L490" s="49">
        <f t="shared" si="43"/>
        <v>5.3781178457607508</v>
      </c>
      <c r="T490" s="49">
        <f>(100*('GA Arroyo'!AO490-E490))/E490</f>
        <v>5.4561349762013194</v>
      </c>
      <c r="U490" s="49">
        <f>(100*('GA Arroyo'!AR490-E490))/E490</f>
        <v>7.2427165604381587</v>
      </c>
      <c r="V490" s="49">
        <f>(100*('GA Arroyo'!AU490-E490))/E490</f>
        <v>0</v>
      </c>
      <c r="W490" s="49">
        <f>(100*('GA Arroyo'!AX490-E490))/E490</f>
        <v>4.2570480680858722</v>
      </c>
    </row>
    <row r="491" spans="2:23" ht="15" customHeight="1">
      <c r="B491">
        <f>MIN('GA Arroyo'!B491,'GA Arroyo'!E491,'GA Arroyo'!H491,'GA Arroyo'!K491)</f>
        <v>37620.800000000003</v>
      </c>
      <c r="C491">
        <f>MIN('GA Arroyo'!O491, 'GA Arroyo'!R491, 'GA Arroyo'!U491, 'GA Arroyo'!X491)</f>
        <v>40305.800000000003</v>
      </c>
      <c r="D491">
        <f>MIN('GA Arroyo'!AB491, 'GA Arroyo'!AE491, 'GA Arroyo'!AH491, 'GA Arroyo'!AK491)</f>
        <v>43792.2</v>
      </c>
      <c r="E491">
        <f>MIN('GA Arroyo'!AO491, 'GA Arroyo'!AR491, 'GA Arroyo'!AU491, 'GA Arroyo'!AX491)</f>
        <v>42024.6</v>
      </c>
      <c r="G491" s="45">
        <f t="shared" si="39"/>
        <v>37620.800000000003</v>
      </c>
      <c r="I491" s="49">
        <f t="shared" si="40"/>
        <v>0</v>
      </c>
      <c r="J491" s="49">
        <f t="shared" si="41"/>
        <v>7.1370093139965123</v>
      </c>
      <c r="K491" s="49">
        <f t="shared" si="42"/>
        <v>16.40422319567897</v>
      </c>
      <c r="L491" s="49">
        <f t="shared" si="43"/>
        <v>11.705758516565291</v>
      </c>
      <c r="T491" s="49">
        <f>(100*('GA Arroyo'!AO491-E491))/E491</f>
        <v>36.396777125778705</v>
      </c>
      <c r="U491" s="49">
        <f>(100*('GA Arroyo'!AR491-E491))/E491</f>
        <v>9.4665981353778577</v>
      </c>
      <c r="V491" s="49">
        <f>(100*('GA Arroyo'!AU491-E491))/E491</f>
        <v>24.842116284271601</v>
      </c>
      <c r="W491" s="49">
        <f>(100*('GA Arroyo'!AX491-E491))/E491</f>
        <v>0</v>
      </c>
    </row>
    <row r="492" spans="2:23" ht="15" customHeight="1">
      <c r="B492">
        <f>MIN('GA Arroyo'!B492,'GA Arroyo'!E492,'GA Arroyo'!H492,'GA Arroyo'!K492)</f>
        <v>53438</v>
      </c>
      <c r="C492">
        <f>MIN('GA Arroyo'!O492, 'GA Arroyo'!R492, 'GA Arroyo'!U492, 'GA Arroyo'!X492)</f>
        <v>55654.1</v>
      </c>
      <c r="D492">
        <f>MIN('GA Arroyo'!AB492, 'GA Arroyo'!AE492, 'GA Arroyo'!AH492, 'GA Arroyo'!AK492)</f>
        <v>51338</v>
      </c>
      <c r="E492">
        <f>MIN('GA Arroyo'!AO492, 'GA Arroyo'!AR492, 'GA Arroyo'!AU492, 'GA Arroyo'!AX492)</f>
        <v>52064.1</v>
      </c>
      <c r="G492" s="45">
        <f t="shared" si="39"/>
        <v>51338</v>
      </c>
      <c r="I492" s="49">
        <f t="shared" si="40"/>
        <v>4.0905372238887372</v>
      </c>
      <c r="J492" s="49">
        <f t="shared" si="41"/>
        <v>8.4072227200124647</v>
      </c>
      <c r="K492" s="49">
        <f t="shared" si="42"/>
        <v>0</v>
      </c>
      <c r="L492" s="49">
        <f t="shared" si="43"/>
        <v>1.4143519420312411</v>
      </c>
      <c r="T492" s="49">
        <f>(100*('GA Arroyo'!AO492-E492))/E492</f>
        <v>0</v>
      </c>
      <c r="U492" s="49">
        <f>(100*('GA Arroyo'!AR492-E492))/E492</f>
        <v>19.431623710003635</v>
      </c>
      <c r="V492" s="49">
        <f>(100*('GA Arroyo'!AU492-E492))/E492</f>
        <v>70.610459030310722</v>
      </c>
      <c r="W492" s="49">
        <f>(100*('GA Arroyo'!AX492-E492))/E492</f>
        <v>3.0748634855879606</v>
      </c>
    </row>
    <row r="493" spans="2:23" ht="15" customHeight="1">
      <c r="B493">
        <f>MIN('GA Arroyo'!B493,'GA Arroyo'!E493,'GA Arroyo'!H493,'GA Arroyo'!K493)</f>
        <v>49384.800000000003</v>
      </c>
      <c r="C493">
        <f>MIN('GA Arroyo'!O493, 'GA Arroyo'!R493, 'GA Arroyo'!U493, 'GA Arroyo'!X493)</f>
        <v>50232.7</v>
      </c>
      <c r="D493">
        <f>MIN('GA Arroyo'!AB493, 'GA Arroyo'!AE493, 'GA Arroyo'!AH493, 'GA Arroyo'!AK493)</f>
        <v>50409.9</v>
      </c>
      <c r="E493">
        <f>MIN('GA Arroyo'!AO493, 'GA Arroyo'!AR493, 'GA Arroyo'!AU493, 'GA Arroyo'!AX493)</f>
        <v>50103</v>
      </c>
      <c r="G493" s="45">
        <f t="shared" si="39"/>
        <v>49384.800000000003</v>
      </c>
      <c r="I493" s="49">
        <f t="shared" si="40"/>
        <v>0</v>
      </c>
      <c r="J493" s="49">
        <f t="shared" si="41"/>
        <v>1.7169250457630569</v>
      </c>
      <c r="K493" s="49">
        <f t="shared" si="42"/>
        <v>2.0757399037760575</v>
      </c>
      <c r="L493" s="49">
        <f t="shared" si="43"/>
        <v>1.4542936288088584</v>
      </c>
      <c r="T493" s="49">
        <f>(100*('GA Arroyo'!AO493-E493))/E493</f>
        <v>0</v>
      </c>
      <c r="U493" s="49">
        <f>(100*('GA Arroyo'!AR493-E493))/E493</f>
        <v>47.186196435343184</v>
      </c>
      <c r="V493" s="49">
        <f>(100*('GA Arroyo'!AU493-E493))/E493</f>
        <v>61.939804003752258</v>
      </c>
      <c r="W493" s="49">
        <f>(100*('GA Arroyo'!AX493-E493))/E493</f>
        <v>7.1654391952577665</v>
      </c>
    </row>
    <row r="494" spans="2:23" ht="15" customHeight="1">
      <c r="B494">
        <f>MIN('GA Arroyo'!B494,'GA Arroyo'!E494,'GA Arroyo'!H494,'GA Arroyo'!K494)</f>
        <v>50170.9</v>
      </c>
      <c r="C494">
        <f>MIN('GA Arroyo'!O494, 'GA Arroyo'!R494, 'GA Arroyo'!U494, 'GA Arroyo'!X494)</f>
        <v>49877.4</v>
      </c>
      <c r="D494">
        <f>MIN('GA Arroyo'!AB494, 'GA Arroyo'!AE494, 'GA Arroyo'!AH494, 'GA Arroyo'!AK494)</f>
        <v>48545</v>
      </c>
      <c r="E494">
        <f>MIN('GA Arroyo'!AO494, 'GA Arroyo'!AR494, 'GA Arroyo'!AU494, 'GA Arroyo'!AX494)</f>
        <v>55916.2</v>
      </c>
      <c r="G494" s="45">
        <f t="shared" si="39"/>
        <v>48545</v>
      </c>
      <c r="I494" s="49">
        <f t="shared" si="40"/>
        <v>3.349263569883616</v>
      </c>
      <c r="J494" s="49">
        <f t="shared" si="41"/>
        <v>2.7446698939128673</v>
      </c>
      <c r="K494" s="49">
        <f t="shared" si="42"/>
        <v>0</v>
      </c>
      <c r="L494" s="49">
        <f t="shared" si="43"/>
        <v>15.184262024925323</v>
      </c>
      <c r="T494" s="49">
        <f>(100*('GA Arroyo'!AO494-E494))/E494</f>
        <v>30.616887413665456</v>
      </c>
      <c r="U494" s="49">
        <f>(100*('GA Arroyo'!AR494-E494))/E494</f>
        <v>0</v>
      </c>
      <c r="V494" s="49">
        <f>(100*('GA Arroyo'!AU494-E494))/E494</f>
        <v>0.27791588126518157</v>
      </c>
      <c r="W494" s="49">
        <f>(100*('GA Arroyo'!AX494-E494))/E494</f>
        <v>4.5301719358611745</v>
      </c>
    </row>
    <row r="495" spans="2:23" ht="15" customHeight="1">
      <c r="B495">
        <f>MIN('GA Arroyo'!B495,'GA Arroyo'!E495,'GA Arroyo'!H495,'GA Arroyo'!K495)</f>
        <v>51328.800000000003</v>
      </c>
      <c r="C495">
        <f>MIN('GA Arroyo'!O495, 'GA Arroyo'!R495, 'GA Arroyo'!U495, 'GA Arroyo'!X495)</f>
        <v>51769.7</v>
      </c>
      <c r="D495">
        <f>MIN('GA Arroyo'!AB495, 'GA Arroyo'!AE495, 'GA Arroyo'!AH495, 'GA Arroyo'!AK495)</f>
        <v>50887.5</v>
      </c>
      <c r="E495">
        <f>MIN('GA Arroyo'!AO495, 'GA Arroyo'!AR495, 'GA Arroyo'!AU495, 'GA Arroyo'!AX495)</f>
        <v>52350.5</v>
      </c>
      <c r="G495" s="45">
        <f t="shared" si="39"/>
        <v>50887.5</v>
      </c>
      <c r="I495" s="49">
        <f t="shared" si="40"/>
        <v>0.867207074428893</v>
      </c>
      <c r="J495" s="49">
        <f t="shared" si="41"/>
        <v>1.7336281012036296</v>
      </c>
      <c r="K495" s="49">
        <f t="shared" si="42"/>
        <v>0</v>
      </c>
      <c r="L495" s="49">
        <f t="shared" si="43"/>
        <v>2.8749692950135102</v>
      </c>
      <c r="T495" s="49">
        <f>(100*('GA Arroyo'!AO495-E495))/E495</f>
        <v>0.4049627033170648</v>
      </c>
      <c r="U495" s="49">
        <f>(100*('GA Arroyo'!AR495-E495))/E495</f>
        <v>67.68894279901815</v>
      </c>
      <c r="V495" s="49">
        <f>(100*('GA Arroyo'!AU495-E495))/E495</f>
        <v>1.7512726717032367</v>
      </c>
      <c r="W495" s="49">
        <f>(100*('GA Arroyo'!AX495-E495))/E495</f>
        <v>0</v>
      </c>
    </row>
    <row r="496" spans="2:23" ht="15" customHeight="1">
      <c r="B496">
        <f>MIN('GA Arroyo'!B496,'GA Arroyo'!E496,'GA Arroyo'!H496,'GA Arroyo'!K496)</f>
        <v>44479.3</v>
      </c>
      <c r="C496">
        <f>MIN('GA Arroyo'!O496, 'GA Arroyo'!R496, 'GA Arroyo'!U496, 'GA Arroyo'!X496)</f>
        <v>45002.5</v>
      </c>
      <c r="D496">
        <f>MIN('GA Arroyo'!AB496, 'GA Arroyo'!AE496, 'GA Arroyo'!AH496, 'GA Arroyo'!AK496)</f>
        <v>44135.1</v>
      </c>
      <c r="E496">
        <f>MIN('GA Arroyo'!AO496, 'GA Arroyo'!AR496, 'GA Arroyo'!AU496, 'GA Arroyo'!AX496)</f>
        <v>45830.9</v>
      </c>
      <c r="G496" s="45">
        <f t="shared" si="39"/>
        <v>44135.1</v>
      </c>
      <c r="I496" s="49">
        <f t="shared" si="40"/>
        <v>0.77987814687177415</v>
      </c>
      <c r="J496" s="49">
        <f t="shared" si="41"/>
        <v>1.965329182442096</v>
      </c>
      <c r="K496" s="49">
        <f t="shared" si="42"/>
        <v>0</v>
      </c>
      <c r="L496" s="49">
        <f t="shared" si="43"/>
        <v>3.8422933220951192</v>
      </c>
      <c r="T496" s="49">
        <f>(100*('GA Arroyo'!AO496-E496))/E496</f>
        <v>6.6590444438141105</v>
      </c>
      <c r="U496" s="49">
        <f>(100*('GA Arroyo'!AR496-E496))/E496</f>
        <v>0</v>
      </c>
      <c r="V496" s="49">
        <f>(100*('GA Arroyo'!AU496-E496))/E496</f>
        <v>32.988878682286398</v>
      </c>
      <c r="W496" s="49">
        <f>(100*('GA Arroyo'!AX496-E496))/E496</f>
        <v>7.6094949040930899</v>
      </c>
    </row>
    <row r="497" spans="2:23" ht="15" customHeight="1">
      <c r="B497">
        <f>MIN('GA Arroyo'!B497,'GA Arroyo'!E497,'GA Arroyo'!H497,'GA Arroyo'!K497)</f>
        <v>50857.1</v>
      </c>
      <c r="C497">
        <f>MIN('GA Arroyo'!O497, 'GA Arroyo'!R497, 'GA Arroyo'!U497, 'GA Arroyo'!X497)</f>
        <v>50060.3</v>
      </c>
      <c r="D497">
        <f>MIN('GA Arroyo'!AB497, 'GA Arroyo'!AE497, 'GA Arroyo'!AH497, 'GA Arroyo'!AK497)</f>
        <v>62300.5</v>
      </c>
      <c r="E497">
        <f>MIN('GA Arroyo'!AO497, 'GA Arroyo'!AR497, 'GA Arroyo'!AU497, 'GA Arroyo'!AX497)</f>
        <v>51874.6</v>
      </c>
      <c r="G497" s="45">
        <f t="shared" si="39"/>
        <v>50060.3</v>
      </c>
      <c r="I497" s="49">
        <f t="shared" si="40"/>
        <v>1.591680433397314</v>
      </c>
      <c r="J497" s="49">
        <f t="shared" si="41"/>
        <v>0</v>
      </c>
      <c r="K497" s="49">
        <f t="shared" si="42"/>
        <v>24.450912199886929</v>
      </c>
      <c r="L497" s="49">
        <f t="shared" si="43"/>
        <v>3.6242291796093822</v>
      </c>
      <c r="T497" s="49">
        <f>(100*('GA Arroyo'!AO497-E497))/E497</f>
        <v>14.624305536813782</v>
      </c>
      <c r="U497" s="49">
        <f>(100*('GA Arroyo'!AR497-E497))/E497</f>
        <v>46.350622462631044</v>
      </c>
      <c r="V497" s="49">
        <f>(100*('GA Arroyo'!AU497-E497))/E497</f>
        <v>0</v>
      </c>
      <c r="W497" s="49">
        <f>(100*('GA Arroyo'!AX497-E497))/E497</f>
        <v>19.906852293800817</v>
      </c>
    </row>
    <row r="498" spans="2:23" ht="15" customHeight="1">
      <c r="B498">
        <f>MIN('GA Arroyo'!B498,'GA Arroyo'!E498,'GA Arroyo'!H498,'GA Arroyo'!K498)</f>
        <v>46792.4</v>
      </c>
      <c r="C498">
        <f>MIN('GA Arroyo'!O498, 'GA Arroyo'!R498, 'GA Arroyo'!U498, 'GA Arroyo'!X498)</f>
        <v>47262.9</v>
      </c>
      <c r="D498">
        <f>MIN('GA Arroyo'!AB498, 'GA Arroyo'!AE498, 'GA Arroyo'!AH498, 'GA Arroyo'!AK498)</f>
        <v>44022.1</v>
      </c>
      <c r="E498">
        <f>MIN('GA Arroyo'!AO498, 'GA Arroyo'!AR498, 'GA Arroyo'!AU498, 'GA Arroyo'!AX498)</f>
        <v>43460.3</v>
      </c>
      <c r="G498" s="45">
        <f t="shared" si="39"/>
        <v>43460.3</v>
      </c>
      <c r="I498" s="49">
        <f t="shared" si="40"/>
        <v>7.6669972365584194</v>
      </c>
      <c r="J498" s="49">
        <f t="shared" si="41"/>
        <v>8.7495944574703781</v>
      </c>
      <c r="K498" s="49">
        <f t="shared" si="42"/>
        <v>1.2926740036308897</v>
      </c>
      <c r="L498" s="49">
        <f t="shared" si="43"/>
        <v>0</v>
      </c>
      <c r="T498" s="49">
        <f>(100*('GA Arroyo'!AO498-E498))/E498</f>
        <v>10.493484858595085</v>
      </c>
      <c r="U498" s="49">
        <f>(100*('GA Arroyo'!AR498-E498))/E498</f>
        <v>7.1007333129315713</v>
      </c>
      <c r="V498" s="49">
        <f>(100*('GA Arroyo'!AU498-E498))/E498</f>
        <v>0</v>
      </c>
      <c r="W498" s="49">
        <f>(100*('GA Arroyo'!AX498-E498))/E498</f>
        <v>2.3674479927657979</v>
      </c>
    </row>
    <row r="499" spans="2:23" ht="15" customHeight="1">
      <c r="B499">
        <f>MIN('GA Arroyo'!B499,'GA Arroyo'!E499,'GA Arroyo'!H499,'GA Arroyo'!K499)</f>
        <v>52864.9</v>
      </c>
      <c r="C499">
        <f>MIN('GA Arroyo'!O499, 'GA Arroyo'!R499, 'GA Arroyo'!U499, 'GA Arroyo'!X499)</f>
        <v>48308</v>
      </c>
      <c r="D499">
        <f>MIN('GA Arroyo'!AB499, 'GA Arroyo'!AE499, 'GA Arroyo'!AH499, 'GA Arroyo'!AK499)</f>
        <v>50314.8</v>
      </c>
      <c r="E499">
        <f>MIN('GA Arroyo'!AO499, 'GA Arroyo'!AR499, 'GA Arroyo'!AU499, 'GA Arroyo'!AX499)</f>
        <v>49758.7</v>
      </c>
      <c r="G499" s="45">
        <f t="shared" si="39"/>
        <v>48308</v>
      </c>
      <c r="I499" s="49">
        <f t="shared" si="40"/>
        <v>9.4330131655212419</v>
      </c>
      <c r="J499" s="49">
        <f t="shared" si="41"/>
        <v>0</v>
      </c>
      <c r="K499" s="49">
        <f t="shared" si="42"/>
        <v>4.154177361927637</v>
      </c>
      <c r="L499" s="49">
        <f t="shared" si="43"/>
        <v>3.0030222737434733</v>
      </c>
      <c r="T499" s="49">
        <f>(100*('GA Arroyo'!AO499-E499))/E499</f>
        <v>81.909093284189524</v>
      </c>
      <c r="U499" s="49">
        <f>(100*('GA Arroyo'!AR499-E499))/E499</f>
        <v>5.6062557904446981</v>
      </c>
      <c r="V499" s="49">
        <f>(100*('GA Arroyo'!AU499-E499))/E499</f>
        <v>0</v>
      </c>
      <c r="W499" s="49">
        <f>(100*('GA Arroyo'!AX499-E499))/E499</f>
        <v>8.529161734530847</v>
      </c>
    </row>
    <row r="500" spans="2:23" ht="15" customHeight="1">
      <c r="B500">
        <f>MIN('GA Arroyo'!B500,'GA Arroyo'!E500,'GA Arroyo'!H500,'GA Arroyo'!K500)</f>
        <v>45992.2</v>
      </c>
      <c r="C500">
        <f>MIN('GA Arroyo'!O500, 'GA Arroyo'!R500, 'GA Arroyo'!U500, 'GA Arroyo'!X500)</f>
        <v>46266.2</v>
      </c>
      <c r="D500">
        <f>MIN('GA Arroyo'!AB500, 'GA Arroyo'!AE500, 'GA Arroyo'!AH500, 'GA Arroyo'!AK500)</f>
        <v>44030.5</v>
      </c>
      <c r="E500">
        <f>MIN('GA Arroyo'!AO500, 'GA Arroyo'!AR500, 'GA Arroyo'!AU500, 'GA Arroyo'!AX500)</f>
        <v>54283</v>
      </c>
      <c r="G500" s="45">
        <f t="shared" si="39"/>
        <v>44030.5</v>
      </c>
      <c r="I500" s="49">
        <f t="shared" si="40"/>
        <v>4.4553207435754691</v>
      </c>
      <c r="J500" s="49">
        <f t="shared" si="41"/>
        <v>5.0776166520934289</v>
      </c>
      <c r="K500" s="49">
        <f t="shared" si="42"/>
        <v>0</v>
      </c>
      <c r="L500" s="49">
        <f t="shared" si="43"/>
        <v>23.284995628030568</v>
      </c>
      <c r="T500" s="49">
        <f>(100*('GA Arroyo'!AO500-E500))/E500</f>
        <v>9.0055818580402711</v>
      </c>
      <c r="U500" s="49">
        <f>(100*('GA Arroyo'!AR500-E500))/E500</f>
        <v>52.370355359873251</v>
      </c>
      <c r="V500" s="49">
        <f>(100*('GA Arroyo'!AU500-E500))/E500</f>
        <v>0</v>
      </c>
      <c r="W500" s="49">
        <f>(100*('GA Arroyo'!AX500-E500))/E500</f>
        <v>16.079067111250296</v>
      </c>
    </row>
    <row r="501" spans="2:23" ht="15" customHeight="1">
      <c r="B501">
        <f>MIN('GA Arroyo'!B501,'GA Arroyo'!E501,'GA Arroyo'!H501,'GA Arroyo'!K501)</f>
        <v>59186.1</v>
      </c>
      <c r="C501">
        <f>MIN('GA Arroyo'!O501, 'GA Arroyo'!R501, 'GA Arroyo'!U501, 'GA Arroyo'!X501)</f>
        <v>63071</v>
      </c>
      <c r="D501">
        <f>MIN('GA Arroyo'!AB501, 'GA Arroyo'!AE501, 'GA Arroyo'!AH501, 'GA Arroyo'!AK501)</f>
        <v>59314.3</v>
      </c>
      <c r="E501">
        <f>MIN('GA Arroyo'!AO501, 'GA Arroyo'!AR501, 'GA Arroyo'!AU501, 'GA Arroyo'!AX501)</f>
        <v>61097.9</v>
      </c>
      <c r="G501" s="45">
        <f t="shared" si="39"/>
        <v>59186.1</v>
      </c>
      <c r="I501" s="49">
        <f t="shared" si="40"/>
        <v>0</v>
      </c>
      <c r="J501" s="49">
        <f t="shared" si="41"/>
        <v>6.5638722605476643</v>
      </c>
      <c r="K501" s="49">
        <f t="shared" si="42"/>
        <v>0.21660491230205128</v>
      </c>
      <c r="L501" s="49">
        <f t="shared" si="43"/>
        <v>3.2301503224574737</v>
      </c>
      <c r="T501" s="49">
        <f>(100*('GA Arroyo'!AO501-E501))/E501</f>
        <v>14.611958839829191</v>
      </c>
      <c r="U501" s="49">
        <f>(100*('GA Arroyo'!AR501-E501))/E501</f>
        <v>17.332837953513938</v>
      </c>
      <c r="V501" s="49">
        <f>(100*('GA Arroyo'!AU501-E501))/E501</f>
        <v>0.22750372762402635</v>
      </c>
      <c r="W501" s="49">
        <f>(100*('GA Arroyo'!AX501-E501))/E501</f>
        <v>0</v>
      </c>
    </row>
    <row r="502" spans="2:23" ht="15" customHeight="1">
      <c r="B502">
        <f>MIN('GA Arroyo'!B502,'GA Arroyo'!E502,'GA Arroyo'!H502,'GA Arroyo'!K502)</f>
        <v>49371.8</v>
      </c>
      <c r="C502">
        <f>MIN('GA Arroyo'!O502, 'GA Arroyo'!R502, 'GA Arroyo'!U502, 'GA Arroyo'!X502)</f>
        <v>50791.3</v>
      </c>
      <c r="D502">
        <f>MIN('GA Arroyo'!AB502, 'GA Arroyo'!AE502, 'GA Arroyo'!AH502, 'GA Arroyo'!AK502)</f>
        <v>49214.400000000001</v>
      </c>
      <c r="E502">
        <f>MIN('GA Arroyo'!AO502, 'GA Arroyo'!AR502, 'GA Arroyo'!AU502, 'GA Arroyo'!AX502)</f>
        <v>47152.4</v>
      </c>
      <c r="G502" s="45">
        <f t="shared" si="39"/>
        <v>47152.4</v>
      </c>
      <c r="I502" s="49">
        <f t="shared" si="40"/>
        <v>4.7068653981557702</v>
      </c>
      <c r="J502" s="49">
        <f t="shared" si="41"/>
        <v>7.717316615909267</v>
      </c>
      <c r="K502" s="49">
        <f t="shared" si="42"/>
        <v>4.3730541817595707</v>
      </c>
      <c r="L502" s="49">
        <f t="shared" si="43"/>
        <v>0</v>
      </c>
      <c r="T502" s="49">
        <f>(100*('GA Arroyo'!AO502-E502))/E502</f>
        <v>0</v>
      </c>
      <c r="U502" s="49">
        <f>(100*('GA Arroyo'!AR502-E502))/E502</f>
        <v>39.06057804056632</v>
      </c>
      <c r="V502" s="49">
        <f>(100*('GA Arroyo'!AU502-E502))/E502</f>
        <v>4.6877783527455685</v>
      </c>
      <c r="W502" s="49">
        <f>(100*('GA Arroyo'!AX502-E502))/E502</f>
        <v>19.754455764711864</v>
      </c>
    </row>
    <row r="503" spans="2:23" ht="15" customHeight="1">
      <c r="B503">
        <f>MIN('GA Arroyo'!B503,'GA Arroyo'!E503,'GA Arroyo'!H503,'GA Arroyo'!K503)</f>
        <v>49060.4</v>
      </c>
      <c r="C503">
        <f>MIN('GA Arroyo'!O503, 'GA Arroyo'!R503, 'GA Arroyo'!U503, 'GA Arroyo'!X503)</f>
        <v>49877.5</v>
      </c>
      <c r="D503">
        <f>MIN('GA Arroyo'!AB503, 'GA Arroyo'!AE503, 'GA Arroyo'!AH503, 'GA Arroyo'!AK503)</f>
        <v>48349</v>
      </c>
      <c r="E503">
        <f>MIN('GA Arroyo'!AO503, 'GA Arroyo'!AR503, 'GA Arroyo'!AU503, 'GA Arroyo'!AX503)</f>
        <v>46835.8</v>
      </c>
      <c r="G503" s="45">
        <f t="shared" si="39"/>
        <v>46835.8</v>
      </c>
      <c r="I503" s="49">
        <f t="shared" si="40"/>
        <v>4.7497854205543586</v>
      </c>
      <c r="J503" s="49">
        <f t="shared" si="41"/>
        <v>6.494391042749343</v>
      </c>
      <c r="K503" s="49">
        <f t="shared" si="42"/>
        <v>3.2308618620798555</v>
      </c>
      <c r="L503" s="49">
        <f t="shared" si="43"/>
        <v>0</v>
      </c>
      <c r="T503" s="49">
        <f>(100*('GA Arroyo'!AO503-E503))/E503</f>
        <v>14.781214370203976</v>
      </c>
      <c r="U503" s="49">
        <f>(100*('GA Arroyo'!AR503-E503))/E503</f>
        <v>12.762886509892002</v>
      </c>
      <c r="V503" s="49">
        <f>(100*('GA Arroyo'!AU503-E503))/E503</f>
        <v>8.7407495975300833</v>
      </c>
      <c r="W503" s="49">
        <f>(100*('GA Arroyo'!AX503-E503))/E503</f>
        <v>0</v>
      </c>
    </row>
    <row r="504" spans="2:23" ht="15" customHeight="1">
      <c r="B504">
        <f>MIN('GA Arroyo'!B504,'GA Arroyo'!E504,'GA Arroyo'!H504,'GA Arroyo'!K504)</f>
        <v>60943.9</v>
      </c>
      <c r="C504">
        <f>MIN('GA Arroyo'!O504, 'GA Arroyo'!R504, 'GA Arroyo'!U504, 'GA Arroyo'!X504)</f>
        <v>59610.8</v>
      </c>
      <c r="D504">
        <f>MIN('GA Arroyo'!AB504, 'GA Arroyo'!AE504, 'GA Arroyo'!AH504, 'GA Arroyo'!AK504)</f>
        <v>60750</v>
      </c>
      <c r="E504">
        <f>MIN('GA Arroyo'!AO504, 'GA Arroyo'!AR504, 'GA Arroyo'!AU504, 'GA Arroyo'!AX504)</f>
        <v>59820.5</v>
      </c>
      <c r="G504" s="45">
        <f t="shared" si="39"/>
        <v>59610.8</v>
      </c>
      <c r="I504" s="49">
        <f t="shared" si="40"/>
        <v>2.2363397236742308</v>
      </c>
      <c r="J504" s="49">
        <f t="shared" si="41"/>
        <v>0</v>
      </c>
      <c r="K504" s="49">
        <f t="shared" si="42"/>
        <v>1.9110630959490513</v>
      </c>
      <c r="L504" s="49">
        <f t="shared" si="43"/>
        <v>0.35178189187193776</v>
      </c>
      <c r="T504" s="49">
        <f>(100*('GA Arroyo'!AO504-E504))/E504</f>
        <v>9.6067401643249433</v>
      </c>
      <c r="U504" s="49">
        <f>(100*('GA Arroyo'!AR504-E504))/E504</f>
        <v>7.9076570740799577</v>
      </c>
      <c r="V504" s="49">
        <f>(100*('GA Arroyo'!AU504-E504))/E504</f>
        <v>2.2921908041557613</v>
      </c>
      <c r="W504" s="49">
        <f>(100*('GA Arroyo'!AX504-E504))/E504</f>
        <v>0</v>
      </c>
    </row>
    <row r="505" spans="2:23" ht="15" customHeight="1">
      <c r="B505">
        <f>MIN('GA Arroyo'!B505,'GA Arroyo'!E505,'GA Arroyo'!H505,'GA Arroyo'!K505)</f>
        <v>60489</v>
      </c>
      <c r="C505">
        <f>MIN('GA Arroyo'!O505, 'GA Arroyo'!R505, 'GA Arroyo'!U505, 'GA Arroyo'!X505)</f>
        <v>63361.599999999999</v>
      </c>
      <c r="D505">
        <f>MIN('GA Arroyo'!AB505, 'GA Arroyo'!AE505, 'GA Arroyo'!AH505, 'GA Arroyo'!AK505)</f>
        <v>59402</v>
      </c>
      <c r="E505">
        <f>MIN('GA Arroyo'!AO505, 'GA Arroyo'!AR505, 'GA Arroyo'!AU505, 'GA Arroyo'!AX505)</f>
        <v>58010.2</v>
      </c>
      <c r="G505" s="45">
        <f t="shared" si="39"/>
        <v>58010.2</v>
      </c>
      <c r="I505" s="49">
        <f t="shared" si="40"/>
        <v>4.2730416375051332</v>
      </c>
      <c r="J505" s="49">
        <f t="shared" si="41"/>
        <v>9.2249294089660125</v>
      </c>
      <c r="K505" s="49">
        <f t="shared" si="42"/>
        <v>2.3992332382925814</v>
      </c>
      <c r="L505" s="49">
        <f t="shared" si="43"/>
        <v>0</v>
      </c>
      <c r="T505" s="49">
        <f>(100*('GA Arroyo'!AO505-E505))/E505</f>
        <v>0</v>
      </c>
      <c r="U505" s="49">
        <f>(100*('GA Arroyo'!AR505-E505))/E505</f>
        <v>23.649289262922728</v>
      </c>
      <c r="V505" s="49">
        <f>(100*('GA Arroyo'!AU505-E505))/E505</f>
        <v>7.5579811826196108</v>
      </c>
      <c r="W505" s="49">
        <f>(100*('GA Arroyo'!AX505-E505))/E505</f>
        <v>4.5779880090053213</v>
      </c>
    </row>
    <row r="506" spans="2:23" ht="15" customHeight="1">
      <c r="B506">
        <f>MIN('GA Arroyo'!B506,'GA Arroyo'!E506,'GA Arroyo'!H506,'GA Arroyo'!K506)</f>
        <v>58914.5</v>
      </c>
      <c r="C506">
        <f>MIN('GA Arroyo'!O506, 'GA Arroyo'!R506, 'GA Arroyo'!U506, 'GA Arroyo'!X506)</f>
        <v>59613.7</v>
      </c>
      <c r="D506">
        <f>MIN('GA Arroyo'!AB506, 'GA Arroyo'!AE506, 'GA Arroyo'!AH506, 'GA Arroyo'!AK506)</f>
        <v>57219.3</v>
      </c>
      <c r="E506">
        <f>MIN('GA Arroyo'!AO506, 'GA Arroyo'!AR506, 'GA Arroyo'!AU506, 'GA Arroyo'!AX506)</f>
        <v>55663</v>
      </c>
      <c r="G506" s="45">
        <f t="shared" si="39"/>
        <v>55663</v>
      </c>
      <c r="I506" s="49">
        <f t="shared" si="40"/>
        <v>5.8414027271257387</v>
      </c>
      <c r="J506" s="49">
        <f t="shared" si="41"/>
        <v>7.0975333704615222</v>
      </c>
      <c r="K506" s="49">
        <f t="shared" si="42"/>
        <v>2.7959326662235289</v>
      </c>
      <c r="L506" s="49">
        <f t="shared" si="43"/>
        <v>0</v>
      </c>
      <c r="T506" s="49">
        <f>(100*('GA Arroyo'!AO506-E506))/E506</f>
        <v>13.392918096401562</v>
      </c>
      <c r="U506" s="49">
        <f>(100*('GA Arroyo'!AR506-E506))/E506</f>
        <v>10.516141781794008</v>
      </c>
      <c r="V506" s="49">
        <f>(100*('GA Arroyo'!AU506-E506))/E506</f>
        <v>17.183586942852525</v>
      </c>
      <c r="W506" s="49">
        <f>(100*('GA Arroyo'!AX506-E506))/E506</f>
        <v>0</v>
      </c>
    </row>
    <row r="507" spans="2:23" ht="15" customHeight="1">
      <c r="B507">
        <f>MIN('GA Arroyo'!B507,'GA Arroyo'!E507,'GA Arroyo'!H507,'GA Arroyo'!K507)</f>
        <v>65332.2</v>
      </c>
      <c r="C507">
        <f>MIN('GA Arroyo'!O507, 'GA Arroyo'!R507, 'GA Arroyo'!U507, 'GA Arroyo'!X507)</f>
        <v>67305.5</v>
      </c>
      <c r="D507">
        <f>MIN('GA Arroyo'!AB507, 'GA Arroyo'!AE507, 'GA Arroyo'!AH507, 'GA Arroyo'!AK507)</f>
        <v>64991.1</v>
      </c>
      <c r="E507">
        <f>MIN('GA Arroyo'!AO507, 'GA Arroyo'!AR507, 'GA Arroyo'!AU507, 'GA Arroyo'!AX507)</f>
        <v>63566.400000000001</v>
      </c>
      <c r="G507" s="45">
        <f t="shared" si="39"/>
        <v>63566.400000000001</v>
      </c>
      <c r="I507" s="49">
        <f t="shared" si="40"/>
        <v>2.7778826549875335</v>
      </c>
      <c r="J507" s="49">
        <f t="shared" si="41"/>
        <v>5.8821956253618248</v>
      </c>
      <c r="K507" s="49">
        <f t="shared" si="42"/>
        <v>2.2412784112361201</v>
      </c>
      <c r="L507" s="49">
        <f t="shared" si="43"/>
        <v>0</v>
      </c>
      <c r="T507" s="49">
        <f>(100*('GA Arroyo'!AO507-E507))/E507</f>
        <v>5.6611669057867031</v>
      </c>
      <c r="U507" s="49">
        <f>(100*('GA Arroyo'!AR507-E507))/E507</f>
        <v>23.702459160814509</v>
      </c>
      <c r="V507" s="49">
        <f>(100*('GA Arroyo'!AU507-E507))/E507</f>
        <v>11.957732386921391</v>
      </c>
      <c r="W507" s="49">
        <f>(100*('GA Arroyo'!AX507-E507))/E507</f>
        <v>0</v>
      </c>
    </row>
    <row r="508" spans="2:23" ht="15" customHeight="1">
      <c r="B508">
        <f>MIN('GA Arroyo'!B508,'GA Arroyo'!E508,'GA Arroyo'!H508,'GA Arroyo'!K508)</f>
        <v>54857.2</v>
      </c>
      <c r="C508">
        <f>MIN('GA Arroyo'!O508, 'GA Arroyo'!R508, 'GA Arroyo'!U508, 'GA Arroyo'!X508)</f>
        <v>55868.6</v>
      </c>
      <c r="D508">
        <f>MIN('GA Arroyo'!AB508, 'GA Arroyo'!AE508, 'GA Arroyo'!AH508, 'GA Arroyo'!AK508)</f>
        <v>58462.9</v>
      </c>
      <c r="E508">
        <f>MIN('GA Arroyo'!AO508, 'GA Arroyo'!AR508, 'GA Arroyo'!AU508, 'GA Arroyo'!AX508)</f>
        <v>60938</v>
      </c>
      <c r="G508" s="45">
        <f t="shared" si="39"/>
        <v>54857.2</v>
      </c>
      <c r="I508" s="49">
        <f t="shared" si="40"/>
        <v>0</v>
      </c>
      <c r="J508" s="49">
        <f t="shared" si="41"/>
        <v>1.8436959961500068</v>
      </c>
      <c r="K508" s="49">
        <f t="shared" si="42"/>
        <v>6.5728837782460729</v>
      </c>
      <c r="L508" s="49">
        <f t="shared" si="43"/>
        <v>11.084780120020714</v>
      </c>
      <c r="T508" s="49">
        <f>(100*('GA Arroyo'!AO508-E508))/E508</f>
        <v>19.231842200269124</v>
      </c>
      <c r="U508" s="49">
        <f>(100*('GA Arroyo'!AR508-E508))/E508</f>
        <v>0</v>
      </c>
      <c r="V508" s="49">
        <f>(100*('GA Arroyo'!AU508-E508))/E508</f>
        <v>12.385703501919993</v>
      </c>
      <c r="W508" s="49">
        <f>(100*('GA Arroyo'!AX508-E508))/E508</f>
        <v>3.7316616889297318</v>
      </c>
    </row>
    <row r="509" spans="2:23" ht="15" customHeight="1">
      <c r="B509">
        <f>MIN('GA Arroyo'!B509,'GA Arroyo'!E509,'GA Arroyo'!H509,'GA Arroyo'!K509)</f>
        <v>44212.1</v>
      </c>
      <c r="C509">
        <f>MIN('GA Arroyo'!O509, 'GA Arroyo'!R509, 'GA Arroyo'!U509, 'GA Arroyo'!X509)</f>
        <v>49162.6</v>
      </c>
      <c r="D509">
        <f>MIN('GA Arroyo'!AB509, 'GA Arroyo'!AE509, 'GA Arroyo'!AH509, 'GA Arroyo'!AK509)</f>
        <v>46925.3</v>
      </c>
      <c r="E509">
        <f>MIN('GA Arroyo'!AO509, 'GA Arroyo'!AR509, 'GA Arroyo'!AU509, 'GA Arroyo'!AX509)</f>
        <v>49441.1</v>
      </c>
      <c r="G509" s="45">
        <f t="shared" si="39"/>
        <v>44212.1</v>
      </c>
      <c r="I509" s="49">
        <f t="shared" si="40"/>
        <v>0</v>
      </c>
      <c r="J509" s="49">
        <f t="shared" si="41"/>
        <v>11.197160958199227</v>
      </c>
      <c r="K509" s="49">
        <f t="shared" si="42"/>
        <v>6.1367815597992514</v>
      </c>
      <c r="L509" s="49">
        <f t="shared" si="43"/>
        <v>11.827079012306585</v>
      </c>
      <c r="T509" s="49">
        <f>(100*('GA Arroyo'!AO509-E509))/E509</f>
        <v>15.717692365258864</v>
      </c>
      <c r="U509" s="49">
        <f>(100*('GA Arroyo'!AR509-E509))/E509</f>
        <v>34.503884420047285</v>
      </c>
      <c r="V509" s="49">
        <f>(100*('GA Arroyo'!AU509-E509))/E509</f>
        <v>1.983774632845958</v>
      </c>
      <c r="W509" s="49">
        <f>(100*('GA Arroyo'!AX509-E509))/E509</f>
        <v>0</v>
      </c>
    </row>
    <row r="510" spans="2:23" ht="15" customHeight="1">
      <c r="B510">
        <f>MIN('GA Arroyo'!B510,'GA Arroyo'!E510,'GA Arroyo'!H510,'GA Arroyo'!K510)</f>
        <v>47314.6</v>
      </c>
      <c r="C510">
        <f>MIN('GA Arroyo'!O510, 'GA Arroyo'!R510, 'GA Arroyo'!U510, 'GA Arroyo'!X510)</f>
        <v>50675.1</v>
      </c>
      <c r="D510">
        <f>MIN('GA Arroyo'!AB510, 'GA Arroyo'!AE510, 'GA Arroyo'!AH510, 'GA Arroyo'!AK510)</f>
        <v>46273.1</v>
      </c>
      <c r="E510">
        <f>MIN('GA Arroyo'!AO510, 'GA Arroyo'!AR510, 'GA Arroyo'!AU510, 'GA Arroyo'!AX510)</f>
        <v>44173.9</v>
      </c>
      <c r="G510" s="45">
        <f t="shared" si="39"/>
        <v>44173.9</v>
      </c>
      <c r="I510" s="49">
        <f t="shared" si="40"/>
        <v>7.1098544615711923</v>
      </c>
      <c r="J510" s="49">
        <f t="shared" si="41"/>
        <v>14.717287810222773</v>
      </c>
      <c r="K510" s="49">
        <f t="shared" si="42"/>
        <v>4.7521273874391827</v>
      </c>
      <c r="L510" s="49">
        <f t="shared" si="43"/>
        <v>0</v>
      </c>
      <c r="T510" s="49">
        <f>(100*('GA Arroyo'!AO510-E510))/E510</f>
        <v>7.5526498679084151</v>
      </c>
      <c r="U510" s="49">
        <f>(100*('GA Arroyo'!AR510-E510))/E510</f>
        <v>18.624346050495877</v>
      </c>
      <c r="V510" s="49">
        <f>(100*('GA Arroyo'!AU510-E510))/E510</f>
        <v>7.392374230031761</v>
      </c>
      <c r="W510" s="49">
        <f>(100*('GA Arroyo'!AX510-E510))/E510</f>
        <v>0</v>
      </c>
    </row>
    <row r="511" spans="2:23" ht="15" customHeight="1">
      <c r="B511">
        <f>MIN('GA Arroyo'!B511,'GA Arroyo'!E511,'GA Arroyo'!H511,'GA Arroyo'!K511)</f>
        <v>48737.9</v>
      </c>
      <c r="C511">
        <f>MIN('GA Arroyo'!O511, 'GA Arroyo'!R511, 'GA Arroyo'!U511, 'GA Arroyo'!X511)</f>
        <v>43778.2</v>
      </c>
      <c r="D511">
        <f>MIN('GA Arroyo'!AB511, 'GA Arroyo'!AE511, 'GA Arroyo'!AH511, 'GA Arroyo'!AK511)</f>
        <v>44243.6</v>
      </c>
      <c r="E511">
        <f>MIN('GA Arroyo'!AO511, 'GA Arroyo'!AR511, 'GA Arroyo'!AU511, 'GA Arroyo'!AX511)</f>
        <v>44079.3</v>
      </c>
      <c r="G511" s="45">
        <f t="shared" si="39"/>
        <v>43778.2</v>
      </c>
      <c r="I511" s="49">
        <f t="shared" si="40"/>
        <v>11.329154693431903</v>
      </c>
      <c r="J511" s="49">
        <f t="shared" si="41"/>
        <v>0</v>
      </c>
      <c r="K511" s="49">
        <f t="shared" si="42"/>
        <v>1.0630861935849383</v>
      </c>
      <c r="L511" s="49">
        <f t="shared" si="43"/>
        <v>0.68778524471085112</v>
      </c>
      <c r="T511" s="49">
        <f>(100*('GA Arroyo'!AO511-E511))/E511</f>
        <v>4.2033335375107939</v>
      </c>
      <c r="U511" s="49">
        <f>(100*('GA Arroyo'!AR511-E511))/E511</f>
        <v>14.569423743117515</v>
      </c>
      <c r="V511" s="49">
        <f>(100*('GA Arroyo'!AU511-E511))/E511</f>
        <v>0</v>
      </c>
      <c r="W511" s="49">
        <f>(100*('GA Arroyo'!AX511-E511))/E511</f>
        <v>19.454710033961518</v>
      </c>
    </row>
    <row r="512" spans="2:23" ht="15" customHeight="1">
      <c r="B512">
        <f>MIN('GA Arroyo'!B512,'GA Arroyo'!E512,'GA Arroyo'!H512,'GA Arroyo'!K512)</f>
        <v>54799.199999999997</v>
      </c>
      <c r="C512">
        <f>MIN('GA Arroyo'!O512, 'GA Arroyo'!R512, 'GA Arroyo'!U512, 'GA Arroyo'!X512)</f>
        <v>58424.800000000003</v>
      </c>
      <c r="D512">
        <f>MIN('GA Arroyo'!AB512, 'GA Arroyo'!AE512, 'GA Arroyo'!AH512, 'GA Arroyo'!AK512)</f>
        <v>55433.7</v>
      </c>
      <c r="E512">
        <f>MIN('GA Arroyo'!AO512, 'GA Arroyo'!AR512, 'GA Arroyo'!AU512, 'GA Arroyo'!AX512)</f>
        <v>52684.1</v>
      </c>
      <c r="G512" s="45">
        <f t="shared" si="39"/>
        <v>52684.1</v>
      </c>
      <c r="I512" s="49">
        <f t="shared" si="40"/>
        <v>4.0146837470887773</v>
      </c>
      <c r="J512" s="49">
        <f t="shared" si="41"/>
        <v>10.896456426132371</v>
      </c>
      <c r="K512" s="49">
        <f t="shared" si="42"/>
        <v>5.2190319280390076</v>
      </c>
      <c r="L512" s="49">
        <f t="shared" si="43"/>
        <v>0</v>
      </c>
      <c r="T512" s="49">
        <f>(100*('GA Arroyo'!AO512-E512))/E512</f>
        <v>11.570094202994829</v>
      </c>
      <c r="U512" s="49">
        <f>(100*('GA Arroyo'!AR512-E512))/E512</f>
        <v>41.930487566457444</v>
      </c>
      <c r="V512" s="49">
        <f>(100*('GA Arroyo'!AU512-E512))/E512</f>
        <v>0</v>
      </c>
      <c r="W512" s="49">
        <f>(100*('GA Arroyo'!AX512-E512))/E512</f>
        <v>30.515088992694189</v>
      </c>
    </row>
    <row r="513" spans="2:23" ht="15" customHeight="1">
      <c r="B513">
        <f>MIN('GA Arroyo'!B513,'GA Arroyo'!E513,'GA Arroyo'!H513,'GA Arroyo'!K513)</f>
        <v>69635</v>
      </c>
      <c r="C513">
        <f>MIN('GA Arroyo'!O513, 'GA Arroyo'!R513, 'GA Arroyo'!U513, 'GA Arroyo'!X513)</f>
        <v>73806.600000000006</v>
      </c>
      <c r="D513">
        <f>MIN('GA Arroyo'!AB513, 'GA Arroyo'!AE513, 'GA Arroyo'!AH513, 'GA Arroyo'!AK513)</f>
        <v>68139.600000000006</v>
      </c>
      <c r="E513">
        <f>MIN('GA Arroyo'!AO513, 'GA Arroyo'!AR513, 'GA Arroyo'!AU513, 'GA Arroyo'!AX513)</f>
        <v>67715.899999999994</v>
      </c>
      <c r="G513" s="45">
        <f t="shared" si="39"/>
        <v>67715.899999999994</v>
      </c>
      <c r="I513" s="49">
        <f t="shared" si="40"/>
        <v>2.8340463613420277</v>
      </c>
      <c r="J513" s="49">
        <f t="shared" si="41"/>
        <v>8.9944902157396012</v>
      </c>
      <c r="K513" s="49">
        <f t="shared" si="42"/>
        <v>0.62570238304447212</v>
      </c>
      <c r="L513" s="49">
        <f t="shared" si="43"/>
        <v>0</v>
      </c>
      <c r="T513" s="49">
        <f>(100*('GA Arroyo'!AO513-E513))/E513</f>
        <v>13.920955048961931</v>
      </c>
      <c r="U513" s="49">
        <f>(100*('GA Arroyo'!AR513-E513))/E513</f>
        <v>10.176635029586865</v>
      </c>
      <c r="V513" s="49">
        <f>(100*('GA Arroyo'!AU513-E513))/E513</f>
        <v>0</v>
      </c>
      <c r="W513" s="49">
        <f>(100*('GA Arroyo'!AX513-E513))/E513</f>
        <v>6.3689620901442696</v>
      </c>
    </row>
    <row r="514" spans="2:23" ht="15" customHeight="1">
      <c r="B514">
        <f>MIN('GA Arroyo'!B514,'GA Arroyo'!E514,'GA Arroyo'!H514,'GA Arroyo'!K514)</f>
        <v>50255.8</v>
      </c>
      <c r="C514">
        <f>MIN('GA Arroyo'!O514, 'GA Arroyo'!R514, 'GA Arroyo'!U514, 'GA Arroyo'!X514)</f>
        <v>53085</v>
      </c>
      <c r="D514">
        <f>MIN('GA Arroyo'!AB514, 'GA Arroyo'!AE514, 'GA Arroyo'!AH514, 'GA Arroyo'!AK514)</f>
        <v>53765.3</v>
      </c>
      <c r="E514">
        <f>MIN('GA Arroyo'!AO514, 'GA Arroyo'!AR514, 'GA Arroyo'!AU514, 'GA Arroyo'!AX514)</f>
        <v>50603.3</v>
      </c>
      <c r="G514" s="45">
        <f t="shared" si="39"/>
        <v>50255.8</v>
      </c>
      <c r="I514" s="49">
        <f t="shared" si="40"/>
        <v>0</v>
      </c>
      <c r="J514" s="49">
        <f t="shared" si="41"/>
        <v>5.6295989716609762</v>
      </c>
      <c r="K514" s="49">
        <f t="shared" si="42"/>
        <v>6.9832735724035828</v>
      </c>
      <c r="L514" s="49">
        <f t="shared" si="43"/>
        <v>0.69146247796274252</v>
      </c>
      <c r="T514" s="49">
        <f>(100*('GA Arroyo'!AO514-E514))/E514</f>
        <v>0</v>
      </c>
      <c r="U514" s="49">
        <f>(100*('GA Arroyo'!AR514-E514))/E514</f>
        <v>6.3070985489088631</v>
      </c>
      <c r="V514" s="49">
        <f>(100*('GA Arroyo'!AU514-E514))/E514</f>
        <v>3.7228797331399219</v>
      </c>
      <c r="W514" s="49">
        <f>(100*('GA Arroyo'!AX514-E514))/E514</f>
        <v>7.366713238069444</v>
      </c>
    </row>
    <row r="515" spans="2:23" ht="15" customHeight="1">
      <c r="B515">
        <f>MIN('GA Arroyo'!B515,'GA Arroyo'!E515,'GA Arroyo'!H515,'GA Arroyo'!K515)</f>
        <v>68673</v>
      </c>
      <c r="C515">
        <f>MIN('GA Arroyo'!O515, 'GA Arroyo'!R515, 'GA Arroyo'!U515, 'GA Arroyo'!X515)</f>
        <v>69913.100000000006</v>
      </c>
      <c r="D515">
        <f>MIN('GA Arroyo'!AB515, 'GA Arroyo'!AE515, 'GA Arroyo'!AH515, 'GA Arroyo'!AK515)</f>
        <v>69875.8</v>
      </c>
      <c r="E515">
        <f>MIN('GA Arroyo'!AO515, 'GA Arroyo'!AR515, 'GA Arroyo'!AU515, 'GA Arroyo'!AX515)</f>
        <v>65281.4</v>
      </c>
      <c r="G515" s="45">
        <f t="shared" si="39"/>
        <v>65281.4</v>
      </c>
      <c r="I515" s="49">
        <f t="shared" si="40"/>
        <v>5.1953542662994341</v>
      </c>
      <c r="J515" s="49">
        <f t="shared" si="41"/>
        <v>7.0949765170477415</v>
      </c>
      <c r="K515" s="49">
        <f t="shared" si="42"/>
        <v>7.0378392620256323</v>
      </c>
      <c r="L515" s="49">
        <f t="shared" si="43"/>
        <v>0</v>
      </c>
      <c r="T515" s="49">
        <f>(100*('GA Arroyo'!AO515-E515))/E515</f>
        <v>13.147695974657395</v>
      </c>
      <c r="U515" s="49">
        <f>(100*('GA Arroyo'!AR515-E515))/E515</f>
        <v>10.775044652841389</v>
      </c>
      <c r="V515" s="49">
        <f>(100*('GA Arroyo'!AU515-E515))/E515</f>
        <v>8.445131385049951</v>
      </c>
      <c r="W515" s="49">
        <f>(100*('GA Arroyo'!AX515-E515))/E515</f>
        <v>0</v>
      </c>
    </row>
    <row r="516" spans="2:23" ht="15" customHeight="1">
      <c r="B516">
        <f>MIN('GA Arroyo'!B516,'GA Arroyo'!E516,'GA Arroyo'!H516,'GA Arroyo'!K516)</f>
        <v>61293.5</v>
      </c>
      <c r="C516">
        <f>MIN('GA Arroyo'!O516, 'GA Arroyo'!R516, 'GA Arroyo'!U516, 'GA Arroyo'!X516)</f>
        <v>62966.5</v>
      </c>
      <c r="D516">
        <f>MIN('GA Arroyo'!AB516, 'GA Arroyo'!AE516, 'GA Arroyo'!AH516, 'GA Arroyo'!AK516)</f>
        <v>56868.7</v>
      </c>
      <c r="E516">
        <f>MIN('GA Arroyo'!AO516, 'GA Arroyo'!AR516, 'GA Arroyo'!AU516, 'GA Arroyo'!AX516)</f>
        <v>59362.7</v>
      </c>
      <c r="G516" s="45">
        <f t="shared" ref="G516:G579" si="44">MIN(B516,C516,D516,E516)</f>
        <v>56868.7</v>
      </c>
      <c r="I516" s="49">
        <f t="shared" ref="I516:I579" si="45">(100*(B516-G516))/G516</f>
        <v>7.7807299973447668</v>
      </c>
      <c r="J516" s="49">
        <f t="shared" ref="J516:J579" si="46">(100*(C516-G516))/G516</f>
        <v>10.722594326932043</v>
      </c>
      <c r="K516" s="49">
        <f t="shared" ref="K516:K579" si="47">(100*(D516-G516))/G516</f>
        <v>0</v>
      </c>
      <c r="L516" s="49">
        <f t="shared" ref="L516:L579" si="48">(100*(E516-G516))/G516</f>
        <v>4.3855407280278964</v>
      </c>
      <c r="T516" s="49">
        <f>(100*('GA Arroyo'!AO516-E516))/E516</f>
        <v>9.302305993494242</v>
      </c>
      <c r="U516" s="49">
        <f>(100*('GA Arroyo'!AR516-E516))/E516</f>
        <v>4.8944876159608643</v>
      </c>
      <c r="V516" s="49">
        <f>(100*('GA Arroyo'!AU516-E516))/E516</f>
        <v>7.8109654715840131</v>
      </c>
      <c r="W516" s="49">
        <f>(100*('GA Arroyo'!AX516-E516))/E516</f>
        <v>0</v>
      </c>
    </row>
    <row r="517" spans="2:23" ht="15" customHeight="1">
      <c r="B517">
        <f>MIN('GA Arroyo'!B517,'GA Arroyo'!E517,'GA Arroyo'!H517,'GA Arroyo'!K517)</f>
        <v>51756.6</v>
      </c>
      <c r="C517">
        <f>MIN('GA Arroyo'!O517, 'GA Arroyo'!R517, 'GA Arroyo'!U517, 'GA Arroyo'!X517)</f>
        <v>53426.5</v>
      </c>
      <c r="D517">
        <f>MIN('GA Arroyo'!AB517, 'GA Arroyo'!AE517, 'GA Arroyo'!AH517, 'GA Arroyo'!AK517)</f>
        <v>51393.4</v>
      </c>
      <c r="E517">
        <f>MIN('GA Arroyo'!AO517, 'GA Arroyo'!AR517, 'GA Arroyo'!AU517, 'GA Arroyo'!AX517)</f>
        <v>50570.1</v>
      </c>
      <c r="G517" s="45">
        <f t="shared" si="44"/>
        <v>50570.1</v>
      </c>
      <c r="I517" s="49">
        <f t="shared" si="45"/>
        <v>2.3462480793986962</v>
      </c>
      <c r="J517" s="49">
        <f t="shared" si="46"/>
        <v>5.648396977660715</v>
      </c>
      <c r="K517" s="49">
        <f t="shared" si="47"/>
        <v>1.6280371207492232</v>
      </c>
      <c r="L517" s="49">
        <f t="shared" si="48"/>
        <v>0</v>
      </c>
      <c r="T517" s="49">
        <f>(100*('GA Arroyo'!AO517-E517))/E517</f>
        <v>10.516095479344514</v>
      </c>
      <c r="U517" s="49">
        <f>(100*('GA Arroyo'!AR517-E517))/E517</f>
        <v>4.6357432554019136</v>
      </c>
      <c r="V517" s="49">
        <f>(100*('GA Arroyo'!AU517-E517))/E517</f>
        <v>2.4109107951141175</v>
      </c>
      <c r="W517" s="49">
        <f>(100*('GA Arroyo'!AX517-E517))/E517</f>
        <v>0</v>
      </c>
    </row>
    <row r="518" spans="2:23" ht="15" customHeight="1">
      <c r="B518">
        <f>MIN('GA Arroyo'!B518,'GA Arroyo'!E518,'GA Arroyo'!H518,'GA Arroyo'!K518)</f>
        <v>62164.5</v>
      </c>
      <c r="C518">
        <f>MIN('GA Arroyo'!O518, 'GA Arroyo'!R518, 'GA Arroyo'!U518, 'GA Arroyo'!X518)</f>
        <v>63604.9</v>
      </c>
      <c r="D518">
        <f>MIN('GA Arroyo'!AB518, 'GA Arroyo'!AE518, 'GA Arroyo'!AH518, 'GA Arroyo'!AK518)</f>
        <v>55754.6</v>
      </c>
      <c r="E518">
        <f>MIN('GA Arroyo'!AO518, 'GA Arroyo'!AR518, 'GA Arroyo'!AU518, 'GA Arroyo'!AX518)</f>
        <v>56142.7</v>
      </c>
      <c r="G518" s="45">
        <f t="shared" si="44"/>
        <v>55754.6</v>
      </c>
      <c r="I518" s="49">
        <f t="shared" si="45"/>
        <v>11.496629874485695</v>
      </c>
      <c r="J518" s="49">
        <f t="shared" si="46"/>
        <v>14.080093839790802</v>
      </c>
      <c r="K518" s="49">
        <f t="shared" si="47"/>
        <v>0</v>
      </c>
      <c r="L518" s="49">
        <f t="shared" si="48"/>
        <v>0.6960860628540041</v>
      </c>
      <c r="T518" s="49">
        <f>(100*('GA Arroyo'!AO518-E518))/E518</f>
        <v>9.3192881710356037</v>
      </c>
      <c r="U518" s="49">
        <f>(100*('GA Arroyo'!AR518-E518))/E518</f>
        <v>8.1640177618817766</v>
      </c>
      <c r="V518" s="49">
        <f>(100*('GA Arroyo'!AU518-E518))/E518</f>
        <v>16.200325242640634</v>
      </c>
      <c r="W518" s="49">
        <f>(100*('GA Arroyo'!AX518-E518))/E518</f>
        <v>0</v>
      </c>
    </row>
    <row r="519" spans="2:23" ht="15" customHeight="1">
      <c r="B519">
        <f>MIN('GA Arroyo'!B519,'GA Arroyo'!E519,'GA Arroyo'!H519,'GA Arroyo'!K519)</f>
        <v>48543.199999999997</v>
      </c>
      <c r="C519">
        <f>MIN('GA Arroyo'!O519, 'GA Arroyo'!R519, 'GA Arroyo'!U519, 'GA Arroyo'!X519)</f>
        <v>53771.7</v>
      </c>
      <c r="D519">
        <f>MIN('GA Arroyo'!AB519, 'GA Arroyo'!AE519, 'GA Arroyo'!AH519, 'GA Arroyo'!AK519)</f>
        <v>48313.5</v>
      </c>
      <c r="E519">
        <f>MIN('GA Arroyo'!AO519, 'GA Arroyo'!AR519, 'GA Arroyo'!AU519, 'GA Arroyo'!AX519)</f>
        <v>48103.5</v>
      </c>
      <c r="G519" s="45">
        <f t="shared" si="44"/>
        <v>48103.5</v>
      </c>
      <c r="I519" s="49">
        <f t="shared" si="45"/>
        <v>0.91407070171608529</v>
      </c>
      <c r="J519" s="49">
        <f t="shared" si="46"/>
        <v>11.783342168449277</v>
      </c>
      <c r="K519" s="49">
        <f t="shared" si="47"/>
        <v>0.43655867036702112</v>
      </c>
      <c r="L519" s="49">
        <f t="shared" si="48"/>
        <v>0</v>
      </c>
      <c r="T519" s="49">
        <f>(100*('GA Arroyo'!AO519-E519))/E519</f>
        <v>1.4221418399908501</v>
      </c>
      <c r="U519" s="49">
        <f>(100*('GA Arroyo'!AR519-E519))/E519</f>
        <v>0</v>
      </c>
      <c r="V519" s="49">
        <f>(100*('GA Arroyo'!AU519-E519))/E519</f>
        <v>6.7036702111072941</v>
      </c>
      <c r="W519" s="49">
        <f>(100*('GA Arroyo'!AX519-E519))/E519</f>
        <v>3.6515014499984408</v>
      </c>
    </row>
    <row r="520" spans="2:23" ht="15" customHeight="1">
      <c r="B520">
        <f>MIN('GA Arroyo'!B520,'GA Arroyo'!E520,'GA Arroyo'!H520,'GA Arroyo'!K520)</f>
        <v>51892.6</v>
      </c>
      <c r="C520">
        <f>MIN('GA Arroyo'!O520, 'GA Arroyo'!R520, 'GA Arroyo'!U520, 'GA Arroyo'!X520)</f>
        <v>49797.5</v>
      </c>
      <c r="D520">
        <f>MIN('GA Arroyo'!AB520, 'GA Arroyo'!AE520, 'GA Arroyo'!AH520, 'GA Arroyo'!AK520)</f>
        <v>49425.1</v>
      </c>
      <c r="E520">
        <f>MIN('GA Arroyo'!AO520, 'GA Arroyo'!AR520, 'GA Arroyo'!AU520, 'GA Arroyo'!AX520)</f>
        <v>54136.7</v>
      </c>
      <c r="G520" s="45">
        <f t="shared" si="44"/>
        <v>49425.1</v>
      </c>
      <c r="I520" s="49">
        <f t="shared" si="45"/>
        <v>4.9924026456193316</v>
      </c>
      <c r="J520" s="49">
        <f t="shared" si="46"/>
        <v>0.75346332126794169</v>
      </c>
      <c r="K520" s="49">
        <f t="shared" si="47"/>
        <v>0</v>
      </c>
      <c r="L520" s="49">
        <f t="shared" si="48"/>
        <v>9.5328082290172382</v>
      </c>
      <c r="T520" s="49">
        <f>(100*('GA Arroyo'!AO520-E520))/E520</f>
        <v>1.6657831009278419</v>
      </c>
      <c r="U520" s="49">
        <f>(100*('GA Arroyo'!AR520-E520))/E520</f>
        <v>0</v>
      </c>
      <c r="V520" s="49">
        <f>(100*('GA Arroyo'!AU520-E520))/E520</f>
        <v>0.55082781181713025</v>
      </c>
      <c r="W520" s="49">
        <f>(100*('GA Arroyo'!AX520-E520))/E520</f>
        <v>2.1048567792274002</v>
      </c>
    </row>
    <row r="521" spans="2:23" ht="15" customHeight="1">
      <c r="B521">
        <f>MIN('GA Arroyo'!B521,'GA Arroyo'!E521,'GA Arroyo'!H521,'GA Arroyo'!K521)</f>
        <v>60306.5</v>
      </c>
      <c r="C521">
        <f>MIN('GA Arroyo'!O521, 'GA Arroyo'!R521, 'GA Arroyo'!U521, 'GA Arroyo'!X521)</f>
        <v>60204.5</v>
      </c>
      <c r="D521">
        <f>MIN('GA Arroyo'!AB521, 'GA Arroyo'!AE521, 'GA Arroyo'!AH521, 'GA Arroyo'!AK521)</f>
        <v>59903.199999999997</v>
      </c>
      <c r="E521">
        <f>MIN('GA Arroyo'!AO521, 'GA Arroyo'!AR521, 'GA Arroyo'!AU521, 'GA Arroyo'!AX521)</f>
        <v>59637.8</v>
      </c>
      <c r="G521" s="45">
        <f t="shared" si="44"/>
        <v>59637.8</v>
      </c>
      <c r="I521" s="49">
        <f t="shared" si="45"/>
        <v>1.1212687255398373</v>
      </c>
      <c r="J521" s="49">
        <f t="shared" si="46"/>
        <v>0.95023625955349977</v>
      </c>
      <c r="K521" s="49">
        <f t="shared" si="47"/>
        <v>0.44501976934091159</v>
      </c>
      <c r="L521" s="49">
        <f t="shared" si="48"/>
        <v>0</v>
      </c>
      <c r="T521" s="49">
        <f>(100*('GA Arroyo'!AO521-E521))/E521</f>
        <v>5.6958841540096952</v>
      </c>
      <c r="U521" s="49">
        <f>(100*('GA Arroyo'!AR521-E521))/E521</f>
        <v>1.9376972322922685</v>
      </c>
      <c r="V521" s="49">
        <f>(100*('GA Arroyo'!AU521-E521))/E521</f>
        <v>0</v>
      </c>
      <c r="W521" s="49">
        <f>(100*('GA Arroyo'!AX521-E521))/E521</f>
        <v>3.8666751623970033</v>
      </c>
    </row>
    <row r="522" spans="2:23" ht="15" customHeight="1">
      <c r="B522">
        <f>MIN('GA Arroyo'!B522,'GA Arroyo'!E522,'GA Arroyo'!H522,'GA Arroyo'!K522)</f>
        <v>49783.4</v>
      </c>
      <c r="C522">
        <f>MIN('GA Arroyo'!O522, 'GA Arroyo'!R522, 'GA Arroyo'!U522, 'GA Arroyo'!X522)</f>
        <v>47056.5</v>
      </c>
      <c r="D522">
        <f>MIN('GA Arroyo'!AB522, 'GA Arroyo'!AE522, 'GA Arroyo'!AH522, 'GA Arroyo'!AK522)</f>
        <v>44888</v>
      </c>
      <c r="E522">
        <f>MIN('GA Arroyo'!AO522, 'GA Arroyo'!AR522, 'GA Arroyo'!AU522, 'GA Arroyo'!AX522)</f>
        <v>61875.8</v>
      </c>
      <c r="G522" s="45">
        <f t="shared" si="44"/>
        <v>44888</v>
      </c>
      <c r="I522" s="49">
        <f t="shared" si="45"/>
        <v>10.905810016039924</v>
      </c>
      <c r="J522" s="49">
        <f t="shared" si="46"/>
        <v>4.8309124933166991</v>
      </c>
      <c r="K522" s="49">
        <f t="shared" si="47"/>
        <v>0</v>
      </c>
      <c r="L522" s="49">
        <f t="shared" si="48"/>
        <v>37.844858314026027</v>
      </c>
      <c r="T522" s="49">
        <f>(100*('GA Arroyo'!AO522-E522))/E522</f>
        <v>0</v>
      </c>
      <c r="U522" s="49">
        <f>(100*('GA Arroyo'!AR522-E522))/E522</f>
        <v>42.015618383923922</v>
      </c>
      <c r="V522" s="49">
        <f>(100*('GA Arroyo'!AU522-E522))/E522</f>
        <v>24.922344438374928</v>
      </c>
      <c r="W522" s="49">
        <f>(100*('GA Arroyo'!AX522-E522))/E522</f>
        <v>8.462920883447163</v>
      </c>
    </row>
    <row r="523" spans="2:23" ht="15" customHeight="1">
      <c r="B523">
        <f>MIN('GA Arroyo'!B523,'GA Arroyo'!E523,'GA Arroyo'!H523,'GA Arroyo'!K523)</f>
        <v>46779.9</v>
      </c>
      <c r="C523">
        <f>MIN('GA Arroyo'!O523, 'GA Arroyo'!R523, 'GA Arroyo'!U523, 'GA Arroyo'!X523)</f>
        <v>47880.800000000003</v>
      </c>
      <c r="D523">
        <f>MIN('GA Arroyo'!AB523, 'GA Arroyo'!AE523, 'GA Arroyo'!AH523, 'GA Arroyo'!AK523)</f>
        <v>45122.8</v>
      </c>
      <c r="E523">
        <f>MIN('GA Arroyo'!AO523, 'GA Arroyo'!AR523, 'GA Arroyo'!AU523, 'GA Arroyo'!AX523)</f>
        <v>45974.3</v>
      </c>
      <c r="G523" s="45">
        <f t="shared" si="44"/>
        <v>45122.8</v>
      </c>
      <c r="I523" s="49">
        <f t="shared" si="45"/>
        <v>3.67242281064118</v>
      </c>
      <c r="J523" s="49">
        <f t="shared" si="46"/>
        <v>6.1122093487106293</v>
      </c>
      <c r="K523" s="49">
        <f t="shared" si="47"/>
        <v>0</v>
      </c>
      <c r="L523" s="49">
        <f t="shared" si="48"/>
        <v>1.8870726107422411</v>
      </c>
      <c r="T523" s="49">
        <f>(100*('GA Arroyo'!AO523-E523))/E523</f>
        <v>11.721548778339189</v>
      </c>
      <c r="U523" s="49">
        <f>(100*('GA Arroyo'!AR523-E523))/E523</f>
        <v>19.426288165344548</v>
      </c>
      <c r="V523" s="49">
        <f>(100*('GA Arroyo'!AU523-E523))/E523</f>
        <v>12.36277659474967</v>
      </c>
      <c r="W523" s="49">
        <f>(100*('GA Arroyo'!AX523-E523))/E523</f>
        <v>0</v>
      </c>
    </row>
    <row r="524" spans="2:23" ht="15" customHeight="1">
      <c r="B524">
        <f>MIN('GA Arroyo'!B524,'GA Arroyo'!E524,'GA Arroyo'!H524,'GA Arroyo'!K524)</f>
        <v>55347.5</v>
      </c>
      <c r="C524">
        <f>MIN('GA Arroyo'!O524, 'GA Arroyo'!R524, 'GA Arroyo'!U524, 'GA Arroyo'!X524)</f>
        <v>50396</v>
      </c>
      <c r="D524">
        <f>MIN('GA Arroyo'!AB524, 'GA Arroyo'!AE524, 'GA Arroyo'!AH524, 'GA Arroyo'!AK524)</f>
        <v>52676.7</v>
      </c>
      <c r="E524">
        <f>MIN('GA Arroyo'!AO524, 'GA Arroyo'!AR524, 'GA Arroyo'!AU524, 'GA Arroyo'!AX524)</f>
        <v>52546.2</v>
      </c>
      <c r="G524" s="45">
        <f t="shared" si="44"/>
        <v>50396</v>
      </c>
      <c r="I524" s="49">
        <f t="shared" si="45"/>
        <v>9.8251845384554333</v>
      </c>
      <c r="J524" s="49">
        <f t="shared" si="46"/>
        <v>0</v>
      </c>
      <c r="K524" s="49">
        <f t="shared" si="47"/>
        <v>4.5255575839352273</v>
      </c>
      <c r="L524" s="49">
        <f t="shared" si="48"/>
        <v>4.2666084609889614</v>
      </c>
      <c r="T524" s="49">
        <f>(100*('GA Arroyo'!AO524-E524))/E524</f>
        <v>7.4947379639250888</v>
      </c>
      <c r="U524" s="49">
        <f>(100*('GA Arroyo'!AR524-E524))/E524</f>
        <v>13.887778754695868</v>
      </c>
      <c r="V524" s="49">
        <f>(100*('GA Arroyo'!AU524-E524))/E524</f>
        <v>0</v>
      </c>
      <c r="W524" s="49">
        <f>(100*('GA Arroyo'!AX524-E524))/E524</f>
        <v>12.872291431159629</v>
      </c>
    </row>
    <row r="525" spans="2:23" ht="15" customHeight="1">
      <c r="B525">
        <f>MIN('GA Arroyo'!B525,'GA Arroyo'!E525,'GA Arroyo'!H525,'GA Arroyo'!K525)</f>
        <v>45512.5</v>
      </c>
      <c r="C525">
        <f>MIN('GA Arroyo'!O525, 'GA Arroyo'!R525, 'GA Arroyo'!U525, 'GA Arroyo'!X525)</f>
        <v>45994.5</v>
      </c>
      <c r="D525">
        <f>MIN('GA Arroyo'!AB525, 'GA Arroyo'!AE525, 'GA Arroyo'!AH525, 'GA Arroyo'!AK525)</f>
        <v>43141.4</v>
      </c>
      <c r="E525">
        <f>MIN('GA Arroyo'!AO525, 'GA Arroyo'!AR525, 'GA Arroyo'!AU525, 'GA Arroyo'!AX525)</f>
        <v>42206.6</v>
      </c>
      <c r="G525" s="45">
        <f t="shared" si="44"/>
        <v>42206.6</v>
      </c>
      <c r="I525" s="49">
        <f t="shared" si="45"/>
        <v>7.8326612425544848</v>
      </c>
      <c r="J525" s="49">
        <f t="shared" si="46"/>
        <v>8.9746627304734368</v>
      </c>
      <c r="K525" s="49">
        <f t="shared" si="47"/>
        <v>2.2148194832087942</v>
      </c>
      <c r="L525" s="49">
        <f t="shared" si="48"/>
        <v>0</v>
      </c>
      <c r="T525" s="49">
        <f>(100*('GA Arroyo'!AO525-E525))/E525</f>
        <v>0</v>
      </c>
      <c r="U525" s="49">
        <f>(100*('GA Arroyo'!AR525-E525))/E525</f>
        <v>16.586031568522461</v>
      </c>
      <c r="V525" s="49">
        <f>(100*('GA Arroyo'!AU525-E525))/E525</f>
        <v>12.46203200447324</v>
      </c>
      <c r="W525" s="49">
        <f>(100*('GA Arroyo'!AX525-E525))/E525</f>
        <v>13.287021461098501</v>
      </c>
    </row>
    <row r="526" spans="2:23" ht="15" customHeight="1">
      <c r="B526">
        <f>MIN('GA Arroyo'!B526,'GA Arroyo'!E526,'GA Arroyo'!H526,'GA Arroyo'!K526)</f>
        <v>61176.5</v>
      </c>
      <c r="C526">
        <f>MIN('GA Arroyo'!O526, 'GA Arroyo'!R526, 'GA Arroyo'!U526, 'GA Arroyo'!X526)</f>
        <v>58588.800000000003</v>
      </c>
      <c r="D526">
        <f>MIN('GA Arroyo'!AB526, 'GA Arroyo'!AE526, 'GA Arroyo'!AH526, 'GA Arroyo'!AK526)</f>
        <v>59492.1</v>
      </c>
      <c r="E526">
        <f>MIN('GA Arroyo'!AO526, 'GA Arroyo'!AR526, 'GA Arroyo'!AU526, 'GA Arroyo'!AX526)</f>
        <v>53623.199999999997</v>
      </c>
      <c r="G526" s="45">
        <f t="shared" si="44"/>
        <v>53623.199999999997</v>
      </c>
      <c r="I526" s="49">
        <f t="shared" si="45"/>
        <v>14.085880738187953</v>
      </c>
      <c r="J526" s="49">
        <f t="shared" si="46"/>
        <v>9.2601709707738546</v>
      </c>
      <c r="K526" s="49">
        <f t="shared" si="47"/>
        <v>10.94470303898313</v>
      </c>
      <c r="L526" s="49">
        <f t="shared" si="48"/>
        <v>0</v>
      </c>
      <c r="T526" s="49">
        <f>(100*('GA Arroyo'!AO526-E526))/E526</f>
        <v>57.22094168195855</v>
      </c>
      <c r="U526" s="49">
        <f>(100*('GA Arroyo'!AR526-E526))/E526</f>
        <v>11.517029942263802</v>
      </c>
      <c r="V526" s="49">
        <f>(100*('GA Arroyo'!AU526-E526))/E526</f>
        <v>10.009659997911353</v>
      </c>
      <c r="W526" s="49">
        <f>(100*('GA Arroyo'!AX526-E526))/E526</f>
        <v>0</v>
      </c>
    </row>
    <row r="527" spans="2:23" ht="15" customHeight="1">
      <c r="B527">
        <f>MIN('GA Arroyo'!B527,'GA Arroyo'!E527,'GA Arroyo'!H527,'GA Arroyo'!K527)</f>
        <v>48654.8</v>
      </c>
      <c r="C527">
        <f>MIN('GA Arroyo'!O527, 'GA Arroyo'!R527, 'GA Arroyo'!U527, 'GA Arroyo'!X527)</f>
        <v>49952.3</v>
      </c>
      <c r="D527">
        <f>MIN('GA Arroyo'!AB527, 'GA Arroyo'!AE527, 'GA Arroyo'!AH527, 'GA Arroyo'!AK527)</f>
        <v>44138.1</v>
      </c>
      <c r="E527">
        <f>MIN('GA Arroyo'!AO527, 'GA Arroyo'!AR527, 'GA Arroyo'!AU527, 'GA Arroyo'!AX527)</f>
        <v>43598.6</v>
      </c>
      <c r="G527" s="45">
        <f t="shared" si="44"/>
        <v>43598.6</v>
      </c>
      <c r="I527" s="49">
        <f t="shared" si="45"/>
        <v>11.597161376741466</v>
      </c>
      <c r="J527" s="49">
        <f t="shared" si="46"/>
        <v>14.573174367984304</v>
      </c>
      <c r="K527" s="49">
        <f t="shared" si="47"/>
        <v>1.2374250549329566</v>
      </c>
      <c r="L527" s="49">
        <f t="shared" si="48"/>
        <v>0</v>
      </c>
      <c r="T527" s="49">
        <f>(100*('GA Arroyo'!AO527-E527))/E527</f>
        <v>11.137284224722823</v>
      </c>
      <c r="U527" s="49">
        <f>(100*('GA Arroyo'!AR527-E527))/E527</f>
        <v>18.527888510181523</v>
      </c>
      <c r="V527" s="49">
        <f>(100*('GA Arroyo'!AU527-E527))/E527</f>
        <v>0.22592468565504398</v>
      </c>
      <c r="W527" s="49">
        <f>(100*('GA Arroyo'!AX527-E527))/E527</f>
        <v>0</v>
      </c>
    </row>
    <row r="528" spans="2:23" ht="15" customHeight="1">
      <c r="B528">
        <f>MIN('GA Arroyo'!B528,'GA Arroyo'!E528,'GA Arroyo'!H528,'GA Arroyo'!K528)</f>
        <v>54885.5</v>
      </c>
      <c r="C528">
        <f>MIN('GA Arroyo'!O528, 'GA Arroyo'!R528, 'GA Arroyo'!U528, 'GA Arroyo'!X528)</f>
        <v>58871.9</v>
      </c>
      <c r="D528">
        <f>MIN('GA Arroyo'!AB528, 'GA Arroyo'!AE528, 'GA Arroyo'!AH528, 'GA Arroyo'!AK528)</f>
        <v>54966.400000000001</v>
      </c>
      <c r="E528">
        <f>MIN('GA Arroyo'!AO528, 'GA Arroyo'!AR528, 'GA Arroyo'!AU528, 'GA Arroyo'!AX528)</f>
        <v>52915.8</v>
      </c>
      <c r="G528" s="45">
        <f t="shared" si="44"/>
        <v>52915.8</v>
      </c>
      <c r="I528" s="49">
        <f t="shared" si="45"/>
        <v>3.722328680658701</v>
      </c>
      <c r="J528" s="49">
        <f t="shared" si="46"/>
        <v>11.255806394309447</v>
      </c>
      <c r="K528" s="49">
        <f t="shared" si="47"/>
        <v>3.8752130743558606</v>
      </c>
      <c r="L528" s="49">
        <f t="shared" si="48"/>
        <v>0</v>
      </c>
      <c r="T528" s="49">
        <f>(100*('GA Arroyo'!AO528-E528))/E528</f>
        <v>3.7937629214714694</v>
      </c>
      <c r="U528" s="49">
        <f>(100*('GA Arroyo'!AR528-E528))/E528</f>
        <v>9.4019177636925058</v>
      </c>
      <c r="V528" s="49">
        <f>(100*('GA Arroyo'!AU528-E528))/E528</f>
        <v>4.0260186938494629</v>
      </c>
      <c r="W528" s="49">
        <f>(100*('GA Arroyo'!AX528-E528))/E528</f>
        <v>0</v>
      </c>
    </row>
    <row r="529" spans="2:23" ht="15" customHeight="1">
      <c r="B529">
        <f>MIN('GA Arroyo'!B529,'GA Arroyo'!E529,'GA Arroyo'!H529,'GA Arroyo'!K529)</f>
        <v>48390.7</v>
      </c>
      <c r="C529">
        <f>MIN('GA Arroyo'!O529, 'GA Arroyo'!R529, 'GA Arroyo'!U529, 'GA Arroyo'!X529)</f>
        <v>54486.5</v>
      </c>
      <c r="D529">
        <f>MIN('GA Arroyo'!AB529, 'GA Arroyo'!AE529, 'GA Arroyo'!AH529, 'GA Arroyo'!AK529)</f>
        <v>45538.7</v>
      </c>
      <c r="E529">
        <f>MIN('GA Arroyo'!AO529, 'GA Arroyo'!AR529, 'GA Arroyo'!AU529, 'GA Arroyo'!AX529)</f>
        <v>45374.7</v>
      </c>
      <c r="G529" s="45">
        <f t="shared" si="44"/>
        <v>45374.7</v>
      </c>
      <c r="I529" s="49">
        <f t="shared" si="45"/>
        <v>6.6468759022098221</v>
      </c>
      <c r="J529" s="49">
        <f t="shared" si="46"/>
        <v>20.081234696868524</v>
      </c>
      <c r="K529" s="49">
        <f t="shared" si="47"/>
        <v>0.36143489653926086</v>
      </c>
      <c r="L529" s="49">
        <f t="shared" si="48"/>
        <v>0</v>
      </c>
      <c r="T529" s="49">
        <f>(100*('GA Arroyo'!AO529-E529))/E529</f>
        <v>42.692734056643914</v>
      </c>
      <c r="U529" s="49">
        <f>(100*('GA Arroyo'!AR529-E529))/E529</f>
        <v>0</v>
      </c>
      <c r="V529" s="49">
        <f>(100*('GA Arroyo'!AU529-E529))/E529</f>
        <v>1.6983032394704667</v>
      </c>
      <c r="W529" s="49">
        <f>(100*('GA Arroyo'!AX529-E529))/E529</f>
        <v>26.094056820210394</v>
      </c>
    </row>
    <row r="530" spans="2:23" ht="15" customHeight="1">
      <c r="B530">
        <f>MIN('GA Arroyo'!B530,'GA Arroyo'!E530,'GA Arroyo'!H530,'GA Arroyo'!K530)</f>
        <v>55758.9</v>
      </c>
      <c r="C530">
        <f>MIN('GA Arroyo'!O530, 'GA Arroyo'!R530, 'GA Arroyo'!U530, 'GA Arroyo'!X530)</f>
        <v>59478.7</v>
      </c>
      <c r="D530">
        <f>MIN('GA Arroyo'!AB530, 'GA Arroyo'!AE530, 'GA Arroyo'!AH530, 'GA Arroyo'!AK530)</f>
        <v>52902.5</v>
      </c>
      <c r="E530">
        <f>MIN('GA Arroyo'!AO530, 'GA Arroyo'!AR530, 'GA Arroyo'!AU530, 'GA Arroyo'!AX530)</f>
        <v>54128.2</v>
      </c>
      <c r="G530" s="45">
        <f t="shared" si="44"/>
        <v>52902.5</v>
      </c>
      <c r="I530" s="49">
        <f t="shared" si="45"/>
        <v>5.399366759604936</v>
      </c>
      <c r="J530" s="49">
        <f t="shared" si="46"/>
        <v>12.430792495628747</v>
      </c>
      <c r="K530" s="49">
        <f t="shared" si="47"/>
        <v>0</v>
      </c>
      <c r="L530" s="49">
        <f t="shared" si="48"/>
        <v>2.3169037380085951</v>
      </c>
      <c r="T530" s="49">
        <f>(100*('GA Arroyo'!AO530-E530))/E530</f>
        <v>3.3433589145768829</v>
      </c>
      <c r="U530" s="49">
        <f>(100*('GA Arroyo'!AR530-E530))/E530</f>
        <v>0</v>
      </c>
      <c r="V530" s="49">
        <f>(100*('GA Arroyo'!AU530-E530))/E530</f>
        <v>37.003262624657758</v>
      </c>
      <c r="W530" s="49">
        <f>(100*('GA Arroyo'!AX530-E530))/E530</f>
        <v>0.11657509394364828</v>
      </c>
    </row>
    <row r="531" spans="2:23" ht="15" customHeight="1">
      <c r="B531">
        <f>MIN('GA Arroyo'!B531,'GA Arroyo'!E531,'GA Arroyo'!H531,'GA Arroyo'!K531)</f>
        <v>50130.7</v>
      </c>
      <c r="C531">
        <f>MIN('GA Arroyo'!O531, 'GA Arroyo'!R531, 'GA Arroyo'!U531, 'GA Arroyo'!X531)</f>
        <v>47383.199999999997</v>
      </c>
      <c r="D531">
        <f>MIN('GA Arroyo'!AB531, 'GA Arroyo'!AE531, 'GA Arroyo'!AH531, 'GA Arroyo'!AK531)</f>
        <v>50955.6</v>
      </c>
      <c r="E531">
        <f>MIN('GA Arroyo'!AO531, 'GA Arroyo'!AR531, 'GA Arroyo'!AU531, 'GA Arroyo'!AX531)</f>
        <v>47993.4</v>
      </c>
      <c r="G531" s="45">
        <f t="shared" si="44"/>
        <v>47383.199999999997</v>
      </c>
      <c r="I531" s="49">
        <f t="shared" si="45"/>
        <v>5.7984686555572447</v>
      </c>
      <c r="J531" s="49">
        <f t="shared" si="46"/>
        <v>0</v>
      </c>
      <c r="K531" s="49">
        <f t="shared" si="47"/>
        <v>7.5393810464468451</v>
      </c>
      <c r="L531" s="49">
        <f t="shared" si="48"/>
        <v>1.287798206959438</v>
      </c>
      <c r="T531" s="49">
        <f>(100*('GA Arroyo'!AO531-E531))/E531</f>
        <v>1.586051415402945</v>
      </c>
      <c r="U531" s="49">
        <f>(100*('GA Arroyo'!AR531-E531))/E531</f>
        <v>22.971908637437647</v>
      </c>
      <c r="V531" s="49">
        <f>(100*('GA Arroyo'!AU531-E531))/E531</f>
        <v>4.895464793075714</v>
      </c>
      <c r="W531" s="49">
        <f>(100*('GA Arroyo'!AX531-E531))/E531</f>
        <v>0</v>
      </c>
    </row>
    <row r="532" spans="2:23" ht="15" customHeight="1">
      <c r="B532">
        <f>MIN('GA Arroyo'!B532,'GA Arroyo'!E532,'GA Arroyo'!H532,'GA Arroyo'!K532)</f>
        <v>48997.5</v>
      </c>
      <c r="C532">
        <f>MIN('GA Arroyo'!O532, 'GA Arroyo'!R532, 'GA Arroyo'!U532, 'GA Arroyo'!X532)</f>
        <v>45790</v>
      </c>
      <c r="D532">
        <f>MIN('GA Arroyo'!AB532, 'GA Arroyo'!AE532, 'GA Arroyo'!AH532, 'GA Arroyo'!AK532)</f>
        <v>45654.3</v>
      </c>
      <c r="E532">
        <f>MIN('GA Arroyo'!AO532, 'GA Arroyo'!AR532, 'GA Arroyo'!AU532, 'GA Arroyo'!AX532)</f>
        <v>46409.599999999999</v>
      </c>
      <c r="G532" s="45">
        <f t="shared" si="44"/>
        <v>45654.3</v>
      </c>
      <c r="I532" s="49">
        <f t="shared" si="45"/>
        <v>7.3228589639968131</v>
      </c>
      <c r="J532" s="49">
        <f t="shared" si="46"/>
        <v>0.29723377644602389</v>
      </c>
      <c r="K532" s="49">
        <f t="shared" si="47"/>
        <v>0</v>
      </c>
      <c r="L532" s="49">
        <f t="shared" si="48"/>
        <v>1.6543896193786687</v>
      </c>
      <c r="T532" s="49">
        <f>(100*('GA Arroyo'!AO532-E532))/E532</f>
        <v>51.42082672550508</v>
      </c>
      <c r="U532" s="49">
        <f>(100*('GA Arroyo'!AR532-E532))/E532</f>
        <v>10.85400434392885</v>
      </c>
      <c r="V532" s="49">
        <f>(100*('GA Arroyo'!AU532-E532))/E532</f>
        <v>0</v>
      </c>
      <c r="W532" s="49">
        <f>(100*('GA Arroyo'!AX532-E532))/E532</f>
        <v>9.4993277252982118</v>
      </c>
    </row>
    <row r="533" spans="2:23" ht="15" customHeight="1">
      <c r="B533">
        <f>MIN('GA Arroyo'!B533,'GA Arroyo'!E533,'GA Arroyo'!H533,'GA Arroyo'!K533)</f>
        <v>51187.6</v>
      </c>
      <c r="C533">
        <f>MIN('GA Arroyo'!O533, 'GA Arroyo'!R533, 'GA Arroyo'!U533, 'GA Arroyo'!X533)</f>
        <v>49247.9</v>
      </c>
      <c r="D533">
        <f>MIN('GA Arroyo'!AB533, 'GA Arroyo'!AE533, 'GA Arroyo'!AH533, 'GA Arroyo'!AK533)</f>
        <v>49165.3</v>
      </c>
      <c r="E533">
        <f>MIN('GA Arroyo'!AO533, 'GA Arroyo'!AR533, 'GA Arroyo'!AU533, 'GA Arroyo'!AX533)</f>
        <v>49803.5</v>
      </c>
      <c r="G533" s="45">
        <f t="shared" si="44"/>
        <v>49165.3</v>
      </c>
      <c r="I533" s="49">
        <f t="shared" si="45"/>
        <v>4.1132668772487824</v>
      </c>
      <c r="J533" s="49">
        <f t="shared" si="46"/>
        <v>0.16800466996031457</v>
      </c>
      <c r="K533" s="49">
        <f t="shared" si="47"/>
        <v>0</v>
      </c>
      <c r="L533" s="49">
        <f t="shared" si="48"/>
        <v>1.2980699802502924</v>
      </c>
      <c r="T533" s="49">
        <f>(100*('GA Arroyo'!AO533-E533))/E533</f>
        <v>1.4185749997490136</v>
      </c>
      <c r="U533" s="49">
        <f>(100*('GA Arroyo'!AR533-E533))/E533</f>
        <v>1.9080988283956006</v>
      </c>
      <c r="V533" s="49">
        <f>(100*('GA Arroyo'!AU533-E533))/E533</f>
        <v>3.2166414007047699</v>
      </c>
      <c r="W533" s="49">
        <f>(100*('GA Arroyo'!AX533-E533))/E533</f>
        <v>0</v>
      </c>
    </row>
    <row r="534" spans="2:23" ht="15" customHeight="1">
      <c r="B534">
        <f>MIN('GA Arroyo'!B534,'GA Arroyo'!E534,'GA Arroyo'!H534,'GA Arroyo'!K534)</f>
        <v>49527.7</v>
      </c>
      <c r="C534">
        <f>MIN('GA Arroyo'!O534, 'GA Arroyo'!R534, 'GA Arroyo'!U534, 'GA Arroyo'!X534)</f>
        <v>48777.599999999999</v>
      </c>
      <c r="D534">
        <f>MIN('GA Arroyo'!AB534, 'GA Arroyo'!AE534, 'GA Arroyo'!AH534, 'GA Arroyo'!AK534)</f>
        <v>48091.9</v>
      </c>
      <c r="E534">
        <f>MIN('GA Arroyo'!AO534, 'GA Arroyo'!AR534, 'GA Arroyo'!AU534, 'GA Arroyo'!AX534)</f>
        <v>49326</v>
      </c>
      <c r="G534" s="45">
        <f t="shared" si="44"/>
        <v>48091.9</v>
      </c>
      <c r="I534" s="49">
        <f t="shared" si="45"/>
        <v>2.9855339464649879</v>
      </c>
      <c r="J534" s="49">
        <f t="shared" si="46"/>
        <v>1.4258118310983701</v>
      </c>
      <c r="K534" s="49">
        <f t="shared" si="47"/>
        <v>0</v>
      </c>
      <c r="L534" s="49">
        <f t="shared" si="48"/>
        <v>2.5661285996186436</v>
      </c>
      <c r="T534" s="49">
        <f>(100*('GA Arroyo'!AO534-E534))/E534</f>
        <v>33.368000648745095</v>
      </c>
      <c r="U534" s="49">
        <f>(100*('GA Arroyo'!AR534-E534))/E534</f>
        <v>5.0697400965008255</v>
      </c>
      <c r="V534" s="49">
        <f>(100*('GA Arroyo'!AU534-E534))/E534</f>
        <v>0</v>
      </c>
      <c r="W534" s="49">
        <f>(100*('GA Arroyo'!AX534-E534))/E534</f>
        <v>32.565381340469521</v>
      </c>
    </row>
    <row r="535" spans="2:23" ht="15" customHeight="1">
      <c r="B535">
        <f>MIN('GA Arroyo'!B535,'GA Arroyo'!E535,'GA Arroyo'!H535,'GA Arroyo'!K535)</f>
        <v>53363.9</v>
      </c>
      <c r="C535">
        <f>MIN('GA Arroyo'!O535, 'GA Arroyo'!R535, 'GA Arroyo'!U535, 'GA Arroyo'!X535)</f>
        <v>57853.2</v>
      </c>
      <c r="D535">
        <f>MIN('GA Arroyo'!AB535, 'GA Arroyo'!AE535, 'GA Arroyo'!AH535, 'GA Arroyo'!AK535)</f>
        <v>55914.8</v>
      </c>
      <c r="E535">
        <f>MIN('GA Arroyo'!AO535, 'GA Arroyo'!AR535, 'GA Arroyo'!AU535, 'GA Arroyo'!AX535)</f>
        <v>57369.7</v>
      </c>
      <c r="G535" s="45">
        <f t="shared" si="44"/>
        <v>53363.9</v>
      </c>
      <c r="I535" s="49">
        <f t="shared" si="45"/>
        <v>0</v>
      </c>
      <c r="J535" s="49">
        <f t="shared" si="46"/>
        <v>8.4126160194438473</v>
      </c>
      <c r="K535" s="49">
        <f t="shared" si="47"/>
        <v>4.7801978491077328</v>
      </c>
      <c r="L535" s="49">
        <f t="shared" si="48"/>
        <v>7.5065727954665888</v>
      </c>
      <c r="T535" s="49">
        <f>(100*('GA Arroyo'!AO535-E535))/E535</f>
        <v>5.7861554095628884</v>
      </c>
      <c r="U535" s="49">
        <f>(100*('GA Arroyo'!AR535-E535))/E535</f>
        <v>0</v>
      </c>
      <c r="V535" s="49">
        <f>(100*('GA Arroyo'!AU535-E535))/E535</f>
        <v>11.462496753512744</v>
      </c>
      <c r="W535" s="49">
        <f>(100*('GA Arroyo'!AX535-E535))/E535</f>
        <v>1.4490227419700694</v>
      </c>
    </row>
    <row r="536" spans="2:23" ht="15" customHeight="1">
      <c r="B536">
        <f>MIN('GA Arroyo'!B536,'GA Arroyo'!E536,'GA Arroyo'!H536,'GA Arroyo'!K536)</f>
        <v>50867.9</v>
      </c>
      <c r="C536">
        <f>MIN('GA Arroyo'!O536, 'GA Arroyo'!R536, 'GA Arroyo'!U536, 'GA Arroyo'!X536)</f>
        <v>54700.6</v>
      </c>
      <c r="D536">
        <f>MIN('GA Arroyo'!AB536, 'GA Arroyo'!AE536, 'GA Arroyo'!AH536, 'GA Arroyo'!AK536)</f>
        <v>49497.599999999999</v>
      </c>
      <c r="E536">
        <f>MIN('GA Arroyo'!AO536, 'GA Arroyo'!AR536, 'GA Arroyo'!AU536, 'GA Arroyo'!AX536)</f>
        <v>48077.4</v>
      </c>
      <c r="G536" s="45">
        <f t="shared" si="44"/>
        <v>48077.4</v>
      </c>
      <c r="I536" s="49">
        <f t="shared" si="45"/>
        <v>5.8041824225103689</v>
      </c>
      <c r="J536" s="49">
        <f t="shared" si="46"/>
        <v>13.776119340896132</v>
      </c>
      <c r="K536" s="49">
        <f t="shared" si="47"/>
        <v>2.953986696451965</v>
      </c>
      <c r="L536" s="49">
        <f t="shared" si="48"/>
        <v>0</v>
      </c>
      <c r="T536" s="49">
        <f>(100*('GA Arroyo'!AO536-E536))/E536</f>
        <v>2.8177480479393582</v>
      </c>
      <c r="U536" s="49">
        <f>(100*('GA Arroyo'!AR536-E536))/E536</f>
        <v>14.217698960426311</v>
      </c>
      <c r="V536" s="49">
        <f>(100*('GA Arroyo'!AU536-E536))/E536</f>
        <v>5.1672927404560056</v>
      </c>
      <c r="W536" s="49">
        <f>(100*('GA Arroyo'!AX536-E536))/E536</f>
        <v>0</v>
      </c>
    </row>
    <row r="537" spans="2:23" ht="15" customHeight="1">
      <c r="B537">
        <f>MIN('GA Arroyo'!B537,'GA Arroyo'!E537,'GA Arroyo'!H537,'GA Arroyo'!K537)</f>
        <v>51555.7</v>
      </c>
      <c r="C537">
        <f>MIN('GA Arroyo'!O537, 'GA Arroyo'!R537, 'GA Arroyo'!U537, 'GA Arroyo'!X537)</f>
        <v>54165.9</v>
      </c>
      <c r="D537">
        <f>MIN('GA Arroyo'!AB537, 'GA Arroyo'!AE537, 'GA Arroyo'!AH537, 'GA Arroyo'!AK537)</f>
        <v>55317.3</v>
      </c>
      <c r="E537">
        <f>MIN('GA Arroyo'!AO537, 'GA Arroyo'!AR537, 'GA Arroyo'!AU537, 'GA Arroyo'!AX537)</f>
        <v>53918.3</v>
      </c>
      <c r="G537" s="45">
        <f t="shared" si="44"/>
        <v>51555.7</v>
      </c>
      <c r="I537" s="49">
        <f t="shared" si="45"/>
        <v>0</v>
      </c>
      <c r="J537" s="49">
        <f t="shared" si="46"/>
        <v>5.0628737462589095</v>
      </c>
      <c r="K537" s="49">
        <f t="shared" si="47"/>
        <v>7.296186454650031</v>
      </c>
      <c r="L537" s="49">
        <f t="shared" si="48"/>
        <v>4.5826164711176567</v>
      </c>
      <c r="T537" s="49">
        <f>(100*('GA Arroyo'!AO537-E537))/E537</f>
        <v>11.040592897031237</v>
      </c>
      <c r="U537" s="49">
        <f>(100*('GA Arroyo'!AR537-E537))/E537</f>
        <v>3.4309316131999599</v>
      </c>
      <c r="V537" s="49">
        <f>(100*('GA Arroyo'!AU537-E537))/E537</f>
        <v>0</v>
      </c>
      <c r="W537" s="49">
        <f>(100*('GA Arroyo'!AX537-E537))/E537</f>
        <v>0.52301352231060694</v>
      </c>
    </row>
    <row r="538" spans="2:23" ht="15" customHeight="1">
      <c r="B538">
        <f>MIN('GA Arroyo'!B538,'GA Arroyo'!E538,'GA Arroyo'!H538,'GA Arroyo'!K538)</f>
        <v>53058.5</v>
      </c>
      <c r="C538">
        <f>MIN('GA Arroyo'!O538, 'GA Arroyo'!R538, 'GA Arroyo'!U538, 'GA Arroyo'!X538)</f>
        <v>55174.5</v>
      </c>
      <c r="D538">
        <f>MIN('GA Arroyo'!AB538, 'GA Arroyo'!AE538, 'GA Arroyo'!AH538, 'GA Arroyo'!AK538)</f>
        <v>50460.9</v>
      </c>
      <c r="E538">
        <f>MIN('GA Arroyo'!AO538, 'GA Arroyo'!AR538, 'GA Arroyo'!AU538, 'GA Arroyo'!AX538)</f>
        <v>52011.9</v>
      </c>
      <c r="G538" s="45">
        <f t="shared" si="44"/>
        <v>50460.9</v>
      </c>
      <c r="I538" s="49">
        <f t="shared" si="45"/>
        <v>5.1477480583976867</v>
      </c>
      <c r="J538" s="49">
        <f t="shared" si="46"/>
        <v>9.3410937973757875</v>
      </c>
      <c r="K538" s="49">
        <f t="shared" si="47"/>
        <v>0</v>
      </c>
      <c r="L538" s="49">
        <f t="shared" si="48"/>
        <v>3.073666938164004</v>
      </c>
      <c r="T538" s="49">
        <f>(100*('GA Arroyo'!AO538-E538))/E538</f>
        <v>8.7576112389664669</v>
      </c>
      <c r="U538" s="49">
        <f>(100*('GA Arroyo'!AR538-E538))/E538</f>
        <v>45.665895689255734</v>
      </c>
      <c r="V538" s="49">
        <f>(100*('GA Arroyo'!AU538-E538))/E538</f>
        <v>0</v>
      </c>
      <c r="W538" s="49">
        <f>(100*('GA Arroyo'!AX538-E538))/E538</f>
        <v>2.2748640215027658</v>
      </c>
    </row>
    <row r="539" spans="2:23" ht="15" customHeight="1">
      <c r="B539">
        <f>MIN('GA Arroyo'!B539,'GA Arroyo'!E539,'GA Arroyo'!H539,'GA Arroyo'!K539)</f>
        <v>69685</v>
      </c>
      <c r="C539">
        <f>MIN('GA Arroyo'!O539, 'GA Arroyo'!R539, 'GA Arroyo'!U539, 'GA Arroyo'!X539)</f>
        <v>66325.100000000006</v>
      </c>
      <c r="D539">
        <f>MIN('GA Arroyo'!AB539, 'GA Arroyo'!AE539, 'GA Arroyo'!AH539, 'GA Arroyo'!AK539)</f>
        <v>56667.3</v>
      </c>
      <c r="E539">
        <f>MIN('GA Arroyo'!AO539, 'GA Arroyo'!AR539, 'GA Arroyo'!AU539, 'GA Arroyo'!AX539)</f>
        <v>55499.8</v>
      </c>
      <c r="G539" s="45">
        <f t="shared" si="44"/>
        <v>55499.8</v>
      </c>
      <c r="I539" s="49">
        <f t="shared" si="45"/>
        <v>25.559011023463142</v>
      </c>
      <c r="J539" s="49">
        <f t="shared" si="46"/>
        <v>19.505115333748954</v>
      </c>
      <c r="K539" s="49">
        <f t="shared" si="47"/>
        <v>2.1036111841844476</v>
      </c>
      <c r="L539" s="49">
        <f t="shared" si="48"/>
        <v>0</v>
      </c>
      <c r="T539" s="49">
        <f>(100*('GA Arroyo'!AO539-E539))/E539</f>
        <v>43.015650506848651</v>
      </c>
      <c r="U539" s="49">
        <f>(100*('GA Arroyo'!AR539-E539))/E539</f>
        <v>71.140796903772625</v>
      </c>
      <c r="V539" s="49">
        <f>(100*('GA Arroyo'!AU539-E539))/E539</f>
        <v>19.06259121654492</v>
      </c>
      <c r="W539" s="49">
        <f>(100*('GA Arroyo'!AX539-E539))/E539</f>
        <v>0</v>
      </c>
    </row>
    <row r="540" spans="2:23" ht="15" customHeight="1">
      <c r="B540">
        <f>MIN('GA Arroyo'!B540,'GA Arroyo'!E540,'GA Arroyo'!H540,'GA Arroyo'!K540)</f>
        <v>55562.8</v>
      </c>
      <c r="C540">
        <f>MIN('GA Arroyo'!O540, 'GA Arroyo'!R540, 'GA Arroyo'!U540, 'GA Arroyo'!X540)</f>
        <v>56953.4</v>
      </c>
      <c r="D540">
        <f>MIN('GA Arroyo'!AB540, 'GA Arroyo'!AE540, 'GA Arroyo'!AH540, 'GA Arroyo'!AK540)</f>
        <v>51179.3</v>
      </c>
      <c r="E540">
        <f>MIN('GA Arroyo'!AO540, 'GA Arroyo'!AR540, 'GA Arroyo'!AU540, 'GA Arroyo'!AX540)</f>
        <v>54810.1</v>
      </c>
      <c r="G540" s="45">
        <f t="shared" si="44"/>
        <v>51179.3</v>
      </c>
      <c r="I540" s="49">
        <f t="shared" si="45"/>
        <v>8.5649862346690941</v>
      </c>
      <c r="J540" s="49">
        <f t="shared" si="46"/>
        <v>11.28210038042724</v>
      </c>
      <c r="K540" s="49">
        <f t="shared" si="47"/>
        <v>0</v>
      </c>
      <c r="L540" s="49">
        <f t="shared" si="48"/>
        <v>7.0942744429876825</v>
      </c>
      <c r="T540" s="49">
        <f>(100*('GA Arroyo'!AO540-E540))/E540</f>
        <v>8.2191056027994858</v>
      </c>
      <c r="U540" s="49">
        <f>(100*('GA Arroyo'!AR540-E540))/E540</f>
        <v>1.9007445707999127</v>
      </c>
      <c r="V540" s="49">
        <f>(100*('GA Arroyo'!AU540-E540))/E540</f>
        <v>0</v>
      </c>
      <c r="W540" s="49">
        <f>(100*('GA Arroyo'!AX540-E540))/E540</f>
        <v>38.65893329878984</v>
      </c>
    </row>
    <row r="541" spans="2:23" ht="15" customHeight="1">
      <c r="B541">
        <f>MIN('GA Arroyo'!B541,'GA Arroyo'!E541,'GA Arroyo'!H541,'GA Arroyo'!K541)</f>
        <v>55476.6</v>
      </c>
      <c r="C541">
        <f>MIN('GA Arroyo'!O541, 'GA Arroyo'!R541, 'GA Arroyo'!U541, 'GA Arroyo'!X541)</f>
        <v>50356.2</v>
      </c>
      <c r="D541">
        <f>MIN('GA Arroyo'!AB541, 'GA Arroyo'!AE541, 'GA Arroyo'!AH541, 'GA Arroyo'!AK541)</f>
        <v>48596.800000000003</v>
      </c>
      <c r="E541">
        <f>MIN('GA Arroyo'!AO541, 'GA Arroyo'!AR541, 'GA Arroyo'!AU541, 'GA Arroyo'!AX541)</f>
        <v>48333.9</v>
      </c>
      <c r="G541" s="45">
        <f t="shared" si="44"/>
        <v>48333.9</v>
      </c>
      <c r="I541" s="49">
        <f t="shared" si="45"/>
        <v>14.777826742720942</v>
      </c>
      <c r="J541" s="49">
        <f t="shared" si="46"/>
        <v>4.184019911490684</v>
      </c>
      <c r="K541" s="49">
        <f t="shared" si="47"/>
        <v>0.5439246574350538</v>
      </c>
      <c r="L541" s="49">
        <f t="shared" si="48"/>
        <v>0</v>
      </c>
      <c r="T541" s="49">
        <f>(100*('GA Arroyo'!AO541-E541))/E541</f>
        <v>47.27179060659288</v>
      </c>
      <c r="U541" s="49">
        <f>(100*('GA Arroyo'!AR541-E541))/E541</f>
        <v>14.518381508630579</v>
      </c>
      <c r="V541" s="49">
        <f>(100*('GA Arroyo'!AU541-E541))/E541</f>
        <v>0</v>
      </c>
      <c r="W541" s="49">
        <f>(100*('GA Arroyo'!AX541-E541))/E541</f>
        <v>0.68668160442257187</v>
      </c>
    </row>
    <row r="542" spans="2:23" ht="15" customHeight="1">
      <c r="B542">
        <f>MIN('GA Arroyo'!B542,'GA Arroyo'!E542,'GA Arroyo'!H542,'GA Arroyo'!K542)</f>
        <v>56352.7</v>
      </c>
      <c r="C542">
        <f>MIN('GA Arroyo'!O542, 'GA Arroyo'!R542, 'GA Arroyo'!U542, 'GA Arroyo'!X542)</f>
        <v>59937.5</v>
      </c>
      <c r="D542">
        <f>MIN('GA Arroyo'!AB542, 'GA Arroyo'!AE542, 'GA Arroyo'!AH542, 'GA Arroyo'!AK542)</f>
        <v>53796.6</v>
      </c>
      <c r="E542">
        <f>MIN('GA Arroyo'!AO542, 'GA Arroyo'!AR542, 'GA Arroyo'!AU542, 'GA Arroyo'!AX542)</f>
        <v>54160.800000000003</v>
      </c>
      <c r="G542" s="45">
        <f t="shared" si="44"/>
        <v>53796.6</v>
      </c>
      <c r="I542" s="49">
        <f t="shared" si="45"/>
        <v>4.7514155169657535</v>
      </c>
      <c r="J542" s="49">
        <f t="shared" si="46"/>
        <v>11.415033663837495</v>
      </c>
      <c r="K542" s="49">
        <f t="shared" si="47"/>
        <v>0</v>
      </c>
      <c r="L542" s="49">
        <f t="shared" si="48"/>
        <v>0.67699445689877125</v>
      </c>
      <c r="T542" s="49">
        <f>(100*('GA Arroyo'!AO542-E542))/E542</f>
        <v>1.1632029068994549</v>
      </c>
      <c r="U542" s="49">
        <f>(100*('GA Arroyo'!AR542-E542))/E542</f>
        <v>4.0898583477348902</v>
      </c>
      <c r="V542" s="49">
        <f>(100*('GA Arroyo'!AU542-E542))/E542</f>
        <v>7.2770343126393904</v>
      </c>
      <c r="W542" s="49">
        <f>(100*('GA Arroyo'!AX542-E542))/E542</f>
        <v>0</v>
      </c>
    </row>
    <row r="543" spans="2:23" ht="15" customHeight="1">
      <c r="B543">
        <f>MIN('GA Arroyo'!B543,'GA Arroyo'!E543,'GA Arroyo'!H543,'GA Arroyo'!K543)</f>
        <v>52965.8</v>
      </c>
      <c r="C543">
        <f>MIN('GA Arroyo'!O543, 'GA Arroyo'!R543, 'GA Arroyo'!U543, 'GA Arroyo'!X543)</f>
        <v>51371.5</v>
      </c>
      <c r="D543">
        <f>MIN('GA Arroyo'!AB543, 'GA Arroyo'!AE543, 'GA Arroyo'!AH543, 'GA Arroyo'!AK543)</f>
        <v>52217.3</v>
      </c>
      <c r="E543">
        <f>MIN('GA Arroyo'!AO543, 'GA Arroyo'!AR543, 'GA Arroyo'!AU543, 'GA Arroyo'!AX543)</f>
        <v>52627.7</v>
      </c>
      <c r="G543" s="45">
        <f t="shared" si="44"/>
        <v>51371.5</v>
      </c>
      <c r="I543" s="49">
        <f t="shared" si="45"/>
        <v>3.1034717693662883</v>
      </c>
      <c r="J543" s="49">
        <f t="shared" si="46"/>
        <v>0</v>
      </c>
      <c r="K543" s="49">
        <f t="shared" si="47"/>
        <v>1.6464382001693603</v>
      </c>
      <c r="L543" s="49">
        <f t="shared" si="48"/>
        <v>2.4453247423182058</v>
      </c>
      <c r="T543" s="49">
        <f>(100*('GA Arroyo'!AO543-E543))/E543</f>
        <v>25.570944578615464</v>
      </c>
      <c r="U543" s="49">
        <f>(100*('GA Arroyo'!AR543-E543))/E543</f>
        <v>6.213837959857651</v>
      </c>
      <c r="V543" s="49">
        <f>(100*('GA Arroyo'!AU543-E543))/E543</f>
        <v>7.434867949767904</v>
      </c>
      <c r="W543" s="49">
        <f>(100*('GA Arroyo'!AX543-E543))/E543</f>
        <v>0</v>
      </c>
    </row>
    <row r="544" spans="2:23" ht="15" customHeight="1">
      <c r="B544">
        <f>MIN('GA Arroyo'!B544,'GA Arroyo'!E544,'GA Arroyo'!H544,'GA Arroyo'!K544)</f>
        <v>51210.3</v>
      </c>
      <c r="C544">
        <f>MIN('GA Arroyo'!O544, 'GA Arroyo'!R544, 'GA Arroyo'!U544, 'GA Arroyo'!X544)</f>
        <v>56233.9</v>
      </c>
      <c r="D544">
        <f>MIN('GA Arroyo'!AB544, 'GA Arroyo'!AE544, 'GA Arroyo'!AH544, 'GA Arroyo'!AK544)</f>
        <v>50709.9</v>
      </c>
      <c r="E544">
        <f>MIN('GA Arroyo'!AO544, 'GA Arroyo'!AR544, 'GA Arroyo'!AU544, 'GA Arroyo'!AX544)</f>
        <v>47171</v>
      </c>
      <c r="G544" s="45">
        <f t="shared" si="44"/>
        <v>47171</v>
      </c>
      <c r="I544" s="49">
        <f t="shared" si="45"/>
        <v>8.5631002098747171</v>
      </c>
      <c r="J544" s="49">
        <f t="shared" si="46"/>
        <v>19.212863835831339</v>
      </c>
      <c r="K544" s="49">
        <f t="shared" si="47"/>
        <v>7.5022789425706495</v>
      </c>
      <c r="L544" s="49">
        <f t="shared" si="48"/>
        <v>0</v>
      </c>
      <c r="T544" s="49">
        <f>(100*('GA Arroyo'!AO544-E544))/E544</f>
        <v>8.7091645290538615</v>
      </c>
      <c r="U544" s="49">
        <f>(100*('GA Arroyo'!AR544-E544))/E544</f>
        <v>4.8078268427635651</v>
      </c>
      <c r="V544" s="49">
        <f>(100*('GA Arroyo'!AU544-E544))/E544</f>
        <v>0</v>
      </c>
      <c r="W544" s="49">
        <f>(100*('GA Arroyo'!AX544-E544))/E544</f>
        <v>4.4847469843759935</v>
      </c>
    </row>
    <row r="545" spans="2:23" ht="15" customHeight="1">
      <c r="B545">
        <f>MIN('GA Arroyo'!B545,'GA Arroyo'!E545,'GA Arroyo'!H545,'GA Arroyo'!K545)</f>
        <v>40204.1</v>
      </c>
      <c r="C545">
        <f>MIN('GA Arroyo'!O545, 'GA Arroyo'!R545, 'GA Arroyo'!U545, 'GA Arroyo'!X545)</f>
        <v>47878.8</v>
      </c>
      <c r="D545">
        <f>MIN('GA Arroyo'!AB545, 'GA Arroyo'!AE545, 'GA Arroyo'!AH545, 'GA Arroyo'!AK545)</f>
        <v>45246.1</v>
      </c>
      <c r="E545">
        <f>MIN('GA Arroyo'!AO545, 'GA Arroyo'!AR545, 'GA Arroyo'!AU545, 'GA Arroyo'!AX545)</f>
        <v>39326.9</v>
      </c>
      <c r="G545" s="45">
        <f t="shared" si="44"/>
        <v>39326.9</v>
      </c>
      <c r="I545" s="49">
        <f t="shared" si="45"/>
        <v>2.2305343162059481</v>
      </c>
      <c r="J545" s="49">
        <f t="shared" si="46"/>
        <v>21.74567535198554</v>
      </c>
      <c r="K545" s="49">
        <f t="shared" si="47"/>
        <v>15.051275335711681</v>
      </c>
      <c r="L545" s="49">
        <f t="shared" si="48"/>
        <v>0</v>
      </c>
      <c r="T545" s="49">
        <f>(100*('GA Arroyo'!AO545-E545))/E545</f>
        <v>9.4604456491612616</v>
      </c>
      <c r="U545" s="49">
        <f>(100*('GA Arroyo'!AR545-E545))/E545</f>
        <v>2.420226359057021</v>
      </c>
      <c r="V545" s="49">
        <f>(100*('GA Arroyo'!AU545-E545))/E545</f>
        <v>8.9740101558983731</v>
      </c>
      <c r="W545" s="49">
        <f>(100*('GA Arroyo'!AX545-E545))/E545</f>
        <v>0</v>
      </c>
    </row>
    <row r="546" spans="2:23" ht="15" customHeight="1">
      <c r="B546">
        <f>MIN('GA Arroyo'!B546,'GA Arroyo'!E546,'GA Arroyo'!H546,'GA Arroyo'!K546)</f>
        <v>49489.5</v>
      </c>
      <c r="C546">
        <f>MIN('GA Arroyo'!O546, 'GA Arroyo'!R546, 'GA Arroyo'!U546, 'GA Arroyo'!X546)</f>
        <v>51572.3</v>
      </c>
      <c r="D546">
        <f>MIN('GA Arroyo'!AB546, 'GA Arroyo'!AE546, 'GA Arroyo'!AH546, 'GA Arroyo'!AK546)</f>
        <v>47951.3</v>
      </c>
      <c r="E546">
        <f>MIN('GA Arroyo'!AO546, 'GA Arroyo'!AR546, 'GA Arroyo'!AU546, 'GA Arroyo'!AX546)</f>
        <v>48794.400000000001</v>
      </c>
      <c r="G546" s="45">
        <f t="shared" si="44"/>
        <v>47951.3</v>
      </c>
      <c r="I546" s="49">
        <f t="shared" si="45"/>
        <v>3.2078379522557197</v>
      </c>
      <c r="J546" s="49">
        <f t="shared" si="46"/>
        <v>7.5514115362878584</v>
      </c>
      <c r="K546" s="49">
        <f t="shared" si="47"/>
        <v>0</v>
      </c>
      <c r="L546" s="49">
        <f t="shared" si="48"/>
        <v>1.7582422165822376</v>
      </c>
      <c r="T546" s="49">
        <f>(100*('GA Arroyo'!AO546-E546))/E546</f>
        <v>0</v>
      </c>
      <c r="U546" s="49">
        <f>(100*('GA Arroyo'!AR546-E546))/E546</f>
        <v>6.6657239355335856</v>
      </c>
      <c r="V546" s="49">
        <f>(100*('GA Arroyo'!AU546-E546))/E546</f>
        <v>45.347826799796707</v>
      </c>
      <c r="W546" s="49">
        <f>(100*('GA Arroyo'!AX546-E546))/E546</f>
        <v>5.9486334497401314</v>
      </c>
    </row>
    <row r="547" spans="2:23" ht="15" customHeight="1">
      <c r="B547">
        <f>MIN('GA Arroyo'!B547,'GA Arroyo'!E547,'GA Arroyo'!H547,'GA Arroyo'!K547)</f>
        <v>54742.5</v>
      </c>
      <c r="C547">
        <f>MIN('GA Arroyo'!O547, 'GA Arroyo'!R547, 'GA Arroyo'!U547, 'GA Arroyo'!X547)</f>
        <v>57085.3</v>
      </c>
      <c r="D547">
        <f>MIN('GA Arroyo'!AB547, 'GA Arroyo'!AE547, 'GA Arroyo'!AH547, 'GA Arroyo'!AK547)</f>
        <v>56387.6</v>
      </c>
      <c r="E547">
        <f>MIN('GA Arroyo'!AO547, 'GA Arroyo'!AR547, 'GA Arroyo'!AU547, 'GA Arroyo'!AX547)</f>
        <v>54485</v>
      </c>
      <c r="G547" s="45">
        <f t="shared" si="44"/>
        <v>54485</v>
      </c>
      <c r="I547" s="49">
        <f t="shared" si="45"/>
        <v>0.47260713957970085</v>
      </c>
      <c r="J547" s="49">
        <f t="shared" si="46"/>
        <v>4.7725061943654268</v>
      </c>
      <c r="K547" s="49">
        <f t="shared" si="47"/>
        <v>3.4919702670459731</v>
      </c>
      <c r="L547" s="49">
        <f t="shared" si="48"/>
        <v>0</v>
      </c>
      <c r="T547" s="49">
        <f>(100*('GA Arroyo'!AO547-E547))/E547</f>
        <v>18.05083968064605</v>
      </c>
      <c r="U547" s="49">
        <f>(100*('GA Arroyo'!AR547-E547))/E547</f>
        <v>8.2477746168670336</v>
      </c>
      <c r="V547" s="49">
        <f>(100*('GA Arroyo'!AU547-E547))/E547</f>
        <v>0</v>
      </c>
      <c r="W547" s="49">
        <f>(100*('GA Arroyo'!AX547-E547))/E547</f>
        <v>3.6378819858676672</v>
      </c>
    </row>
    <row r="548" spans="2:23" ht="15" customHeight="1">
      <c r="B548">
        <f>MIN('GA Arroyo'!B548,'GA Arroyo'!E548,'GA Arroyo'!H548,'GA Arroyo'!K548)</f>
        <v>51451.7</v>
      </c>
      <c r="C548">
        <f>MIN('GA Arroyo'!O548, 'GA Arroyo'!R548, 'GA Arroyo'!U548, 'GA Arroyo'!X548)</f>
        <v>56134.6</v>
      </c>
      <c r="D548">
        <f>MIN('GA Arroyo'!AB548, 'GA Arroyo'!AE548, 'GA Arroyo'!AH548, 'GA Arroyo'!AK548)</f>
        <v>52186.5</v>
      </c>
      <c r="E548">
        <f>MIN('GA Arroyo'!AO548, 'GA Arroyo'!AR548, 'GA Arroyo'!AU548, 'GA Arroyo'!AX548)</f>
        <v>52853.2</v>
      </c>
      <c r="G548" s="45">
        <f t="shared" si="44"/>
        <v>51451.7</v>
      </c>
      <c r="I548" s="49">
        <f t="shared" si="45"/>
        <v>0</v>
      </c>
      <c r="J548" s="49">
        <f t="shared" si="46"/>
        <v>9.1015457215213527</v>
      </c>
      <c r="K548" s="49">
        <f t="shared" si="47"/>
        <v>1.4281355135010174</v>
      </c>
      <c r="L548" s="49">
        <f t="shared" si="48"/>
        <v>2.7239138842837072</v>
      </c>
      <c r="T548" s="49">
        <f>(100*('GA Arroyo'!AO548-E548))/E548</f>
        <v>0</v>
      </c>
      <c r="U548" s="49">
        <f>(100*('GA Arroyo'!AR548-E548))/E548</f>
        <v>37.911990191700781</v>
      </c>
      <c r="V548" s="49">
        <f>(100*('GA Arroyo'!AU548-E548))/E548</f>
        <v>19.174997918763683</v>
      </c>
      <c r="W548" s="49">
        <f>(100*('GA Arroyo'!AX548-E548))/E548</f>
        <v>6.8835945600266486</v>
      </c>
    </row>
    <row r="549" spans="2:23" ht="15" customHeight="1">
      <c r="B549">
        <f>MIN('GA Arroyo'!B549,'GA Arroyo'!E549,'GA Arroyo'!H549,'GA Arroyo'!K549)</f>
        <v>59259.9</v>
      </c>
      <c r="C549">
        <f>MIN('GA Arroyo'!O549, 'GA Arroyo'!R549, 'GA Arroyo'!U549, 'GA Arroyo'!X549)</f>
        <v>59655</v>
      </c>
      <c r="D549">
        <f>MIN('GA Arroyo'!AB549, 'GA Arroyo'!AE549, 'GA Arroyo'!AH549, 'GA Arroyo'!AK549)</f>
        <v>59542.5</v>
      </c>
      <c r="E549">
        <f>MIN('GA Arroyo'!AO549, 'GA Arroyo'!AR549, 'GA Arroyo'!AU549, 'GA Arroyo'!AX549)</f>
        <v>58781</v>
      </c>
      <c r="G549" s="45">
        <f t="shared" si="44"/>
        <v>58781</v>
      </c>
      <c r="I549" s="49">
        <f t="shared" si="45"/>
        <v>0.81471904186727251</v>
      </c>
      <c r="J549" s="49">
        <f t="shared" si="46"/>
        <v>1.4868750106326873</v>
      </c>
      <c r="K549" s="49">
        <f t="shared" si="47"/>
        <v>1.2954866368384341</v>
      </c>
      <c r="L549" s="49">
        <f t="shared" si="48"/>
        <v>0</v>
      </c>
      <c r="T549" s="49">
        <f>(100*('GA Arroyo'!AO549-E549))/E549</f>
        <v>0</v>
      </c>
      <c r="U549" s="49">
        <f>(100*('GA Arroyo'!AR549-E549))/E549</f>
        <v>16.774467940320847</v>
      </c>
      <c r="V549" s="49">
        <f>(100*('GA Arroyo'!AU549-E549))/E549</f>
        <v>7.8515166465354405</v>
      </c>
      <c r="W549" s="49">
        <f>(100*('GA Arroyo'!AX549-E549))/E549</f>
        <v>2.9261155815649767E-2</v>
      </c>
    </row>
    <row r="550" spans="2:23" ht="15" customHeight="1">
      <c r="B550">
        <f>MIN('GA Arroyo'!B550,'GA Arroyo'!E550,'GA Arroyo'!H550,'GA Arroyo'!K550)</f>
        <v>47789.5</v>
      </c>
      <c r="C550">
        <f>MIN('GA Arroyo'!O550, 'GA Arroyo'!R550, 'GA Arroyo'!U550, 'GA Arroyo'!X550)</f>
        <v>50807.9</v>
      </c>
      <c r="D550">
        <f>MIN('GA Arroyo'!AB550, 'GA Arroyo'!AE550, 'GA Arroyo'!AH550, 'GA Arroyo'!AK550)</f>
        <v>48289</v>
      </c>
      <c r="E550">
        <f>MIN('GA Arroyo'!AO550, 'GA Arroyo'!AR550, 'GA Arroyo'!AU550, 'GA Arroyo'!AX550)</f>
        <v>50066.400000000001</v>
      </c>
      <c r="G550" s="45">
        <f t="shared" si="44"/>
        <v>47789.5</v>
      </c>
      <c r="I550" s="49">
        <f t="shared" si="45"/>
        <v>0</v>
      </c>
      <c r="J550" s="49">
        <f t="shared" si="46"/>
        <v>6.3160317642996917</v>
      </c>
      <c r="K550" s="49">
        <f t="shared" si="47"/>
        <v>1.0452086755458836</v>
      </c>
      <c r="L550" s="49">
        <f t="shared" si="48"/>
        <v>4.7644357024032509</v>
      </c>
      <c r="T550" s="49">
        <f>(100*('GA Arroyo'!AO550-E550))/E550</f>
        <v>6.5878513334291968</v>
      </c>
      <c r="U550" s="49">
        <f>(100*('GA Arroyo'!AR550-E550))/E550</f>
        <v>6.4690091558410332</v>
      </c>
      <c r="V550" s="49">
        <f>(100*('GA Arroyo'!AU550-E550))/E550</f>
        <v>0</v>
      </c>
      <c r="W550" s="49">
        <f>(100*('GA Arroyo'!AX550-E550))/E550</f>
        <v>81.770808366489305</v>
      </c>
    </row>
    <row r="551" spans="2:23" ht="15" customHeight="1">
      <c r="B551">
        <f>MIN('GA Arroyo'!B551,'GA Arroyo'!E551,'GA Arroyo'!H551,'GA Arroyo'!K551)</f>
        <v>49013.3</v>
      </c>
      <c r="C551">
        <f>MIN('GA Arroyo'!O551, 'GA Arroyo'!R551, 'GA Arroyo'!U551, 'GA Arroyo'!X551)</f>
        <v>50238.3</v>
      </c>
      <c r="D551">
        <f>MIN('GA Arroyo'!AB551, 'GA Arroyo'!AE551, 'GA Arroyo'!AH551, 'GA Arroyo'!AK551)</f>
        <v>49469.8</v>
      </c>
      <c r="E551">
        <f>MIN('GA Arroyo'!AO551, 'GA Arroyo'!AR551, 'GA Arroyo'!AU551, 'GA Arroyo'!AX551)</f>
        <v>49443.7</v>
      </c>
      <c r="G551" s="45">
        <f t="shared" si="44"/>
        <v>49013.3</v>
      </c>
      <c r="I551" s="49">
        <f t="shared" si="45"/>
        <v>0</v>
      </c>
      <c r="J551" s="49">
        <f t="shared" si="46"/>
        <v>2.4993216127051228</v>
      </c>
      <c r="K551" s="49">
        <f t="shared" si="47"/>
        <v>0.93137984995909273</v>
      </c>
      <c r="L551" s="49">
        <f t="shared" si="48"/>
        <v>0.87812899763940433</v>
      </c>
      <c r="T551" s="49">
        <f>(100*('GA Arroyo'!AO551-E551))/E551</f>
        <v>3.4629285429690828</v>
      </c>
      <c r="U551" s="49">
        <f>(100*('GA Arroyo'!AR551-E551))/E551</f>
        <v>48.749790165380013</v>
      </c>
      <c r="V551" s="49">
        <f>(100*('GA Arroyo'!AU551-E551))/E551</f>
        <v>18.806238206283108</v>
      </c>
      <c r="W551" s="49">
        <f>(100*('GA Arroyo'!AX551-E551))/E551</f>
        <v>0</v>
      </c>
    </row>
    <row r="552" spans="2:23" ht="15" customHeight="1">
      <c r="B552">
        <f>MIN('GA Arroyo'!B552,'GA Arroyo'!E552,'GA Arroyo'!H552,'GA Arroyo'!K552)</f>
        <v>50837.599999999999</v>
      </c>
      <c r="C552">
        <f>MIN('GA Arroyo'!O552, 'GA Arroyo'!R552, 'GA Arroyo'!U552, 'GA Arroyo'!X552)</f>
        <v>51792.4</v>
      </c>
      <c r="D552">
        <f>MIN('GA Arroyo'!AB552, 'GA Arroyo'!AE552, 'GA Arroyo'!AH552, 'GA Arroyo'!AK552)</f>
        <v>49995.1</v>
      </c>
      <c r="E552">
        <f>MIN('GA Arroyo'!AO552, 'GA Arroyo'!AR552, 'GA Arroyo'!AU552, 'GA Arroyo'!AX552)</f>
        <v>48509.5</v>
      </c>
      <c r="G552" s="45">
        <f t="shared" si="44"/>
        <v>48509.5</v>
      </c>
      <c r="I552" s="49">
        <f t="shared" si="45"/>
        <v>4.7992661231305176</v>
      </c>
      <c r="J552" s="49">
        <f t="shared" si="46"/>
        <v>6.7675403786887127</v>
      </c>
      <c r="K552" s="49">
        <f t="shared" si="47"/>
        <v>3.0624929137591574</v>
      </c>
      <c r="L552" s="49">
        <f t="shared" si="48"/>
        <v>0</v>
      </c>
      <c r="T552" s="49">
        <f>(100*('GA Arroyo'!AO552-E552))/E552</f>
        <v>18.443397684989542</v>
      </c>
      <c r="U552" s="49">
        <f>(100*('GA Arroyo'!AR552-E552))/E552</f>
        <v>5.7017697564394627</v>
      </c>
      <c r="V552" s="49">
        <f>(100*('GA Arroyo'!AU552-E552))/E552</f>
        <v>1.8975664560549996</v>
      </c>
      <c r="W552" s="49">
        <f>(100*('GA Arroyo'!AX552-E552))/E552</f>
        <v>0</v>
      </c>
    </row>
    <row r="553" spans="2:23" ht="15" customHeight="1">
      <c r="B553">
        <f>MIN('GA Arroyo'!B553,'GA Arroyo'!E553,'GA Arroyo'!H553,'GA Arroyo'!K553)</f>
        <v>52696.7</v>
      </c>
      <c r="C553">
        <f>MIN('GA Arroyo'!O553, 'GA Arroyo'!R553, 'GA Arroyo'!U553, 'GA Arroyo'!X553)</f>
        <v>51381.599999999999</v>
      </c>
      <c r="D553">
        <f>MIN('GA Arroyo'!AB553, 'GA Arroyo'!AE553, 'GA Arroyo'!AH553, 'GA Arroyo'!AK553)</f>
        <v>50636.2</v>
      </c>
      <c r="E553">
        <f>MIN('GA Arroyo'!AO553, 'GA Arroyo'!AR553, 'GA Arroyo'!AU553, 'GA Arroyo'!AX553)</f>
        <v>50964.9</v>
      </c>
      <c r="G553" s="45">
        <f t="shared" si="44"/>
        <v>50636.2</v>
      </c>
      <c r="I553" s="49">
        <f t="shared" si="45"/>
        <v>4.0692232039529035</v>
      </c>
      <c r="J553" s="49">
        <f t="shared" si="46"/>
        <v>1.4720693890931813</v>
      </c>
      <c r="K553" s="49">
        <f t="shared" si="47"/>
        <v>0</v>
      </c>
      <c r="L553" s="49">
        <f t="shared" si="48"/>
        <v>0.64914033833503382</v>
      </c>
      <c r="T553" s="49">
        <f>(100*('GA Arroyo'!AO553-E553))/E553</f>
        <v>1.9362345457363708</v>
      </c>
      <c r="U553" s="49">
        <f>(100*('GA Arroyo'!AR553-E553))/E553</f>
        <v>17.905067997778854</v>
      </c>
      <c r="V553" s="49">
        <f>(100*('GA Arroyo'!AU553-E553))/E553</f>
        <v>19.21440049916707</v>
      </c>
      <c r="W553" s="49">
        <f>(100*('GA Arroyo'!AX553-E553))/E553</f>
        <v>0</v>
      </c>
    </row>
    <row r="554" spans="2:23" ht="15" customHeight="1">
      <c r="B554">
        <f>MIN('GA Arroyo'!B554,'GA Arroyo'!E554,'GA Arroyo'!H554,'GA Arroyo'!K554)</f>
        <v>51030.7</v>
      </c>
      <c r="C554">
        <f>MIN('GA Arroyo'!O554, 'GA Arroyo'!R554, 'GA Arroyo'!U554, 'GA Arroyo'!X554)</f>
        <v>49811.9</v>
      </c>
      <c r="D554">
        <f>MIN('GA Arroyo'!AB554, 'GA Arroyo'!AE554, 'GA Arroyo'!AH554, 'GA Arroyo'!AK554)</f>
        <v>46695.5</v>
      </c>
      <c r="E554">
        <f>MIN('GA Arroyo'!AO554, 'GA Arroyo'!AR554, 'GA Arroyo'!AU554, 'GA Arroyo'!AX554)</f>
        <v>46256.800000000003</v>
      </c>
      <c r="G554" s="45">
        <f t="shared" si="44"/>
        <v>46256.800000000003</v>
      </c>
      <c r="I554" s="49">
        <f t="shared" si="45"/>
        <v>10.32042856401652</v>
      </c>
      <c r="J554" s="49">
        <f t="shared" si="46"/>
        <v>7.6855727157952964</v>
      </c>
      <c r="K554" s="49">
        <f t="shared" si="47"/>
        <v>0.94840109994637989</v>
      </c>
      <c r="L554" s="49">
        <f t="shared" si="48"/>
        <v>0</v>
      </c>
      <c r="T554" s="49">
        <f>(100*('GA Arroyo'!AO554-E554))/E554</f>
        <v>9.0030006399059168</v>
      </c>
      <c r="U554" s="49">
        <f>(100*('GA Arroyo'!AR554-E554))/E554</f>
        <v>0</v>
      </c>
      <c r="V554" s="49">
        <f>(100*('GA Arroyo'!AU554-E554))/E554</f>
        <v>0.27433804327146316</v>
      </c>
      <c r="W554" s="49">
        <f>(100*('GA Arroyo'!AX554-E554))/E554</f>
        <v>6.2548641497033843</v>
      </c>
    </row>
    <row r="555" spans="2:23" ht="15" customHeight="1">
      <c r="B555">
        <f>MIN('GA Arroyo'!B555,'GA Arroyo'!E555,'GA Arroyo'!H555,'GA Arroyo'!K555)</f>
        <v>53704.3</v>
      </c>
      <c r="C555">
        <f>MIN('GA Arroyo'!O555, 'GA Arroyo'!R555, 'GA Arroyo'!U555, 'GA Arroyo'!X555)</f>
        <v>58151.7</v>
      </c>
      <c r="D555">
        <f>MIN('GA Arroyo'!AB555, 'GA Arroyo'!AE555, 'GA Arroyo'!AH555, 'GA Arroyo'!AK555)</f>
        <v>52662.3</v>
      </c>
      <c r="E555">
        <f>MIN('GA Arroyo'!AO555, 'GA Arroyo'!AR555, 'GA Arroyo'!AU555, 'GA Arroyo'!AX555)</f>
        <v>55101.1</v>
      </c>
      <c r="G555" s="45">
        <f t="shared" si="44"/>
        <v>52662.3</v>
      </c>
      <c r="I555" s="49">
        <f t="shared" si="45"/>
        <v>1.978645064875632</v>
      </c>
      <c r="J555" s="49">
        <f t="shared" si="46"/>
        <v>10.423775642157661</v>
      </c>
      <c r="K555" s="49">
        <f t="shared" si="47"/>
        <v>0</v>
      </c>
      <c r="L555" s="49">
        <f t="shared" si="48"/>
        <v>4.6310168754497916</v>
      </c>
      <c r="T555" s="49">
        <f>(100*('GA Arroyo'!AO555-E555))/E555</f>
        <v>9.56641518953343</v>
      </c>
      <c r="U555" s="49">
        <f>(100*('GA Arroyo'!AR555-E555))/E555</f>
        <v>16.423447081818694</v>
      </c>
      <c r="V555" s="49">
        <f>(100*('GA Arroyo'!AU555-E555))/E555</f>
        <v>5.6960750329848207</v>
      </c>
      <c r="W555" s="49">
        <f>(100*('GA Arroyo'!AX555-E555))/E555</f>
        <v>0</v>
      </c>
    </row>
    <row r="556" spans="2:23" ht="15" customHeight="1">
      <c r="B556">
        <f>MIN('GA Arroyo'!B556,'GA Arroyo'!E556,'GA Arroyo'!H556,'GA Arroyo'!K556)</f>
        <v>58969.3</v>
      </c>
      <c r="C556">
        <f>MIN('GA Arroyo'!O556, 'GA Arroyo'!R556, 'GA Arroyo'!U556, 'GA Arroyo'!X556)</f>
        <v>60746.7</v>
      </c>
      <c r="D556">
        <f>MIN('GA Arroyo'!AB556, 'GA Arroyo'!AE556, 'GA Arroyo'!AH556, 'GA Arroyo'!AK556)</f>
        <v>61026.3</v>
      </c>
      <c r="E556">
        <f>MIN('GA Arroyo'!AO556, 'GA Arroyo'!AR556, 'GA Arroyo'!AU556, 'GA Arroyo'!AX556)</f>
        <v>62614.6</v>
      </c>
      <c r="G556" s="45">
        <f t="shared" si="44"/>
        <v>58969.3</v>
      </c>
      <c r="I556" s="49">
        <f t="shared" si="45"/>
        <v>0</v>
      </c>
      <c r="J556" s="49">
        <f t="shared" si="46"/>
        <v>3.0141107321945388</v>
      </c>
      <c r="K556" s="49">
        <f t="shared" si="47"/>
        <v>3.4882557534174561</v>
      </c>
      <c r="L556" s="49">
        <f t="shared" si="48"/>
        <v>6.1816911511583061</v>
      </c>
      <c r="T556" s="49">
        <f>(100*('GA Arroyo'!AO556-E556))/E556</f>
        <v>0</v>
      </c>
      <c r="U556" s="49">
        <f>(100*('GA Arroyo'!AR556-E556))/E556</f>
        <v>10.416260744299251</v>
      </c>
      <c r="V556" s="49">
        <f>(100*('GA Arroyo'!AU556-E556))/E556</f>
        <v>0.61742788423147088</v>
      </c>
      <c r="W556" s="49">
        <f>(100*('GA Arroyo'!AX556-E556))/E556</f>
        <v>3.4773040153574453</v>
      </c>
    </row>
    <row r="557" spans="2:23" ht="15" customHeight="1">
      <c r="B557">
        <f>MIN('GA Arroyo'!B557,'GA Arroyo'!E557,'GA Arroyo'!H557,'GA Arroyo'!K557)</f>
        <v>66906.7</v>
      </c>
      <c r="C557">
        <f>MIN('GA Arroyo'!O557, 'GA Arroyo'!R557, 'GA Arroyo'!U557, 'GA Arroyo'!X557)</f>
        <v>67689.8</v>
      </c>
      <c r="D557">
        <f>MIN('GA Arroyo'!AB557, 'GA Arroyo'!AE557, 'GA Arroyo'!AH557, 'GA Arroyo'!AK557)</f>
        <v>67725.600000000006</v>
      </c>
      <c r="E557">
        <f>MIN('GA Arroyo'!AO557, 'GA Arroyo'!AR557, 'GA Arroyo'!AU557, 'GA Arroyo'!AX557)</f>
        <v>67126.8</v>
      </c>
      <c r="G557" s="45">
        <f t="shared" si="44"/>
        <v>66906.7</v>
      </c>
      <c r="I557" s="49">
        <f t="shared" si="45"/>
        <v>0</v>
      </c>
      <c r="J557" s="49">
        <f t="shared" si="46"/>
        <v>1.1704358457374311</v>
      </c>
      <c r="K557" s="49">
        <f t="shared" si="47"/>
        <v>1.2239431925352899</v>
      </c>
      <c r="L557" s="49">
        <f t="shared" si="48"/>
        <v>0.32896555950301815</v>
      </c>
      <c r="T557" s="49">
        <f>(100*('GA Arroyo'!AO557-E557))/E557</f>
        <v>6.8188860484933036</v>
      </c>
      <c r="U557" s="49">
        <f>(100*('GA Arroyo'!AR557-E557))/E557</f>
        <v>9.7578016529910414</v>
      </c>
      <c r="V557" s="49">
        <f>(100*('GA Arroyo'!AU557-E557))/E557</f>
        <v>7.9531573082583966</v>
      </c>
      <c r="W557" s="49">
        <f>(100*('GA Arroyo'!AX557-E557))/E557</f>
        <v>0</v>
      </c>
    </row>
    <row r="558" spans="2:23" ht="15" customHeight="1">
      <c r="B558">
        <f>MIN('GA Arroyo'!B558,'GA Arroyo'!E558,'GA Arroyo'!H558,'GA Arroyo'!K558)</f>
        <v>45278.400000000001</v>
      </c>
      <c r="C558">
        <f>MIN('GA Arroyo'!O558, 'GA Arroyo'!R558, 'GA Arroyo'!U558, 'GA Arroyo'!X558)</f>
        <v>44134.3</v>
      </c>
      <c r="D558">
        <f>MIN('GA Arroyo'!AB558, 'GA Arroyo'!AE558, 'GA Arroyo'!AH558, 'GA Arroyo'!AK558)</f>
        <v>44217.2</v>
      </c>
      <c r="E558">
        <f>MIN('GA Arroyo'!AO558, 'GA Arroyo'!AR558, 'GA Arroyo'!AU558, 'GA Arroyo'!AX558)</f>
        <v>41754.5</v>
      </c>
      <c r="G558" s="45">
        <f t="shared" si="44"/>
        <v>41754.5</v>
      </c>
      <c r="I558" s="49">
        <f t="shared" si="45"/>
        <v>8.4395693877306659</v>
      </c>
      <c r="J558" s="49">
        <f t="shared" si="46"/>
        <v>5.6995054425271601</v>
      </c>
      <c r="K558" s="49">
        <f t="shared" si="47"/>
        <v>5.8980469170987488</v>
      </c>
      <c r="L558" s="49">
        <f t="shared" si="48"/>
        <v>0</v>
      </c>
      <c r="T558" s="49">
        <f>(100*('GA Arroyo'!AO558-E558))/E558</f>
        <v>0</v>
      </c>
      <c r="U558" s="49">
        <f>(100*('GA Arroyo'!AR558-E558))/E558</f>
        <v>2.6346860817396891</v>
      </c>
      <c r="V558" s="49">
        <f>(100*('GA Arroyo'!AU558-E558))/E558</f>
        <v>19.984193320480433</v>
      </c>
      <c r="W558" s="49">
        <f>(100*('GA Arroyo'!AX558-E558))/E558</f>
        <v>0.22464644529332864</v>
      </c>
    </row>
    <row r="559" spans="2:23" ht="15" customHeight="1">
      <c r="B559">
        <f>MIN('GA Arroyo'!B559,'GA Arroyo'!E559,'GA Arroyo'!H559,'GA Arroyo'!K559)</f>
        <v>64232.5</v>
      </c>
      <c r="C559">
        <f>MIN('GA Arroyo'!O559, 'GA Arroyo'!R559, 'GA Arroyo'!U559, 'GA Arroyo'!X559)</f>
        <v>63968.1</v>
      </c>
      <c r="D559">
        <f>MIN('GA Arroyo'!AB559, 'GA Arroyo'!AE559, 'GA Arroyo'!AH559, 'GA Arroyo'!AK559)</f>
        <v>62461.2</v>
      </c>
      <c r="E559">
        <f>MIN('GA Arroyo'!AO559, 'GA Arroyo'!AR559, 'GA Arroyo'!AU559, 'GA Arroyo'!AX559)</f>
        <v>62053.3</v>
      </c>
      <c r="G559" s="45">
        <f t="shared" si="44"/>
        <v>62053.3</v>
      </c>
      <c r="I559" s="49">
        <f t="shared" si="45"/>
        <v>3.5118196775997359</v>
      </c>
      <c r="J559" s="49">
        <f t="shared" si="46"/>
        <v>3.0857343606222321</v>
      </c>
      <c r="K559" s="49">
        <f t="shared" si="47"/>
        <v>0.65733812706172623</v>
      </c>
      <c r="L559" s="49">
        <f t="shared" si="48"/>
        <v>0</v>
      </c>
      <c r="T559" s="49">
        <f>(100*('GA Arroyo'!AO559-E559))/E559</f>
        <v>13.312426575218405</v>
      </c>
      <c r="U559" s="49">
        <f>(100*('GA Arroyo'!AR559-E559))/E559</f>
        <v>0</v>
      </c>
      <c r="V559" s="49">
        <f>(100*('GA Arroyo'!AU559-E559))/E559</f>
        <v>8.6562680792157707</v>
      </c>
      <c r="W559" s="49">
        <f>(100*('GA Arroyo'!AX559-E559))/E559</f>
        <v>2.5681148303152264</v>
      </c>
    </row>
    <row r="560" spans="2:23" ht="15" customHeight="1">
      <c r="B560">
        <f>MIN('GA Arroyo'!B560,'GA Arroyo'!E560,'GA Arroyo'!H560,'GA Arroyo'!K560)</f>
        <v>55065.3</v>
      </c>
      <c r="C560">
        <f>MIN('GA Arroyo'!O560, 'GA Arroyo'!R560, 'GA Arroyo'!U560, 'GA Arroyo'!X560)</f>
        <v>58823</v>
      </c>
      <c r="D560">
        <f>MIN('GA Arroyo'!AB560, 'GA Arroyo'!AE560, 'GA Arroyo'!AH560, 'GA Arroyo'!AK560)</f>
        <v>55700.7</v>
      </c>
      <c r="E560">
        <f>MIN('GA Arroyo'!AO560, 'GA Arroyo'!AR560, 'GA Arroyo'!AU560, 'GA Arroyo'!AX560)</f>
        <v>55706.1</v>
      </c>
      <c r="G560" s="45">
        <f t="shared" si="44"/>
        <v>55065.3</v>
      </c>
      <c r="I560" s="49">
        <f t="shared" si="45"/>
        <v>0</v>
      </c>
      <c r="J560" s="49">
        <f t="shared" si="46"/>
        <v>6.824079774376961</v>
      </c>
      <c r="K560" s="49">
        <f t="shared" si="47"/>
        <v>1.1539027300314249</v>
      </c>
      <c r="L560" s="49">
        <f t="shared" si="48"/>
        <v>1.1637092688135642</v>
      </c>
      <c r="T560" s="49">
        <f>(100*('GA Arroyo'!AO560-E560))/E560</f>
        <v>0</v>
      </c>
      <c r="U560" s="49">
        <f>(100*('GA Arroyo'!AR560-E560))/E560</f>
        <v>3.3746753048588962</v>
      </c>
      <c r="V560" s="49">
        <f>(100*('GA Arroyo'!AU560-E560))/E560</f>
        <v>26.740518542852573</v>
      </c>
      <c r="W560" s="49">
        <f>(100*('GA Arroyo'!AX560-E560))/E560</f>
        <v>10.037679895020471</v>
      </c>
    </row>
    <row r="561" spans="2:23" ht="15" customHeight="1">
      <c r="B561">
        <f>MIN('GA Arroyo'!B561,'GA Arroyo'!E561,'GA Arroyo'!H561,'GA Arroyo'!K561)</f>
        <v>56329.1</v>
      </c>
      <c r="C561">
        <f>MIN('GA Arroyo'!O561, 'GA Arroyo'!R561, 'GA Arroyo'!U561, 'GA Arroyo'!X561)</f>
        <v>61169.4</v>
      </c>
      <c r="D561">
        <f>MIN('GA Arroyo'!AB561, 'GA Arroyo'!AE561, 'GA Arroyo'!AH561, 'GA Arroyo'!AK561)</f>
        <v>55757.9</v>
      </c>
      <c r="E561">
        <f>MIN('GA Arroyo'!AO561, 'GA Arroyo'!AR561, 'GA Arroyo'!AU561, 'GA Arroyo'!AX561)</f>
        <v>55590.3</v>
      </c>
      <c r="G561" s="45">
        <f t="shared" si="44"/>
        <v>55590.3</v>
      </c>
      <c r="I561" s="49">
        <f t="shared" si="45"/>
        <v>1.3290088378727865</v>
      </c>
      <c r="J561" s="49">
        <f t="shared" si="46"/>
        <v>10.036103420920554</v>
      </c>
      <c r="K561" s="49">
        <f t="shared" si="47"/>
        <v>0.30149144724888793</v>
      </c>
      <c r="L561" s="49">
        <f t="shared" si="48"/>
        <v>0</v>
      </c>
      <c r="T561" s="49">
        <f>(100*('GA Arroyo'!AO561-E561))/E561</f>
        <v>33.53462744399652</v>
      </c>
      <c r="U561" s="49">
        <f>(100*('GA Arroyo'!AR561-E561))/E561</f>
        <v>0</v>
      </c>
      <c r="V561" s="49">
        <f>(100*('GA Arroyo'!AU561-E561))/E561</f>
        <v>39.488184089670298</v>
      </c>
      <c r="W561" s="49">
        <f>(100*('GA Arroyo'!AX561-E561))/E561</f>
        <v>16.627900910770403</v>
      </c>
    </row>
    <row r="562" spans="2:23" ht="15" customHeight="1">
      <c r="B562">
        <f>MIN('GA Arroyo'!B562,'GA Arroyo'!E562,'GA Arroyo'!H562,'GA Arroyo'!K562)</f>
        <v>59091.4</v>
      </c>
      <c r="C562">
        <f>MIN('GA Arroyo'!O562, 'GA Arroyo'!R562, 'GA Arroyo'!U562, 'GA Arroyo'!X562)</f>
        <v>62754.5</v>
      </c>
      <c r="D562">
        <f>MIN('GA Arroyo'!AB562, 'GA Arroyo'!AE562, 'GA Arroyo'!AH562, 'GA Arroyo'!AK562)</f>
        <v>58534.6</v>
      </c>
      <c r="E562">
        <f>MIN('GA Arroyo'!AO562, 'GA Arroyo'!AR562, 'GA Arroyo'!AU562, 'GA Arroyo'!AX562)</f>
        <v>57742.9</v>
      </c>
      <c r="G562" s="45">
        <f t="shared" si="44"/>
        <v>57742.9</v>
      </c>
      <c r="I562" s="49">
        <f t="shared" si="45"/>
        <v>2.335352051940585</v>
      </c>
      <c r="J562" s="49">
        <f t="shared" si="46"/>
        <v>8.6791622866187854</v>
      </c>
      <c r="K562" s="49">
        <f t="shared" si="47"/>
        <v>1.3710776563005964</v>
      </c>
      <c r="L562" s="49">
        <f t="shared" si="48"/>
        <v>0</v>
      </c>
      <c r="T562" s="49">
        <f>(100*('GA Arroyo'!AO562-E562))/E562</f>
        <v>0</v>
      </c>
      <c r="U562" s="49">
        <f>(100*('GA Arroyo'!AR562-E562))/E562</f>
        <v>4.0394576649250382</v>
      </c>
      <c r="V562" s="49">
        <f>(100*('GA Arroyo'!AU562-E562))/E562</f>
        <v>3.412021218193054</v>
      </c>
      <c r="W562" s="49">
        <f>(100*('GA Arroyo'!AX562-E562))/E562</f>
        <v>3.639235299924322</v>
      </c>
    </row>
    <row r="563" spans="2:23" ht="15" customHeight="1">
      <c r="B563">
        <f>MIN('GA Arroyo'!B563,'GA Arroyo'!E563,'GA Arroyo'!H563,'GA Arroyo'!K563)</f>
        <v>61200.4</v>
      </c>
      <c r="C563">
        <f>MIN('GA Arroyo'!O563, 'GA Arroyo'!R563, 'GA Arroyo'!U563, 'GA Arroyo'!X563)</f>
        <v>60692.6</v>
      </c>
      <c r="D563">
        <f>MIN('GA Arroyo'!AB563, 'GA Arroyo'!AE563, 'GA Arroyo'!AH563, 'GA Arroyo'!AK563)</f>
        <v>56272.6</v>
      </c>
      <c r="E563">
        <f>MIN('GA Arroyo'!AO563, 'GA Arroyo'!AR563, 'GA Arroyo'!AU563, 'GA Arroyo'!AX563)</f>
        <v>57608.4</v>
      </c>
      <c r="G563" s="45">
        <f t="shared" si="44"/>
        <v>56272.6</v>
      </c>
      <c r="I563" s="49">
        <f t="shared" si="45"/>
        <v>8.7570149593230155</v>
      </c>
      <c r="J563" s="49">
        <f t="shared" si="46"/>
        <v>7.8546219652193079</v>
      </c>
      <c r="K563" s="49">
        <f t="shared" si="47"/>
        <v>0</v>
      </c>
      <c r="L563" s="49">
        <f t="shared" si="48"/>
        <v>2.3738018147375506</v>
      </c>
      <c r="T563" s="49">
        <f>(100*('GA Arroyo'!AO563-E563))/E563</f>
        <v>9.258372042965954</v>
      </c>
      <c r="U563" s="49">
        <f>(100*('GA Arroyo'!AR563-E563))/E563</f>
        <v>11.605078426062866</v>
      </c>
      <c r="V563" s="49">
        <f>(100*('GA Arroyo'!AU563-E563))/E563</f>
        <v>0</v>
      </c>
      <c r="W563" s="49">
        <f>(100*('GA Arroyo'!AX563-E563))/E563</f>
        <v>20.163378951680649</v>
      </c>
    </row>
    <row r="564" spans="2:23" ht="15" customHeight="1">
      <c r="B564">
        <f>MIN('GA Arroyo'!B564,'GA Arroyo'!E564,'GA Arroyo'!H564,'GA Arroyo'!K564)</f>
        <v>54000.1</v>
      </c>
      <c r="C564">
        <f>MIN('GA Arroyo'!O564, 'GA Arroyo'!R564, 'GA Arroyo'!U564, 'GA Arroyo'!X564)</f>
        <v>54654.8</v>
      </c>
      <c r="D564">
        <f>MIN('GA Arroyo'!AB564, 'GA Arroyo'!AE564, 'GA Arroyo'!AH564, 'GA Arroyo'!AK564)</f>
        <v>54063.1</v>
      </c>
      <c r="E564">
        <f>MIN('GA Arroyo'!AO564, 'GA Arroyo'!AR564, 'GA Arroyo'!AU564, 'GA Arroyo'!AX564)</f>
        <v>48941</v>
      </c>
      <c r="G564" s="45">
        <f t="shared" si="44"/>
        <v>48941</v>
      </c>
      <c r="I564" s="49">
        <f t="shared" si="45"/>
        <v>10.337140638728263</v>
      </c>
      <c r="J564" s="49">
        <f t="shared" si="46"/>
        <v>11.674873827670057</v>
      </c>
      <c r="K564" s="49">
        <f t="shared" si="47"/>
        <v>10.46586706442451</v>
      </c>
      <c r="L564" s="49">
        <f t="shared" si="48"/>
        <v>0</v>
      </c>
      <c r="T564" s="49">
        <f>(100*('GA Arroyo'!AO564-E564))/E564</f>
        <v>18.284873623342396</v>
      </c>
      <c r="U564" s="49">
        <f>(100*('GA Arroyo'!AR564-E564))/E564</f>
        <v>8.9828569093398229</v>
      </c>
      <c r="V564" s="49">
        <f>(100*('GA Arroyo'!AU564-E564))/E564</f>
        <v>3.4476206044012239</v>
      </c>
      <c r="W564" s="49">
        <f>(100*('GA Arroyo'!AX564-E564))/E564</f>
        <v>0</v>
      </c>
    </row>
    <row r="565" spans="2:23" ht="15" customHeight="1">
      <c r="B565">
        <f>MIN('GA Arroyo'!B565,'GA Arroyo'!E565,'GA Arroyo'!H565,'GA Arroyo'!K565)</f>
        <v>64526.7</v>
      </c>
      <c r="C565">
        <f>MIN('GA Arroyo'!O565, 'GA Arroyo'!R565, 'GA Arroyo'!U565, 'GA Arroyo'!X565)</f>
        <v>68703.600000000006</v>
      </c>
      <c r="D565">
        <f>MIN('GA Arroyo'!AB565, 'GA Arroyo'!AE565, 'GA Arroyo'!AH565, 'GA Arroyo'!AK565)</f>
        <v>64024.6</v>
      </c>
      <c r="E565">
        <f>MIN('GA Arroyo'!AO565, 'GA Arroyo'!AR565, 'GA Arroyo'!AU565, 'GA Arroyo'!AX565)</f>
        <v>64724.800000000003</v>
      </c>
      <c r="G565" s="45">
        <f t="shared" si="44"/>
        <v>64024.6</v>
      </c>
      <c r="I565" s="49">
        <f t="shared" si="45"/>
        <v>0.78422981166613859</v>
      </c>
      <c r="J565" s="49">
        <f t="shared" si="46"/>
        <v>7.3081284381316038</v>
      </c>
      <c r="K565" s="49">
        <f t="shared" si="47"/>
        <v>0</v>
      </c>
      <c r="L565" s="49">
        <f t="shared" si="48"/>
        <v>1.0936421313057862</v>
      </c>
      <c r="T565" s="49">
        <f>(100*('GA Arroyo'!AO565-E565))/E565</f>
        <v>30.871319803228431</v>
      </c>
      <c r="U565" s="49">
        <f>(100*('GA Arroyo'!AR565-E565))/E565</f>
        <v>102.24550713173312</v>
      </c>
      <c r="V565" s="49">
        <f>(100*('GA Arroyo'!AU565-E565))/E565</f>
        <v>60.579870466961651</v>
      </c>
      <c r="W565" s="49">
        <f>(100*('GA Arroyo'!AX565-E565))/E565</f>
        <v>0</v>
      </c>
    </row>
    <row r="566" spans="2:23" ht="15" customHeight="1">
      <c r="B566">
        <f>MIN('GA Arroyo'!B566,'GA Arroyo'!E566,'GA Arroyo'!H566,'GA Arroyo'!K566)</f>
        <v>67862.3</v>
      </c>
      <c r="C566">
        <f>MIN('GA Arroyo'!O566, 'GA Arroyo'!R566, 'GA Arroyo'!U566, 'GA Arroyo'!X566)</f>
        <v>64629.2</v>
      </c>
      <c r="D566">
        <f>MIN('GA Arroyo'!AB566, 'GA Arroyo'!AE566, 'GA Arroyo'!AH566, 'GA Arroyo'!AK566)</f>
        <v>62598.1</v>
      </c>
      <c r="E566">
        <f>MIN('GA Arroyo'!AO566, 'GA Arroyo'!AR566, 'GA Arroyo'!AU566, 'GA Arroyo'!AX566)</f>
        <v>62143.3</v>
      </c>
      <c r="G566" s="45">
        <f t="shared" si="44"/>
        <v>62143.3</v>
      </c>
      <c r="I566" s="49">
        <f t="shared" si="45"/>
        <v>9.2029229216987183</v>
      </c>
      <c r="J566" s="49">
        <f t="shared" si="46"/>
        <v>4.0002703429009951</v>
      </c>
      <c r="K566" s="49">
        <f t="shared" si="47"/>
        <v>0.73185685343391105</v>
      </c>
      <c r="L566" s="49">
        <f t="shared" si="48"/>
        <v>0</v>
      </c>
      <c r="T566" s="49">
        <f>(100*('GA Arroyo'!AO566-E566))/E566</f>
        <v>7.1190297264548228</v>
      </c>
      <c r="U566" s="49">
        <f>(100*('GA Arroyo'!AR566-E566))/E566</f>
        <v>33.650771684155806</v>
      </c>
      <c r="V566" s="49">
        <f>(100*('GA Arroyo'!AU566-E566))/E566</f>
        <v>9.0833605553615548</v>
      </c>
      <c r="W566" s="49">
        <f>(100*('GA Arroyo'!AX566-E566))/E566</f>
        <v>0</v>
      </c>
    </row>
    <row r="567" spans="2:23" ht="15" customHeight="1">
      <c r="B567">
        <f>MIN('GA Arroyo'!B567,'GA Arroyo'!E567,'GA Arroyo'!H567,'GA Arroyo'!K567)</f>
        <v>53333.5</v>
      </c>
      <c r="C567">
        <f>MIN('GA Arroyo'!O567, 'GA Arroyo'!R567, 'GA Arroyo'!U567, 'GA Arroyo'!X567)</f>
        <v>56667.1</v>
      </c>
      <c r="D567">
        <f>MIN('GA Arroyo'!AB567, 'GA Arroyo'!AE567, 'GA Arroyo'!AH567, 'GA Arroyo'!AK567)</f>
        <v>52193.4</v>
      </c>
      <c r="E567">
        <f>MIN('GA Arroyo'!AO567, 'GA Arroyo'!AR567, 'GA Arroyo'!AU567, 'GA Arroyo'!AX567)</f>
        <v>52640.5</v>
      </c>
      <c r="G567" s="45">
        <f t="shared" si="44"/>
        <v>52193.4</v>
      </c>
      <c r="I567" s="49">
        <f t="shared" si="45"/>
        <v>2.184375802304503</v>
      </c>
      <c r="J567" s="49">
        <f t="shared" si="46"/>
        <v>8.5713902524073866</v>
      </c>
      <c r="K567" s="49">
        <f t="shared" si="47"/>
        <v>0</v>
      </c>
      <c r="L567" s="49">
        <f t="shared" si="48"/>
        <v>0.85662171845482094</v>
      </c>
      <c r="T567" s="49">
        <f>(100*('GA Arroyo'!AO567-E567))/E567</f>
        <v>5.3705796867430946</v>
      </c>
      <c r="U567" s="49">
        <f>(100*('GA Arroyo'!AR567-E567))/E567</f>
        <v>21.328254860801099</v>
      </c>
      <c r="V567" s="49">
        <f>(100*('GA Arroyo'!AU567-E567))/E567</f>
        <v>3.8561563814933395</v>
      </c>
      <c r="W567" s="49">
        <f>(100*('GA Arroyo'!AX567-E567))/E567</f>
        <v>0</v>
      </c>
    </row>
    <row r="568" spans="2:23" ht="15" customHeight="1">
      <c r="B568">
        <f>MIN('GA Arroyo'!B568,'GA Arroyo'!E568,'GA Arroyo'!H568,'GA Arroyo'!K568)</f>
        <v>37852.9</v>
      </c>
      <c r="C568">
        <f>MIN('GA Arroyo'!O568, 'GA Arroyo'!R568, 'GA Arroyo'!U568, 'GA Arroyo'!X568)</f>
        <v>36625.599999999999</v>
      </c>
      <c r="D568">
        <f>MIN('GA Arroyo'!AB568, 'GA Arroyo'!AE568, 'GA Arroyo'!AH568, 'GA Arroyo'!AK568)</f>
        <v>35780</v>
      </c>
      <c r="E568">
        <f>MIN('GA Arroyo'!AO568, 'GA Arroyo'!AR568, 'GA Arroyo'!AU568, 'GA Arroyo'!AX568)</f>
        <v>34781.199999999997</v>
      </c>
      <c r="G568" s="45">
        <f t="shared" si="44"/>
        <v>34781.199999999997</v>
      </c>
      <c r="I568" s="49">
        <f t="shared" si="45"/>
        <v>8.8314951755546236</v>
      </c>
      <c r="J568" s="49">
        <f t="shared" si="46"/>
        <v>5.3028647660230286</v>
      </c>
      <c r="K568" s="49">
        <f t="shared" si="47"/>
        <v>2.8716663024852593</v>
      </c>
      <c r="L568" s="49">
        <f t="shared" si="48"/>
        <v>0</v>
      </c>
      <c r="T568" s="49">
        <f>(100*('GA Arroyo'!AO568-E568))/E568</f>
        <v>5.7775464906328713</v>
      </c>
      <c r="U568" s="49">
        <f>(100*('GA Arroyo'!AR568-E568))/E568</f>
        <v>15.640345934010332</v>
      </c>
      <c r="V568" s="49">
        <f>(100*('GA Arroyo'!AU568-E568))/E568</f>
        <v>9.3760422297103201</v>
      </c>
      <c r="W568" s="49">
        <f>(100*('GA Arroyo'!AX568-E568))/E568</f>
        <v>0</v>
      </c>
    </row>
    <row r="569" spans="2:23" ht="15" customHeight="1">
      <c r="B569">
        <f>MIN('GA Arroyo'!B569,'GA Arroyo'!E569,'GA Arroyo'!H569,'GA Arroyo'!K569)</f>
        <v>50621</v>
      </c>
      <c r="C569">
        <f>MIN('GA Arroyo'!O569, 'GA Arroyo'!R569, 'GA Arroyo'!U569, 'GA Arroyo'!X569)</f>
        <v>50945</v>
      </c>
      <c r="D569">
        <f>MIN('GA Arroyo'!AB569, 'GA Arroyo'!AE569, 'GA Arroyo'!AH569, 'GA Arroyo'!AK569)</f>
        <v>50187.5</v>
      </c>
      <c r="E569">
        <f>MIN('GA Arroyo'!AO569, 'GA Arroyo'!AR569, 'GA Arroyo'!AU569, 'GA Arroyo'!AX569)</f>
        <v>52752.3</v>
      </c>
      <c r="G569" s="45">
        <f t="shared" si="44"/>
        <v>50187.5</v>
      </c>
      <c r="I569" s="49">
        <f t="shared" si="45"/>
        <v>0.86376089663760902</v>
      </c>
      <c r="J569" s="49">
        <f t="shared" si="46"/>
        <v>1.5093399750933998</v>
      </c>
      <c r="K569" s="49">
        <f t="shared" si="47"/>
        <v>0</v>
      </c>
      <c r="L569" s="49">
        <f t="shared" si="48"/>
        <v>5.110435865504364</v>
      </c>
      <c r="T569" s="49">
        <f>(100*('GA Arroyo'!AO569-E569))/E569</f>
        <v>18.286596034675263</v>
      </c>
      <c r="U569" s="49">
        <f>(100*('GA Arroyo'!AR569-E569))/E569</f>
        <v>46.095620475315769</v>
      </c>
      <c r="V569" s="49">
        <f>(100*('GA Arroyo'!AU569-E569))/E569</f>
        <v>0</v>
      </c>
      <c r="W569" s="49">
        <f>(100*('GA Arroyo'!AX569-E569))/E569</f>
        <v>0.33534082874110543</v>
      </c>
    </row>
    <row r="570" spans="2:23" ht="15" customHeight="1">
      <c r="B570">
        <f>MIN('GA Arroyo'!B570,'GA Arroyo'!E570,'GA Arroyo'!H570,'GA Arroyo'!K570)</f>
        <v>61182.2</v>
      </c>
      <c r="C570">
        <f>MIN('GA Arroyo'!O570, 'GA Arroyo'!R570, 'GA Arroyo'!U570, 'GA Arroyo'!X570)</f>
        <v>61854.400000000001</v>
      </c>
      <c r="D570">
        <f>MIN('GA Arroyo'!AB570, 'GA Arroyo'!AE570, 'GA Arroyo'!AH570, 'GA Arroyo'!AK570)</f>
        <v>58230.9</v>
      </c>
      <c r="E570">
        <f>MIN('GA Arroyo'!AO570, 'GA Arroyo'!AR570, 'GA Arroyo'!AU570, 'GA Arroyo'!AX570)</f>
        <v>57867.7</v>
      </c>
      <c r="G570" s="45">
        <f t="shared" si="44"/>
        <v>57867.7</v>
      </c>
      <c r="I570" s="49">
        <f t="shared" si="45"/>
        <v>5.7277202999255197</v>
      </c>
      <c r="J570" s="49">
        <f t="shared" si="46"/>
        <v>6.8893355014973894</v>
      </c>
      <c r="K570" s="49">
        <f t="shared" si="47"/>
        <v>0.62763856175380117</v>
      </c>
      <c r="L570" s="49">
        <f t="shared" si="48"/>
        <v>0</v>
      </c>
      <c r="T570" s="49">
        <f>(100*('GA Arroyo'!AO570-E570))/E570</f>
        <v>8.3493900742555969</v>
      </c>
      <c r="U570" s="49">
        <f>(100*('GA Arroyo'!AR570-E570))/E570</f>
        <v>4.3030913618478115</v>
      </c>
      <c r="V570" s="49">
        <f>(100*('GA Arroyo'!AU570-E570))/E570</f>
        <v>0</v>
      </c>
      <c r="W570" s="49">
        <f>(100*('GA Arroyo'!AX570-E570))/E570</f>
        <v>0.48386232734323292</v>
      </c>
    </row>
    <row r="571" spans="2:23" ht="15" customHeight="1">
      <c r="B571">
        <f>MIN('GA Arroyo'!B571,'GA Arroyo'!E571,'GA Arroyo'!H571,'GA Arroyo'!K571)</f>
        <v>52571.5</v>
      </c>
      <c r="C571">
        <f>MIN('GA Arroyo'!O571, 'GA Arroyo'!R571, 'GA Arroyo'!U571, 'GA Arroyo'!X571)</f>
        <v>57332.3</v>
      </c>
      <c r="D571">
        <f>MIN('GA Arroyo'!AB571, 'GA Arroyo'!AE571, 'GA Arroyo'!AH571, 'GA Arroyo'!AK571)</f>
        <v>51247.3</v>
      </c>
      <c r="E571">
        <f>MIN('GA Arroyo'!AO571, 'GA Arroyo'!AR571, 'GA Arroyo'!AU571, 'GA Arroyo'!AX571)</f>
        <v>51091.6</v>
      </c>
      <c r="G571" s="45">
        <f t="shared" si="44"/>
        <v>51091.6</v>
      </c>
      <c r="I571" s="49">
        <f t="shared" si="45"/>
        <v>2.8965622528948036</v>
      </c>
      <c r="J571" s="49">
        <f t="shared" si="46"/>
        <v>12.214728057058313</v>
      </c>
      <c r="K571" s="49">
        <f t="shared" si="47"/>
        <v>0.30474676854904598</v>
      </c>
      <c r="L571" s="49">
        <f t="shared" si="48"/>
        <v>0</v>
      </c>
      <c r="T571" s="49">
        <f>(100*('GA Arroyo'!AO571-E571))/E571</f>
        <v>4.738352292744799</v>
      </c>
      <c r="U571" s="49">
        <f>(100*('GA Arroyo'!AR571-E571))/E571</f>
        <v>6.6674365257694026</v>
      </c>
      <c r="V571" s="49">
        <f>(100*('GA Arroyo'!AU571-E571))/E571</f>
        <v>0</v>
      </c>
      <c r="W571" s="49">
        <f>(100*('GA Arroyo'!AX571-E571))/E571</f>
        <v>0.51848053300347119</v>
      </c>
    </row>
    <row r="572" spans="2:23" ht="15" customHeight="1">
      <c r="B572">
        <f>MIN('GA Arroyo'!B572,'GA Arroyo'!E572,'GA Arroyo'!H572,'GA Arroyo'!K572)</f>
        <v>49408.9</v>
      </c>
      <c r="C572">
        <f>MIN('GA Arroyo'!O572, 'GA Arroyo'!R572, 'GA Arroyo'!U572, 'GA Arroyo'!X572)</f>
        <v>56006.7</v>
      </c>
      <c r="D572">
        <f>MIN('GA Arroyo'!AB572, 'GA Arroyo'!AE572, 'GA Arroyo'!AH572, 'GA Arroyo'!AK572)</f>
        <v>54796.7</v>
      </c>
      <c r="E572">
        <f>MIN('GA Arroyo'!AO572, 'GA Arroyo'!AR572, 'GA Arroyo'!AU572, 'GA Arroyo'!AX572)</f>
        <v>51408.4</v>
      </c>
      <c r="G572" s="45">
        <f t="shared" si="44"/>
        <v>49408.9</v>
      </c>
      <c r="I572" s="49">
        <f t="shared" si="45"/>
        <v>0</v>
      </c>
      <c r="J572" s="49">
        <f t="shared" si="46"/>
        <v>13.353464659201066</v>
      </c>
      <c r="K572" s="49">
        <f t="shared" si="47"/>
        <v>10.904513154512639</v>
      </c>
      <c r="L572" s="49">
        <f t="shared" si="48"/>
        <v>4.0468417633260403</v>
      </c>
      <c r="T572" s="49">
        <f>(100*('GA Arroyo'!AO572-E572))/E572</f>
        <v>4.011212175442143</v>
      </c>
      <c r="U572" s="49">
        <f>(100*('GA Arroyo'!AR572-E572))/E572</f>
        <v>23.127154317193291</v>
      </c>
      <c r="V572" s="49">
        <f>(100*('GA Arroyo'!AU572-E572))/E572</f>
        <v>3.6178912395639649</v>
      </c>
      <c r="W572" s="49">
        <f>(100*('GA Arroyo'!AX572-E572))/E572</f>
        <v>0</v>
      </c>
    </row>
    <row r="573" spans="2:23" ht="15" customHeight="1">
      <c r="B573">
        <f>MIN('GA Arroyo'!B573,'GA Arroyo'!E573,'GA Arroyo'!H573,'GA Arroyo'!K573)</f>
        <v>53432.7</v>
      </c>
      <c r="C573">
        <f>MIN('GA Arroyo'!O573, 'GA Arroyo'!R573, 'GA Arroyo'!U573, 'GA Arroyo'!X573)</f>
        <v>55912.9</v>
      </c>
      <c r="D573">
        <f>MIN('GA Arroyo'!AB573, 'GA Arroyo'!AE573, 'GA Arroyo'!AH573, 'GA Arroyo'!AK573)</f>
        <v>50242.5</v>
      </c>
      <c r="E573">
        <f>MIN('GA Arroyo'!AO573, 'GA Arroyo'!AR573, 'GA Arroyo'!AU573, 'GA Arroyo'!AX573)</f>
        <v>50223.7</v>
      </c>
      <c r="G573" s="45">
        <f t="shared" si="44"/>
        <v>50223.7</v>
      </c>
      <c r="I573" s="49">
        <f t="shared" si="45"/>
        <v>6.3894137628251206</v>
      </c>
      <c r="J573" s="49">
        <f t="shared" si="46"/>
        <v>11.327719781696699</v>
      </c>
      <c r="K573" s="49">
        <f t="shared" si="47"/>
        <v>3.7432526874768113E-2</v>
      </c>
      <c r="L573" s="49">
        <f t="shared" si="48"/>
        <v>0</v>
      </c>
      <c r="T573" s="49">
        <f>(100*('GA Arroyo'!AO573-E573))/E573</f>
        <v>6.8121225636502354</v>
      </c>
      <c r="U573" s="49">
        <f>(100*('GA Arroyo'!AR573-E573))/E573</f>
        <v>14.076621196765675</v>
      </c>
      <c r="V573" s="49">
        <f>(100*('GA Arroyo'!AU573-E573))/E573</f>
        <v>17.367099596405684</v>
      </c>
      <c r="W573" s="49">
        <f>(100*('GA Arroyo'!AX573-E573))/E573</f>
        <v>0</v>
      </c>
    </row>
    <row r="574" spans="2:23" ht="15" customHeight="1">
      <c r="B574">
        <f>MIN('GA Arroyo'!B574,'GA Arroyo'!E574,'GA Arroyo'!H574,'GA Arroyo'!K574)</f>
        <v>57131.1</v>
      </c>
      <c r="C574">
        <f>MIN('GA Arroyo'!O574, 'GA Arroyo'!R574, 'GA Arroyo'!U574, 'GA Arroyo'!X574)</f>
        <v>57659.7</v>
      </c>
      <c r="D574">
        <f>MIN('GA Arroyo'!AB574, 'GA Arroyo'!AE574, 'GA Arroyo'!AH574, 'GA Arroyo'!AK574)</f>
        <v>57164.800000000003</v>
      </c>
      <c r="E574">
        <f>MIN('GA Arroyo'!AO574, 'GA Arroyo'!AR574, 'GA Arroyo'!AU574, 'GA Arroyo'!AX574)</f>
        <v>53857.7</v>
      </c>
      <c r="G574" s="45">
        <f t="shared" si="44"/>
        <v>53857.7</v>
      </c>
      <c r="I574" s="49">
        <f t="shared" si="45"/>
        <v>6.0778681599845541</v>
      </c>
      <c r="J574" s="49">
        <f t="shared" si="46"/>
        <v>7.0593434179328121</v>
      </c>
      <c r="K574" s="49">
        <f t="shared" si="47"/>
        <v>6.140440456982021</v>
      </c>
      <c r="L574" s="49">
        <f t="shared" si="48"/>
        <v>0</v>
      </c>
      <c r="T574" s="49">
        <f>(100*('GA Arroyo'!AO574-E574))/E574</f>
        <v>13.54532406693937</v>
      </c>
      <c r="U574" s="49">
        <f>(100*('GA Arroyo'!AR574-E574))/E574</f>
        <v>10.332598681339904</v>
      </c>
      <c r="V574" s="49">
        <f>(100*('GA Arroyo'!AU574-E574))/E574</f>
        <v>0</v>
      </c>
      <c r="W574" s="49">
        <f>(100*('GA Arroyo'!AX574-E574))/E574</f>
        <v>4.65560170597705</v>
      </c>
    </row>
    <row r="575" spans="2:23" ht="15" customHeight="1">
      <c r="B575">
        <f>MIN('GA Arroyo'!B575,'GA Arroyo'!E575,'GA Arroyo'!H575,'GA Arroyo'!K575)</f>
        <v>43958.7</v>
      </c>
      <c r="C575">
        <f>MIN('GA Arroyo'!O575, 'GA Arroyo'!R575, 'GA Arroyo'!U575, 'GA Arroyo'!X575)</f>
        <v>43557.4</v>
      </c>
      <c r="D575">
        <f>MIN('GA Arroyo'!AB575, 'GA Arroyo'!AE575, 'GA Arroyo'!AH575, 'GA Arroyo'!AK575)</f>
        <v>40506.699999999997</v>
      </c>
      <c r="E575">
        <f>MIN('GA Arroyo'!AO575, 'GA Arroyo'!AR575, 'GA Arroyo'!AU575, 'GA Arroyo'!AX575)</f>
        <v>40307</v>
      </c>
      <c r="G575" s="45">
        <f t="shared" si="44"/>
        <v>40307</v>
      </c>
      <c r="I575" s="49">
        <f t="shared" si="45"/>
        <v>9.0597166745230293</v>
      </c>
      <c r="J575" s="49">
        <f t="shared" si="46"/>
        <v>8.0641079713201211</v>
      </c>
      <c r="K575" s="49">
        <f t="shared" si="47"/>
        <v>0.49544744089115311</v>
      </c>
      <c r="L575" s="49">
        <f t="shared" si="48"/>
        <v>0</v>
      </c>
      <c r="T575" s="49">
        <f>(100*('GA Arroyo'!AO575-E575))/E575</f>
        <v>3.3259731560274854</v>
      </c>
      <c r="U575" s="49">
        <f>(100*('GA Arroyo'!AR575-E575))/E575</f>
        <v>13.151313667601164</v>
      </c>
      <c r="V575" s="49">
        <f>(100*('GA Arroyo'!AU575-E575))/E575</f>
        <v>0</v>
      </c>
      <c r="W575" s="49">
        <f>(100*('GA Arroyo'!AX575-E575))/E575</f>
        <v>7.2007343637581593</v>
      </c>
    </row>
    <row r="576" spans="2:23" ht="15" customHeight="1">
      <c r="B576">
        <f>MIN('GA Arroyo'!B576,'GA Arroyo'!E576,'GA Arroyo'!H576,'GA Arroyo'!K576)</f>
        <v>58025</v>
      </c>
      <c r="C576">
        <f>MIN('GA Arroyo'!O576, 'GA Arroyo'!R576, 'GA Arroyo'!U576, 'GA Arroyo'!X576)</f>
        <v>59131.3</v>
      </c>
      <c r="D576">
        <f>MIN('GA Arroyo'!AB576, 'GA Arroyo'!AE576, 'GA Arroyo'!AH576, 'GA Arroyo'!AK576)</f>
        <v>53287.199999999997</v>
      </c>
      <c r="E576">
        <f>MIN('GA Arroyo'!AO576, 'GA Arroyo'!AR576, 'GA Arroyo'!AU576, 'GA Arroyo'!AX576)</f>
        <v>55529</v>
      </c>
      <c r="G576" s="45">
        <f t="shared" si="44"/>
        <v>53287.199999999997</v>
      </c>
      <c r="I576" s="49">
        <f t="shared" si="45"/>
        <v>8.8910657718926931</v>
      </c>
      <c r="J576" s="49">
        <f t="shared" si="46"/>
        <v>10.967174105601357</v>
      </c>
      <c r="K576" s="49">
        <f t="shared" si="47"/>
        <v>0</v>
      </c>
      <c r="L576" s="49">
        <f t="shared" si="48"/>
        <v>4.2070140671681058</v>
      </c>
      <c r="T576" s="49">
        <f>(100*('GA Arroyo'!AO576-E576))/E576</f>
        <v>18.95802193448468</v>
      </c>
      <c r="U576" s="49">
        <f>(100*('GA Arroyo'!AR576-E576))/E576</f>
        <v>3.3004376091771817</v>
      </c>
      <c r="V576" s="49">
        <f>(100*('GA Arroyo'!AU576-E576))/E576</f>
        <v>0</v>
      </c>
      <c r="W576" s="49">
        <f>(100*('GA Arroyo'!AX576-E576))/E576</f>
        <v>0.81326874245889269</v>
      </c>
    </row>
    <row r="577" spans="2:23" ht="15" customHeight="1">
      <c r="B577">
        <f>MIN('GA Arroyo'!B577,'GA Arroyo'!E577,'GA Arroyo'!H577,'GA Arroyo'!K577)</f>
        <v>46897</v>
      </c>
      <c r="C577">
        <f>MIN('GA Arroyo'!O577, 'GA Arroyo'!R577, 'GA Arroyo'!U577, 'GA Arroyo'!X577)</f>
        <v>54235.9</v>
      </c>
      <c r="D577">
        <f>MIN('GA Arroyo'!AB577, 'GA Arroyo'!AE577, 'GA Arroyo'!AH577, 'GA Arroyo'!AK577)</f>
        <v>46313.7</v>
      </c>
      <c r="E577">
        <f>MIN('GA Arroyo'!AO577, 'GA Arroyo'!AR577, 'GA Arroyo'!AU577, 'GA Arroyo'!AX577)</f>
        <v>47238.3</v>
      </c>
      <c r="G577" s="45">
        <f t="shared" si="44"/>
        <v>46313.7</v>
      </c>
      <c r="I577" s="49">
        <f t="shared" si="45"/>
        <v>1.2594545458471316</v>
      </c>
      <c r="J577" s="49">
        <f t="shared" si="46"/>
        <v>17.105521692285446</v>
      </c>
      <c r="K577" s="49">
        <f t="shared" si="47"/>
        <v>0</v>
      </c>
      <c r="L577" s="49">
        <f t="shared" si="48"/>
        <v>1.9963855187558019</v>
      </c>
      <c r="T577" s="49">
        <f>(100*('GA Arroyo'!AO577-E577))/E577</f>
        <v>4.7364109207994236</v>
      </c>
      <c r="U577" s="49">
        <f>(100*('GA Arroyo'!AR577-E577))/E577</f>
        <v>0</v>
      </c>
      <c r="V577" s="49">
        <f>(100*('GA Arroyo'!AU577-E577))/E577</f>
        <v>6.0173630295755771</v>
      </c>
      <c r="W577" s="49">
        <f>(100*('GA Arroyo'!AX577-E577))/E577</f>
        <v>3.6597422007142413</v>
      </c>
    </row>
    <row r="578" spans="2:23" ht="15" customHeight="1">
      <c r="B578">
        <f>MIN('GA Arroyo'!B578,'GA Arroyo'!E578,'GA Arroyo'!H578,'GA Arroyo'!K578)</f>
        <v>57320.4</v>
      </c>
      <c r="C578">
        <f>MIN('GA Arroyo'!O578, 'GA Arroyo'!R578, 'GA Arroyo'!U578, 'GA Arroyo'!X578)</f>
        <v>63493.2</v>
      </c>
      <c r="D578">
        <f>MIN('GA Arroyo'!AB578, 'GA Arroyo'!AE578, 'GA Arroyo'!AH578, 'GA Arroyo'!AK578)</f>
        <v>57927.9</v>
      </c>
      <c r="E578">
        <f>MIN('GA Arroyo'!AO578, 'GA Arroyo'!AR578, 'GA Arroyo'!AU578, 'GA Arroyo'!AX578)</f>
        <v>58292.2</v>
      </c>
      <c r="G578" s="45">
        <f t="shared" si="44"/>
        <v>57320.4</v>
      </c>
      <c r="I578" s="49">
        <f t="shared" si="45"/>
        <v>0</v>
      </c>
      <c r="J578" s="49">
        <f t="shared" si="46"/>
        <v>10.768940900621759</v>
      </c>
      <c r="K578" s="49">
        <f t="shared" si="47"/>
        <v>1.059832101660142</v>
      </c>
      <c r="L578" s="49">
        <f t="shared" si="48"/>
        <v>1.6953824467379774</v>
      </c>
      <c r="T578" s="49">
        <f>(100*('GA Arroyo'!AO578-E578))/E578</f>
        <v>2.5481968428022985</v>
      </c>
      <c r="U578" s="49">
        <f>(100*('GA Arroyo'!AR578-E578))/E578</f>
        <v>1.1281097642566345</v>
      </c>
      <c r="V578" s="49">
        <f>(100*('GA Arroyo'!AU578-E578))/E578</f>
        <v>7.8806426931905182</v>
      </c>
      <c r="W578" s="49">
        <f>(100*('GA Arroyo'!AX578-E578))/E578</f>
        <v>0</v>
      </c>
    </row>
    <row r="579" spans="2:23" ht="15" customHeight="1">
      <c r="B579">
        <f>MIN('GA Arroyo'!B579,'GA Arroyo'!E579,'GA Arroyo'!H579,'GA Arroyo'!K579)</f>
        <v>66352.100000000006</v>
      </c>
      <c r="C579">
        <f>MIN('GA Arroyo'!O579, 'GA Arroyo'!R579, 'GA Arroyo'!U579, 'GA Arroyo'!X579)</f>
        <v>71343.3</v>
      </c>
      <c r="D579">
        <f>MIN('GA Arroyo'!AB579, 'GA Arroyo'!AE579, 'GA Arroyo'!AH579, 'GA Arroyo'!AK579)</f>
        <v>67521.5</v>
      </c>
      <c r="E579">
        <f>MIN('GA Arroyo'!AO579, 'GA Arroyo'!AR579, 'GA Arroyo'!AU579, 'GA Arroyo'!AX579)</f>
        <v>70236</v>
      </c>
      <c r="G579" s="45">
        <f t="shared" si="44"/>
        <v>66352.100000000006</v>
      </c>
      <c r="I579" s="49">
        <f t="shared" si="45"/>
        <v>0</v>
      </c>
      <c r="J579" s="49">
        <f t="shared" si="46"/>
        <v>7.5222939439746392</v>
      </c>
      <c r="K579" s="49">
        <f t="shared" si="47"/>
        <v>1.7624159597058633</v>
      </c>
      <c r="L579" s="49">
        <f t="shared" si="48"/>
        <v>5.8534695962900853</v>
      </c>
      <c r="T579" s="49">
        <f>(100*('GA Arroyo'!AO579-E579))/E579</f>
        <v>6.5736944017313146</v>
      </c>
      <c r="U579" s="49">
        <f>(100*('GA Arroyo'!AR579-E579))/E579</f>
        <v>0</v>
      </c>
      <c r="V579" s="49">
        <f>(100*('GA Arroyo'!AU579-E579))/E579</f>
        <v>5.7786605159747095</v>
      </c>
      <c r="W579" s="49">
        <f>(100*('GA Arroyo'!AX579-E579))/E579</f>
        <v>9.6789395751466571</v>
      </c>
    </row>
    <row r="580" spans="2:23" ht="15" customHeight="1">
      <c r="B580">
        <f>MIN('GA Arroyo'!B580,'GA Arroyo'!E580,'GA Arroyo'!H580,'GA Arroyo'!K580)</f>
        <v>55336.800000000003</v>
      </c>
      <c r="C580">
        <f>MIN('GA Arroyo'!O580, 'GA Arroyo'!R580, 'GA Arroyo'!U580, 'GA Arroyo'!X580)</f>
        <v>57662.3</v>
      </c>
      <c r="D580">
        <f>MIN('GA Arroyo'!AB580, 'GA Arroyo'!AE580, 'GA Arroyo'!AH580, 'GA Arroyo'!AK580)</f>
        <v>51834.7</v>
      </c>
      <c r="E580">
        <f>MIN('GA Arroyo'!AO580, 'GA Arroyo'!AR580, 'GA Arroyo'!AU580, 'GA Arroyo'!AX580)</f>
        <v>52151.7</v>
      </c>
      <c r="G580" s="45">
        <f t="shared" ref="G580:G643" si="49">MIN(B580,C580,D580,E580)</f>
        <v>51834.7</v>
      </c>
      <c r="I580" s="49">
        <f t="shared" ref="I580:I643" si="50">(100*(B580-G580))/G580</f>
        <v>6.7562848825207942</v>
      </c>
      <c r="J580" s="49">
        <f t="shared" ref="J580:J643" si="51">(100*(C580-G580))/G580</f>
        <v>11.242661769046617</v>
      </c>
      <c r="K580" s="49">
        <f t="shared" ref="K580:K643" si="52">(100*(D580-G580))/G580</f>
        <v>0</v>
      </c>
      <c r="L580" s="49">
        <f t="shared" ref="L580:L643" si="53">(100*(E580-G580))/G580</f>
        <v>0.61155943798266421</v>
      </c>
      <c r="T580" s="49">
        <f>(100*('GA Arroyo'!AO580-E580))/E580</f>
        <v>2.289858240479226</v>
      </c>
      <c r="U580" s="49">
        <f>(100*('GA Arroyo'!AR580-E580))/E580</f>
        <v>9.635352251220958</v>
      </c>
      <c r="V580" s="49">
        <f>(100*('GA Arroyo'!AU580-E580))/E580</f>
        <v>9.0570393678441956</v>
      </c>
      <c r="W580" s="49">
        <f>(100*('GA Arroyo'!AX580-E580))/E580</f>
        <v>0</v>
      </c>
    </row>
    <row r="581" spans="2:23" ht="15" customHeight="1">
      <c r="B581">
        <f>MIN('GA Arroyo'!B581,'GA Arroyo'!E581,'GA Arroyo'!H581,'GA Arroyo'!K581)</f>
        <v>54531.4</v>
      </c>
      <c r="C581">
        <f>MIN('GA Arroyo'!O581, 'GA Arroyo'!R581, 'GA Arroyo'!U581, 'GA Arroyo'!X581)</f>
        <v>60388.3</v>
      </c>
      <c r="D581">
        <f>MIN('GA Arroyo'!AB581, 'GA Arroyo'!AE581, 'GA Arroyo'!AH581, 'GA Arroyo'!AK581)</f>
        <v>54412.9</v>
      </c>
      <c r="E581">
        <f>MIN('GA Arroyo'!AO581, 'GA Arroyo'!AR581, 'GA Arroyo'!AU581, 'GA Arroyo'!AX581)</f>
        <v>56213.5</v>
      </c>
      <c r="G581" s="45">
        <f t="shared" si="49"/>
        <v>54412.9</v>
      </c>
      <c r="I581" s="49">
        <f t="shared" si="50"/>
        <v>0.21777923984937395</v>
      </c>
      <c r="J581" s="49">
        <f t="shared" si="51"/>
        <v>10.981587086885648</v>
      </c>
      <c r="K581" s="49">
        <f t="shared" si="52"/>
        <v>0</v>
      </c>
      <c r="L581" s="49">
        <f t="shared" si="53"/>
        <v>3.3091417660150415</v>
      </c>
      <c r="T581" s="49">
        <f>(100*('GA Arroyo'!AO581-E581))/E581</f>
        <v>2.0053901642843854</v>
      </c>
      <c r="U581" s="49">
        <f>(100*('GA Arroyo'!AR581-E581))/E581</f>
        <v>9.6779243420174907</v>
      </c>
      <c r="V581" s="49">
        <f>(100*('GA Arroyo'!AU581-E581))/E581</f>
        <v>7.3071415229437751</v>
      </c>
      <c r="W581" s="49">
        <f>(100*('GA Arroyo'!AX581-E581))/E581</f>
        <v>0</v>
      </c>
    </row>
    <row r="582" spans="2:23" ht="15" customHeight="1">
      <c r="B582">
        <f>MIN('GA Arroyo'!B582,'GA Arroyo'!E582,'GA Arroyo'!H582,'GA Arroyo'!K582)</f>
        <v>64375.3</v>
      </c>
      <c r="C582">
        <f>MIN('GA Arroyo'!O582, 'GA Arroyo'!R582, 'GA Arroyo'!U582, 'GA Arroyo'!X582)</f>
        <v>63004.2</v>
      </c>
      <c r="D582">
        <f>MIN('GA Arroyo'!AB582, 'GA Arroyo'!AE582, 'GA Arroyo'!AH582, 'GA Arroyo'!AK582)</f>
        <v>60881</v>
      </c>
      <c r="E582">
        <f>MIN('GA Arroyo'!AO582, 'GA Arroyo'!AR582, 'GA Arroyo'!AU582, 'GA Arroyo'!AX582)</f>
        <v>63504</v>
      </c>
      <c r="G582" s="45">
        <f t="shared" si="49"/>
        <v>60881</v>
      </c>
      <c r="I582" s="49">
        <f t="shared" si="50"/>
        <v>5.7395574974129904</v>
      </c>
      <c r="J582" s="49">
        <f t="shared" si="51"/>
        <v>3.4874591416041083</v>
      </c>
      <c r="K582" s="49">
        <f t="shared" si="52"/>
        <v>0</v>
      </c>
      <c r="L582" s="49">
        <f t="shared" si="53"/>
        <v>4.3084049210755406</v>
      </c>
      <c r="T582" s="49">
        <f>(100*('GA Arroyo'!AO582-E582))/E582</f>
        <v>4.7341899722852014</v>
      </c>
      <c r="U582" s="49">
        <f>(100*('GA Arroyo'!AR582-E582))/E582</f>
        <v>0</v>
      </c>
      <c r="V582" s="49">
        <f>(100*('GA Arroyo'!AU582-E582))/E582</f>
        <v>1.4989606953892691</v>
      </c>
      <c r="W582" s="49">
        <f>(100*('GA Arroyo'!AX582-E582))/E582</f>
        <v>0.93820861678004996</v>
      </c>
    </row>
    <row r="583" spans="2:23" ht="15" customHeight="1">
      <c r="B583">
        <f>MIN('GA Arroyo'!B583,'GA Arroyo'!E583,'GA Arroyo'!H583,'GA Arroyo'!K583)</f>
        <v>46855.4</v>
      </c>
      <c r="C583">
        <f>MIN('GA Arroyo'!O583, 'GA Arroyo'!R583, 'GA Arroyo'!U583, 'GA Arroyo'!X583)</f>
        <v>50900</v>
      </c>
      <c r="D583">
        <f>MIN('GA Arroyo'!AB583, 'GA Arroyo'!AE583, 'GA Arroyo'!AH583, 'GA Arroyo'!AK583)</f>
        <v>47877.5</v>
      </c>
      <c r="E583">
        <f>MIN('GA Arroyo'!AO583, 'GA Arroyo'!AR583, 'GA Arroyo'!AU583, 'GA Arroyo'!AX583)</f>
        <v>47911.199999999997</v>
      </c>
      <c r="G583" s="45">
        <f t="shared" si="49"/>
        <v>46855.4</v>
      </c>
      <c r="I583" s="49">
        <f t="shared" si="50"/>
        <v>0</v>
      </c>
      <c r="J583" s="49">
        <f t="shared" si="51"/>
        <v>8.6320893642995227</v>
      </c>
      <c r="K583" s="49">
        <f t="shared" si="52"/>
        <v>2.1813921127554101</v>
      </c>
      <c r="L583" s="49">
        <f t="shared" si="53"/>
        <v>2.2533155196626122</v>
      </c>
      <c r="T583" s="49">
        <f>(100*('GA Arroyo'!AO583-E583))/E583</f>
        <v>13.507697573844958</v>
      </c>
      <c r="U583" s="49">
        <f>(100*('GA Arroyo'!AR583-E583))/E583</f>
        <v>0.93673295596854789</v>
      </c>
      <c r="V583" s="49">
        <f>(100*('GA Arroyo'!AU583-E583))/E583</f>
        <v>12.692439346123676</v>
      </c>
      <c r="W583" s="49">
        <f>(100*('GA Arroyo'!AX583-E583))/E583</f>
        <v>0</v>
      </c>
    </row>
    <row r="584" spans="2:23" ht="15" customHeight="1">
      <c r="B584">
        <f>MIN('GA Arroyo'!B584,'GA Arroyo'!E584,'GA Arroyo'!H584,'GA Arroyo'!K584)</f>
        <v>42756.9</v>
      </c>
      <c r="C584">
        <f>MIN('GA Arroyo'!O584, 'GA Arroyo'!R584, 'GA Arroyo'!U584, 'GA Arroyo'!X584)</f>
        <v>44906</v>
      </c>
      <c r="D584">
        <f>MIN('GA Arroyo'!AB584, 'GA Arroyo'!AE584, 'GA Arroyo'!AH584, 'GA Arroyo'!AK584)</f>
        <v>40289.599999999999</v>
      </c>
      <c r="E584">
        <f>MIN('GA Arroyo'!AO584, 'GA Arroyo'!AR584, 'GA Arroyo'!AU584, 'GA Arroyo'!AX584)</f>
        <v>40303.800000000003</v>
      </c>
      <c r="G584" s="45">
        <f t="shared" si="49"/>
        <v>40289.599999999999</v>
      </c>
      <c r="I584" s="49">
        <f t="shared" si="50"/>
        <v>6.123912870815305</v>
      </c>
      <c r="J584" s="49">
        <f t="shared" si="51"/>
        <v>11.458043763154762</v>
      </c>
      <c r="K584" s="49">
        <f t="shared" si="52"/>
        <v>0</v>
      </c>
      <c r="L584" s="49">
        <f t="shared" si="53"/>
        <v>3.5244827449278142E-2</v>
      </c>
      <c r="T584" s="49">
        <f>(100*('GA Arroyo'!AO584-E584))/E584</f>
        <v>17.177040378326609</v>
      </c>
      <c r="U584" s="49">
        <f>(100*('GA Arroyo'!AR584-E584))/E584</f>
        <v>9.4080458914543907</v>
      </c>
      <c r="V584" s="49">
        <f>(100*('GA Arroyo'!AU584-E584))/E584</f>
        <v>5.1300373662036787</v>
      </c>
      <c r="W584" s="49">
        <f>(100*('GA Arroyo'!AX584-E584))/E584</f>
        <v>0</v>
      </c>
    </row>
    <row r="585" spans="2:23" ht="15" customHeight="1">
      <c r="B585">
        <f>MIN('GA Arroyo'!B585,'GA Arroyo'!E585,'GA Arroyo'!H585,'GA Arroyo'!K585)</f>
        <v>55448.6</v>
      </c>
      <c r="C585">
        <f>MIN('GA Arroyo'!O585, 'GA Arroyo'!R585, 'GA Arroyo'!U585, 'GA Arroyo'!X585)</f>
        <v>52728.1</v>
      </c>
      <c r="D585">
        <f>MIN('GA Arroyo'!AB585, 'GA Arroyo'!AE585, 'GA Arroyo'!AH585, 'GA Arroyo'!AK585)</f>
        <v>54866.400000000001</v>
      </c>
      <c r="E585">
        <f>MIN('GA Arroyo'!AO585, 'GA Arroyo'!AR585, 'GA Arroyo'!AU585, 'GA Arroyo'!AX585)</f>
        <v>57584</v>
      </c>
      <c r="G585" s="45">
        <f t="shared" si="49"/>
        <v>52728.1</v>
      </c>
      <c r="I585" s="49">
        <f t="shared" si="50"/>
        <v>5.1594880149294209</v>
      </c>
      <c r="J585" s="49">
        <f t="shared" si="51"/>
        <v>0</v>
      </c>
      <c r="K585" s="49">
        <f t="shared" si="52"/>
        <v>4.0553329249489414</v>
      </c>
      <c r="L585" s="49">
        <f t="shared" si="53"/>
        <v>9.2093210261701088</v>
      </c>
      <c r="T585" s="49">
        <f>(100*('GA Arroyo'!AO585-E585))/E585</f>
        <v>4.9734301194776345</v>
      </c>
      <c r="U585" s="49">
        <f>(100*('GA Arroyo'!AR585-E585))/E585</f>
        <v>9.5156640733537099</v>
      </c>
      <c r="V585" s="49">
        <f>(100*('GA Arroyo'!AU585-E585))/E585</f>
        <v>3.4697138093914974</v>
      </c>
      <c r="W585" s="49">
        <f>(100*('GA Arroyo'!AX585-E585))/E585</f>
        <v>0</v>
      </c>
    </row>
    <row r="586" spans="2:23" ht="15" customHeight="1">
      <c r="B586">
        <f>MIN('GA Arroyo'!B586,'GA Arroyo'!E586,'GA Arroyo'!H586,'GA Arroyo'!K586)</f>
        <v>56415.1</v>
      </c>
      <c r="C586">
        <f>MIN('GA Arroyo'!O586, 'GA Arroyo'!R586, 'GA Arroyo'!U586, 'GA Arroyo'!X586)</f>
        <v>55634</v>
      </c>
      <c r="D586">
        <f>MIN('GA Arroyo'!AB586, 'GA Arroyo'!AE586, 'GA Arroyo'!AH586, 'GA Arroyo'!AK586)</f>
        <v>54394.5</v>
      </c>
      <c r="E586">
        <f>MIN('GA Arroyo'!AO586, 'GA Arroyo'!AR586, 'GA Arroyo'!AU586, 'GA Arroyo'!AX586)</f>
        <v>55721.2</v>
      </c>
      <c r="G586" s="45">
        <f t="shared" si="49"/>
        <v>54394.5</v>
      </c>
      <c r="I586" s="49">
        <f t="shared" si="50"/>
        <v>3.7147138037853065</v>
      </c>
      <c r="J586" s="49">
        <f t="shared" si="51"/>
        <v>2.2787230326595518</v>
      </c>
      <c r="K586" s="49">
        <f t="shared" si="52"/>
        <v>0</v>
      </c>
      <c r="L586" s="49">
        <f t="shared" si="53"/>
        <v>2.4390333581520136</v>
      </c>
      <c r="T586" s="49">
        <f>(100*('GA Arroyo'!AO586-E586))/E586</f>
        <v>0</v>
      </c>
      <c r="U586" s="49">
        <f>(100*('GA Arroyo'!AR586-E586))/E586</f>
        <v>3.4214984601910943</v>
      </c>
      <c r="V586" s="49">
        <f>(100*('GA Arroyo'!AU586-E586))/E586</f>
        <v>7.2227446645083129</v>
      </c>
      <c r="W586" s="49">
        <f>(100*('GA Arroyo'!AX586-E586))/E586</f>
        <v>4.986432452998141</v>
      </c>
    </row>
    <row r="587" spans="2:23" ht="15" customHeight="1">
      <c r="B587">
        <f>MIN('GA Arroyo'!B587,'GA Arroyo'!E587,'GA Arroyo'!H587,'GA Arroyo'!K587)</f>
        <v>45581.4</v>
      </c>
      <c r="C587">
        <f>MIN('GA Arroyo'!O587, 'GA Arroyo'!R587, 'GA Arroyo'!U587, 'GA Arroyo'!X587)</f>
        <v>45550.1</v>
      </c>
      <c r="D587">
        <f>MIN('GA Arroyo'!AB587, 'GA Arroyo'!AE587, 'GA Arroyo'!AH587, 'GA Arroyo'!AK587)</f>
        <v>44098.6</v>
      </c>
      <c r="E587">
        <f>MIN('GA Arroyo'!AO587, 'GA Arroyo'!AR587, 'GA Arroyo'!AU587, 'GA Arroyo'!AX587)</f>
        <v>48366.2</v>
      </c>
      <c r="G587" s="45">
        <f t="shared" si="49"/>
        <v>44098.6</v>
      </c>
      <c r="I587" s="49">
        <f t="shared" si="50"/>
        <v>3.3624650215653173</v>
      </c>
      <c r="J587" s="49">
        <f t="shared" si="51"/>
        <v>3.2914877116280334</v>
      </c>
      <c r="K587" s="49">
        <f t="shared" si="52"/>
        <v>0</v>
      </c>
      <c r="L587" s="49">
        <f t="shared" si="53"/>
        <v>9.6774047248665465</v>
      </c>
      <c r="T587" s="49">
        <f>(100*('GA Arroyo'!AO587-E587))/E587</f>
        <v>19.0389156063532</v>
      </c>
      <c r="U587" s="49">
        <f>(100*('GA Arroyo'!AR587-E587))/E587</f>
        <v>14.424122631093619</v>
      </c>
      <c r="V587" s="49">
        <f>(100*('GA Arroyo'!AU587-E587))/E587</f>
        <v>0</v>
      </c>
      <c r="W587" s="49">
        <f>(100*('GA Arroyo'!AX587-E587))/E587</f>
        <v>25.11299213086826</v>
      </c>
    </row>
    <row r="588" spans="2:23" ht="15" customHeight="1">
      <c r="B588">
        <f>MIN('GA Arroyo'!B588,'GA Arroyo'!E588,'GA Arroyo'!H588,'GA Arroyo'!K588)</f>
        <v>46327</v>
      </c>
      <c r="C588">
        <f>MIN('GA Arroyo'!O588, 'GA Arroyo'!R588, 'GA Arroyo'!U588, 'GA Arroyo'!X588)</f>
        <v>48416.6</v>
      </c>
      <c r="D588">
        <f>MIN('GA Arroyo'!AB588, 'GA Arroyo'!AE588, 'GA Arroyo'!AH588, 'GA Arroyo'!AK588)</f>
        <v>44263.5</v>
      </c>
      <c r="E588">
        <f>MIN('GA Arroyo'!AO588, 'GA Arroyo'!AR588, 'GA Arroyo'!AU588, 'GA Arroyo'!AX588)</f>
        <v>43198.400000000001</v>
      </c>
      <c r="G588" s="45">
        <f t="shared" si="49"/>
        <v>43198.400000000001</v>
      </c>
      <c r="I588" s="49">
        <f t="shared" si="50"/>
        <v>7.2423978665876483</v>
      </c>
      <c r="J588" s="49">
        <f t="shared" si="51"/>
        <v>12.079614059779985</v>
      </c>
      <c r="K588" s="49">
        <f t="shared" si="52"/>
        <v>2.4656005777991741</v>
      </c>
      <c r="L588" s="49">
        <f t="shared" si="53"/>
        <v>0</v>
      </c>
      <c r="T588" s="49">
        <f>(100*('GA Arroyo'!AO588-E588))/E588</f>
        <v>0</v>
      </c>
      <c r="U588" s="49">
        <f>(100*('GA Arroyo'!AR588-E588))/E588</f>
        <v>11.193238638468081</v>
      </c>
      <c r="V588" s="49">
        <f>(100*('GA Arroyo'!AU588-E588))/E588</f>
        <v>16.25083336419867</v>
      </c>
      <c r="W588" s="49">
        <f>(100*('GA Arroyo'!AX588-E588))/E588</f>
        <v>2.5669932219711873</v>
      </c>
    </row>
    <row r="589" spans="2:23" ht="15" customHeight="1">
      <c r="B589">
        <f>MIN('GA Arroyo'!B589,'GA Arroyo'!E589,'GA Arroyo'!H589,'GA Arroyo'!K589)</f>
        <v>55240.6</v>
      </c>
      <c r="C589">
        <f>MIN('GA Arroyo'!O589, 'GA Arroyo'!R589, 'GA Arroyo'!U589, 'GA Arroyo'!X589)</f>
        <v>57734</v>
      </c>
      <c r="D589">
        <f>MIN('GA Arroyo'!AB589, 'GA Arroyo'!AE589, 'GA Arroyo'!AH589, 'GA Arroyo'!AK589)</f>
        <v>52748.4</v>
      </c>
      <c r="E589">
        <f>MIN('GA Arroyo'!AO589, 'GA Arroyo'!AR589, 'GA Arroyo'!AU589, 'GA Arroyo'!AX589)</f>
        <v>51873.8</v>
      </c>
      <c r="G589" s="45">
        <f t="shared" si="49"/>
        <v>51873.8</v>
      </c>
      <c r="I589" s="49">
        <f t="shared" si="50"/>
        <v>6.4903670060801311</v>
      </c>
      <c r="J589" s="49">
        <f t="shared" si="51"/>
        <v>11.297032413279917</v>
      </c>
      <c r="K589" s="49">
        <f t="shared" si="52"/>
        <v>1.6860149054050377</v>
      </c>
      <c r="L589" s="49">
        <f t="shared" si="53"/>
        <v>0</v>
      </c>
      <c r="T589" s="49">
        <f>(100*('GA Arroyo'!AO589-E589))/E589</f>
        <v>5.5197421434327065</v>
      </c>
      <c r="U589" s="49">
        <f>(100*('GA Arroyo'!AR589-E589))/E589</f>
        <v>4.3251120989786722</v>
      </c>
      <c r="V589" s="49">
        <f>(100*('GA Arroyo'!AU589-E589))/E589</f>
        <v>0.21957134430096537</v>
      </c>
      <c r="W589" s="49">
        <f>(100*('GA Arroyo'!AX589-E589))/E589</f>
        <v>0</v>
      </c>
    </row>
    <row r="590" spans="2:23" ht="15" customHeight="1">
      <c r="B590">
        <f>MIN('GA Arroyo'!B590,'GA Arroyo'!E590,'GA Arroyo'!H590,'GA Arroyo'!K590)</f>
        <v>57922.400000000001</v>
      </c>
      <c r="C590">
        <f>MIN('GA Arroyo'!O590, 'GA Arroyo'!R590, 'GA Arroyo'!U590, 'GA Arroyo'!X590)</f>
        <v>60069.599999999999</v>
      </c>
      <c r="D590">
        <f>MIN('GA Arroyo'!AB590, 'GA Arroyo'!AE590, 'GA Arroyo'!AH590, 'GA Arroyo'!AK590)</f>
        <v>59533.7</v>
      </c>
      <c r="E590">
        <f>MIN('GA Arroyo'!AO590, 'GA Arroyo'!AR590, 'GA Arroyo'!AU590, 'GA Arroyo'!AX590)</f>
        <v>57245.599999999999</v>
      </c>
      <c r="G590" s="45">
        <f t="shared" si="49"/>
        <v>57245.599999999999</v>
      </c>
      <c r="I590" s="49">
        <f t="shared" si="50"/>
        <v>1.182274270860997</v>
      </c>
      <c r="J590" s="49">
        <f t="shared" si="51"/>
        <v>4.9331302318431458</v>
      </c>
      <c r="K590" s="49">
        <f t="shared" si="52"/>
        <v>3.9969884148301329</v>
      </c>
      <c r="L590" s="49">
        <f t="shared" si="53"/>
        <v>0</v>
      </c>
      <c r="T590" s="49">
        <f>(100*('GA Arroyo'!AO590-E590))/E590</f>
        <v>9.3449976941459241</v>
      </c>
      <c r="U590" s="49">
        <f>(100*('GA Arroyo'!AR590-E590))/E590</f>
        <v>3.8612574590885615</v>
      </c>
      <c r="V590" s="49">
        <f>(100*('GA Arroyo'!AU590-E590))/E590</f>
        <v>0.85683441172771357</v>
      </c>
      <c r="W590" s="49">
        <f>(100*('GA Arroyo'!AX590-E590))/E590</f>
        <v>0</v>
      </c>
    </row>
    <row r="591" spans="2:23" ht="15" customHeight="1">
      <c r="B591">
        <f>MIN('GA Arroyo'!B591,'GA Arroyo'!E591,'GA Arroyo'!H591,'GA Arroyo'!K591)</f>
        <v>59545</v>
      </c>
      <c r="C591">
        <f>MIN('GA Arroyo'!O591, 'GA Arroyo'!R591, 'GA Arroyo'!U591, 'GA Arroyo'!X591)</f>
        <v>57999.8</v>
      </c>
      <c r="D591">
        <f>MIN('GA Arroyo'!AB591, 'GA Arroyo'!AE591, 'GA Arroyo'!AH591, 'GA Arroyo'!AK591)</f>
        <v>59357.3</v>
      </c>
      <c r="E591">
        <f>MIN('GA Arroyo'!AO591, 'GA Arroyo'!AR591, 'GA Arroyo'!AU591, 'GA Arroyo'!AX591)</f>
        <v>55957.3</v>
      </c>
      <c r="G591" s="45">
        <f t="shared" si="49"/>
        <v>55957.3</v>
      </c>
      <c r="I591" s="49">
        <f t="shared" si="50"/>
        <v>6.4114959084873586</v>
      </c>
      <c r="J591" s="49">
        <f t="shared" si="51"/>
        <v>3.6501046333543612</v>
      </c>
      <c r="K591" s="49">
        <f t="shared" si="52"/>
        <v>6.076061568374457</v>
      </c>
      <c r="L591" s="49">
        <f t="shared" si="53"/>
        <v>0</v>
      </c>
      <c r="T591" s="49">
        <f>(100*('GA Arroyo'!AO591-E591))/E591</f>
        <v>9.6704094014543145</v>
      </c>
      <c r="U591" s="49">
        <f>(100*('GA Arroyo'!AR591-E591))/E591</f>
        <v>7.2299771432860354</v>
      </c>
      <c r="V591" s="49">
        <f>(100*('GA Arroyo'!AU591-E591))/E591</f>
        <v>0</v>
      </c>
      <c r="W591" s="49">
        <f>(100*('GA Arroyo'!AX591-E591))/E591</f>
        <v>3.8929683883961417</v>
      </c>
    </row>
    <row r="592" spans="2:23" ht="15" customHeight="1">
      <c r="B592">
        <f>MIN('GA Arroyo'!B592,'GA Arroyo'!E592,'GA Arroyo'!H592,'GA Arroyo'!K592)</f>
        <v>55765.2</v>
      </c>
      <c r="C592">
        <f>MIN('GA Arroyo'!O592, 'GA Arroyo'!R592, 'GA Arroyo'!U592, 'GA Arroyo'!X592)</f>
        <v>50921.3</v>
      </c>
      <c r="D592">
        <f>MIN('GA Arroyo'!AB592, 'GA Arroyo'!AE592, 'GA Arroyo'!AH592, 'GA Arroyo'!AK592)</f>
        <v>50912.1</v>
      </c>
      <c r="E592">
        <f>MIN('GA Arroyo'!AO592, 'GA Arroyo'!AR592, 'GA Arroyo'!AU592, 'GA Arroyo'!AX592)</f>
        <v>44364.800000000003</v>
      </c>
      <c r="G592" s="45">
        <f t="shared" si="49"/>
        <v>44364.800000000003</v>
      </c>
      <c r="I592" s="49">
        <f t="shared" si="50"/>
        <v>25.696948932487004</v>
      </c>
      <c r="J592" s="49">
        <f t="shared" si="51"/>
        <v>14.778608266012693</v>
      </c>
      <c r="K592" s="49">
        <f t="shared" si="52"/>
        <v>14.757871105020184</v>
      </c>
      <c r="L592" s="49">
        <f t="shared" si="53"/>
        <v>0</v>
      </c>
      <c r="T592" s="49">
        <f>(100*('GA Arroyo'!AO592-E592))/E592</f>
        <v>23.250640147143677</v>
      </c>
      <c r="U592" s="49">
        <f>(100*('GA Arroyo'!AR592-E592))/E592</f>
        <v>0</v>
      </c>
      <c r="V592" s="49">
        <f>(100*('GA Arroyo'!AU592-E592))/E592</f>
        <v>17.555133799769173</v>
      </c>
      <c r="W592" s="49">
        <f>(100*('GA Arroyo'!AX592-E592))/E592</f>
        <v>60.041744806693579</v>
      </c>
    </row>
    <row r="593" spans="1:23" ht="15" customHeight="1">
      <c r="B593">
        <f>MIN('GA Arroyo'!B593,'GA Arroyo'!E593,'GA Arroyo'!H593,'GA Arroyo'!K593)</f>
        <v>62054</v>
      </c>
      <c r="C593">
        <f>MIN('GA Arroyo'!O593, 'GA Arroyo'!R593, 'GA Arroyo'!U593, 'GA Arroyo'!X593)</f>
        <v>58240.4</v>
      </c>
      <c r="D593">
        <f>MIN('GA Arroyo'!AB593, 'GA Arroyo'!AE593, 'GA Arroyo'!AH593, 'GA Arroyo'!AK593)</f>
        <v>60199.6</v>
      </c>
      <c r="E593">
        <f>MIN('GA Arroyo'!AO593, 'GA Arroyo'!AR593, 'GA Arroyo'!AU593, 'GA Arroyo'!AX593)</f>
        <v>59773.2</v>
      </c>
      <c r="G593" s="45">
        <f t="shared" si="49"/>
        <v>58240.4</v>
      </c>
      <c r="I593" s="49">
        <f t="shared" si="50"/>
        <v>6.5480319503300093</v>
      </c>
      <c r="J593" s="49">
        <f t="shared" si="51"/>
        <v>0</v>
      </c>
      <c r="K593" s="49">
        <f t="shared" si="52"/>
        <v>3.3639878846985889</v>
      </c>
      <c r="L593" s="49">
        <f t="shared" si="53"/>
        <v>2.6318500559748825</v>
      </c>
      <c r="T593" s="49">
        <f>(100*('GA Arroyo'!AO593-E593))/E593</f>
        <v>11.48591676537311</v>
      </c>
      <c r="U593" s="49">
        <f>(100*('GA Arroyo'!AR593-E593))/E593</f>
        <v>5.8611551665294837</v>
      </c>
      <c r="V593" s="49">
        <f>(100*('GA Arroyo'!AU593-E593))/E593</f>
        <v>9.2986488928148496</v>
      </c>
      <c r="W593" s="49">
        <f>(100*('GA Arroyo'!AX593-E593))/E593</f>
        <v>0</v>
      </c>
    </row>
    <row r="594" spans="1:23" ht="15" customHeight="1">
      <c r="B594">
        <f>MIN('GA Arroyo'!B594,'GA Arroyo'!E594,'GA Arroyo'!H594,'GA Arroyo'!K594)</f>
        <v>65784.3</v>
      </c>
      <c r="C594">
        <f>MIN('GA Arroyo'!O594, 'GA Arroyo'!R594, 'GA Arroyo'!U594, 'GA Arroyo'!X594)</f>
        <v>65320.2</v>
      </c>
      <c r="D594">
        <f>MIN('GA Arroyo'!AB594, 'GA Arroyo'!AE594, 'GA Arroyo'!AH594, 'GA Arroyo'!AK594)</f>
        <v>64038.2</v>
      </c>
      <c r="E594">
        <f>MIN('GA Arroyo'!AO594, 'GA Arroyo'!AR594, 'GA Arroyo'!AU594, 'GA Arroyo'!AX594)</f>
        <v>66223.199999999997</v>
      </c>
      <c r="G594" s="45">
        <f t="shared" si="49"/>
        <v>64038.2</v>
      </c>
      <c r="I594" s="49">
        <f t="shared" si="50"/>
        <v>2.7266537785259515</v>
      </c>
      <c r="J594" s="49">
        <f t="shared" si="51"/>
        <v>2.0019300979727728</v>
      </c>
      <c r="K594" s="49">
        <f t="shared" si="52"/>
        <v>0</v>
      </c>
      <c r="L594" s="49">
        <f t="shared" si="53"/>
        <v>3.4120259470128769</v>
      </c>
      <c r="T594" s="49">
        <f>(100*('GA Arroyo'!AO594-E594))/E594</f>
        <v>1.6805288780971153</v>
      </c>
      <c r="U594" s="49">
        <f>(100*('GA Arroyo'!AR594-E594))/E594</f>
        <v>0</v>
      </c>
      <c r="V594" s="49">
        <f>(100*('GA Arroyo'!AU594-E594))/E594</f>
        <v>2.7815025549958325</v>
      </c>
      <c r="W594" s="49">
        <f>(100*('GA Arroyo'!AX594-E594))/E594</f>
        <v>2.7165706278162336</v>
      </c>
    </row>
    <row r="595" spans="1:23" ht="15" customHeight="1">
      <c r="B595">
        <f>MIN('GA Arroyo'!B595,'GA Arroyo'!E595,'GA Arroyo'!H595,'GA Arroyo'!K595)</f>
        <v>58127.8</v>
      </c>
      <c r="C595">
        <f>MIN('GA Arroyo'!O595, 'GA Arroyo'!R595, 'GA Arroyo'!U595, 'GA Arroyo'!X595)</f>
        <v>58498.3</v>
      </c>
      <c r="D595">
        <f>MIN('GA Arroyo'!AB595, 'GA Arroyo'!AE595, 'GA Arroyo'!AH595, 'GA Arroyo'!AK595)</f>
        <v>57428.2</v>
      </c>
      <c r="E595">
        <f>MIN('GA Arroyo'!AO595, 'GA Arroyo'!AR595, 'GA Arroyo'!AU595, 'GA Arroyo'!AX595)</f>
        <v>58971.199999999997</v>
      </c>
      <c r="G595" s="45">
        <f t="shared" si="49"/>
        <v>57428.2</v>
      </c>
      <c r="I595" s="49">
        <f t="shared" si="50"/>
        <v>1.2182168342382416</v>
      </c>
      <c r="J595" s="49">
        <f t="shared" si="51"/>
        <v>1.8633702606036857</v>
      </c>
      <c r="K595" s="49">
        <f t="shared" si="52"/>
        <v>0</v>
      </c>
      <c r="L595" s="49">
        <f t="shared" si="53"/>
        <v>2.6868332979268028</v>
      </c>
      <c r="T595" s="49">
        <f>(100*('GA Arroyo'!AO595-E595))/E595</f>
        <v>14.932882491792615</v>
      </c>
      <c r="U595" s="49">
        <f>(100*('GA Arroyo'!AR595-E595))/E595</f>
        <v>1.9807974061915068</v>
      </c>
      <c r="V595" s="49">
        <f>(100*('GA Arroyo'!AU595-E595))/E595</f>
        <v>34.897373633231155</v>
      </c>
      <c r="W595" s="49">
        <f>(100*('GA Arroyo'!AX595-E595))/E595</f>
        <v>0</v>
      </c>
    </row>
    <row r="596" spans="1:23" ht="15" customHeight="1">
      <c r="B596">
        <f>MIN('GA Arroyo'!B596,'GA Arroyo'!E596,'GA Arroyo'!H596,'GA Arroyo'!K596)</f>
        <v>54650</v>
      </c>
      <c r="C596">
        <f>MIN('GA Arroyo'!O596, 'GA Arroyo'!R596, 'GA Arroyo'!U596, 'GA Arroyo'!X596)</f>
        <v>56699.5</v>
      </c>
      <c r="D596">
        <f>MIN('GA Arroyo'!AB596, 'GA Arroyo'!AE596, 'GA Arroyo'!AH596, 'GA Arroyo'!AK596)</f>
        <v>55848.6</v>
      </c>
      <c r="E596">
        <f>MIN('GA Arroyo'!AO596, 'GA Arroyo'!AR596, 'GA Arroyo'!AU596, 'GA Arroyo'!AX596)</f>
        <v>54904.3</v>
      </c>
      <c r="G596" s="45">
        <f t="shared" si="49"/>
        <v>54650</v>
      </c>
      <c r="I596" s="49">
        <f t="shared" si="50"/>
        <v>0</v>
      </c>
      <c r="J596" s="49">
        <f t="shared" si="51"/>
        <v>3.7502287282708142</v>
      </c>
      <c r="K596" s="49">
        <f t="shared" si="52"/>
        <v>2.1932296431838947</v>
      </c>
      <c r="L596" s="49">
        <f t="shared" si="53"/>
        <v>0.46532479414456157</v>
      </c>
      <c r="T596" s="49">
        <f>(100*('GA Arroyo'!AO596-E596))/E596</f>
        <v>5.699371451780638</v>
      </c>
      <c r="U596" s="49">
        <f>(100*('GA Arroyo'!AR596-E596))/E596</f>
        <v>1.0716829100817133</v>
      </c>
      <c r="V596" s="49">
        <f>(100*('GA Arroyo'!AU596-E596))/E596</f>
        <v>5.8215841017916539</v>
      </c>
      <c r="W596" s="49">
        <f>(100*('GA Arroyo'!AX596-E596))/E596</f>
        <v>0</v>
      </c>
    </row>
    <row r="597" spans="1:23" ht="15" customHeight="1">
      <c r="B597">
        <f>MIN('GA Arroyo'!B597,'GA Arroyo'!E597,'GA Arroyo'!H597,'GA Arroyo'!K597)</f>
        <v>66074</v>
      </c>
      <c r="C597">
        <f>MIN('GA Arroyo'!O597, 'GA Arroyo'!R597, 'GA Arroyo'!U597, 'GA Arroyo'!X597)</f>
        <v>66169.399999999994</v>
      </c>
      <c r="D597">
        <f>MIN('GA Arroyo'!AB597, 'GA Arroyo'!AE597, 'GA Arroyo'!AH597, 'GA Arroyo'!AK597)</f>
        <v>62775.199999999997</v>
      </c>
      <c r="E597">
        <f>MIN('GA Arroyo'!AO597, 'GA Arroyo'!AR597, 'GA Arroyo'!AU597, 'GA Arroyo'!AX597)</f>
        <v>64550.3</v>
      </c>
      <c r="G597" s="45">
        <f t="shared" si="49"/>
        <v>62775.199999999997</v>
      </c>
      <c r="I597" s="49">
        <f t="shared" si="50"/>
        <v>5.2549414418432807</v>
      </c>
      <c r="J597" s="49">
        <f t="shared" si="51"/>
        <v>5.4069122838318275</v>
      </c>
      <c r="K597" s="49">
        <f t="shared" si="52"/>
        <v>0</v>
      </c>
      <c r="L597" s="49">
        <f t="shared" si="53"/>
        <v>2.8277090315921032</v>
      </c>
      <c r="T597" s="49">
        <f>(100*('GA Arroyo'!AO597-E597))/E597</f>
        <v>32.65515419757925</v>
      </c>
      <c r="U597" s="49">
        <f>(100*('GA Arroyo'!AR597-E597))/E597</f>
        <v>30.276079274612204</v>
      </c>
      <c r="V597" s="49">
        <f>(100*('GA Arroyo'!AU597-E597))/E597</f>
        <v>3.6384029198934646</v>
      </c>
      <c r="W597" s="49">
        <f>(100*('GA Arroyo'!AX597-E597))/E597</f>
        <v>0</v>
      </c>
    </row>
    <row r="598" spans="1:23" ht="15" customHeight="1">
      <c r="B598">
        <f>MIN('GA Arroyo'!B598,'GA Arroyo'!E598,'GA Arroyo'!H598,'GA Arroyo'!K598)</f>
        <v>56726.1</v>
      </c>
      <c r="C598">
        <f>MIN('GA Arroyo'!O598, 'GA Arroyo'!R598, 'GA Arroyo'!U598, 'GA Arroyo'!X598)</f>
        <v>55799.4</v>
      </c>
      <c r="D598">
        <f>MIN('GA Arroyo'!AB598, 'GA Arroyo'!AE598, 'GA Arroyo'!AH598, 'GA Arroyo'!AK598)</f>
        <v>55684.3</v>
      </c>
      <c r="E598">
        <f>MIN('GA Arroyo'!AO598, 'GA Arroyo'!AR598, 'GA Arroyo'!AU598, 'GA Arroyo'!AX598)</f>
        <v>55069.4</v>
      </c>
      <c r="G598" s="45">
        <f t="shared" si="49"/>
        <v>55069.4</v>
      </c>
      <c r="I598" s="49">
        <f t="shared" si="50"/>
        <v>3.0083857823037787</v>
      </c>
      <c r="J598" s="49">
        <f t="shared" si="51"/>
        <v>1.3256000610139205</v>
      </c>
      <c r="K598" s="49">
        <f t="shared" si="52"/>
        <v>1.1165910650924133</v>
      </c>
      <c r="L598" s="49">
        <f t="shared" si="53"/>
        <v>0</v>
      </c>
      <c r="T598" s="49">
        <f>(100*('GA Arroyo'!AO598-E598))/E598</f>
        <v>13.61827076379986</v>
      </c>
      <c r="U598" s="49">
        <f>(100*('GA Arroyo'!AR598-E598))/E598</f>
        <v>0.74578622610741552</v>
      </c>
      <c r="V598" s="49">
        <f>(100*('GA Arroyo'!AU598-E598))/E598</f>
        <v>0</v>
      </c>
      <c r="W598" s="49">
        <f>(100*('GA Arroyo'!AX598-E598))/E598</f>
        <v>18.86510475872263</v>
      </c>
    </row>
    <row r="599" spans="1:23" ht="15" customHeight="1">
      <c r="B599">
        <f>MIN('GA Arroyo'!B599,'GA Arroyo'!E599,'GA Arroyo'!H599,'GA Arroyo'!K599)</f>
        <v>53957</v>
      </c>
      <c r="C599">
        <f>MIN('GA Arroyo'!O599, 'GA Arroyo'!R599, 'GA Arroyo'!U599, 'GA Arroyo'!X599)</f>
        <v>56587.7</v>
      </c>
      <c r="D599">
        <f>MIN('GA Arroyo'!AB599, 'GA Arroyo'!AE599, 'GA Arroyo'!AH599, 'GA Arroyo'!AK599)</f>
        <v>56585.3</v>
      </c>
      <c r="E599">
        <f>MIN('GA Arroyo'!AO599, 'GA Arroyo'!AR599, 'GA Arroyo'!AU599, 'GA Arroyo'!AX599)</f>
        <v>53452.1</v>
      </c>
      <c r="G599" s="45">
        <f t="shared" si="49"/>
        <v>53452.1</v>
      </c>
      <c r="I599" s="49">
        <f t="shared" si="50"/>
        <v>0.94458402943944475</v>
      </c>
      <c r="J599" s="49">
        <f t="shared" si="51"/>
        <v>5.8661867354135735</v>
      </c>
      <c r="K599" s="49">
        <f t="shared" si="52"/>
        <v>5.8616967340852923</v>
      </c>
      <c r="L599" s="49">
        <f t="shared" si="53"/>
        <v>0</v>
      </c>
      <c r="T599" s="49">
        <f>(100*('GA Arroyo'!AO599-E599))/E599</f>
        <v>0</v>
      </c>
      <c r="U599" s="49">
        <f>(100*('GA Arroyo'!AR599-E599))/E599</f>
        <v>5.49276829161062</v>
      </c>
      <c r="V599" s="49">
        <f>(100*('GA Arroyo'!AU599-E599))/E599</f>
        <v>3.8737486459839716</v>
      </c>
      <c r="W599" s="49">
        <f>(100*('GA Arroyo'!AX599-E599))/E599</f>
        <v>3.4066014244529241</v>
      </c>
    </row>
    <row r="600" spans="1:23" ht="15" customHeight="1">
      <c r="B600">
        <f>MIN('GA Arroyo'!B600,'GA Arroyo'!E600,'GA Arroyo'!H600,'GA Arroyo'!K600)</f>
        <v>52137.7</v>
      </c>
      <c r="C600">
        <f>MIN('GA Arroyo'!O600, 'GA Arroyo'!R600, 'GA Arroyo'!U600, 'GA Arroyo'!X600)</f>
        <v>54543</v>
      </c>
      <c r="D600">
        <f>MIN('GA Arroyo'!AB600, 'GA Arroyo'!AE600, 'GA Arroyo'!AH600, 'GA Arroyo'!AK600)</f>
        <v>51999.6</v>
      </c>
      <c r="E600">
        <f>MIN('GA Arroyo'!AO600, 'GA Arroyo'!AR600, 'GA Arroyo'!AU600, 'GA Arroyo'!AX600)</f>
        <v>52964.2</v>
      </c>
      <c r="G600" s="45">
        <f t="shared" si="49"/>
        <v>51999.6</v>
      </c>
      <c r="I600" s="49">
        <f t="shared" si="50"/>
        <v>0.26557896599204328</v>
      </c>
      <c r="J600" s="49">
        <f t="shared" si="51"/>
        <v>4.8911914707036237</v>
      </c>
      <c r="K600" s="49">
        <f t="shared" si="52"/>
        <v>0</v>
      </c>
      <c r="L600" s="49">
        <f t="shared" si="53"/>
        <v>1.8550142693405307</v>
      </c>
      <c r="T600" s="49">
        <f>(100*('GA Arroyo'!AO600-E600))/E600</f>
        <v>33.380472092470008</v>
      </c>
      <c r="U600" s="49">
        <f>(100*('GA Arroyo'!AR600-E600))/E600</f>
        <v>12.580950906461348</v>
      </c>
      <c r="V600" s="49">
        <f>(100*('GA Arroyo'!AU600-E600))/E600</f>
        <v>8.4475929023755754</v>
      </c>
      <c r="W600" s="49">
        <f>(100*('GA Arroyo'!AX600-E600))/E600</f>
        <v>0</v>
      </c>
    </row>
    <row r="601" spans="1:23" ht="15" customHeight="1">
      <c r="B601">
        <f>MIN('GA Arroyo'!B601,'GA Arroyo'!E601,'GA Arroyo'!H601,'GA Arroyo'!K601)</f>
        <v>47415.4</v>
      </c>
      <c r="C601">
        <f>MIN('GA Arroyo'!O601, 'GA Arroyo'!R601, 'GA Arroyo'!U601, 'GA Arroyo'!X601)</f>
        <v>49846.7</v>
      </c>
      <c r="D601">
        <f>MIN('GA Arroyo'!AB601, 'GA Arroyo'!AE601, 'GA Arroyo'!AH601, 'GA Arroyo'!AK601)</f>
        <v>47061.4</v>
      </c>
      <c r="E601">
        <f>MIN('GA Arroyo'!AO601, 'GA Arroyo'!AR601, 'GA Arroyo'!AU601, 'GA Arroyo'!AX601)</f>
        <v>45985.4</v>
      </c>
      <c r="G601" s="45">
        <f t="shared" si="49"/>
        <v>45985.4</v>
      </c>
      <c r="I601" s="49">
        <f t="shared" si="50"/>
        <v>3.1096826384026235</v>
      </c>
      <c r="J601" s="49">
        <f t="shared" si="51"/>
        <v>8.3967955046601652</v>
      </c>
      <c r="K601" s="49">
        <f t="shared" si="52"/>
        <v>2.3398730901547014</v>
      </c>
      <c r="L601" s="49">
        <f t="shared" si="53"/>
        <v>0</v>
      </c>
      <c r="T601" s="49">
        <f>(100*('GA Arroyo'!AO601-E601))/E601</f>
        <v>0</v>
      </c>
      <c r="U601" s="49">
        <f>(100*('GA Arroyo'!AR601-E601))/E601</f>
        <v>9.6556733224023219</v>
      </c>
      <c r="V601" s="49">
        <f>(100*('GA Arroyo'!AU601-E601))/E601</f>
        <v>13.077194065942665</v>
      </c>
      <c r="W601" s="49">
        <f>(100*('GA Arroyo'!AX601-E601))/E601</f>
        <v>3.9432080616891354</v>
      </c>
    </row>
    <row r="602" spans="1:23" ht="15" customHeight="1">
      <c r="B602">
        <f>MIN('GA Arroyo'!B602,'GA Arroyo'!E602,'GA Arroyo'!H602,'GA Arroyo'!K602)</f>
        <v>42864.800000000003</v>
      </c>
      <c r="C602">
        <f>MIN('GA Arroyo'!O602, 'GA Arroyo'!R602, 'GA Arroyo'!U602, 'GA Arroyo'!X602)</f>
        <v>44111</v>
      </c>
      <c r="D602">
        <f>MIN('GA Arroyo'!AB602, 'GA Arroyo'!AE602, 'GA Arroyo'!AH602, 'GA Arroyo'!AK602)</f>
        <v>40663.300000000003</v>
      </c>
      <c r="E602">
        <f>MIN('GA Arroyo'!AO602, 'GA Arroyo'!AR602, 'GA Arroyo'!AU602, 'GA Arroyo'!AX602)</f>
        <v>39335.599999999999</v>
      </c>
      <c r="G602" s="45">
        <f t="shared" si="49"/>
        <v>39335.599999999999</v>
      </c>
      <c r="I602" s="49">
        <f t="shared" si="50"/>
        <v>8.9720253409125696</v>
      </c>
      <c r="J602" s="49">
        <f t="shared" si="51"/>
        <v>12.140147855886275</v>
      </c>
      <c r="K602" s="49">
        <f t="shared" si="52"/>
        <v>3.3753139649579627</v>
      </c>
      <c r="L602" s="49">
        <f t="shared" si="53"/>
        <v>0</v>
      </c>
      <c r="T602" s="49">
        <f>(100*('GA Arroyo'!AO602-E602))/E602</f>
        <v>2.8617842361626731</v>
      </c>
      <c r="U602" s="49">
        <f>(100*('GA Arroyo'!AR602-E602))/E602</f>
        <v>44.984950019829363</v>
      </c>
      <c r="V602" s="49">
        <f>(100*('GA Arroyo'!AU602-E602))/E602</f>
        <v>0</v>
      </c>
      <c r="W602" s="49">
        <f>(100*('GA Arroyo'!AX602-E602))/E602</f>
        <v>5.2934237687997756</v>
      </c>
    </row>
    <row r="603" spans="1:23" ht="15" customHeight="1">
      <c r="A603" s="50"/>
      <c r="B603" s="50">
        <f>MIN('GA Arroyo'!B603,'GA Arroyo'!E603,'GA Arroyo'!H603,'GA Arroyo'!K603)</f>
        <v>312317</v>
      </c>
      <c r="C603" s="50">
        <f>MIN('GA Arroyo'!O603, 'GA Arroyo'!R603, 'GA Arroyo'!U603, 'GA Arroyo'!X603)</f>
        <v>340313</v>
      </c>
      <c r="D603" s="50">
        <f>MIN('GA Arroyo'!AB603, 'GA Arroyo'!AE603, 'GA Arroyo'!AH603, 'GA Arroyo'!AK603)</f>
        <v>367109</v>
      </c>
      <c r="E603" s="50">
        <f>MIN('GA Arroyo'!AO603, 'GA Arroyo'!AR603, 'GA Arroyo'!AU603, 'GA Arroyo'!AX603)</f>
        <v>332367</v>
      </c>
      <c r="F603" s="50"/>
      <c r="G603" s="50">
        <f t="shared" si="49"/>
        <v>312317</v>
      </c>
      <c r="H603" s="50"/>
      <c r="I603" s="50">
        <f t="shared" si="50"/>
        <v>0</v>
      </c>
      <c r="J603" s="50">
        <f t="shared" si="51"/>
        <v>8.9639693004223275</v>
      </c>
      <c r="K603" s="50">
        <f t="shared" si="52"/>
        <v>17.543713598683389</v>
      </c>
      <c r="L603" s="50">
        <f t="shared" si="53"/>
        <v>6.4197594111111469</v>
      </c>
      <c r="M603" s="50"/>
      <c r="N603" s="50"/>
      <c r="O603" s="50"/>
      <c r="P603" s="50"/>
      <c r="Q603" s="50"/>
      <c r="R603" s="50"/>
      <c r="S603" s="50"/>
      <c r="T603" s="49">
        <f>(100*('GA Arroyo'!AO603-E603))/E603</f>
        <v>14.634726070879479</v>
      </c>
      <c r="U603" s="49">
        <f>(100*('GA Arroyo'!AR603-E603))/E603</f>
        <v>2.706345696173206</v>
      </c>
      <c r="V603" s="49">
        <f>(100*('GA Arroyo'!AU603-E603))/E603</f>
        <v>2.7683253752628869</v>
      </c>
      <c r="W603" s="49">
        <f>(100*('GA Arroyo'!AX603-E603))/E603</f>
        <v>0</v>
      </c>
    </row>
    <row r="604" spans="1:23" ht="15" customHeight="1">
      <c r="B604">
        <f>MIN('GA Arroyo'!B604,'GA Arroyo'!E604,'GA Arroyo'!H604,'GA Arroyo'!K604)</f>
        <v>335819</v>
      </c>
      <c r="C604">
        <f>MIN('GA Arroyo'!O604, 'GA Arroyo'!R604, 'GA Arroyo'!U604, 'GA Arroyo'!X604)</f>
        <v>359495</v>
      </c>
      <c r="D604">
        <f>MIN('GA Arroyo'!AB604, 'GA Arroyo'!AE604, 'GA Arroyo'!AH604, 'GA Arroyo'!AK604)</f>
        <v>365346</v>
      </c>
      <c r="E604">
        <f>MIN('GA Arroyo'!AO604, 'GA Arroyo'!AR604, 'GA Arroyo'!AU604, 'GA Arroyo'!AX604)</f>
        <v>318089</v>
      </c>
      <c r="G604" s="45">
        <f t="shared" si="49"/>
        <v>318089</v>
      </c>
      <c r="I604" s="49">
        <f t="shared" si="50"/>
        <v>5.5739117039570685</v>
      </c>
      <c r="J604" s="49">
        <f t="shared" si="51"/>
        <v>13.017111563115984</v>
      </c>
      <c r="K604" s="49">
        <f t="shared" si="52"/>
        <v>14.856533863164083</v>
      </c>
      <c r="L604" s="49">
        <f t="shared" si="53"/>
        <v>0</v>
      </c>
      <c r="T604" s="49">
        <f>(100*('GA Arroyo'!AO604-E604))/E604</f>
        <v>8.2511498354234192</v>
      </c>
      <c r="U604" s="49">
        <f>(100*('GA Arroyo'!AR604-E604))/E604</f>
        <v>0</v>
      </c>
      <c r="V604" s="49">
        <f>(100*('GA Arroyo'!AU604-E604))/E604</f>
        <v>3.9919645130765291</v>
      </c>
      <c r="W604" s="49">
        <f>(100*('GA Arroyo'!AX604-E604))/E604</f>
        <v>5.9011786009575937</v>
      </c>
    </row>
    <row r="605" spans="1:23" ht="15" customHeight="1">
      <c r="B605">
        <f>MIN('GA Arroyo'!B605,'GA Arroyo'!E605,'GA Arroyo'!H605,'GA Arroyo'!K605)</f>
        <v>352109</v>
      </c>
      <c r="C605">
        <f>MIN('GA Arroyo'!O605, 'GA Arroyo'!R605, 'GA Arroyo'!U605, 'GA Arroyo'!X605)</f>
        <v>369961</v>
      </c>
      <c r="D605">
        <f>MIN('GA Arroyo'!AB605, 'GA Arroyo'!AE605, 'GA Arroyo'!AH605, 'GA Arroyo'!AK605)</f>
        <v>431378</v>
      </c>
      <c r="E605">
        <f>MIN('GA Arroyo'!AO605, 'GA Arroyo'!AR605, 'GA Arroyo'!AU605, 'GA Arroyo'!AX605)</f>
        <v>355057</v>
      </c>
      <c r="G605" s="45">
        <f t="shared" si="49"/>
        <v>352109</v>
      </c>
      <c r="I605" s="49">
        <f t="shared" si="50"/>
        <v>0</v>
      </c>
      <c r="J605" s="49">
        <f t="shared" si="51"/>
        <v>5.0700209310185196</v>
      </c>
      <c r="K605" s="49">
        <f t="shared" si="52"/>
        <v>22.512631031867972</v>
      </c>
      <c r="L605" s="49">
        <f t="shared" si="53"/>
        <v>0.83724074079333388</v>
      </c>
      <c r="T605" s="49">
        <f>(100*('GA Arroyo'!AO605-E605))/E605</f>
        <v>10.429029705089606</v>
      </c>
      <c r="U605" s="49">
        <f>(100*('GA Arroyo'!AR605-E605))/E605</f>
        <v>0</v>
      </c>
      <c r="V605" s="49">
        <f>(100*('GA Arroyo'!AU605-E605))/E605</f>
        <v>4.6510841921156318</v>
      </c>
      <c r="W605" s="49">
        <f>(100*('GA Arroyo'!AX605-E605))/E605</f>
        <v>4.04160458743244</v>
      </c>
    </row>
    <row r="606" spans="1:23" ht="15" customHeight="1">
      <c r="B606">
        <f>MIN('GA Arroyo'!B606,'GA Arroyo'!E606,'GA Arroyo'!H606,'GA Arroyo'!K606)</f>
        <v>333395</v>
      </c>
      <c r="C606">
        <f>MIN('GA Arroyo'!O606, 'GA Arroyo'!R606, 'GA Arroyo'!U606, 'GA Arroyo'!X606)</f>
        <v>335496</v>
      </c>
      <c r="D606">
        <f>MIN('GA Arroyo'!AB606, 'GA Arroyo'!AE606, 'GA Arroyo'!AH606, 'GA Arroyo'!AK606)</f>
        <v>368650</v>
      </c>
      <c r="E606">
        <f>MIN('GA Arroyo'!AO606, 'GA Arroyo'!AR606, 'GA Arroyo'!AU606, 'GA Arroyo'!AX606)</f>
        <v>333335</v>
      </c>
      <c r="G606" s="45">
        <f t="shared" si="49"/>
        <v>333335</v>
      </c>
      <c r="I606" s="49">
        <f t="shared" si="50"/>
        <v>1.7999910000449999E-2</v>
      </c>
      <c r="J606" s="49">
        <f t="shared" si="51"/>
        <v>0.64829675851620738</v>
      </c>
      <c r="K606" s="49">
        <f t="shared" si="52"/>
        <v>10.594447027764861</v>
      </c>
      <c r="L606" s="49">
        <f t="shared" si="53"/>
        <v>0</v>
      </c>
      <c r="T606" s="49">
        <f>(100*('GA Arroyo'!AO606-E606))/E606</f>
        <v>8.7977560112199438</v>
      </c>
      <c r="U606" s="49">
        <f>(100*('GA Arroyo'!AR606-E606))/E606</f>
        <v>1.4780926095369522</v>
      </c>
      <c r="V606" s="49">
        <f>(100*('GA Arroyo'!AU606-E606))/E606</f>
        <v>0</v>
      </c>
      <c r="W606" s="49">
        <f>(100*('GA Arroyo'!AX606-E606))/E606</f>
        <v>3.8903805480972595</v>
      </c>
    </row>
    <row r="607" spans="1:23" ht="15" customHeight="1">
      <c r="B607">
        <f>MIN('GA Arroyo'!B607,'GA Arroyo'!E607,'GA Arroyo'!H607,'GA Arroyo'!K607)</f>
        <v>323713</v>
      </c>
      <c r="C607">
        <f>MIN('GA Arroyo'!O607, 'GA Arroyo'!R607, 'GA Arroyo'!U607, 'GA Arroyo'!X607)</f>
        <v>328156</v>
      </c>
      <c r="D607">
        <f>MIN('GA Arroyo'!AB607, 'GA Arroyo'!AE607, 'GA Arroyo'!AH607, 'GA Arroyo'!AK607)</f>
        <v>371639</v>
      </c>
      <c r="E607">
        <f>MIN('GA Arroyo'!AO607, 'GA Arroyo'!AR607, 'GA Arroyo'!AU607, 'GA Arroyo'!AX607)</f>
        <v>322119</v>
      </c>
      <c r="G607" s="45">
        <f t="shared" si="49"/>
        <v>322119</v>
      </c>
      <c r="I607" s="49">
        <f t="shared" si="50"/>
        <v>0.49484817722642876</v>
      </c>
      <c r="J607" s="49">
        <f t="shared" si="51"/>
        <v>1.8741520990689775</v>
      </c>
      <c r="K607" s="49">
        <f t="shared" si="52"/>
        <v>15.373200587360571</v>
      </c>
      <c r="L607" s="49">
        <f t="shared" si="53"/>
        <v>0</v>
      </c>
      <c r="T607" s="49">
        <f>(100*('GA Arroyo'!AO607-E607))/E607</f>
        <v>9.8479133487934583</v>
      </c>
      <c r="U607" s="49">
        <f>(100*('GA Arroyo'!AR607-E607))/E607</f>
        <v>5.3045613577590887</v>
      </c>
      <c r="V607" s="49">
        <f>(100*('GA Arroyo'!AU607-E607))/E607</f>
        <v>0</v>
      </c>
      <c r="W607" s="49">
        <f>(100*('GA Arroyo'!AX607-E607))/E607</f>
        <v>1.4084856838621751</v>
      </c>
    </row>
    <row r="608" spans="1:23" ht="15" customHeight="1">
      <c r="B608">
        <f>MIN('GA Arroyo'!B608,'GA Arroyo'!E608,'GA Arroyo'!H608,'GA Arroyo'!K608)</f>
        <v>334704</v>
      </c>
      <c r="C608">
        <f>MIN('GA Arroyo'!O608, 'GA Arroyo'!R608, 'GA Arroyo'!U608, 'GA Arroyo'!X608)</f>
        <v>338149</v>
      </c>
      <c r="D608">
        <f>MIN('GA Arroyo'!AB608, 'GA Arroyo'!AE608, 'GA Arroyo'!AH608, 'GA Arroyo'!AK608)</f>
        <v>392180</v>
      </c>
      <c r="E608">
        <f>MIN('GA Arroyo'!AO608, 'GA Arroyo'!AR608, 'GA Arroyo'!AU608, 'GA Arroyo'!AX608)</f>
        <v>324577</v>
      </c>
      <c r="G608" s="45">
        <f t="shared" si="49"/>
        <v>324577</v>
      </c>
      <c r="I608" s="49">
        <f t="shared" si="50"/>
        <v>3.120060879236668</v>
      </c>
      <c r="J608" s="49">
        <f t="shared" si="51"/>
        <v>4.1814423079885517</v>
      </c>
      <c r="K608" s="49">
        <f t="shared" si="52"/>
        <v>20.828031561077957</v>
      </c>
      <c r="L608" s="49">
        <f t="shared" si="53"/>
        <v>0</v>
      </c>
      <c r="T608" s="49">
        <f>(100*('GA Arroyo'!AO608-E608))/E608</f>
        <v>3.7759915212723021</v>
      </c>
      <c r="U608" s="49">
        <f>(100*('GA Arroyo'!AR608-E608))/E608</f>
        <v>4.61677814509346</v>
      </c>
      <c r="V608" s="49">
        <f>(100*('GA Arroyo'!AU608-E608))/E608</f>
        <v>0</v>
      </c>
      <c r="W608" s="49">
        <f>(100*('GA Arroyo'!AX608-E608))/E608</f>
        <v>9.4809552124765464</v>
      </c>
    </row>
    <row r="609" spans="2:23" ht="15" customHeight="1">
      <c r="B609">
        <f>MIN('GA Arroyo'!B609,'GA Arroyo'!E609,'GA Arroyo'!H609,'GA Arroyo'!K609)</f>
        <v>304649</v>
      </c>
      <c r="C609">
        <f>MIN('GA Arroyo'!O609, 'GA Arroyo'!R609, 'GA Arroyo'!U609, 'GA Arroyo'!X609)</f>
        <v>327753</v>
      </c>
      <c r="D609">
        <f>MIN('GA Arroyo'!AB609, 'GA Arroyo'!AE609, 'GA Arroyo'!AH609, 'GA Arroyo'!AK609)</f>
        <v>354306</v>
      </c>
      <c r="E609">
        <f>MIN('GA Arroyo'!AO609, 'GA Arroyo'!AR609, 'GA Arroyo'!AU609, 'GA Arroyo'!AX609)</f>
        <v>311042</v>
      </c>
      <c r="G609" s="45">
        <f t="shared" si="49"/>
        <v>304649</v>
      </c>
      <c r="I609" s="49">
        <f t="shared" si="50"/>
        <v>0</v>
      </c>
      <c r="J609" s="49">
        <f t="shared" si="51"/>
        <v>7.58380956444958</v>
      </c>
      <c r="K609" s="49">
        <f t="shared" si="52"/>
        <v>16.299741669921779</v>
      </c>
      <c r="L609" s="49">
        <f t="shared" si="53"/>
        <v>2.0984805464649483</v>
      </c>
      <c r="T609" s="49">
        <f>(100*('GA Arroyo'!AO609-E609))/E609</f>
        <v>10.944181171674565</v>
      </c>
      <c r="U609" s="49">
        <f>(100*('GA Arroyo'!AR609-E609))/E609</f>
        <v>6.8948887931533358</v>
      </c>
      <c r="V609" s="49">
        <f>(100*('GA Arroyo'!AU609-E609))/E609</f>
        <v>10.694375679168729</v>
      </c>
      <c r="W609" s="49">
        <f>(100*('GA Arroyo'!AX609-E609))/E609</f>
        <v>0</v>
      </c>
    </row>
    <row r="610" spans="2:23" ht="15" customHeight="1">
      <c r="B610">
        <f>MIN('GA Arroyo'!B610,'GA Arroyo'!E610,'GA Arroyo'!H610,'GA Arroyo'!K610)</f>
        <v>374955</v>
      </c>
      <c r="C610">
        <f>MIN('GA Arroyo'!O610, 'GA Arroyo'!R610, 'GA Arroyo'!U610, 'GA Arroyo'!X610)</f>
        <v>404759</v>
      </c>
      <c r="D610">
        <f>MIN('GA Arroyo'!AB610, 'GA Arroyo'!AE610, 'GA Arroyo'!AH610, 'GA Arroyo'!AK610)</f>
        <v>428386</v>
      </c>
      <c r="E610">
        <f>MIN('GA Arroyo'!AO610, 'GA Arroyo'!AR610, 'GA Arroyo'!AU610, 'GA Arroyo'!AX610)</f>
        <v>387731</v>
      </c>
      <c r="G610" s="45">
        <f t="shared" si="49"/>
        <v>374955</v>
      </c>
      <c r="I610" s="49">
        <f t="shared" si="50"/>
        <v>0</v>
      </c>
      <c r="J610" s="49">
        <f t="shared" si="51"/>
        <v>7.9486871757944284</v>
      </c>
      <c r="K610" s="49">
        <f t="shared" si="52"/>
        <v>14.249976663866331</v>
      </c>
      <c r="L610" s="49">
        <f t="shared" si="53"/>
        <v>3.407342214399061</v>
      </c>
      <c r="T610" s="49">
        <f>(100*('GA Arroyo'!AO610-E610))/E610</f>
        <v>23.802068960181156</v>
      </c>
      <c r="U610" s="49">
        <f>(100*('GA Arroyo'!AR610-E610))/E610</f>
        <v>0</v>
      </c>
      <c r="V610" s="49">
        <f>(100*('GA Arroyo'!AU610-E610))/E610</f>
        <v>3.5903758017801</v>
      </c>
      <c r="W610" s="49">
        <f>(100*('GA Arroyo'!AX610-E610))/E610</f>
        <v>5.94226409546825</v>
      </c>
    </row>
    <row r="611" spans="2:23" ht="15" customHeight="1">
      <c r="B611">
        <f>MIN('GA Arroyo'!B611,'GA Arroyo'!E611,'GA Arroyo'!H611,'GA Arroyo'!K611)</f>
        <v>298872</v>
      </c>
      <c r="C611">
        <f>MIN('GA Arroyo'!O611, 'GA Arroyo'!R611, 'GA Arroyo'!U611, 'GA Arroyo'!X611)</f>
        <v>299185</v>
      </c>
      <c r="D611">
        <f>MIN('GA Arroyo'!AB611, 'GA Arroyo'!AE611, 'GA Arroyo'!AH611, 'GA Arroyo'!AK611)</f>
        <v>328313</v>
      </c>
      <c r="E611">
        <f>MIN('GA Arroyo'!AO611, 'GA Arroyo'!AR611, 'GA Arroyo'!AU611, 'GA Arroyo'!AX611)</f>
        <v>313026</v>
      </c>
      <c r="G611" s="45">
        <f t="shared" si="49"/>
        <v>298872</v>
      </c>
      <c r="I611" s="49">
        <f t="shared" si="50"/>
        <v>0</v>
      </c>
      <c r="J611" s="49">
        <f t="shared" si="51"/>
        <v>0.10472710725661821</v>
      </c>
      <c r="K611" s="49">
        <f t="shared" si="52"/>
        <v>9.850705318664847</v>
      </c>
      <c r="L611" s="49">
        <f t="shared" si="53"/>
        <v>4.7358066329398536</v>
      </c>
      <c r="T611" s="49">
        <f>(100*('GA Arroyo'!AO611-E611))/E611</f>
        <v>0.89673062301534057</v>
      </c>
      <c r="U611" s="49">
        <f>(100*('GA Arroyo'!AR611-E611))/E611</f>
        <v>5.8950374729255719</v>
      </c>
      <c r="V611" s="49">
        <f>(100*('GA Arroyo'!AU611-E611))/E611</f>
        <v>3.6405921552842258</v>
      </c>
      <c r="W611" s="49">
        <f>(100*('GA Arroyo'!AX611-E611))/E611</f>
        <v>0</v>
      </c>
    </row>
    <row r="612" spans="2:23" ht="15" customHeight="1">
      <c r="B612">
        <f>MIN('GA Arroyo'!B612,'GA Arroyo'!E612,'GA Arroyo'!H612,'GA Arroyo'!K612)</f>
        <v>378386</v>
      </c>
      <c r="C612">
        <f>MIN('GA Arroyo'!O612, 'GA Arroyo'!R612, 'GA Arroyo'!U612, 'GA Arroyo'!X612)</f>
        <v>373163</v>
      </c>
      <c r="D612">
        <f>MIN('GA Arroyo'!AB612, 'GA Arroyo'!AE612, 'GA Arroyo'!AH612, 'GA Arroyo'!AK612)</f>
        <v>404076</v>
      </c>
      <c r="E612">
        <f>MIN('GA Arroyo'!AO612, 'GA Arroyo'!AR612, 'GA Arroyo'!AU612, 'GA Arroyo'!AX612)</f>
        <v>375198</v>
      </c>
      <c r="G612" s="45">
        <f t="shared" si="49"/>
        <v>373163</v>
      </c>
      <c r="I612" s="49">
        <f t="shared" si="50"/>
        <v>1.3996564503983513</v>
      </c>
      <c r="J612" s="49">
        <f t="shared" si="51"/>
        <v>0</v>
      </c>
      <c r="K612" s="49">
        <f t="shared" si="52"/>
        <v>8.2840474537936508</v>
      </c>
      <c r="L612" s="49">
        <f t="shared" si="53"/>
        <v>0.54533809622068641</v>
      </c>
      <c r="T612" s="49">
        <f>(100*('GA Arroyo'!AO612-E612))/E612</f>
        <v>1.9952131941001818</v>
      </c>
      <c r="U612" s="49">
        <f>(100*('GA Arroyo'!AR612-E612))/E612</f>
        <v>0</v>
      </c>
      <c r="V612" s="49">
        <f>(100*('GA Arroyo'!AU612-E612))/E612</f>
        <v>0.54851038651591955</v>
      </c>
      <c r="W612" s="49">
        <f>(100*('GA Arroyo'!AX612-E612))/E612</f>
        <v>1.5791662002462701</v>
      </c>
    </row>
    <row r="613" spans="2:23" ht="15" customHeight="1">
      <c r="B613">
        <f>MIN('GA Arroyo'!B613,'GA Arroyo'!E613,'GA Arroyo'!H613,'GA Arroyo'!K613)</f>
        <v>350182</v>
      </c>
      <c r="C613">
        <f>MIN('GA Arroyo'!O613, 'GA Arroyo'!R613, 'GA Arroyo'!U613, 'GA Arroyo'!X613)</f>
        <v>350239</v>
      </c>
      <c r="D613">
        <f>MIN('GA Arroyo'!AB613, 'GA Arroyo'!AE613, 'GA Arroyo'!AH613, 'GA Arroyo'!AK613)</f>
        <v>389989</v>
      </c>
      <c r="E613">
        <f>MIN('GA Arroyo'!AO613, 'GA Arroyo'!AR613, 'GA Arroyo'!AU613, 'GA Arroyo'!AX613)</f>
        <v>351245</v>
      </c>
      <c r="G613" s="45">
        <f t="shared" si="49"/>
        <v>350182</v>
      </c>
      <c r="I613" s="49">
        <f t="shared" si="50"/>
        <v>0</v>
      </c>
      <c r="J613" s="49">
        <f t="shared" si="51"/>
        <v>1.6277250115654146E-2</v>
      </c>
      <c r="K613" s="49">
        <f t="shared" si="52"/>
        <v>11.36751746234815</v>
      </c>
      <c r="L613" s="49">
        <f t="shared" si="53"/>
        <v>0.30355643636737467</v>
      </c>
      <c r="T613" s="49">
        <f>(100*('GA Arroyo'!AO613-E613))/E613</f>
        <v>1.3585958518982477</v>
      </c>
      <c r="U613" s="49">
        <f>(100*('GA Arroyo'!AR613-E613))/E613</f>
        <v>7.3675070107759542</v>
      </c>
      <c r="V613" s="49">
        <f>(100*('GA Arroyo'!AU613-E613))/E613</f>
        <v>3.8893080328545602</v>
      </c>
      <c r="W613" s="49">
        <f>(100*('GA Arroyo'!AX613-E613))/E613</f>
        <v>0</v>
      </c>
    </row>
    <row r="614" spans="2:23" ht="15" customHeight="1">
      <c r="B614">
        <f>MIN('GA Arroyo'!B614,'GA Arroyo'!E614,'GA Arroyo'!H614,'GA Arroyo'!K614)</f>
        <v>320948</v>
      </c>
      <c r="C614">
        <f>MIN('GA Arroyo'!O614, 'GA Arroyo'!R614, 'GA Arroyo'!U614, 'GA Arroyo'!X614)</f>
        <v>339869</v>
      </c>
      <c r="D614">
        <f>MIN('GA Arroyo'!AB614, 'GA Arroyo'!AE614, 'GA Arroyo'!AH614, 'GA Arroyo'!AK614)</f>
        <v>373773</v>
      </c>
      <c r="E614">
        <f>MIN('GA Arroyo'!AO614, 'GA Arroyo'!AR614, 'GA Arroyo'!AU614, 'GA Arroyo'!AX614)</f>
        <v>330584</v>
      </c>
      <c r="G614" s="45">
        <f t="shared" si="49"/>
        <v>320948</v>
      </c>
      <c r="I614" s="49">
        <f t="shared" si="50"/>
        <v>0</v>
      </c>
      <c r="J614" s="49">
        <f t="shared" si="51"/>
        <v>5.895347532933684</v>
      </c>
      <c r="K614" s="49">
        <f t="shared" si="52"/>
        <v>16.459052556800479</v>
      </c>
      <c r="L614" s="49">
        <f t="shared" si="53"/>
        <v>3.0023555217667659</v>
      </c>
      <c r="T614" s="49">
        <f>(100*('GA Arroyo'!AO614-E614))/E614</f>
        <v>0.31277980785518961</v>
      </c>
      <c r="U614" s="49">
        <f>(100*('GA Arroyo'!AR614-E614))/E614</f>
        <v>8.6326016988117988</v>
      </c>
      <c r="V614" s="49">
        <f>(100*('GA Arroyo'!AU614-E614))/E614</f>
        <v>5.289729690487138</v>
      </c>
      <c r="W614" s="49">
        <f>(100*('GA Arroyo'!AX614-E614))/E614</f>
        <v>0</v>
      </c>
    </row>
    <row r="615" spans="2:23" ht="15" customHeight="1">
      <c r="B615">
        <f>MIN('GA Arroyo'!B615,'GA Arroyo'!E615,'GA Arroyo'!H615,'GA Arroyo'!K615)</f>
        <v>311850</v>
      </c>
      <c r="C615">
        <f>MIN('GA Arroyo'!O615, 'GA Arroyo'!R615, 'GA Arroyo'!U615, 'GA Arroyo'!X615)</f>
        <v>316530</v>
      </c>
      <c r="D615">
        <f>MIN('GA Arroyo'!AB615, 'GA Arroyo'!AE615, 'GA Arroyo'!AH615, 'GA Arroyo'!AK615)</f>
        <v>352924</v>
      </c>
      <c r="E615">
        <f>MIN('GA Arroyo'!AO615, 'GA Arroyo'!AR615, 'GA Arroyo'!AU615, 'GA Arroyo'!AX615)</f>
        <v>308442</v>
      </c>
      <c r="G615" s="45">
        <f t="shared" si="49"/>
        <v>308442</v>
      </c>
      <c r="I615" s="49">
        <f t="shared" si="50"/>
        <v>1.1049078919213338</v>
      </c>
      <c r="J615" s="49">
        <f t="shared" si="51"/>
        <v>2.6222109829400666</v>
      </c>
      <c r="K615" s="49">
        <f t="shared" si="52"/>
        <v>14.421511986045999</v>
      </c>
      <c r="L615" s="49">
        <f t="shared" si="53"/>
        <v>0</v>
      </c>
      <c r="T615" s="49">
        <f>(100*('GA Arroyo'!AO615-E615))/E615</f>
        <v>12.009713333463017</v>
      </c>
      <c r="U615" s="49">
        <f>(100*('GA Arroyo'!AR615-E615))/E615</f>
        <v>0</v>
      </c>
      <c r="V615" s="49">
        <f>(100*('GA Arroyo'!AU615-E615))/E615</f>
        <v>9.9091563405761853</v>
      </c>
      <c r="W615" s="49">
        <f>(100*('GA Arroyo'!AX615-E615))/E615</f>
        <v>3.8396197664390712</v>
      </c>
    </row>
    <row r="616" spans="2:23" ht="15" customHeight="1">
      <c r="B616">
        <f>MIN('GA Arroyo'!B616,'GA Arroyo'!E616,'GA Arroyo'!H616,'GA Arroyo'!K616)</f>
        <v>382254</v>
      </c>
      <c r="C616">
        <f>MIN('GA Arroyo'!O616, 'GA Arroyo'!R616, 'GA Arroyo'!U616, 'GA Arroyo'!X616)</f>
        <v>416590</v>
      </c>
      <c r="D616">
        <f>MIN('GA Arroyo'!AB616, 'GA Arroyo'!AE616, 'GA Arroyo'!AH616, 'GA Arroyo'!AK616)</f>
        <v>451235</v>
      </c>
      <c r="E616">
        <f>MIN('GA Arroyo'!AO616, 'GA Arroyo'!AR616, 'GA Arroyo'!AU616, 'GA Arroyo'!AX616)</f>
        <v>395181</v>
      </c>
      <c r="G616" s="45">
        <f t="shared" si="49"/>
        <v>382254</v>
      </c>
      <c r="I616" s="49">
        <f t="shared" si="50"/>
        <v>0</v>
      </c>
      <c r="J616" s="49">
        <f t="shared" si="51"/>
        <v>8.9825090123321143</v>
      </c>
      <c r="K616" s="49">
        <f t="shared" si="52"/>
        <v>18.045854327227445</v>
      </c>
      <c r="L616" s="49">
        <f t="shared" si="53"/>
        <v>3.381782793639831</v>
      </c>
      <c r="T616" s="49">
        <f>(100*('GA Arroyo'!AO616-E616))/E616</f>
        <v>9.8041150763827201</v>
      </c>
      <c r="U616" s="49">
        <f>(100*('GA Arroyo'!AR616-E616))/E616</f>
        <v>4.5090730576621851</v>
      </c>
      <c r="V616" s="49">
        <f>(100*('GA Arroyo'!AU616-E616))/E616</f>
        <v>0</v>
      </c>
      <c r="W616" s="49">
        <f>(100*('GA Arroyo'!AX616-E616))/E616</f>
        <v>8.0143023070441135</v>
      </c>
    </row>
    <row r="617" spans="2:23" ht="15" customHeight="1">
      <c r="B617">
        <f>MIN('GA Arroyo'!B617,'GA Arroyo'!E617,'GA Arroyo'!H617,'GA Arroyo'!K617)</f>
        <v>315626</v>
      </c>
      <c r="C617">
        <f>MIN('GA Arroyo'!O617, 'GA Arroyo'!R617, 'GA Arroyo'!U617, 'GA Arroyo'!X617)</f>
        <v>334983</v>
      </c>
      <c r="D617">
        <f>MIN('GA Arroyo'!AB617, 'GA Arroyo'!AE617, 'GA Arroyo'!AH617, 'GA Arroyo'!AK617)</f>
        <v>349075</v>
      </c>
      <c r="E617">
        <f>MIN('GA Arroyo'!AO617, 'GA Arroyo'!AR617, 'GA Arroyo'!AU617, 'GA Arroyo'!AX617)</f>
        <v>313452</v>
      </c>
      <c r="G617" s="45">
        <f t="shared" si="49"/>
        <v>313452</v>
      </c>
      <c r="I617" s="49">
        <f t="shared" si="50"/>
        <v>0.69356711713436192</v>
      </c>
      <c r="J617" s="49">
        <f t="shared" si="51"/>
        <v>6.8689942957773438</v>
      </c>
      <c r="K617" s="49">
        <f t="shared" si="52"/>
        <v>11.364738460753161</v>
      </c>
      <c r="L617" s="49">
        <f t="shared" si="53"/>
        <v>0</v>
      </c>
      <c r="T617" s="49">
        <f>(100*('GA Arroyo'!AO617-E617))/E617</f>
        <v>0</v>
      </c>
      <c r="U617" s="49">
        <f>(100*('GA Arroyo'!AR617-E617))/E617</f>
        <v>8.9595855186759064</v>
      </c>
      <c r="V617" s="49">
        <f>(100*('GA Arroyo'!AU617-E617))/E617</f>
        <v>5.390298993147276</v>
      </c>
      <c r="W617" s="49">
        <f>(100*('GA Arroyo'!AX617-E617))/E617</f>
        <v>5.7109222464683587</v>
      </c>
    </row>
    <row r="618" spans="2:23" ht="15" customHeight="1">
      <c r="B618">
        <f>MIN('GA Arroyo'!B618,'GA Arroyo'!E618,'GA Arroyo'!H618,'GA Arroyo'!K618)</f>
        <v>374651</v>
      </c>
      <c r="C618">
        <f>MIN('GA Arroyo'!O618, 'GA Arroyo'!R618, 'GA Arroyo'!U618, 'GA Arroyo'!X618)</f>
        <v>379318</v>
      </c>
      <c r="D618">
        <f>MIN('GA Arroyo'!AB618, 'GA Arroyo'!AE618, 'GA Arroyo'!AH618, 'GA Arroyo'!AK618)</f>
        <v>426445</v>
      </c>
      <c r="E618">
        <f>MIN('GA Arroyo'!AO618, 'GA Arroyo'!AR618, 'GA Arroyo'!AU618, 'GA Arroyo'!AX618)</f>
        <v>356539</v>
      </c>
      <c r="G618" s="45">
        <f t="shared" si="49"/>
        <v>356539</v>
      </c>
      <c r="I618" s="49">
        <f t="shared" si="50"/>
        <v>5.0799491780702812</v>
      </c>
      <c r="J618" s="49">
        <f t="shared" si="51"/>
        <v>6.3889223899769734</v>
      </c>
      <c r="K618" s="49">
        <f t="shared" si="52"/>
        <v>19.606831230244097</v>
      </c>
      <c r="L618" s="49">
        <f t="shared" si="53"/>
        <v>0</v>
      </c>
      <c r="T618" s="49">
        <f>(100*('GA Arroyo'!AO618-E618))/E618</f>
        <v>11.293294702683298</v>
      </c>
      <c r="U618" s="49">
        <f>(100*('GA Arroyo'!AR618-E618))/E618</f>
        <v>8.6296309800610871</v>
      </c>
      <c r="V618" s="49">
        <f>(100*('GA Arroyo'!AU618-E618))/E618</f>
        <v>1.5981421387281616</v>
      </c>
      <c r="W618" s="49">
        <f>(100*('GA Arroyo'!AX618-E618))/E618</f>
        <v>0</v>
      </c>
    </row>
    <row r="619" spans="2:23" ht="15" customHeight="1">
      <c r="B619">
        <f>MIN('GA Arroyo'!B619,'GA Arroyo'!E619,'GA Arroyo'!H619,'GA Arroyo'!K619)</f>
        <v>365942</v>
      </c>
      <c r="C619">
        <f>MIN('GA Arroyo'!O619, 'GA Arroyo'!R619, 'GA Arroyo'!U619, 'GA Arroyo'!X619)</f>
        <v>383035</v>
      </c>
      <c r="D619">
        <f>MIN('GA Arroyo'!AB619, 'GA Arroyo'!AE619, 'GA Arroyo'!AH619, 'GA Arroyo'!AK619)</f>
        <v>414765</v>
      </c>
      <c r="E619">
        <f>MIN('GA Arroyo'!AO619, 'GA Arroyo'!AR619, 'GA Arroyo'!AU619, 'GA Arroyo'!AX619)</f>
        <v>379265</v>
      </c>
      <c r="G619" s="45">
        <f t="shared" si="49"/>
        <v>365942</v>
      </c>
      <c r="I619" s="49">
        <f t="shared" si="50"/>
        <v>0</v>
      </c>
      <c r="J619" s="49">
        <f t="shared" si="51"/>
        <v>4.6709587858185175</v>
      </c>
      <c r="K619" s="49">
        <f t="shared" si="52"/>
        <v>13.341731749840138</v>
      </c>
      <c r="L619" s="49">
        <f t="shared" si="53"/>
        <v>3.6407408824349212</v>
      </c>
      <c r="T619" s="49">
        <f>(100*('GA Arroyo'!AO619-E619))/E619</f>
        <v>1.9181838556154667</v>
      </c>
      <c r="U619" s="49">
        <f>(100*('GA Arroyo'!AR619-E619))/E619</f>
        <v>0</v>
      </c>
      <c r="V619" s="49">
        <f>(100*('GA Arroyo'!AU619-E619))/E619</f>
        <v>6.0561876260662073</v>
      </c>
      <c r="W619" s="49">
        <f>(100*('GA Arroyo'!AX619-E619))/E619</f>
        <v>8.6559529616495059</v>
      </c>
    </row>
    <row r="620" spans="2:23" ht="15" customHeight="1">
      <c r="B620">
        <f>MIN('GA Arroyo'!B620,'GA Arroyo'!E620,'GA Arroyo'!H620,'GA Arroyo'!K620)</f>
        <v>369562</v>
      </c>
      <c r="C620">
        <f>MIN('GA Arroyo'!O620, 'GA Arroyo'!R620, 'GA Arroyo'!U620, 'GA Arroyo'!X620)</f>
        <v>359007</v>
      </c>
      <c r="D620">
        <f>MIN('GA Arroyo'!AB620, 'GA Arroyo'!AE620, 'GA Arroyo'!AH620, 'GA Arroyo'!AK620)</f>
        <v>419259</v>
      </c>
      <c r="E620">
        <f>MIN('GA Arroyo'!AO620, 'GA Arroyo'!AR620, 'GA Arroyo'!AU620, 'GA Arroyo'!AX620)</f>
        <v>364394</v>
      </c>
      <c r="G620" s="45">
        <f t="shared" si="49"/>
        <v>359007</v>
      </c>
      <c r="I620" s="49">
        <f t="shared" si="50"/>
        <v>2.9400540936527699</v>
      </c>
      <c r="J620" s="49">
        <f t="shared" si="51"/>
        <v>0</v>
      </c>
      <c r="K620" s="49">
        <f t="shared" si="52"/>
        <v>16.782959663739145</v>
      </c>
      <c r="L620" s="49">
        <f t="shared" si="53"/>
        <v>1.5005278448609638</v>
      </c>
      <c r="T620" s="49">
        <f>(100*('GA Arroyo'!AO620-E620))/E620</f>
        <v>6.6815040862363269</v>
      </c>
      <c r="U620" s="49">
        <f>(100*('GA Arroyo'!AR620-E620))/E620</f>
        <v>2.2783031553757747</v>
      </c>
      <c r="V620" s="49">
        <f>(100*('GA Arroyo'!AU620-E620))/E620</f>
        <v>0</v>
      </c>
      <c r="W620" s="49">
        <f>(100*('GA Arroyo'!AX620-E620))/E620</f>
        <v>2.8200244789980076</v>
      </c>
    </row>
    <row r="621" spans="2:23" ht="15" customHeight="1">
      <c r="B621">
        <f>MIN('GA Arroyo'!B621,'GA Arroyo'!E621,'GA Arroyo'!H621,'GA Arroyo'!K621)</f>
        <v>391939</v>
      </c>
      <c r="C621">
        <f>MIN('GA Arroyo'!O621, 'GA Arroyo'!R621, 'GA Arroyo'!U621, 'GA Arroyo'!X621)</f>
        <v>390530</v>
      </c>
      <c r="D621">
        <f>MIN('GA Arroyo'!AB621, 'GA Arroyo'!AE621, 'GA Arroyo'!AH621, 'GA Arroyo'!AK621)</f>
        <v>446783</v>
      </c>
      <c r="E621">
        <f>MIN('GA Arroyo'!AO621, 'GA Arroyo'!AR621, 'GA Arroyo'!AU621, 'GA Arroyo'!AX621)</f>
        <v>395855</v>
      </c>
      <c r="G621" s="45">
        <f t="shared" si="49"/>
        <v>390530</v>
      </c>
      <c r="I621" s="49">
        <f t="shared" si="50"/>
        <v>0.36079174455227514</v>
      </c>
      <c r="J621" s="49">
        <f t="shared" si="51"/>
        <v>0</v>
      </c>
      <c r="K621" s="49">
        <f t="shared" si="52"/>
        <v>14.404271118736077</v>
      </c>
      <c r="L621" s="49">
        <f t="shared" si="53"/>
        <v>1.363531610887768</v>
      </c>
      <c r="T621" s="49">
        <f>(100*('GA Arroyo'!AO621-E621))/E621</f>
        <v>2.1288097914640463</v>
      </c>
      <c r="U621" s="49">
        <f>(100*('GA Arroyo'!AR621-E621))/E621</f>
        <v>9.0199694332520739</v>
      </c>
      <c r="V621" s="49">
        <f>(100*('GA Arroyo'!AU621-E621))/E621</f>
        <v>0.6504907099821905</v>
      </c>
      <c r="W621" s="49">
        <f>(100*('GA Arroyo'!AX621-E621))/E621</f>
        <v>0</v>
      </c>
    </row>
    <row r="622" spans="2:23" ht="15" customHeight="1">
      <c r="B622">
        <f>MIN('GA Arroyo'!B622,'GA Arroyo'!E622,'GA Arroyo'!H622,'GA Arroyo'!K622)</f>
        <v>361705</v>
      </c>
      <c r="C622">
        <f>MIN('GA Arroyo'!O622, 'GA Arroyo'!R622, 'GA Arroyo'!U622, 'GA Arroyo'!X622)</f>
        <v>368539</v>
      </c>
      <c r="D622">
        <f>MIN('GA Arroyo'!AB622, 'GA Arroyo'!AE622, 'GA Arroyo'!AH622, 'GA Arroyo'!AK622)</f>
        <v>393622</v>
      </c>
      <c r="E622">
        <f>MIN('GA Arroyo'!AO622, 'GA Arroyo'!AR622, 'GA Arroyo'!AU622, 'GA Arroyo'!AX622)</f>
        <v>350208</v>
      </c>
      <c r="G622" s="45">
        <f t="shared" si="49"/>
        <v>350208</v>
      </c>
      <c r="I622" s="49">
        <f t="shared" si="50"/>
        <v>3.2829061586257309</v>
      </c>
      <c r="J622" s="49">
        <f t="shared" si="51"/>
        <v>5.2343178910818713</v>
      </c>
      <c r="K622" s="49">
        <f t="shared" si="52"/>
        <v>12.396632858187134</v>
      </c>
      <c r="L622" s="49">
        <f t="shared" si="53"/>
        <v>0</v>
      </c>
      <c r="T622" s="49">
        <f>(100*('GA Arroyo'!AO622-E622))/E622</f>
        <v>4.085286458333333</v>
      </c>
      <c r="U622" s="49">
        <f>(100*('GA Arroyo'!AR622-E622))/E622</f>
        <v>6.1440629568713447</v>
      </c>
      <c r="V622" s="49">
        <f>(100*('GA Arroyo'!AU622-E622))/E622</f>
        <v>4.3399922331871341</v>
      </c>
      <c r="W622" s="49">
        <f>(100*('GA Arroyo'!AX622-E622))/E622</f>
        <v>0</v>
      </c>
    </row>
    <row r="623" spans="2:23" ht="15" customHeight="1">
      <c r="B623">
        <f>MIN('GA Arroyo'!B623,'GA Arroyo'!E623,'GA Arroyo'!H623,'GA Arroyo'!K623)</f>
        <v>341523</v>
      </c>
      <c r="C623">
        <f>MIN('GA Arroyo'!O623, 'GA Arroyo'!R623, 'GA Arroyo'!U623, 'GA Arroyo'!X623)</f>
        <v>349234</v>
      </c>
      <c r="D623">
        <f>MIN('GA Arroyo'!AB623, 'GA Arroyo'!AE623, 'GA Arroyo'!AH623, 'GA Arroyo'!AK623)</f>
        <v>390748</v>
      </c>
      <c r="E623">
        <f>MIN('GA Arroyo'!AO623, 'GA Arroyo'!AR623, 'GA Arroyo'!AU623, 'GA Arroyo'!AX623)</f>
        <v>345569</v>
      </c>
      <c r="G623" s="45">
        <f t="shared" si="49"/>
        <v>341523</v>
      </c>
      <c r="I623" s="49">
        <f t="shared" si="50"/>
        <v>0</v>
      </c>
      <c r="J623" s="49">
        <f t="shared" si="51"/>
        <v>2.2578274376835528</v>
      </c>
      <c r="K623" s="49">
        <f t="shared" si="52"/>
        <v>14.413377722730241</v>
      </c>
      <c r="L623" s="49">
        <f t="shared" si="53"/>
        <v>1.1846932710242062</v>
      </c>
      <c r="T623" s="49">
        <f>(100*('GA Arroyo'!AO623-E623))/E623</f>
        <v>0.21732273438879066</v>
      </c>
      <c r="U623" s="49">
        <f>(100*('GA Arroyo'!AR623-E623))/E623</f>
        <v>0</v>
      </c>
      <c r="V623" s="49">
        <f>(100*('GA Arroyo'!AU623-E623))/E623</f>
        <v>11.994131418038076</v>
      </c>
      <c r="W623" s="49">
        <f>(100*('GA Arroyo'!AX623-E623))/E623</f>
        <v>8.7805908516099542</v>
      </c>
    </row>
    <row r="624" spans="2:23" ht="15" customHeight="1">
      <c r="B624">
        <f>MIN('GA Arroyo'!B624,'GA Arroyo'!E624,'GA Arroyo'!H624,'GA Arroyo'!K624)</f>
        <v>363909</v>
      </c>
      <c r="C624">
        <f>MIN('GA Arroyo'!O624, 'GA Arroyo'!R624, 'GA Arroyo'!U624, 'GA Arroyo'!X624)</f>
        <v>383305</v>
      </c>
      <c r="D624">
        <f>MIN('GA Arroyo'!AB624, 'GA Arroyo'!AE624, 'GA Arroyo'!AH624, 'GA Arroyo'!AK624)</f>
        <v>410380</v>
      </c>
      <c r="E624">
        <f>MIN('GA Arroyo'!AO624, 'GA Arroyo'!AR624, 'GA Arroyo'!AU624, 'GA Arroyo'!AX624)</f>
        <v>357986</v>
      </c>
      <c r="G624" s="45">
        <f t="shared" si="49"/>
        <v>357986</v>
      </c>
      <c r="I624" s="49">
        <f t="shared" si="50"/>
        <v>1.654533976189013</v>
      </c>
      <c r="J624" s="49">
        <f t="shared" si="51"/>
        <v>7.0726229517355428</v>
      </c>
      <c r="K624" s="49">
        <f t="shared" si="52"/>
        <v>14.635767879190807</v>
      </c>
      <c r="L624" s="49">
        <f t="shared" si="53"/>
        <v>0</v>
      </c>
      <c r="T624" s="49">
        <f>(100*('GA Arroyo'!AO624-E624))/E624</f>
        <v>6.8536199739654622</v>
      </c>
      <c r="U624" s="49">
        <f>(100*('GA Arroyo'!AR624-E624))/E624</f>
        <v>0</v>
      </c>
      <c r="V624" s="49">
        <f>(100*('GA Arroyo'!AU624-E624))/E624</f>
        <v>5.4057979921002497</v>
      </c>
      <c r="W624" s="49">
        <f>(100*('GA Arroyo'!AX624-E624))/E624</f>
        <v>7.9268463012520041</v>
      </c>
    </row>
    <row r="625" spans="2:23" ht="15" customHeight="1">
      <c r="B625">
        <f>MIN('GA Arroyo'!B625,'GA Arroyo'!E625,'GA Arroyo'!H625,'GA Arroyo'!K625)</f>
        <v>354443</v>
      </c>
      <c r="C625">
        <f>MIN('GA Arroyo'!O625, 'GA Arroyo'!R625, 'GA Arroyo'!U625, 'GA Arroyo'!X625)</f>
        <v>359021</v>
      </c>
      <c r="D625">
        <f>MIN('GA Arroyo'!AB625, 'GA Arroyo'!AE625, 'GA Arroyo'!AH625, 'GA Arroyo'!AK625)</f>
        <v>421356</v>
      </c>
      <c r="E625">
        <f>MIN('GA Arroyo'!AO625, 'GA Arroyo'!AR625, 'GA Arroyo'!AU625, 'GA Arroyo'!AX625)</f>
        <v>360401</v>
      </c>
      <c r="G625" s="45">
        <f t="shared" si="49"/>
        <v>354443</v>
      </c>
      <c r="I625" s="49">
        <f t="shared" si="50"/>
        <v>0</v>
      </c>
      <c r="J625" s="49">
        <f t="shared" si="51"/>
        <v>1.2916040096715127</v>
      </c>
      <c r="K625" s="49">
        <f t="shared" si="52"/>
        <v>18.878352795795092</v>
      </c>
      <c r="L625" s="49">
        <f t="shared" si="53"/>
        <v>1.6809472891268835</v>
      </c>
      <c r="T625" s="49">
        <f>(100*('GA Arroyo'!AO625-E625))/E625</f>
        <v>1.3357343625572626</v>
      </c>
      <c r="U625" s="49">
        <f>(100*('GA Arroyo'!AR625-E625))/E625</f>
        <v>3.7621982180959543</v>
      </c>
      <c r="V625" s="49">
        <f>(100*('GA Arroyo'!AU625-E625))/E625</f>
        <v>3.386505586832445</v>
      </c>
      <c r="W625" s="49">
        <f>(100*('GA Arroyo'!AX625-E625))/E625</f>
        <v>0</v>
      </c>
    </row>
    <row r="626" spans="2:23" ht="15" customHeight="1">
      <c r="B626">
        <f>MIN('GA Arroyo'!B626,'GA Arroyo'!E626,'GA Arroyo'!H626,'GA Arroyo'!K626)</f>
        <v>358124</v>
      </c>
      <c r="C626">
        <f>MIN('GA Arroyo'!O626, 'GA Arroyo'!R626, 'GA Arroyo'!U626, 'GA Arroyo'!X626)</f>
        <v>367883</v>
      </c>
      <c r="D626">
        <f>MIN('GA Arroyo'!AB626, 'GA Arroyo'!AE626, 'GA Arroyo'!AH626, 'GA Arroyo'!AK626)</f>
        <v>429016</v>
      </c>
      <c r="E626">
        <f>MIN('GA Arroyo'!AO626, 'GA Arroyo'!AR626, 'GA Arroyo'!AU626, 'GA Arroyo'!AX626)</f>
        <v>355160</v>
      </c>
      <c r="G626" s="45">
        <f t="shared" si="49"/>
        <v>355160</v>
      </c>
      <c r="I626" s="49">
        <f t="shared" si="50"/>
        <v>0.83455344070278181</v>
      </c>
      <c r="J626" s="49">
        <f t="shared" si="51"/>
        <v>3.5823290911138641</v>
      </c>
      <c r="K626" s="49">
        <f t="shared" si="52"/>
        <v>20.79513458722829</v>
      </c>
      <c r="L626" s="49">
        <f t="shared" si="53"/>
        <v>0</v>
      </c>
      <c r="T626" s="49">
        <f>(100*('GA Arroyo'!AO626-E626))/E626</f>
        <v>13.829260051807635</v>
      </c>
      <c r="U626" s="49">
        <f>(100*('GA Arroyo'!AR626-E626))/E626</f>
        <v>7.5580020272553217</v>
      </c>
      <c r="V626" s="49">
        <f>(100*('GA Arroyo'!AU626-E626))/E626</f>
        <v>0</v>
      </c>
      <c r="W626" s="49">
        <f>(100*('GA Arroyo'!AX626-E626))/E626</f>
        <v>4.0350827795922966</v>
      </c>
    </row>
    <row r="627" spans="2:23" ht="15" customHeight="1">
      <c r="B627">
        <f>MIN('GA Arroyo'!B627,'GA Arroyo'!E627,'GA Arroyo'!H627,'GA Arroyo'!K627)</f>
        <v>347789</v>
      </c>
      <c r="C627">
        <f>MIN('GA Arroyo'!O627, 'GA Arroyo'!R627, 'GA Arroyo'!U627, 'GA Arroyo'!X627)</f>
        <v>361005</v>
      </c>
      <c r="D627">
        <f>MIN('GA Arroyo'!AB627, 'GA Arroyo'!AE627, 'GA Arroyo'!AH627, 'GA Arroyo'!AK627)</f>
        <v>393149</v>
      </c>
      <c r="E627">
        <f>MIN('GA Arroyo'!AO627, 'GA Arroyo'!AR627, 'GA Arroyo'!AU627, 'GA Arroyo'!AX627)</f>
        <v>366281</v>
      </c>
      <c r="G627" s="45">
        <f t="shared" si="49"/>
        <v>347789</v>
      </c>
      <c r="I627" s="49">
        <f t="shared" si="50"/>
        <v>0</v>
      </c>
      <c r="J627" s="49">
        <f t="shared" si="51"/>
        <v>3.8000051755518434</v>
      </c>
      <c r="K627" s="49">
        <f t="shared" si="52"/>
        <v>13.042390644902513</v>
      </c>
      <c r="L627" s="49">
        <f t="shared" si="53"/>
        <v>5.317016926929834</v>
      </c>
      <c r="T627" s="49">
        <f>(100*('GA Arroyo'!AO627-E627))/E627</f>
        <v>0</v>
      </c>
      <c r="U627" s="49">
        <f>(100*('GA Arroyo'!AR627-E627))/E627</f>
        <v>8.0015070396771879</v>
      </c>
      <c r="V627" s="49">
        <f>(100*('GA Arroyo'!AU627-E627))/E627</f>
        <v>5.5563897663269461</v>
      </c>
      <c r="W627" s="49">
        <f>(100*('GA Arroyo'!AX627-E627))/E627</f>
        <v>1.4554399491101095</v>
      </c>
    </row>
    <row r="628" spans="2:23" ht="15" customHeight="1">
      <c r="B628">
        <f>MIN('GA Arroyo'!B628,'GA Arroyo'!E628,'GA Arroyo'!H628,'GA Arroyo'!K628)</f>
        <v>393483</v>
      </c>
      <c r="C628">
        <f>MIN('GA Arroyo'!O628, 'GA Arroyo'!R628, 'GA Arroyo'!U628, 'GA Arroyo'!X628)</f>
        <v>401676</v>
      </c>
      <c r="D628">
        <f>MIN('GA Arroyo'!AB628, 'GA Arroyo'!AE628, 'GA Arroyo'!AH628, 'GA Arroyo'!AK628)</f>
        <v>415150</v>
      </c>
      <c r="E628">
        <f>MIN('GA Arroyo'!AO628, 'GA Arroyo'!AR628, 'GA Arroyo'!AU628, 'GA Arroyo'!AX628)</f>
        <v>385243</v>
      </c>
      <c r="G628" s="45">
        <f t="shared" si="49"/>
        <v>385243</v>
      </c>
      <c r="I628" s="49">
        <f t="shared" si="50"/>
        <v>2.1389097271073063</v>
      </c>
      <c r="J628" s="49">
        <f t="shared" si="51"/>
        <v>4.2656193623245588</v>
      </c>
      <c r="K628" s="49">
        <f t="shared" si="52"/>
        <v>7.763152088422113</v>
      </c>
      <c r="L628" s="49">
        <f t="shared" si="53"/>
        <v>0</v>
      </c>
      <c r="T628" s="49">
        <f>(100*('GA Arroyo'!AO628-E628))/E628</f>
        <v>3.4165448820614519</v>
      </c>
      <c r="U628" s="49">
        <f>(100*('GA Arroyo'!AR628-E628))/E628</f>
        <v>9.370449300830904</v>
      </c>
      <c r="V628" s="49">
        <f>(100*('GA Arroyo'!AU628-E628))/E628</f>
        <v>4.5023530602762412</v>
      </c>
      <c r="W628" s="49">
        <f>(100*('GA Arroyo'!AX628-E628))/E628</f>
        <v>0</v>
      </c>
    </row>
    <row r="629" spans="2:23" ht="15" customHeight="1">
      <c r="B629">
        <f>MIN('GA Arroyo'!B629,'GA Arroyo'!E629,'GA Arroyo'!H629,'GA Arroyo'!K629)</f>
        <v>341388</v>
      </c>
      <c r="C629">
        <f>MIN('GA Arroyo'!O629, 'GA Arroyo'!R629, 'GA Arroyo'!U629, 'GA Arroyo'!X629)</f>
        <v>350984</v>
      </c>
      <c r="D629">
        <f>MIN('GA Arroyo'!AB629, 'GA Arroyo'!AE629, 'GA Arroyo'!AH629, 'GA Arroyo'!AK629)</f>
        <v>387253</v>
      </c>
      <c r="E629">
        <f>MIN('GA Arroyo'!AO629, 'GA Arroyo'!AR629, 'GA Arroyo'!AU629, 'GA Arroyo'!AX629)</f>
        <v>341652</v>
      </c>
      <c r="G629" s="45">
        <f t="shared" si="49"/>
        <v>341388</v>
      </c>
      <c r="I629" s="49">
        <f t="shared" si="50"/>
        <v>0</v>
      </c>
      <c r="J629" s="49">
        <f t="shared" si="51"/>
        <v>2.8108779453290684</v>
      </c>
      <c r="K629" s="49">
        <f t="shared" si="52"/>
        <v>13.434860041946408</v>
      </c>
      <c r="L629" s="49">
        <f t="shared" si="53"/>
        <v>7.7331364898590466E-2</v>
      </c>
      <c r="T629" s="49">
        <f>(100*('GA Arroyo'!AO629-E629))/E629</f>
        <v>7.3803168135998032</v>
      </c>
      <c r="U629" s="49">
        <f>(100*('GA Arroyo'!AR629-E629))/E629</f>
        <v>6.9442005315350119</v>
      </c>
      <c r="V629" s="49">
        <f>(100*('GA Arroyo'!AU629-E629))/E629</f>
        <v>0</v>
      </c>
      <c r="W629" s="49">
        <f>(100*('GA Arroyo'!AX629-E629))/E629</f>
        <v>4.1469097210026575</v>
      </c>
    </row>
    <row r="630" spans="2:23" ht="15" customHeight="1">
      <c r="B630">
        <f>MIN('GA Arroyo'!B630,'GA Arroyo'!E630,'GA Arroyo'!H630,'GA Arroyo'!K630)</f>
        <v>305972</v>
      </c>
      <c r="C630">
        <f>MIN('GA Arroyo'!O630, 'GA Arroyo'!R630, 'GA Arroyo'!U630, 'GA Arroyo'!X630)</f>
        <v>356436</v>
      </c>
      <c r="D630">
        <f>MIN('GA Arroyo'!AB630, 'GA Arroyo'!AE630, 'GA Arroyo'!AH630, 'GA Arroyo'!AK630)</f>
        <v>375837</v>
      </c>
      <c r="E630">
        <f>MIN('GA Arroyo'!AO630, 'GA Arroyo'!AR630, 'GA Arroyo'!AU630, 'GA Arroyo'!AX630)</f>
        <v>329210</v>
      </c>
      <c r="G630" s="45">
        <f t="shared" si="49"/>
        <v>305972</v>
      </c>
      <c r="I630" s="49">
        <f t="shared" si="50"/>
        <v>0</v>
      </c>
      <c r="J630" s="49">
        <f t="shared" si="51"/>
        <v>16.493012432510163</v>
      </c>
      <c r="K630" s="49">
        <f t="shared" si="52"/>
        <v>22.833788712692666</v>
      </c>
      <c r="L630" s="49">
        <f t="shared" si="53"/>
        <v>7.5948125972311189</v>
      </c>
      <c r="T630" s="49">
        <f>(100*('GA Arroyo'!AO630-E630))/E630</f>
        <v>0.5488897664104978</v>
      </c>
      <c r="U630" s="49">
        <f>(100*('GA Arroyo'!AR630-E630))/E630</f>
        <v>0</v>
      </c>
      <c r="V630" s="49">
        <f>(100*('GA Arroyo'!AU630-E630))/E630</f>
        <v>3.3167279244251389</v>
      </c>
      <c r="W630" s="49">
        <f>(100*('GA Arroyo'!AX630-E630))/E630</f>
        <v>0.95319097232769356</v>
      </c>
    </row>
    <row r="631" spans="2:23" ht="15" customHeight="1">
      <c r="B631">
        <f>MIN('GA Arroyo'!B631,'GA Arroyo'!E631,'GA Arroyo'!H631,'GA Arroyo'!K631)</f>
        <v>335479</v>
      </c>
      <c r="C631">
        <f>MIN('GA Arroyo'!O631, 'GA Arroyo'!R631, 'GA Arroyo'!U631, 'GA Arroyo'!X631)</f>
        <v>338471</v>
      </c>
      <c r="D631">
        <f>MIN('GA Arroyo'!AB631, 'GA Arroyo'!AE631, 'GA Arroyo'!AH631, 'GA Arroyo'!AK631)</f>
        <v>370527</v>
      </c>
      <c r="E631">
        <f>MIN('GA Arroyo'!AO631, 'GA Arroyo'!AR631, 'GA Arroyo'!AU631, 'GA Arroyo'!AX631)</f>
        <v>329812</v>
      </c>
      <c r="G631" s="45">
        <f t="shared" si="49"/>
        <v>329812</v>
      </c>
      <c r="I631" s="49">
        <f t="shared" si="50"/>
        <v>1.7182516100081258</v>
      </c>
      <c r="J631" s="49">
        <f t="shared" si="51"/>
        <v>2.6254350963579252</v>
      </c>
      <c r="K631" s="49">
        <f t="shared" si="52"/>
        <v>12.344911646635053</v>
      </c>
      <c r="L631" s="49">
        <f t="shared" si="53"/>
        <v>0</v>
      </c>
      <c r="T631" s="49">
        <f>(100*('GA Arroyo'!AO631-E631))/E631</f>
        <v>7.8669059949304456</v>
      </c>
      <c r="U631" s="49">
        <f>(100*('GA Arroyo'!AR631-E631))/E631</f>
        <v>0</v>
      </c>
      <c r="V631" s="49">
        <f>(100*('GA Arroyo'!AU631-E631))/E631</f>
        <v>4.8518549961796413</v>
      </c>
      <c r="W631" s="49">
        <f>(100*('GA Arroyo'!AX631-E631))/E631</f>
        <v>6.5494887996798177</v>
      </c>
    </row>
    <row r="632" spans="2:23" ht="15" customHeight="1">
      <c r="B632">
        <f>MIN('GA Arroyo'!B632,'GA Arroyo'!E632,'GA Arroyo'!H632,'GA Arroyo'!K632)</f>
        <v>354670</v>
      </c>
      <c r="C632">
        <f>MIN('GA Arroyo'!O632, 'GA Arroyo'!R632, 'GA Arroyo'!U632, 'GA Arroyo'!X632)</f>
        <v>348800</v>
      </c>
      <c r="D632">
        <f>MIN('GA Arroyo'!AB632, 'GA Arroyo'!AE632, 'GA Arroyo'!AH632, 'GA Arroyo'!AK632)</f>
        <v>403916</v>
      </c>
      <c r="E632">
        <f>MIN('GA Arroyo'!AO632, 'GA Arroyo'!AR632, 'GA Arroyo'!AU632, 'GA Arroyo'!AX632)</f>
        <v>338536</v>
      </c>
      <c r="G632" s="45">
        <f t="shared" si="49"/>
        <v>338536</v>
      </c>
      <c r="I632" s="49">
        <f t="shared" si="50"/>
        <v>4.7658151570290901</v>
      </c>
      <c r="J632" s="49">
        <f t="shared" si="51"/>
        <v>3.031878441288371</v>
      </c>
      <c r="K632" s="49">
        <f t="shared" si="52"/>
        <v>19.312569416546541</v>
      </c>
      <c r="L632" s="49">
        <f t="shared" si="53"/>
        <v>0</v>
      </c>
      <c r="T632" s="49">
        <f>(100*('GA Arroyo'!AO632-E632))/E632</f>
        <v>2.7766618616631615</v>
      </c>
      <c r="U632" s="49">
        <f>(100*('GA Arroyo'!AR632-E632))/E632</f>
        <v>3.1033627147482101</v>
      </c>
      <c r="V632" s="49">
        <f>(100*('GA Arroyo'!AU632-E632))/E632</f>
        <v>4.0725358602925539</v>
      </c>
      <c r="W632" s="49">
        <f>(100*('GA Arroyo'!AX632-E632))/E632</f>
        <v>0</v>
      </c>
    </row>
    <row r="633" spans="2:23" ht="15" customHeight="1">
      <c r="B633">
        <f>MIN('GA Arroyo'!B633,'GA Arroyo'!E633,'GA Arroyo'!H633,'GA Arroyo'!K633)</f>
        <v>363597</v>
      </c>
      <c r="C633">
        <f>MIN('GA Arroyo'!O633, 'GA Arroyo'!R633, 'GA Arroyo'!U633, 'GA Arroyo'!X633)</f>
        <v>362319</v>
      </c>
      <c r="D633">
        <f>MIN('GA Arroyo'!AB633, 'GA Arroyo'!AE633, 'GA Arroyo'!AH633, 'GA Arroyo'!AK633)</f>
        <v>380507</v>
      </c>
      <c r="E633">
        <f>MIN('GA Arroyo'!AO633, 'GA Arroyo'!AR633, 'GA Arroyo'!AU633, 'GA Arroyo'!AX633)</f>
        <v>355887</v>
      </c>
      <c r="G633" s="45">
        <f t="shared" si="49"/>
        <v>355887</v>
      </c>
      <c r="I633" s="49">
        <f t="shared" si="50"/>
        <v>2.1664179922278701</v>
      </c>
      <c r="J633" s="49">
        <f t="shared" si="51"/>
        <v>1.8073152433216162</v>
      </c>
      <c r="K633" s="49">
        <f t="shared" si="52"/>
        <v>6.91792619567447</v>
      </c>
      <c r="L633" s="49">
        <f t="shared" si="53"/>
        <v>0</v>
      </c>
      <c r="T633" s="49">
        <f>(100*('GA Arroyo'!AO633-E633))/E633</f>
        <v>0</v>
      </c>
      <c r="U633" s="49">
        <f>(100*('GA Arroyo'!AR633-E633))/E633</f>
        <v>4.3027702613470007</v>
      </c>
      <c r="V633" s="49">
        <f>(100*('GA Arroyo'!AU633-E633))/E633</f>
        <v>2.8995158575615294</v>
      </c>
      <c r="W633" s="49">
        <f>(100*('GA Arroyo'!AX633-E633))/E633</f>
        <v>5.1148257733494056</v>
      </c>
    </row>
    <row r="634" spans="2:23" ht="15" customHeight="1">
      <c r="B634">
        <f>MIN('GA Arroyo'!B634,'GA Arroyo'!E634,'GA Arroyo'!H634,'GA Arroyo'!K634)</f>
        <v>384316</v>
      </c>
      <c r="C634">
        <f>MIN('GA Arroyo'!O634, 'GA Arroyo'!R634, 'GA Arroyo'!U634, 'GA Arroyo'!X634)</f>
        <v>403482</v>
      </c>
      <c r="D634">
        <f>MIN('GA Arroyo'!AB634, 'GA Arroyo'!AE634, 'GA Arroyo'!AH634, 'GA Arroyo'!AK634)</f>
        <v>429480</v>
      </c>
      <c r="E634">
        <f>MIN('GA Arroyo'!AO634, 'GA Arroyo'!AR634, 'GA Arroyo'!AU634, 'GA Arroyo'!AX634)</f>
        <v>406930</v>
      </c>
      <c r="G634" s="45">
        <f t="shared" si="49"/>
        <v>384316</v>
      </c>
      <c r="I634" s="49">
        <f t="shared" si="50"/>
        <v>0</v>
      </c>
      <c r="J634" s="49">
        <f t="shared" si="51"/>
        <v>4.9870419134254105</v>
      </c>
      <c r="K634" s="49">
        <f t="shared" si="52"/>
        <v>11.751787591461193</v>
      </c>
      <c r="L634" s="49">
        <f t="shared" si="53"/>
        <v>5.8842202770636662</v>
      </c>
      <c r="T634" s="49">
        <f>(100*('GA Arroyo'!AO634-E634))/E634</f>
        <v>0</v>
      </c>
      <c r="U634" s="49">
        <f>(100*('GA Arroyo'!AR634-E634))/E634</f>
        <v>18.01390902612243</v>
      </c>
      <c r="V634" s="49">
        <f>(100*('GA Arroyo'!AU634-E634))/E634</f>
        <v>1.8332391320374513</v>
      </c>
      <c r="W634" s="49">
        <f>(100*('GA Arroyo'!AX634-E634))/E634</f>
        <v>2.5630943896984739</v>
      </c>
    </row>
    <row r="635" spans="2:23" ht="15" customHeight="1">
      <c r="B635">
        <f>MIN('GA Arroyo'!B635,'GA Arroyo'!E635,'GA Arroyo'!H635,'GA Arroyo'!K635)</f>
        <v>379756</v>
      </c>
      <c r="C635">
        <f>MIN('GA Arroyo'!O635, 'GA Arroyo'!R635, 'GA Arroyo'!U635, 'GA Arroyo'!X635)</f>
        <v>376849</v>
      </c>
      <c r="D635">
        <f>MIN('GA Arroyo'!AB635, 'GA Arroyo'!AE635, 'GA Arroyo'!AH635, 'GA Arroyo'!AK635)</f>
        <v>422960</v>
      </c>
      <c r="E635">
        <f>MIN('GA Arroyo'!AO635, 'GA Arroyo'!AR635, 'GA Arroyo'!AU635, 'GA Arroyo'!AX635)</f>
        <v>366024</v>
      </c>
      <c r="G635" s="45">
        <f t="shared" si="49"/>
        <v>366024</v>
      </c>
      <c r="I635" s="49">
        <f t="shared" si="50"/>
        <v>3.7516665573842154</v>
      </c>
      <c r="J635" s="49">
        <f t="shared" si="51"/>
        <v>2.9574563416606563</v>
      </c>
      <c r="K635" s="49">
        <f t="shared" si="52"/>
        <v>15.555264135685091</v>
      </c>
      <c r="L635" s="49">
        <f t="shared" si="53"/>
        <v>0</v>
      </c>
      <c r="T635" s="49">
        <f>(100*('GA Arroyo'!AO635-E635))/E635</f>
        <v>8.4035473083732217</v>
      </c>
      <c r="U635" s="49">
        <f>(100*('GA Arroyo'!AR635-E635))/E635</f>
        <v>0</v>
      </c>
      <c r="V635" s="49">
        <f>(100*('GA Arroyo'!AU635-E635))/E635</f>
        <v>10.204522107839923</v>
      </c>
      <c r="W635" s="49">
        <f>(100*('GA Arroyo'!AX635-E635))/E635</f>
        <v>7.3079907328481193</v>
      </c>
    </row>
    <row r="636" spans="2:23" ht="15" customHeight="1">
      <c r="B636">
        <f>MIN('GA Arroyo'!B636,'GA Arroyo'!E636,'GA Arroyo'!H636,'GA Arroyo'!K636)</f>
        <v>342929</v>
      </c>
      <c r="C636">
        <f>MIN('GA Arroyo'!O636, 'GA Arroyo'!R636, 'GA Arroyo'!U636, 'GA Arroyo'!X636)</f>
        <v>350177</v>
      </c>
      <c r="D636">
        <f>MIN('GA Arroyo'!AB636, 'GA Arroyo'!AE636, 'GA Arroyo'!AH636, 'GA Arroyo'!AK636)</f>
        <v>383169</v>
      </c>
      <c r="E636">
        <f>MIN('GA Arroyo'!AO636, 'GA Arroyo'!AR636, 'GA Arroyo'!AU636, 'GA Arroyo'!AX636)</f>
        <v>329620</v>
      </c>
      <c r="G636" s="45">
        <f t="shared" si="49"/>
        <v>329620</v>
      </c>
      <c r="I636" s="49">
        <f t="shared" si="50"/>
        <v>4.0376797524422061</v>
      </c>
      <c r="J636" s="49">
        <f t="shared" si="51"/>
        <v>6.2365754505187789</v>
      </c>
      <c r="K636" s="49">
        <f t="shared" si="52"/>
        <v>16.245676839997572</v>
      </c>
      <c r="L636" s="49">
        <f t="shared" si="53"/>
        <v>0</v>
      </c>
      <c r="T636" s="49">
        <f>(100*('GA Arroyo'!AO636-E636))/E636</f>
        <v>0</v>
      </c>
      <c r="U636" s="49">
        <f>(100*('GA Arroyo'!AR636-E636))/E636</f>
        <v>8.9970268794369268</v>
      </c>
      <c r="V636" s="49">
        <f>(100*('GA Arroyo'!AU636-E636))/E636</f>
        <v>1.7213761300891937</v>
      </c>
      <c r="W636" s="49">
        <f>(100*('GA Arroyo'!AX636-E636))/E636</f>
        <v>5.96292700685638</v>
      </c>
    </row>
    <row r="637" spans="2:23" ht="15" customHeight="1">
      <c r="B637">
        <f>MIN('GA Arroyo'!B637,'GA Arroyo'!E637,'GA Arroyo'!H637,'GA Arroyo'!K637)</f>
        <v>287845</v>
      </c>
      <c r="C637">
        <f>MIN('GA Arroyo'!O637, 'GA Arroyo'!R637, 'GA Arroyo'!U637, 'GA Arroyo'!X637)</f>
        <v>303275</v>
      </c>
      <c r="D637">
        <f>MIN('GA Arroyo'!AB637, 'GA Arroyo'!AE637, 'GA Arroyo'!AH637, 'GA Arroyo'!AK637)</f>
        <v>333721</v>
      </c>
      <c r="E637">
        <f>MIN('GA Arroyo'!AO637, 'GA Arroyo'!AR637, 'GA Arroyo'!AU637, 'GA Arroyo'!AX637)</f>
        <v>290869</v>
      </c>
      <c r="G637" s="45">
        <f t="shared" si="49"/>
        <v>287845</v>
      </c>
      <c r="I637" s="49">
        <f t="shared" si="50"/>
        <v>0</v>
      </c>
      <c r="J637" s="49">
        <f t="shared" si="51"/>
        <v>5.3605238930674499</v>
      </c>
      <c r="K637" s="49">
        <f t="shared" si="52"/>
        <v>15.937744272090882</v>
      </c>
      <c r="L637" s="49">
        <f t="shared" si="53"/>
        <v>1.050565408466362</v>
      </c>
      <c r="T637" s="49">
        <f>(100*('GA Arroyo'!AO637-E637))/E637</f>
        <v>4.8375729280191431</v>
      </c>
      <c r="U637" s="49">
        <f>(100*('GA Arroyo'!AR637-E637))/E637</f>
        <v>5.9872313653225335</v>
      </c>
      <c r="V637" s="49">
        <f>(100*('GA Arroyo'!AU637-E637))/E637</f>
        <v>8.100210060198922</v>
      </c>
      <c r="W637" s="49">
        <f>(100*('GA Arroyo'!AX637-E637))/E637</f>
        <v>0</v>
      </c>
    </row>
    <row r="638" spans="2:23" ht="15" customHeight="1">
      <c r="B638">
        <f>MIN('GA Arroyo'!B638,'GA Arroyo'!E638,'GA Arroyo'!H638,'GA Arroyo'!K638)</f>
        <v>396692</v>
      </c>
      <c r="C638">
        <f>MIN('GA Arroyo'!O638, 'GA Arroyo'!R638, 'GA Arroyo'!U638, 'GA Arroyo'!X638)</f>
        <v>417987</v>
      </c>
      <c r="D638">
        <f>MIN('GA Arroyo'!AB638, 'GA Arroyo'!AE638, 'GA Arroyo'!AH638, 'GA Arroyo'!AK638)</f>
        <v>447946</v>
      </c>
      <c r="E638">
        <f>MIN('GA Arroyo'!AO638, 'GA Arroyo'!AR638, 'GA Arroyo'!AU638, 'GA Arroyo'!AX638)</f>
        <v>420273</v>
      </c>
      <c r="G638" s="45">
        <f t="shared" si="49"/>
        <v>396692</v>
      </c>
      <c r="I638" s="49">
        <f t="shared" si="50"/>
        <v>0</v>
      </c>
      <c r="J638" s="49">
        <f t="shared" si="51"/>
        <v>5.3681445554737683</v>
      </c>
      <c r="K638" s="49">
        <f t="shared" si="52"/>
        <v>12.920351305294789</v>
      </c>
      <c r="L638" s="49">
        <f t="shared" si="53"/>
        <v>5.9444102729573576</v>
      </c>
      <c r="T638" s="49">
        <f>(100*('GA Arroyo'!AO638-E638))/E638</f>
        <v>2.0234466644300251</v>
      </c>
      <c r="U638" s="49">
        <f>(100*('GA Arroyo'!AR638-E638))/E638</f>
        <v>0</v>
      </c>
      <c r="V638" s="49">
        <f>(100*('GA Arroyo'!AU638-E638))/E638</f>
        <v>4.2224934744796832</v>
      </c>
      <c r="W638" s="49">
        <f>(100*('GA Arroyo'!AX638-E638))/E638</f>
        <v>9.9383020084564073</v>
      </c>
    </row>
    <row r="639" spans="2:23" ht="15" customHeight="1">
      <c r="B639">
        <f>MIN('GA Arroyo'!B639,'GA Arroyo'!E639,'GA Arroyo'!H639,'GA Arroyo'!K639)</f>
        <v>353808</v>
      </c>
      <c r="C639">
        <f>MIN('GA Arroyo'!O639, 'GA Arroyo'!R639, 'GA Arroyo'!U639, 'GA Arroyo'!X639)</f>
        <v>372255</v>
      </c>
      <c r="D639">
        <f>MIN('GA Arroyo'!AB639, 'GA Arroyo'!AE639, 'GA Arroyo'!AH639, 'GA Arroyo'!AK639)</f>
        <v>393118</v>
      </c>
      <c r="E639">
        <f>MIN('GA Arroyo'!AO639, 'GA Arroyo'!AR639, 'GA Arroyo'!AU639, 'GA Arroyo'!AX639)</f>
        <v>367080</v>
      </c>
      <c r="G639" s="45">
        <f t="shared" si="49"/>
        <v>353808</v>
      </c>
      <c r="I639" s="49">
        <f t="shared" si="50"/>
        <v>0</v>
      </c>
      <c r="J639" s="49">
        <f t="shared" si="51"/>
        <v>5.2138447971781305</v>
      </c>
      <c r="K639" s="49">
        <f t="shared" si="52"/>
        <v>11.110545832768056</v>
      </c>
      <c r="L639" s="49">
        <f t="shared" si="53"/>
        <v>3.751187084520418</v>
      </c>
      <c r="T639" s="49">
        <f>(100*('GA Arroyo'!AO639-E639))/E639</f>
        <v>7.8151901492862592</v>
      </c>
      <c r="U639" s="49">
        <f>(100*('GA Arroyo'!AR639-E639))/E639</f>
        <v>0</v>
      </c>
      <c r="V639" s="49">
        <f>(100*('GA Arroyo'!AU639-E639))/E639</f>
        <v>2.1311430750790019</v>
      </c>
      <c r="W639" s="49">
        <f>(100*('GA Arroyo'!AX639-E639))/E639</f>
        <v>1.4043260324724856</v>
      </c>
    </row>
    <row r="640" spans="2:23" ht="15" customHeight="1">
      <c r="B640">
        <f>MIN('GA Arroyo'!B640,'GA Arroyo'!E640,'GA Arroyo'!H640,'GA Arroyo'!K640)</f>
        <v>370336</v>
      </c>
      <c r="C640">
        <f>MIN('GA Arroyo'!O640, 'GA Arroyo'!R640, 'GA Arroyo'!U640, 'GA Arroyo'!X640)</f>
        <v>377750</v>
      </c>
      <c r="D640">
        <f>MIN('GA Arroyo'!AB640, 'GA Arroyo'!AE640, 'GA Arroyo'!AH640, 'GA Arroyo'!AK640)</f>
        <v>404576</v>
      </c>
      <c r="E640">
        <f>MIN('GA Arroyo'!AO640, 'GA Arroyo'!AR640, 'GA Arroyo'!AU640, 'GA Arroyo'!AX640)</f>
        <v>372320</v>
      </c>
      <c r="G640" s="45">
        <f t="shared" si="49"/>
        <v>370336</v>
      </c>
      <c r="I640" s="49">
        <f t="shared" si="50"/>
        <v>0</v>
      </c>
      <c r="J640" s="49">
        <f t="shared" si="51"/>
        <v>2.0019657824246089</v>
      </c>
      <c r="K640" s="49">
        <f t="shared" si="52"/>
        <v>9.2456579970621267</v>
      </c>
      <c r="L640" s="49">
        <f t="shared" si="53"/>
        <v>0.53572971571761863</v>
      </c>
      <c r="T640" s="49">
        <f>(100*('GA Arroyo'!AO640-E640))/E640</f>
        <v>1.557531155994843</v>
      </c>
      <c r="U640" s="49">
        <f>(100*('GA Arroyo'!AR640-E640))/E640</f>
        <v>3.6441770519982812</v>
      </c>
      <c r="V640" s="49">
        <f>(100*('GA Arroyo'!AU640-E640))/E640</f>
        <v>1.9998925655350237</v>
      </c>
      <c r="W640" s="49">
        <f>(100*('GA Arroyo'!AX640-E640))/E640</f>
        <v>0</v>
      </c>
    </row>
    <row r="641" spans="2:23" ht="15" customHeight="1">
      <c r="B641">
        <f>MIN('GA Arroyo'!B641,'GA Arroyo'!E641,'GA Arroyo'!H641,'GA Arroyo'!K641)</f>
        <v>373634</v>
      </c>
      <c r="C641">
        <f>MIN('GA Arroyo'!O641, 'GA Arroyo'!R641, 'GA Arroyo'!U641, 'GA Arroyo'!X641)</f>
        <v>376673</v>
      </c>
      <c r="D641">
        <f>MIN('GA Arroyo'!AB641, 'GA Arroyo'!AE641, 'GA Arroyo'!AH641, 'GA Arroyo'!AK641)</f>
        <v>403768</v>
      </c>
      <c r="E641">
        <f>MIN('GA Arroyo'!AO641, 'GA Arroyo'!AR641, 'GA Arroyo'!AU641, 'GA Arroyo'!AX641)</f>
        <v>361802</v>
      </c>
      <c r="G641" s="45">
        <f t="shared" si="49"/>
        <v>361802</v>
      </c>
      <c r="I641" s="49">
        <f t="shared" si="50"/>
        <v>3.2702970132835087</v>
      </c>
      <c r="J641" s="49">
        <f t="shared" si="51"/>
        <v>4.1102592025472493</v>
      </c>
      <c r="K641" s="49">
        <f t="shared" si="52"/>
        <v>11.599161972570633</v>
      </c>
      <c r="L641" s="49">
        <f t="shared" si="53"/>
        <v>0</v>
      </c>
      <c r="T641" s="49">
        <f>(100*('GA Arroyo'!AO641-E641))/E641</f>
        <v>0.31536586309638975</v>
      </c>
      <c r="U641" s="49">
        <f>(100*('GA Arroyo'!AR641-E641))/E641</f>
        <v>4.7503883339506139</v>
      </c>
      <c r="V641" s="49">
        <f>(100*('GA Arroyo'!AU641-E641))/E641</f>
        <v>6.7973643042327021</v>
      </c>
      <c r="W641" s="49">
        <f>(100*('GA Arroyo'!AX641-E641))/E641</f>
        <v>0</v>
      </c>
    </row>
    <row r="642" spans="2:23" ht="15" customHeight="1">
      <c r="B642">
        <f>MIN('GA Arroyo'!B642,'GA Arroyo'!E642,'GA Arroyo'!H642,'GA Arroyo'!K642)</f>
        <v>375357</v>
      </c>
      <c r="C642">
        <f>MIN('GA Arroyo'!O642, 'GA Arroyo'!R642, 'GA Arroyo'!U642, 'GA Arroyo'!X642)</f>
        <v>425492</v>
      </c>
      <c r="D642">
        <f>MIN('GA Arroyo'!AB642, 'GA Arroyo'!AE642, 'GA Arroyo'!AH642, 'GA Arroyo'!AK642)</f>
        <v>420501</v>
      </c>
      <c r="E642">
        <f>MIN('GA Arroyo'!AO642, 'GA Arroyo'!AR642, 'GA Arroyo'!AU642, 'GA Arroyo'!AX642)</f>
        <v>404546</v>
      </c>
      <c r="G642" s="45">
        <f t="shared" si="49"/>
        <v>375357</v>
      </c>
      <c r="I642" s="49">
        <f t="shared" si="50"/>
        <v>0</v>
      </c>
      <c r="J642" s="49">
        <f t="shared" si="51"/>
        <v>13.356617833156168</v>
      </c>
      <c r="K642" s="49">
        <f t="shared" si="52"/>
        <v>12.026950343273205</v>
      </c>
      <c r="L642" s="49">
        <f t="shared" si="53"/>
        <v>7.776330266919226</v>
      </c>
      <c r="T642" s="49">
        <f>(100*('GA Arroyo'!AO642-E642))/E642</f>
        <v>2.8745803938241883</v>
      </c>
      <c r="U642" s="49">
        <f>(100*('GA Arroyo'!AR642-E642))/E642</f>
        <v>0</v>
      </c>
      <c r="V642" s="49">
        <f>(100*('GA Arroyo'!AU642-E642))/E642</f>
        <v>4.8209597919643254</v>
      </c>
      <c r="W642" s="49">
        <f>(100*('GA Arroyo'!AX642-E642))/E642</f>
        <v>10.272997384722627</v>
      </c>
    </row>
    <row r="643" spans="2:23" ht="15" customHeight="1">
      <c r="B643">
        <f>MIN('GA Arroyo'!B643,'GA Arroyo'!E643,'GA Arroyo'!H643,'GA Arroyo'!K643)</f>
        <v>383372</v>
      </c>
      <c r="C643">
        <f>MIN('GA Arroyo'!O643, 'GA Arroyo'!R643, 'GA Arroyo'!U643, 'GA Arroyo'!X643)</f>
        <v>399168</v>
      </c>
      <c r="D643">
        <f>MIN('GA Arroyo'!AB643, 'GA Arroyo'!AE643, 'GA Arroyo'!AH643, 'GA Arroyo'!AK643)</f>
        <v>434157</v>
      </c>
      <c r="E643">
        <f>MIN('GA Arroyo'!AO643, 'GA Arroyo'!AR643, 'GA Arroyo'!AU643, 'GA Arroyo'!AX643)</f>
        <v>395280</v>
      </c>
      <c r="G643" s="45">
        <f t="shared" si="49"/>
        <v>383372</v>
      </c>
      <c r="I643" s="49">
        <f t="shared" si="50"/>
        <v>0</v>
      </c>
      <c r="J643" s="49">
        <f t="shared" si="51"/>
        <v>4.1202800413175718</v>
      </c>
      <c r="K643" s="49">
        <f t="shared" si="52"/>
        <v>13.246924658034494</v>
      </c>
      <c r="L643" s="49">
        <f t="shared" si="53"/>
        <v>3.1061214694865562</v>
      </c>
      <c r="T643" s="49">
        <f>(100*('GA Arroyo'!AO643-E643))/E643</f>
        <v>5.4576502732240435</v>
      </c>
      <c r="U643" s="49">
        <f>(100*('GA Arroyo'!AR643-E643))/E643</f>
        <v>10.905940093098563</v>
      </c>
      <c r="V643" s="49">
        <f>(100*('GA Arroyo'!AU643-E643))/E643</f>
        <v>0</v>
      </c>
      <c r="W643" s="49">
        <f>(100*('GA Arroyo'!AX643-E643))/E643</f>
        <v>3.6245193280712407</v>
      </c>
    </row>
    <row r="644" spans="2:23" ht="15" customHeight="1">
      <c r="B644">
        <f>MIN('GA Arroyo'!B644,'GA Arroyo'!E644,'GA Arroyo'!H644,'GA Arroyo'!K644)</f>
        <v>393652</v>
      </c>
      <c r="C644">
        <f>MIN('GA Arroyo'!O644, 'GA Arroyo'!R644, 'GA Arroyo'!U644, 'GA Arroyo'!X644)</f>
        <v>402768</v>
      </c>
      <c r="D644">
        <f>MIN('GA Arroyo'!AB644, 'GA Arroyo'!AE644, 'GA Arroyo'!AH644, 'GA Arroyo'!AK644)</f>
        <v>437620</v>
      </c>
      <c r="E644">
        <f>MIN('GA Arroyo'!AO644, 'GA Arroyo'!AR644, 'GA Arroyo'!AU644, 'GA Arroyo'!AX644)</f>
        <v>406309</v>
      </c>
      <c r="G644" s="45">
        <f t="shared" ref="G644:G707" si="54">MIN(B644,C644,D644,E644)</f>
        <v>393652</v>
      </c>
      <c r="I644" s="49">
        <f t="shared" ref="I644:I707" si="55">(100*(B644-G644))/G644</f>
        <v>0</v>
      </c>
      <c r="J644" s="49">
        <f t="shared" ref="J644:J707" si="56">(100*(C644-G644))/G644</f>
        <v>2.3157509678599371</v>
      </c>
      <c r="K644" s="49">
        <f t="shared" ref="K644:K707" si="57">(100*(D644-G644))/G644</f>
        <v>11.169256094215195</v>
      </c>
      <c r="L644" s="49">
        <f t="shared" ref="L644:L707" si="58">(100*(E644-G644))/G644</f>
        <v>3.21527643705608</v>
      </c>
      <c r="T644" s="49">
        <f>(100*('GA Arroyo'!AO644-E644))/E644</f>
        <v>0</v>
      </c>
      <c r="U644" s="49">
        <f>(100*('GA Arroyo'!AR644-E644))/E644</f>
        <v>1.267015990293102</v>
      </c>
      <c r="V644" s="49">
        <f>(100*('GA Arroyo'!AU644-E644))/E644</f>
        <v>3.228823383188657</v>
      </c>
      <c r="W644" s="49">
        <f>(100*('GA Arroyo'!AX644-E644))/E644</f>
        <v>3.0720461520665308</v>
      </c>
    </row>
    <row r="645" spans="2:23" ht="15" customHeight="1">
      <c r="B645">
        <f>MIN('GA Arroyo'!B645,'GA Arroyo'!E645,'GA Arroyo'!H645,'GA Arroyo'!K645)</f>
        <v>309132</v>
      </c>
      <c r="C645">
        <f>MIN('GA Arroyo'!O645, 'GA Arroyo'!R645, 'GA Arroyo'!U645, 'GA Arroyo'!X645)</f>
        <v>336470</v>
      </c>
      <c r="D645">
        <f>MIN('GA Arroyo'!AB645, 'GA Arroyo'!AE645, 'GA Arroyo'!AH645, 'GA Arroyo'!AK645)</f>
        <v>345360</v>
      </c>
      <c r="E645">
        <f>MIN('GA Arroyo'!AO645, 'GA Arroyo'!AR645, 'GA Arroyo'!AU645, 'GA Arroyo'!AX645)</f>
        <v>318354</v>
      </c>
      <c r="G645" s="45">
        <f t="shared" si="54"/>
        <v>309132</v>
      </c>
      <c r="I645" s="49">
        <f t="shared" si="55"/>
        <v>0</v>
      </c>
      <c r="J645" s="49">
        <f t="shared" si="56"/>
        <v>8.8434713973318839</v>
      </c>
      <c r="K645" s="49">
        <f t="shared" si="57"/>
        <v>11.719265556461318</v>
      </c>
      <c r="L645" s="49">
        <f t="shared" si="58"/>
        <v>2.9831916462870232</v>
      </c>
      <c r="T645" s="49">
        <f>(100*('GA Arroyo'!AO645-E645))/E645</f>
        <v>1.3984432424282403</v>
      </c>
      <c r="U645" s="49">
        <f>(100*('GA Arroyo'!AR645-E645))/E645</f>
        <v>8.9381631768408756</v>
      </c>
      <c r="V645" s="49">
        <f>(100*('GA Arroyo'!AU645-E645))/E645</f>
        <v>8.2097287924762998</v>
      </c>
      <c r="W645" s="49">
        <f>(100*('GA Arroyo'!AX645-E645))/E645</f>
        <v>0</v>
      </c>
    </row>
    <row r="646" spans="2:23" ht="15" customHeight="1">
      <c r="B646">
        <f>MIN('GA Arroyo'!B646,'GA Arroyo'!E646,'GA Arroyo'!H646,'GA Arroyo'!K646)</f>
        <v>388482</v>
      </c>
      <c r="C646">
        <f>MIN('GA Arroyo'!O646, 'GA Arroyo'!R646, 'GA Arroyo'!U646, 'GA Arroyo'!X646)</f>
        <v>409307</v>
      </c>
      <c r="D646">
        <f>MIN('GA Arroyo'!AB646, 'GA Arroyo'!AE646, 'GA Arroyo'!AH646, 'GA Arroyo'!AK646)</f>
        <v>450033</v>
      </c>
      <c r="E646">
        <f>MIN('GA Arroyo'!AO646, 'GA Arroyo'!AR646, 'GA Arroyo'!AU646, 'GA Arroyo'!AX646)</f>
        <v>411731</v>
      </c>
      <c r="G646" s="45">
        <f t="shared" si="54"/>
        <v>388482</v>
      </c>
      <c r="I646" s="49">
        <f t="shared" si="55"/>
        <v>0</v>
      </c>
      <c r="J646" s="49">
        <f t="shared" si="56"/>
        <v>5.3606087283323296</v>
      </c>
      <c r="K646" s="49">
        <f t="shared" si="57"/>
        <v>15.843977327134848</v>
      </c>
      <c r="L646" s="49">
        <f t="shared" si="58"/>
        <v>5.9845758619446974</v>
      </c>
      <c r="T646" s="49">
        <f>(100*('GA Arroyo'!AO646-E646))/E646</f>
        <v>0</v>
      </c>
      <c r="U646" s="49">
        <f>(100*('GA Arroyo'!AR646-E646))/E646</f>
        <v>0.43013520963930335</v>
      </c>
      <c r="V646" s="49">
        <f>(100*('GA Arroyo'!AU646-E646))/E646</f>
        <v>3.1304419633207119</v>
      </c>
      <c r="W646" s="49">
        <f>(100*('GA Arroyo'!AX646-E646))/E646</f>
        <v>2.5475371055373532</v>
      </c>
    </row>
    <row r="647" spans="2:23" ht="15" customHeight="1">
      <c r="B647">
        <f>MIN('GA Arroyo'!B647,'GA Arroyo'!E647,'GA Arroyo'!H647,'GA Arroyo'!K647)</f>
        <v>365499</v>
      </c>
      <c r="C647">
        <f>MIN('GA Arroyo'!O647, 'GA Arroyo'!R647, 'GA Arroyo'!U647, 'GA Arroyo'!X647)</f>
        <v>362165</v>
      </c>
      <c r="D647">
        <f>MIN('GA Arroyo'!AB647, 'GA Arroyo'!AE647, 'GA Arroyo'!AH647, 'GA Arroyo'!AK647)</f>
        <v>428494</v>
      </c>
      <c r="E647">
        <f>MIN('GA Arroyo'!AO647, 'GA Arroyo'!AR647, 'GA Arroyo'!AU647, 'GA Arroyo'!AX647)</f>
        <v>360893</v>
      </c>
      <c r="G647" s="45">
        <f t="shared" si="54"/>
        <v>360893</v>
      </c>
      <c r="I647" s="49">
        <f t="shared" si="55"/>
        <v>1.2762785645606869</v>
      </c>
      <c r="J647" s="49">
        <f t="shared" si="56"/>
        <v>0.35245903910577375</v>
      </c>
      <c r="K647" s="49">
        <f t="shared" si="57"/>
        <v>18.731590803922494</v>
      </c>
      <c r="L647" s="49">
        <f t="shared" si="58"/>
        <v>0</v>
      </c>
      <c r="T647" s="49">
        <f>(100*('GA Arroyo'!AO647-E647))/E647</f>
        <v>7.7014516768127947</v>
      </c>
      <c r="U647" s="49">
        <f>(100*('GA Arroyo'!AR647-E647))/E647</f>
        <v>6.9386216967355976</v>
      </c>
      <c r="V647" s="49">
        <f>(100*('GA Arroyo'!AU647-E647))/E647</f>
        <v>0</v>
      </c>
      <c r="W647" s="49">
        <f>(100*('GA Arroyo'!AX647-E647))/E647</f>
        <v>13.10804033328438</v>
      </c>
    </row>
    <row r="648" spans="2:23" ht="15" customHeight="1">
      <c r="B648">
        <f>MIN('GA Arroyo'!B648,'GA Arroyo'!E648,'GA Arroyo'!H648,'GA Arroyo'!K648)</f>
        <v>379248</v>
      </c>
      <c r="C648">
        <f>MIN('GA Arroyo'!O648, 'GA Arroyo'!R648, 'GA Arroyo'!U648, 'GA Arroyo'!X648)</f>
        <v>413983</v>
      </c>
      <c r="D648">
        <f>MIN('GA Arroyo'!AB648, 'GA Arroyo'!AE648, 'GA Arroyo'!AH648, 'GA Arroyo'!AK648)</f>
        <v>441998</v>
      </c>
      <c r="E648">
        <f>MIN('GA Arroyo'!AO648, 'GA Arroyo'!AR648, 'GA Arroyo'!AU648, 'GA Arroyo'!AX648)</f>
        <v>363904</v>
      </c>
      <c r="G648" s="45">
        <f t="shared" si="54"/>
        <v>363904</v>
      </c>
      <c r="I648" s="49">
        <f t="shared" si="55"/>
        <v>4.2164966584593735</v>
      </c>
      <c r="J648" s="49">
        <f t="shared" si="56"/>
        <v>13.761596465001759</v>
      </c>
      <c r="K648" s="49">
        <f t="shared" si="57"/>
        <v>21.460055399226171</v>
      </c>
      <c r="L648" s="49">
        <f t="shared" si="58"/>
        <v>0</v>
      </c>
      <c r="T648" s="49">
        <f>(100*('GA Arroyo'!AO648-E648))/E648</f>
        <v>8.4055135420330629</v>
      </c>
      <c r="U648" s="49">
        <f>(100*('GA Arroyo'!AR648-E648))/E648</f>
        <v>0</v>
      </c>
      <c r="V648" s="49">
        <f>(100*('GA Arroyo'!AU648-E648))/E648</f>
        <v>12.200195655997186</v>
      </c>
      <c r="W648" s="49">
        <f>(100*('GA Arroyo'!AX648-E648))/E648</f>
        <v>10.911119416109743</v>
      </c>
    </row>
    <row r="649" spans="2:23" ht="15" customHeight="1">
      <c r="B649">
        <f>MIN('GA Arroyo'!B649,'GA Arroyo'!E649,'GA Arroyo'!H649,'GA Arroyo'!K649)</f>
        <v>279473</v>
      </c>
      <c r="C649">
        <f>MIN('GA Arroyo'!O649, 'GA Arroyo'!R649, 'GA Arroyo'!U649, 'GA Arroyo'!X649)</f>
        <v>305191</v>
      </c>
      <c r="D649">
        <f>MIN('GA Arroyo'!AB649, 'GA Arroyo'!AE649, 'GA Arroyo'!AH649, 'GA Arroyo'!AK649)</f>
        <v>340622</v>
      </c>
      <c r="E649">
        <f>MIN('GA Arroyo'!AO649, 'GA Arroyo'!AR649, 'GA Arroyo'!AU649, 'GA Arroyo'!AX649)</f>
        <v>287620</v>
      </c>
      <c r="G649" s="45">
        <f t="shared" si="54"/>
        <v>279473</v>
      </c>
      <c r="I649" s="49">
        <f t="shared" si="55"/>
        <v>0</v>
      </c>
      <c r="J649" s="49">
        <f t="shared" si="56"/>
        <v>9.2023200810096153</v>
      </c>
      <c r="K649" s="49">
        <f t="shared" si="57"/>
        <v>21.880110064299593</v>
      </c>
      <c r="L649" s="49">
        <f t="shared" si="58"/>
        <v>2.9151295473981387</v>
      </c>
      <c r="T649" s="49">
        <f>(100*('GA Arroyo'!AO649-E649))/E649</f>
        <v>22.887838119741325</v>
      </c>
      <c r="U649" s="49">
        <f>(100*('GA Arroyo'!AR649-E649))/E649</f>
        <v>15.60983241777345</v>
      </c>
      <c r="V649" s="49">
        <f>(100*('GA Arroyo'!AU649-E649))/E649</f>
        <v>0</v>
      </c>
      <c r="W649" s="49">
        <f>(100*('GA Arroyo'!AX649-E649))/E649</f>
        <v>4.2587441763437868</v>
      </c>
    </row>
    <row r="650" spans="2:23" ht="15" customHeight="1">
      <c r="B650">
        <f>MIN('GA Arroyo'!B650,'GA Arroyo'!E650,'GA Arroyo'!H650,'GA Arroyo'!K650)</f>
        <v>294292</v>
      </c>
      <c r="C650">
        <f>MIN('GA Arroyo'!O650, 'GA Arroyo'!R650, 'GA Arroyo'!U650, 'GA Arroyo'!X650)</f>
        <v>299924</v>
      </c>
      <c r="D650">
        <f>MIN('GA Arroyo'!AB650, 'GA Arroyo'!AE650, 'GA Arroyo'!AH650, 'GA Arroyo'!AK650)</f>
        <v>325875</v>
      </c>
      <c r="E650">
        <f>MIN('GA Arroyo'!AO650, 'GA Arroyo'!AR650, 'GA Arroyo'!AU650, 'GA Arroyo'!AX650)</f>
        <v>281075</v>
      </c>
      <c r="G650" s="45">
        <f t="shared" si="54"/>
        <v>281075</v>
      </c>
      <c r="I650" s="49">
        <f t="shared" si="55"/>
        <v>4.7023036556079338</v>
      </c>
      <c r="J650" s="49">
        <f t="shared" si="56"/>
        <v>6.7060393133505292</v>
      </c>
      <c r="K650" s="49">
        <f t="shared" si="57"/>
        <v>15.938806368407009</v>
      </c>
      <c r="L650" s="49">
        <f t="shared" si="58"/>
        <v>0</v>
      </c>
      <c r="T650" s="49">
        <f>(100*('GA Arroyo'!AO650-E650))/E650</f>
        <v>2.7754158142844436</v>
      </c>
      <c r="U650" s="49">
        <f>(100*('GA Arroyo'!AR650-E650))/E650</f>
        <v>5.9254647336120252</v>
      </c>
      <c r="V650" s="49">
        <f>(100*('GA Arroyo'!AU650-E650))/E650</f>
        <v>0</v>
      </c>
      <c r="W650" s="49">
        <f>(100*('GA Arroyo'!AX650-E650))/E650</f>
        <v>1.7842212932491328</v>
      </c>
    </row>
    <row r="651" spans="2:23" ht="15" customHeight="1">
      <c r="B651">
        <f>MIN('GA Arroyo'!B651,'GA Arroyo'!E651,'GA Arroyo'!H651,'GA Arroyo'!K651)</f>
        <v>255311</v>
      </c>
      <c r="C651">
        <f>MIN('GA Arroyo'!O651, 'GA Arroyo'!R651, 'GA Arroyo'!U651, 'GA Arroyo'!X651)</f>
        <v>292005</v>
      </c>
      <c r="D651">
        <f>MIN('GA Arroyo'!AB651, 'GA Arroyo'!AE651, 'GA Arroyo'!AH651, 'GA Arroyo'!AK651)</f>
        <v>330478</v>
      </c>
      <c r="E651">
        <f>MIN('GA Arroyo'!AO651, 'GA Arroyo'!AR651, 'GA Arroyo'!AU651, 'GA Arroyo'!AX651)</f>
        <v>266091</v>
      </c>
      <c r="G651" s="45">
        <f t="shared" si="54"/>
        <v>255311</v>
      </c>
      <c r="I651" s="49">
        <f t="shared" si="55"/>
        <v>0</v>
      </c>
      <c r="J651" s="49">
        <f t="shared" si="56"/>
        <v>14.372275381789269</v>
      </c>
      <c r="K651" s="49">
        <f t="shared" si="57"/>
        <v>29.441348003023762</v>
      </c>
      <c r="L651" s="49">
        <f t="shared" si="58"/>
        <v>4.2223014284539246</v>
      </c>
      <c r="T651" s="49">
        <f>(100*('GA Arroyo'!AO651-E651))/E651</f>
        <v>21.935728754448665</v>
      </c>
      <c r="U651" s="49">
        <f>(100*('GA Arroyo'!AR651-E651))/E651</f>
        <v>0.59791575062666535</v>
      </c>
      <c r="V651" s="49">
        <f>(100*('GA Arroyo'!AU651-E651))/E651</f>
        <v>8.4256889560338379</v>
      </c>
      <c r="W651" s="49">
        <f>(100*('GA Arroyo'!AX651-E651))/E651</f>
        <v>0</v>
      </c>
    </row>
    <row r="652" spans="2:23" ht="15" customHeight="1">
      <c r="B652">
        <f>MIN('GA Arroyo'!B652,'GA Arroyo'!E652,'GA Arroyo'!H652,'GA Arroyo'!K652)</f>
        <v>300362</v>
      </c>
      <c r="C652">
        <f>MIN('GA Arroyo'!O652, 'GA Arroyo'!R652, 'GA Arroyo'!U652, 'GA Arroyo'!X652)</f>
        <v>313004</v>
      </c>
      <c r="D652">
        <f>MIN('GA Arroyo'!AB652, 'GA Arroyo'!AE652, 'GA Arroyo'!AH652, 'GA Arroyo'!AK652)</f>
        <v>372327</v>
      </c>
      <c r="E652">
        <f>MIN('GA Arroyo'!AO652, 'GA Arroyo'!AR652, 'GA Arroyo'!AU652, 'GA Arroyo'!AX652)</f>
        <v>307370</v>
      </c>
      <c r="G652" s="45">
        <f t="shared" si="54"/>
        <v>300362</v>
      </c>
      <c r="I652" s="49">
        <f t="shared" si="55"/>
        <v>0</v>
      </c>
      <c r="J652" s="49">
        <f t="shared" si="56"/>
        <v>4.2089212350430483</v>
      </c>
      <c r="K652" s="49">
        <f t="shared" si="57"/>
        <v>23.959422297094839</v>
      </c>
      <c r="L652" s="49">
        <f t="shared" si="58"/>
        <v>2.3331846238871763</v>
      </c>
      <c r="T652" s="49">
        <f>(100*('GA Arroyo'!AO652-E652))/E652</f>
        <v>2.1749032111136417</v>
      </c>
      <c r="U652" s="49">
        <f>(100*('GA Arroyo'!AR652-E652))/E652</f>
        <v>6.2823307414516707</v>
      </c>
      <c r="V652" s="49">
        <f>(100*('GA Arroyo'!AU652-E652))/E652</f>
        <v>0</v>
      </c>
      <c r="W652" s="49">
        <f>(100*('GA Arroyo'!AX652-E652))/E652</f>
        <v>2.822982073722224</v>
      </c>
    </row>
    <row r="653" spans="2:23" ht="15" customHeight="1">
      <c r="B653">
        <f>MIN('GA Arroyo'!B653,'GA Arroyo'!E653,'GA Arroyo'!H653,'GA Arroyo'!K653)</f>
        <v>303301</v>
      </c>
      <c r="C653">
        <f>MIN('GA Arroyo'!O653, 'GA Arroyo'!R653, 'GA Arroyo'!U653, 'GA Arroyo'!X653)</f>
        <v>314860</v>
      </c>
      <c r="D653">
        <f>MIN('GA Arroyo'!AB653, 'GA Arroyo'!AE653, 'GA Arroyo'!AH653, 'GA Arroyo'!AK653)</f>
        <v>361351</v>
      </c>
      <c r="E653">
        <f>MIN('GA Arroyo'!AO653, 'GA Arroyo'!AR653, 'GA Arroyo'!AU653, 'GA Arroyo'!AX653)</f>
        <v>285461</v>
      </c>
      <c r="G653" s="45">
        <f t="shared" si="54"/>
        <v>285461</v>
      </c>
      <c r="I653" s="49">
        <f t="shared" si="55"/>
        <v>6.2495402174027275</v>
      </c>
      <c r="J653" s="49">
        <f t="shared" si="56"/>
        <v>10.298779868353295</v>
      </c>
      <c r="K653" s="49">
        <f t="shared" si="57"/>
        <v>26.585067662482793</v>
      </c>
      <c r="L653" s="49">
        <f t="shared" si="58"/>
        <v>0</v>
      </c>
      <c r="T653" s="49">
        <f>(100*('GA Arroyo'!AO653-E653))/E653</f>
        <v>9.5466631168530895</v>
      </c>
      <c r="U653" s="49">
        <f>(100*('GA Arroyo'!AR653-E653))/E653</f>
        <v>32.735119683599514</v>
      </c>
      <c r="V653" s="49">
        <f>(100*('GA Arroyo'!AU653-E653))/E653</f>
        <v>0</v>
      </c>
      <c r="W653" s="49">
        <f>(100*('GA Arroyo'!AX653-E653))/E653</f>
        <v>6.3490284136887354</v>
      </c>
    </row>
    <row r="654" spans="2:23" ht="15" customHeight="1">
      <c r="B654">
        <f>MIN('GA Arroyo'!B654,'GA Arroyo'!E654,'GA Arroyo'!H654,'GA Arroyo'!K654)</f>
        <v>323054</v>
      </c>
      <c r="C654">
        <f>MIN('GA Arroyo'!O654, 'GA Arroyo'!R654, 'GA Arroyo'!U654, 'GA Arroyo'!X654)</f>
        <v>342428</v>
      </c>
      <c r="D654">
        <f>MIN('GA Arroyo'!AB654, 'GA Arroyo'!AE654, 'GA Arroyo'!AH654, 'GA Arroyo'!AK654)</f>
        <v>388562</v>
      </c>
      <c r="E654">
        <f>MIN('GA Arroyo'!AO654, 'GA Arroyo'!AR654, 'GA Arroyo'!AU654, 'GA Arroyo'!AX654)</f>
        <v>315025</v>
      </c>
      <c r="G654" s="45">
        <f t="shared" si="54"/>
        <v>315025</v>
      </c>
      <c r="I654" s="49">
        <f t="shared" si="55"/>
        <v>2.5486866121736371</v>
      </c>
      <c r="J654" s="49">
        <f t="shared" si="56"/>
        <v>8.6986747083564797</v>
      </c>
      <c r="K654" s="49">
        <f t="shared" si="57"/>
        <v>23.343226728037457</v>
      </c>
      <c r="L654" s="49">
        <f t="shared" si="58"/>
        <v>0</v>
      </c>
      <c r="T654" s="49">
        <f>(100*('GA Arroyo'!AO654-E654))/E654</f>
        <v>0.10697563685421792</v>
      </c>
      <c r="U654" s="49">
        <f>(100*('GA Arroyo'!AR654-E654))/E654</f>
        <v>2.2795016268550117</v>
      </c>
      <c r="V654" s="49">
        <f>(100*('GA Arroyo'!AU654-E654))/E654</f>
        <v>0</v>
      </c>
      <c r="W654" s="49">
        <f>(100*('GA Arroyo'!AX654-E654))/E654</f>
        <v>3.2372033965558291</v>
      </c>
    </row>
    <row r="655" spans="2:23" ht="15" customHeight="1">
      <c r="B655">
        <f>MIN('GA Arroyo'!B655,'GA Arroyo'!E655,'GA Arroyo'!H655,'GA Arroyo'!K655)</f>
        <v>325920</v>
      </c>
      <c r="C655">
        <f>MIN('GA Arroyo'!O655, 'GA Arroyo'!R655, 'GA Arroyo'!U655, 'GA Arroyo'!X655)</f>
        <v>348788</v>
      </c>
      <c r="D655">
        <f>MIN('GA Arroyo'!AB655, 'GA Arroyo'!AE655, 'GA Arroyo'!AH655, 'GA Arroyo'!AK655)</f>
        <v>378510</v>
      </c>
      <c r="E655">
        <f>MIN('GA Arroyo'!AO655, 'GA Arroyo'!AR655, 'GA Arroyo'!AU655, 'GA Arroyo'!AX655)</f>
        <v>324664</v>
      </c>
      <c r="G655" s="45">
        <f t="shared" si="54"/>
        <v>324664</v>
      </c>
      <c r="I655" s="49">
        <f t="shared" si="55"/>
        <v>0.38686149372890127</v>
      </c>
      <c r="J655" s="49">
        <f t="shared" si="56"/>
        <v>7.4304511741369543</v>
      </c>
      <c r="K655" s="49">
        <f t="shared" si="57"/>
        <v>16.585146489909569</v>
      </c>
      <c r="L655" s="49">
        <f t="shared" si="58"/>
        <v>0</v>
      </c>
      <c r="T655" s="49">
        <f>(100*('GA Arroyo'!AO655-E655))/E655</f>
        <v>0</v>
      </c>
      <c r="U655" s="49">
        <f>(100*('GA Arroyo'!AR655-E655))/E655</f>
        <v>4.5841238942414311</v>
      </c>
      <c r="V655" s="49">
        <f>(100*('GA Arroyo'!AU655-E655))/E655</f>
        <v>6.7691521080255281</v>
      </c>
      <c r="W655" s="49">
        <f>(100*('GA Arroyo'!AX655-E655))/E655</f>
        <v>2.9368824384594534</v>
      </c>
    </row>
    <row r="656" spans="2:23" ht="15" customHeight="1">
      <c r="B656">
        <f>MIN('GA Arroyo'!B656,'GA Arroyo'!E656,'GA Arroyo'!H656,'GA Arroyo'!K656)</f>
        <v>291617</v>
      </c>
      <c r="C656">
        <f>MIN('GA Arroyo'!O656, 'GA Arroyo'!R656, 'GA Arroyo'!U656, 'GA Arroyo'!X656)</f>
        <v>308815</v>
      </c>
      <c r="D656">
        <f>MIN('GA Arroyo'!AB656, 'GA Arroyo'!AE656, 'GA Arroyo'!AH656, 'GA Arroyo'!AK656)</f>
        <v>364899</v>
      </c>
      <c r="E656">
        <f>MIN('GA Arroyo'!AO656, 'GA Arroyo'!AR656, 'GA Arroyo'!AU656, 'GA Arroyo'!AX656)</f>
        <v>289466</v>
      </c>
      <c r="G656" s="45">
        <f t="shared" si="54"/>
        <v>289466</v>
      </c>
      <c r="I656" s="49">
        <f t="shared" si="55"/>
        <v>0.74309245299966142</v>
      </c>
      <c r="J656" s="49">
        <f t="shared" si="56"/>
        <v>6.684377439837494</v>
      </c>
      <c r="K656" s="49">
        <f t="shared" si="57"/>
        <v>26.059364484948144</v>
      </c>
      <c r="L656" s="49">
        <f t="shared" si="58"/>
        <v>0</v>
      </c>
      <c r="T656" s="49">
        <f>(100*('GA Arroyo'!AO656-E656))/E656</f>
        <v>25.641007924937643</v>
      </c>
      <c r="U656" s="49">
        <f>(100*('GA Arroyo'!AR656-E656))/E656</f>
        <v>15.263623361638327</v>
      </c>
      <c r="V656" s="49">
        <f>(100*('GA Arroyo'!AU656-E656))/E656</f>
        <v>0</v>
      </c>
      <c r="W656" s="49">
        <f>(100*('GA Arroyo'!AX656-E656))/E656</f>
        <v>6.5458464897431821</v>
      </c>
    </row>
    <row r="657" spans="2:23" ht="15" customHeight="1">
      <c r="B657">
        <f>MIN('GA Arroyo'!B657,'GA Arroyo'!E657,'GA Arroyo'!H657,'GA Arroyo'!K657)</f>
        <v>328565</v>
      </c>
      <c r="C657">
        <f>MIN('GA Arroyo'!O657, 'GA Arroyo'!R657, 'GA Arroyo'!U657, 'GA Arroyo'!X657)</f>
        <v>354837</v>
      </c>
      <c r="D657">
        <f>MIN('GA Arroyo'!AB657, 'GA Arroyo'!AE657, 'GA Arroyo'!AH657, 'GA Arroyo'!AK657)</f>
        <v>397628</v>
      </c>
      <c r="E657">
        <f>MIN('GA Arroyo'!AO657, 'GA Arroyo'!AR657, 'GA Arroyo'!AU657, 'GA Arroyo'!AX657)</f>
        <v>323994</v>
      </c>
      <c r="G657" s="45">
        <f t="shared" si="54"/>
        <v>323994</v>
      </c>
      <c r="I657" s="49">
        <f t="shared" si="55"/>
        <v>1.4108285955912765</v>
      </c>
      <c r="J657" s="49">
        <f t="shared" si="56"/>
        <v>9.5196207337172911</v>
      </c>
      <c r="K657" s="49">
        <f t="shared" si="57"/>
        <v>22.72696407958172</v>
      </c>
      <c r="L657" s="49">
        <f t="shared" si="58"/>
        <v>0</v>
      </c>
      <c r="T657" s="49">
        <f>(100*('GA Arroyo'!AO657-E657))/E657</f>
        <v>4.4648974981018164</v>
      </c>
      <c r="U657" s="49">
        <f>(100*('GA Arroyo'!AR657-E657))/E657</f>
        <v>5.9868392624554776</v>
      </c>
      <c r="V657" s="49">
        <f>(100*('GA Arroyo'!AU657-E657))/E657</f>
        <v>4.9047204577862553</v>
      </c>
      <c r="W657" s="49">
        <f>(100*('GA Arroyo'!AX657-E657))/E657</f>
        <v>0</v>
      </c>
    </row>
    <row r="658" spans="2:23" ht="15" customHeight="1">
      <c r="B658">
        <f>MIN('GA Arroyo'!B658,'GA Arroyo'!E658,'GA Arroyo'!H658,'GA Arroyo'!K658)</f>
        <v>305978</v>
      </c>
      <c r="C658">
        <f>MIN('GA Arroyo'!O658, 'GA Arroyo'!R658, 'GA Arroyo'!U658, 'GA Arroyo'!X658)</f>
        <v>347669</v>
      </c>
      <c r="D658">
        <f>MIN('GA Arroyo'!AB658, 'GA Arroyo'!AE658, 'GA Arroyo'!AH658, 'GA Arroyo'!AK658)</f>
        <v>371998</v>
      </c>
      <c r="E658">
        <f>MIN('GA Arroyo'!AO658, 'GA Arroyo'!AR658, 'GA Arroyo'!AU658, 'GA Arroyo'!AX658)</f>
        <v>319434</v>
      </c>
      <c r="G658" s="45">
        <f t="shared" si="54"/>
        <v>305978</v>
      </c>
      <c r="I658" s="49">
        <f t="shared" si="55"/>
        <v>0</v>
      </c>
      <c r="J658" s="49">
        <f t="shared" si="56"/>
        <v>13.625489414271614</v>
      </c>
      <c r="K658" s="49">
        <f t="shared" si="57"/>
        <v>21.576714665760285</v>
      </c>
      <c r="L658" s="49">
        <f t="shared" si="58"/>
        <v>4.397701795553929</v>
      </c>
      <c r="T658" s="49">
        <f>(100*('GA Arroyo'!AO658-E658))/E658</f>
        <v>6.6326690333527427</v>
      </c>
      <c r="U658" s="49">
        <f>(100*('GA Arroyo'!AR658-E658))/E658</f>
        <v>9.5929049506314286</v>
      </c>
      <c r="V658" s="49">
        <f>(100*('GA Arroyo'!AU658-E658))/E658</f>
        <v>3.4357645084743642</v>
      </c>
      <c r="W658" s="49">
        <f>(100*('GA Arroyo'!AX658-E658))/E658</f>
        <v>0</v>
      </c>
    </row>
    <row r="659" spans="2:23" ht="15" customHeight="1">
      <c r="B659">
        <f>MIN('GA Arroyo'!B659,'GA Arroyo'!E659,'GA Arroyo'!H659,'GA Arroyo'!K659)</f>
        <v>363220</v>
      </c>
      <c r="C659">
        <f>MIN('GA Arroyo'!O659, 'GA Arroyo'!R659, 'GA Arroyo'!U659, 'GA Arroyo'!X659)</f>
        <v>362792</v>
      </c>
      <c r="D659">
        <f>MIN('GA Arroyo'!AB659, 'GA Arroyo'!AE659, 'GA Arroyo'!AH659, 'GA Arroyo'!AK659)</f>
        <v>434464</v>
      </c>
      <c r="E659">
        <f>MIN('GA Arroyo'!AO659, 'GA Arroyo'!AR659, 'GA Arroyo'!AU659, 'GA Arroyo'!AX659)</f>
        <v>356206</v>
      </c>
      <c r="G659" s="45">
        <f t="shared" si="54"/>
        <v>356206</v>
      </c>
      <c r="I659" s="49">
        <f t="shared" si="55"/>
        <v>1.9690853045709504</v>
      </c>
      <c r="J659" s="49">
        <f t="shared" si="56"/>
        <v>1.8489301134736642</v>
      </c>
      <c r="K659" s="49">
        <f t="shared" si="57"/>
        <v>21.969871366568782</v>
      </c>
      <c r="L659" s="49">
        <f t="shared" si="58"/>
        <v>0</v>
      </c>
      <c r="T659" s="49">
        <f>(100*('GA Arroyo'!AO659-E659))/E659</f>
        <v>5.3592584066523301</v>
      </c>
      <c r="U659" s="49">
        <f>(100*('GA Arroyo'!AR659-E659))/E659</f>
        <v>1.6296749633638963</v>
      </c>
      <c r="V659" s="49">
        <f>(100*('GA Arroyo'!AU659-E659))/E659</f>
        <v>0</v>
      </c>
      <c r="W659" s="49">
        <f>(100*('GA Arroyo'!AX659-E659))/E659</f>
        <v>3.9227301056130441</v>
      </c>
    </row>
    <row r="660" spans="2:23" ht="15" customHeight="1">
      <c r="B660">
        <f>MIN('GA Arroyo'!B660,'GA Arroyo'!E660,'GA Arroyo'!H660,'GA Arroyo'!K660)</f>
        <v>302128</v>
      </c>
      <c r="C660">
        <f>MIN('GA Arroyo'!O660, 'GA Arroyo'!R660, 'GA Arroyo'!U660, 'GA Arroyo'!X660)</f>
        <v>317752</v>
      </c>
      <c r="D660">
        <f>MIN('GA Arroyo'!AB660, 'GA Arroyo'!AE660, 'GA Arroyo'!AH660, 'GA Arroyo'!AK660)</f>
        <v>349936</v>
      </c>
      <c r="E660">
        <f>MIN('GA Arroyo'!AO660, 'GA Arroyo'!AR660, 'GA Arroyo'!AU660, 'GA Arroyo'!AX660)</f>
        <v>296181</v>
      </c>
      <c r="G660" s="45">
        <f t="shared" si="54"/>
        <v>296181</v>
      </c>
      <c r="I660" s="49">
        <f t="shared" si="55"/>
        <v>2.0078938216833624</v>
      </c>
      <c r="J660" s="49">
        <f t="shared" si="56"/>
        <v>7.2830465154753341</v>
      </c>
      <c r="K660" s="49">
        <f t="shared" si="57"/>
        <v>18.149374875498427</v>
      </c>
      <c r="L660" s="49">
        <f t="shared" si="58"/>
        <v>0</v>
      </c>
      <c r="T660" s="49">
        <f>(100*('GA Arroyo'!AO660-E660))/E660</f>
        <v>10.465897542381178</v>
      </c>
      <c r="U660" s="49">
        <f>(100*('GA Arroyo'!AR660-E660))/E660</f>
        <v>1.8093665697664603</v>
      </c>
      <c r="V660" s="49">
        <f>(100*('GA Arroyo'!AU660-E660))/E660</f>
        <v>9.8254108129826019</v>
      </c>
      <c r="W660" s="49">
        <f>(100*('GA Arroyo'!AX660-E660))/E660</f>
        <v>0</v>
      </c>
    </row>
    <row r="661" spans="2:23" ht="15" customHeight="1">
      <c r="B661">
        <f>MIN('GA Arroyo'!B661,'GA Arroyo'!E661,'GA Arroyo'!H661,'GA Arroyo'!K661)</f>
        <v>334133</v>
      </c>
      <c r="C661">
        <f>MIN('GA Arroyo'!O661, 'GA Arroyo'!R661, 'GA Arroyo'!U661, 'GA Arroyo'!X661)</f>
        <v>339930</v>
      </c>
      <c r="D661">
        <f>MIN('GA Arroyo'!AB661, 'GA Arroyo'!AE661, 'GA Arroyo'!AH661, 'GA Arroyo'!AK661)</f>
        <v>382706</v>
      </c>
      <c r="E661">
        <f>MIN('GA Arroyo'!AO661, 'GA Arroyo'!AR661, 'GA Arroyo'!AU661, 'GA Arroyo'!AX661)</f>
        <v>307174</v>
      </c>
      <c r="G661" s="45">
        <f t="shared" si="54"/>
        <v>307174</v>
      </c>
      <c r="I661" s="49">
        <f t="shared" si="55"/>
        <v>8.7764589450930099</v>
      </c>
      <c r="J661" s="49">
        <f t="shared" si="56"/>
        <v>10.663662940222805</v>
      </c>
      <c r="K661" s="49">
        <f t="shared" si="57"/>
        <v>24.589320710737237</v>
      </c>
      <c r="L661" s="49">
        <f t="shared" si="58"/>
        <v>0</v>
      </c>
      <c r="T661" s="49">
        <f>(100*('GA Arroyo'!AO661-E661))/E661</f>
        <v>4.4167149563439612</v>
      </c>
      <c r="U661" s="49">
        <f>(100*('GA Arroyo'!AR661-E661))/E661</f>
        <v>16.102925377798901</v>
      </c>
      <c r="V661" s="49">
        <f>(100*('GA Arroyo'!AU661-E661))/E661</f>
        <v>0</v>
      </c>
      <c r="W661" s="49">
        <f>(100*('GA Arroyo'!AX661-E661))/E661</f>
        <v>1.9982159948433136</v>
      </c>
    </row>
    <row r="662" spans="2:23" ht="15" customHeight="1">
      <c r="B662">
        <f>MIN('GA Arroyo'!B662,'GA Arroyo'!E662,'GA Arroyo'!H662,'GA Arroyo'!K662)</f>
        <v>268298</v>
      </c>
      <c r="C662">
        <f>MIN('GA Arroyo'!O662, 'GA Arroyo'!R662, 'GA Arroyo'!U662, 'GA Arroyo'!X662)</f>
        <v>288724</v>
      </c>
      <c r="D662">
        <f>MIN('GA Arroyo'!AB662, 'GA Arroyo'!AE662, 'GA Arroyo'!AH662, 'GA Arroyo'!AK662)</f>
        <v>307820</v>
      </c>
      <c r="E662">
        <f>MIN('GA Arroyo'!AO662, 'GA Arroyo'!AR662, 'GA Arroyo'!AU662, 'GA Arroyo'!AX662)</f>
        <v>259137</v>
      </c>
      <c r="G662" s="45">
        <f t="shared" si="54"/>
        <v>259137</v>
      </c>
      <c r="I662" s="49">
        <f t="shared" si="55"/>
        <v>3.5351956687003399</v>
      </c>
      <c r="J662" s="49">
        <f t="shared" si="56"/>
        <v>11.417512744224098</v>
      </c>
      <c r="K662" s="49">
        <f t="shared" si="57"/>
        <v>18.786587789470435</v>
      </c>
      <c r="L662" s="49">
        <f t="shared" si="58"/>
        <v>0</v>
      </c>
      <c r="T662" s="49">
        <f>(100*('GA Arroyo'!AO662-E662))/E662</f>
        <v>4.1352643582352195</v>
      </c>
      <c r="U662" s="49">
        <f>(100*('GA Arroyo'!AR662-E662))/E662</f>
        <v>0</v>
      </c>
      <c r="V662" s="49">
        <f>(100*('GA Arroyo'!AU662-E662))/E662</f>
        <v>5.9883382149210647</v>
      </c>
      <c r="W662" s="49">
        <f>(100*('GA Arroyo'!AX662-E662))/E662</f>
        <v>3.6849234188865347</v>
      </c>
    </row>
    <row r="663" spans="2:23" ht="15" customHeight="1">
      <c r="B663">
        <f>MIN('GA Arroyo'!B663,'GA Arroyo'!E663,'GA Arroyo'!H663,'GA Arroyo'!K663)</f>
        <v>293585</v>
      </c>
      <c r="C663">
        <f>MIN('GA Arroyo'!O663, 'GA Arroyo'!R663, 'GA Arroyo'!U663, 'GA Arroyo'!X663)</f>
        <v>312685</v>
      </c>
      <c r="D663">
        <f>MIN('GA Arroyo'!AB663, 'GA Arroyo'!AE663, 'GA Arroyo'!AH663, 'GA Arroyo'!AK663)</f>
        <v>372420</v>
      </c>
      <c r="E663">
        <f>MIN('GA Arroyo'!AO663, 'GA Arroyo'!AR663, 'GA Arroyo'!AU663, 'GA Arroyo'!AX663)</f>
        <v>299022</v>
      </c>
      <c r="G663" s="45">
        <f t="shared" si="54"/>
        <v>293585</v>
      </c>
      <c r="I663" s="49">
        <f t="shared" si="55"/>
        <v>0</v>
      </c>
      <c r="J663" s="49">
        <f t="shared" si="56"/>
        <v>6.5057819711497524</v>
      </c>
      <c r="K663" s="49">
        <f t="shared" si="57"/>
        <v>26.852529931706322</v>
      </c>
      <c r="L663" s="49">
        <f t="shared" si="58"/>
        <v>1.8519338522063458</v>
      </c>
      <c r="T663" s="49">
        <f>(100*('GA Arroyo'!AO663-E663))/E663</f>
        <v>3.6348496097277123</v>
      </c>
      <c r="U663" s="49">
        <f>(100*('GA Arroyo'!AR663-E663))/E663</f>
        <v>8.0204800984542945</v>
      </c>
      <c r="V663" s="49">
        <f>(100*('GA Arroyo'!AU663-E663))/E663</f>
        <v>0</v>
      </c>
      <c r="W663" s="49">
        <f>(100*('GA Arroyo'!AX663-E663))/E663</f>
        <v>4.0619084883386503</v>
      </c>
    </row>
    <row r="664" spans="2:23" ht="15" customHeight="1">
      <c r="B664">
        <f>MIN('GA Arroyo'!B664,'GA Arroyo'!E664,'GA Arroyo'!H664,'GA Arroyo'!K664)</f>
        <v>396104</v>
      </c>
      <c r="C664">
        <f>MIN('GA Arroyo'!O664, 'GA Arroyo'!R664, 'GA Arroyo'!U664, 'GA Arroyo'!X664)</f>
        <v>411011</v>
      </c>
      <c r="D664">
        <f>MIN('GA Arroyo'!AB664, 'GA Arroyo'!AE664, 'GA Arroyo'!AH664, 'GA Arroyo'!AK664)</f>
        <v>444230</v>
      </c>
      <c r="E664">
        <f>MIN('GA Arroyo'!AO664, 'GA Arroyo'!AR664, 'GA Arroyo'!AU664, 'GA Arroyo'!AX664)</f>
        <v>408195</v>
      </c>
      <c r="G664" s="45">
        <f t="shared" si="54"/>
        <v>396104</v>
      </c>
      <c r="I664" s="49">
        <f t="shared" si="55"/>
        <v>0</v>
      </c>
      <c r="J664" s="49">
        <f t="shared" si="56"/>
        <v>3.7634055702542768</v>
      </c>
      <c r="K664" s="49">
        <f t="shared" si="57"/>
        <v>12.149839436107689</v>
      </c>
      <c r="L664" s="49">
        <f t="shared" si="58"/>
        <v>3.052481166562317</v>
      </c>
      <c r="T664" s="49">
        <f>(100*('GA Arroyo'!AO664-E664))/E664</f>
        <v>2.4696529844804567</v>
      </c>
      <c r="U664" s="49">
        <f>(100*('GA Arroyo'!AR664-E664))/E664</f>
        <v>2.2511299746444715</v>
      </c>
      <c r="V664" s="49">
        <f>(100*('GA Arroyo'!AU664-E664))/E664</f>
        <v>1.6291233356606525</v>
      </c>
      <c r="W664" s="49">
        <f>(100*('GA Arroyo'!AX664-E664))/E664</f>
        <v>0</v>
      </c>
    </row>
    <row r="665" spans="2:23" ht="15" customHeight="1">
      <c r="B665">
        <f>MIN('GA Arroyo'!B665,'GA Arroyo'!E665,'GA Arroyo'!H665,'GA Arroyo'!K665)</f>
        <v>354711</v>
      </c>
      <c r="C665">
        <f>MIN('GA Arroyo'!O665, 'GA Arroyo'!R665, 'GA Arroyo'!U665, 'GA Arroyo'!X665)</f>
        <v>372091</v>
      </c>
      <c r="D665">
        <f>MIN('GA Arroyo'!AB665, 'GA Arroyo'!AE665, 'GA Arroyo'!AH665, 'GA Arroyo'!AK665)</f>
        <v>414262</v>
      </c>
      <c r="E665">
        <f>MIN('GA Arroyo'!AO665, 'GA Arroyo'!AR665, 'GA Arroyo'!AU665, 'GA Arroyo'!AX665)</f>
        <v>339434</v>
      </c>
      <c r="G665" s="45">
        <f t="shared" si="54"/>
        <v>339434</v>
      </c>
      <c r="I665" s="49">
        <f t="shared" si="55"/>
        <v>4.5007276819646824</v>
      </c>
      <c r="J665" s="49">
        <f t="shared" si="56"/>
        <v>9.6210161621994263</v>
      </c>
      <c r="K665" s="49">
        <f t="shared" si="57"/>
        <v>22.044933624798929</v>
      </c>
      <c r="L665" s="49">
        <f t="shared" si="58"/>
        <v>0</v>
      </c>
      <c r="T665" s="49">
        <f>(100*('GA Arroyo'!AO665-E665))/E665</f>
        <v>10.674240058450243</v>
      </c>
      <c r="U665" s="49">
        <f>(100*('GA Arroyo'!AR665-E665))/E665</f>
        <v>7.4155800538543577</v>
      </c>
      <c r="V665" s="49">
        <f>(100*('GA Arroyo'!AU665-E665))/E665</f>
        <v>1.1021288380067995</v>
      </c>
      <c r="W665" s="49">
        <f>(100*('GA Arroyo'!AX665-E665))/E665</f>
        <v>0</v>
      </c>
    </row>
    <row r="666" spans="2:23" ht="15" customHeight="1">
      <c r="B666">
        <f>MIN('GA Arroyo'!B666,'GA Arroyo'!E666,'GA Arroyo'!H666,'GA Arroyo'!K666)</f>
        <v>352924</v>
      </c>
      <c r="C666">
        <f>MIN('GA Arroyo'!O666, 'GA Arroyo'!R666, 'GA Arroyo'!U666, 'GA Arroyo'!X666)</f>
        <v>367741</v>
      </c>
      <c r="D666">
        <f>MIN('GA Arroyo'!AB666, 'GA Arroyo'!AE666, 'GA Arroyo'!AH666, 'GA Arroyo'!AK666)</f>
        <v>403047</v>
      </c>
      <c r="E666">
        <f>MIN('GA Arroyo'!AO666, 'GA Arroyo'!AR666, 'GA Arroyo'!AU666, 'GA Arroyo'!AX666)</f>
        <v>329412</v>
      </c>
      <c r="G666" s="45">
        <f t="shared" si="54"/>
        <v>329412</v>
      </c>
      <c r="I666" s="49">
        <f t="shared" si="55"/>
        <v>7.1375663303097641</v>
      </c>
      <c r="J666" s="49">
        <f t="shared" si="56"/>
        <v>11.635580974585018</v>
      </c>
      <c r="K666" s="49">
        <f t="shared" si="57"/>
        <v>22.353466176095587</v>
      </c>
      <c r="L666" s="49">
        <f t="shared" si="58"/>
        <v>0</v>
      </c>
      <c r="T666" s="49">
        <f>(100*('GA Arroyo'!AO666-E666))/E666</f>
        <v>0</v>
      </c>
      <c r="U666" s="49">
        <f>(100*('GA Arroyo'!AR666-E666))/E666</f>
        <v>4.8410501135356334</v>
      </c>
      <c r="V666" s="49">
        <f>(100*('GA Arroyo'!AU666-E666))/E666</f>
        <v>7.2705305210496274</v>
      </c>
      <c r="W666" s="49">
        <f>(100*('GA Arroyo'!AX666-E666))/E666</f>
        <v>9.2552791033720698</v>
      </c>
    </row>
    <row r="667" spans="2:23" ht="15" customHeight="1">
      <c r="B667">
        <f>MIN('GA Arroyo'!B667,'GA Arroyo'!E667,'GA Arroyo'!H667,'GA Arroyo'!K667)</f>
        <v>318624</v>
      </c>
      <c r="C667">
        <f>MIN('GA Arroyo'!O667, 'GA Arroyo'!R667, 'GA Arroyo'!U667, 'GA Arroyo'!X667)</f>
        <v>351922</v>
      </c>
      <c r="D667">
        <f>MIN('GA Arroyo'!AB667, 'GA Arroyo'!AE667, 'GA Arroyo'!AH667, 'GA Arroyo'!AK667)</f>
        <v>373441</v>
      </c>
      <c r="E667">
        <f>MIN('GA Arroyo'!AO667, 'GA Arroyo'!AR667, 'GA Arroyo'!AU667, 'GA Arroyo'!AX667)</f>
        <v>338540</v>
      </c>
      <c r="G667" s="45">
        <f t="shared" si="54"/>
        <v>318624</v>
      </c>
      <c r="I667" s="49">
        <f t="shared" si="55"/>
        <v>0</v>
      </c>
      <c r="J667" s="49">
        <f t="shared" si="56"/>
        <v>10.450562418399116</v>
      </c>
      <c r="K667" s="49">
        <f t="shared" si="57"/>
        <v>17.204290951089686</v>
      </c>
      <c r="L667" s="49">
        <f t="shared" si="58"/>
        <v>6.2506276991061567</v>
      </c>
      <c r="T667" s="49">
        <f>(100*('GA Arroyo'!AO667-E667))/E667</f>
        <v>4.4239971642937315</v>
      </c>
      <c r="U667" s="49">
        <f>(100*('GA Arroyo'!AR667-E667))/E667</f>
        <v>2.8345247238140248</v>
      </c>
      <c r="V667" s="49">
        <f>(100*('GA Arroyo'!AU667-E667))/E667</f>
        <v>3.3647427187333845</v>
      </c>
      <c r="W667" s="49">
        <f>(100*('GA Arroyo'!AX667-E667))/E667</f>
        <v>0</v>
      </c>
    </row>
    <row r="668" spans="2:23" ht="15" customHeight="1">
      <c r="B668">
        <f>MIN('GA Arroyo'!B668,'GA Arroyo'!E668,'GA Arroyo'!H668,'GA Arroyo'!K668)</f>
        <v>347588</v>
      </c>
      <c r="C668">
        <f>MIN('GA Arroyo'!O668, 'GA Arroyo'!R668, 'GA Arroyo'!U668, 'GA Arroyo'!X668)</f>
        <v>368389</v>
      </c>
      <c r="D668">
        <f>MIN('GA Arroyo'!AB668, 'GA Arroyo'!AE668, 'GA Arroyo'!AH668, 'GA Arroyo'!AK668)</f>
        <v>397825</v>
      </c>
      <c r="E668">
        <f>MIN('GA Arroyo'!AO668, 'GA Arroyo'!AR668, 'GA Arroyo'!AU668, 'GA Arroyo'!AX668)</f>
        <v>345694</v>
      </c>
      <c r="G668" s="45">
        <f t="shared" si="54"/>
        <v>345694</v>
      </c>
      <c r="I668" s="49">
        <f t="shared" si="55"/>
        <v>0.54788338819881166</v>
      </c>
      <c r="J668" s="49">
        <f t="shared" si="56"/>
        <v>6.5650546437022337</v>
      </c>
      <c r="K668" s="49">
        <f t="shared" si="57"/>
        <v>15.080099741389784</v>
      </c>
      <c r="L668" s="49">
        <f t="shared" si="58"/>
        <v>0</v>
      </c>
      <c r="T668" s="49">
        <f>(100*('GA Arroyo'!AO668-E668))/E668</f>
        <v>16.763669603753609</v>
      </c>
      <c r="U668" s="49">
        <f>(100*('GA Arroyo'!AR668-E668))/E668</f>
        <v>7.1473615393961136</v>
      </c>
      <c r="V668" s="49">
        <f>(100*('GA Arroyo'!AU668-E668))/E668</f>
        <v>0</v>
      </c>
      <c r="W668" s="49">
        <f>(100*('GA Arroyo'!AX668-E668))/E668</f>
        <v>0.92162432671669159</v>
      </c>
    </row>
    <row r="669" spans="2:23" ht="15" customHeight="1">
      <c r="B669">
        <f>MIN('GA Arroyo'!B669,'GA Arroyo'!E669,'GA Arroyo'!H669,'GA Arroyo'!K669)</f>
        <v>321015</v>
      </c>
      <c r="C669">
        <f>MIN('GA Arroyo'!O669, 'GA Arroyo'!R669, 'GA Arroyo'!U669, 'GA Arroyo'!X669)</f>
        <v>332528</v>
      </c>
      <c r="D669">
        <f>MIN('GA Arroyo'!AB669, 'GA Arroyo'!AE669, 'GA Arroyo'!AH669, 'GA Arroyo'!AK669)</f>
        <v>379441</v>
      </c>
      <c r="E669">
        <f>MIN('GA Arroyo'!AO669, 'GA Arroyo'!AR669, 'GA Arroyo'!AU669, 'GA Arroyo'!AX669)</f>
        <v>321023</v>
      </c>
      <c r="G669" s="45">
        <f t="shared" si="54"/>
        <v>321015</v>
      </c>
      <c r="I669" s="49">
        <f t="shared" si="55"/>
        <v>0</v>
      </c>
      <c r="J669" s="49">
        <f t="shared" si="56"/>
        <v>3.586436770867405</v>
      </c>
      <c r="K669" s="49">
        <f t="shared" si="57"/>
        <v>18.200395620142363</v>
      </c>
      <c r="L669" s="49">
        <f t="shared" si="58"/>
        <v>2.4920953849508591E-3</v>
      </c>
      <c r="T669" s="49">
        <f>(100*('GA Arroyo'!AO669-E669))/E669</f>
        <v>0</v>
      </c>
      <c r="U669" s="49">
        <f>(100*('GA Arroyo'!AR669-E669))/E669</f>
        <v>8.8298969232734095</v>
      </c>
      <c r="V669" s="49">
        <f>(100*('GA Arroyo'!AU669-E669))/E669</f>
        <v>1.8861576896359451</v>
      </c>
      <c r="W669" s="49">
        <f>(100*('GA Arroyo'!AX669-E669))/E669</f>
        <v>0.28720683564729005</v>
      </c>
    </row>
    <row r="670" spans="2:23" ht="15" customHeight="1">
      <c r="B670">
        <f>MIN('GA Arroyo'!B670,'GA Arroyo'!E670,'GA Arroyo'!H670,'GA Arroyo'!K670)</f>
        <v>317712</v>
      </c>
      <c r="C670">
        <f>MIN('GA Arroyo'!O670, 'GA Arroyo'!R670, 'GA Arroyo'!U670, 'GA Arroyo'!X670)</f>
        <v>344999</v>
      </c>
      <c r="D670">
        <f>MIN('GA Arroyo'!AB670, 'GA Arroyo'!AE670, 'GA Arroyo'!AH670, 'GA Arroyo'!AK670)</f>
        <v>378640</v>
      </c>
      <c r="E670">
        <f>MIN('GA Arroyo'!AO670, 'GA Arroyo'!AR670, 'GA Arroyo'!AU670, 'GA Arroyo'!AX670)</f>
        <v>318367</v>
      </c>
      <c r="G670" s="45">
        <f t="shared" si="54"/>
        <v>317712</v>
      </c>
      <c r="I670" s="49">
        <f t="shared" si="55"/>
        <v>0</v>
      </c>
      <c r="J670" s="49">
        <f t="shared" si="56"/>
        <v>8.5885959611220226</v>
      </c>
      <c r="K670" s="49">
        <f t="shared" si="57"/>
        <v>19.177116382132244</v>
      </c>
      <c r="L670" s="49">
        <f t="shared" si="58"/>
        <v>0.20616155511910159</v>
      </c>
      <c r="T670" s="49">
        <f>(100*('GA Arroyo'!AO670-E670))/E670</f>
        <v>4.676678173303138</v>
      </c>
      <c r="U670" s="49">
        <f>(100*('GA Arroyo'!AR670-E670))/E670</f>
        <v>7.0619756444606381</v>
      </c>
      <c r="V670" s="49">
        <f>(100*('GA Arroyo'!AU670-E670))/E670</f>
        <v>2.8752980051324415</v>
      </c>
      <c r="W670" s="49">
        <f>(100*('GA Arroyo'!AX670-E670))/E670</f>
        <v>0</v>
      </c>
    </row>
    <row r="671" spans="2:23" ht="15" customHeight="1">
      <c r="B671">
        <f>MIN('GA Arroyo'!B671,'GA Arroyo'!E671,'GA Arroyo'!H671,'GA Arroyo'!K671)</f>
        <v>285121</v>
      </c>
      <c r="C671">
        <f>MIN('GA Arroyo'!O671, 'GA Arroyo'!R671, 'GA Arroyo'!U671, 'GA Arroyo'!X671)</f>
        <v>319557</v>
      </c>
      <c r="D671">
        <f>MIN('GA Arroyo'!AB671, 'GA Arroyo'!AE671, 'GA Arroyo'!AH671, 'GA Arroyo'!AK671)</f>
        <v>334139</v>
      </c>
      <c r="E671">
        <f>MIN('GA Arroyo'!AO671, 'GA Arroyo'!AR671, 'GA Arroyo'!AU671, 'GA Arroyo'!AX671)</f>
        <v>295318</v>
      </c>
      <c r="G671" s="45">
        <f t="shared" si="54"/>
        <v>285121</v>
      </c>
      <c r="I671" s="49">
        <f t="shared" si="55"/>
        <v>0</v>
      </c>
      <c r="J671" s="49">
        <f t="shared" si="56"/>
        <v>12.077679301068668</v>
      </c>
      <c r="K671" s="49">
        <f t="shared" si="57"/>
        <v>17.191999186310372</v>
      </c>
      <c r="L671" s="49">
        <f t="shared" si="58"/>
        <v>3.5763763454813922</v>
      </c>
      <c r="T671" s="49">
        <f>(100*('GA Arroyo'!AO671-E671))/E671</f>
        <v>4.8330951719840982</v>
      </c>
      <c r="U671" s="49">
        <f>(100*('GA Arroyo'!AR671-E671))/E671</f>
        <v>3.8362036855186612</v>
      </c>
      <c r="V671" s="49">
        <f>(100*('GA Arroyo'!AU671-E671))/E671</f>
        <v>0</v>
      </c>
      <c r="W671" s="49">
        <f>(100*('GA Arroyo'!AX671-E671))/E671</f>
        <v>1.917255297679112</v>
      </c>
    </row>
    <row r="672" spans="2:23" ht="15" customHeight="1">
      <c r="B672">
        <f>MIN('GA Arroyo'!B672,'GA Arroyo'!E672,'GA Arroyo'!H672,'GA Arroyo'!K672)</f>
        <v>334589</v>
      </c>
      <c r="C672">
        <f>MIN('GA Arroyo'!O672, 'GA Arroyo'!R672, 'GA Arroyo'!U672, 'GA Arroyo'!X672)</f>
        <v>367873</v>
      </c>
      <c r="D672">
        <f>MIN('GA Arroyo'!AB672, 'GA Arroyo'!AE672, 'GA Arroyo'!AH672, 'GA Arroyo'!AK672)</f>
        <v>410031</v>
      </c>
      <c r="E672">
        <f>MIN('GA Arroyo'!AO672, 'GA Arroyo'!AR672, 'GA Arroyo'!AU672, 'GA Arroyo'!AX672)</f>
        <v>335495</v>
      </c>
      <c r="G672" s="45">
        <f t="shared" si="54"/>
        <v>334589</v>
      </c>
      <c r="I672" s="49">
        <f t="shared" si="55"/>
        <v>0</v>
      </c>
      <c r="J672" s="49">
        <f t="shared" si="56"/>
        <v>9.9477269127197854</v>
      </c>
      <c r="K672" s="49">
        <f t="shared" si="57"/>
        <v>22.547662953653585</v>
      </c>
      <c r="L672" s="49">
        <f t="shared" si="58"/>
        <v>0.2707799718460559</v>
      </c>
      <c r="T672" s="49">
        <f>(100*('GA Arroyo'!AO672-E672))/E672</f>
        <v>2.4200062594077409</v>
      </c>
      <c r="U672" s="49">
        <f>(100*('GA Arroyo'!AR672-E672))/E672</f>
        <v>4.2748774199317428</v>
      </c>
      <c r="V672" s="49">
        <f>(100*('GA Arroyo'!AU672-E672))/E672</f>
        <v>0</v>
      </c>
      <c r="W672" s="49">
        <f>(100*('GA Arroyo'!AX672-E672))/E672</f>
        <v>4.9544702603615551</v>
      </c>
    </row>
    <row r="673" spans="2:23" ht="15" customHeight="1">
      <c r="B673">
        <f>MIN('GA Arroyo'!B673,'GA Arroyo'!E673,'GA Arroyo'!H673,'GA Arroyo'!K673)</f>
        <v>350879</v>
      </c>
      <c r="C673">
        <f>MIN('GA Arroyo'!O673, 'GA Arroyo'!R673, 'GA Arroyo'!U673, 'GA Arroyo'!X673)</f>
        <v>363228</v>
      </c>
      <c r="D673">
        <f>MIN('GA Arroyo'!AB673, 'GA Arroyo'!AE673, 'GA Arroyo'!AH673, 'GA Arroyo'!AK673)</f>
        <v>419789</v>
      </c>
      <c r="E673">
        <f>MIN('GA Arroyo'!AO673, 'GA Arroyo'!AR673, 'GA Arroyo'!AU673, 'GA Arroyo'!AX673)</f>
        <v>346129</v>
      </c>
      <c r="G673" s="45">
        <f t="shared" si="54"/>
        <v>346129</v>
      </c>
      <c r="I673" s="49">
        <f t="shared" si="55"/>
        <v>1.3723207243542148</v>
      </c>
      <c r="J673" s="49">
        <f t="shared" si="56"/>
        <v>4.9400656980489934</v>
      </c>
      <c r="K673" s="49">
        <f t="shared" si="57"/>
        <v>21.281083064406623</v>
      </c>
      <c r="L673" s="49">
        <f t="shared" si="58"/>
        <v>0</v>
      </c>
      <c r="T673" s="49">
        <f>(100*('GA Arroyo'!AO673-E673))/E673</f>
        <v>12.540989053214265</v>
      </c>
      <c r="U673" s="49">
        <f>(100*('GA Arroyo'!AR673-E673))/E673</f>
        <v>5.4676146754533717</v>
      </c>
      <c r="V673" s="49">
        <f>(100*('GA Arroyo'!AU673-E673))/E673</f>
        <v>2.366458748039026</v>
      </c>
      <c r="W673" s="49">
        <f>(100*('GA Arroyo'!AX673-E673))/E673</f>
        <v>0</v>
      </c>
    </row>
    <row r="674" spans="2:23" ht="15" customHeight="1">
      <c r="B674">
        <f>MIN('GA Arroyo'!B674,'GA Arroyo'!E674,'GA Arroyo'!H674,'GA Arroyo'!K674)</f>
        <v>344474</v>
      </c>
      <c r="C674">
        <f>MIN('GA Arroyo'!O674, 'GA Arroyo'!R674, 'GA Arroyo'!U674, 'GA Arroyo'!X674)</f>
        <v>367240</v>
      </c>
      <c r="D674">
        <f>MIN('GA Arroyo'!AB674, 'GA Arroyo'!AE674, 'GA Arroyo'!AH674, 'GA Arroyo'!AK674)</f>
        <v>423236</v>
      </c>
      <c r="E674">
        <f>MIN('GA Arroyo'!AO674, 'GA Arroyo'!AR674, 'GA Arroyo'!AU674, 'GA Arroyo'!AX674)</f>
        <v>338926</v>
      </c>
      <c r="G674" s="45">
        <f t="shared" si="54"/>
        <v>338926</v>
      </c>
      <c r="I674" s="49">
        <f t="shared" si="55"/>
        <v>1.6369354962440179</v>
      </c>
      <c r="J674" s="49">
        <f t="shared" si="56"/>
        <v>8.35403598425615</v>
      </c>
      <c r="K674" s="49">
        <f t="shared" si="57"/>
        <v>24.875636569634668</v>
      </c>
      <c r="L674" s="49">
        <f t="shared" si="58"/>
        <v>0</v>
      </c>
      <c r="T674" s="49">
        <f>(100*('GA Arroyo'!AO674-E674))/E674</f>
        <v>0.44345963425644536</v>
      </c>
      <c r="U674" s="49">
        <f>(100*('GA Arroyo'!AR674-E674))/E674</f>
        <v>0</v>
      </c>
      <c r="V674" s="49">
        <f>(100*('GA Arroyo'!AU674-E674))/E674</f>
        <v>13.022311655051546</v>
      </c>
      <c r="W674" s="49">
        <f>(100*('GA Arroyo'!AX674-E674))/E674</f>
        <v>3.3783185710155017</v>
      </c>
    </row>
    <row r="675" spans="2:23" ht="15" customHeight="1">
      <c r="B675">
        <f>MIN('GA Arroyo'!B675,'GA Arroyo'!E675,'GA Arroyo'!H675,'GA Arroyo'!K675)</f>
        <v>337140</v>
      </c>
      <c r="C675">
        <f>MIN('GA Arroyo'!O675, 'GA Arroyo'!R675, 'GA Arroyo'!U675, 'GA Arroyo'!X675)</f>
        <v>347868</v>
      </c>
      <c r="D675">
        <f>MIN('GA Arroyo'!AB675, 'GA Arroyo'!AE675, 'GA Arroyo'!AH675, 'GA Arroyo'!AK675)</f>
        <v>370716</v>
      </c>
      <c r="E675">
        <f>MIN('GA Arroyo'!AO675, 'GA Arroyo'!AR675, 'GA Arroyo'!AU675, 'GA Arroyo'!AX675)</f>
        <v>314643</v>
      </c>
      <c r="G675" s="45">
        <f t="shared" si="54"/>
        <v>314643</v>
      </c>
      <c r="I675" s="49">
        <f t="shared" si="55"/>
        <v>7.1500081044231081</v>
      </c>
      <c r="J675" s="49">
        <f t="shared" si="56"/>
        <v>10.559586579075333</v>
      </c>
      <c r="K675" s="49">
        <f t="shared" si="57"/>
        <v>17.821149683927498</v>
      </c>
      <c r="L675" s="49">
        <f t="shared" si="58"/>
        <v>0</v>
      </c>
      <c r="T675" s="49">
        <f>(100*('GA Arroyo'!AO675-E675))/E675</f>
        <v>0</v>
      </c>
      <c r="U675" s="49">
        <f>(100*('GA Arroyo'!AR675-E675))/E675</f>
        <v>11.96784927679942</v>
      </c>
      <c r="V675" s="49">
        <f>(100*('GA Arroyo'!AU675-E675))/E675</f>
        <v>1.83604910962583</v>
      </c>
      <c r="W675" s="49">
        <f>(100*('GA Arroyo'!AX675-E675))/E675</f>
        <v>2.0683759053911892</v>
      </c>
    </row>
    <row r="676" spans="2:23" ht="15" customHeight="1">
      <c r="B676">
        <f>MIN('GA Arroyo'!B676,'GA Arroyo'!E676,'GA Arroyo'!H676,'GA Arroyo'!K676)</f>
        <v>324402</v>
      </c>
      <c r="C676">
        <f>MIN('GA Arroyo'!O676, 'GA Arroyo'!R676, 'GA Arroyo'!U676, 'GA Arroyo'!X676)</f>
        <v>347793</v>
      </c>
      <c r="D676">
        <f>MIN('GA Arroyo'!AB676, 'GA Arroyo'!AE676, 'GA Arroyo'!AH676, 'GA Arroyo'!AK676)</f>
        <v>378700</v>
      </c>
      <c r="E676">
        <f>MIN('GA Arroyo'!AO676, 'GA Arroyo'!AR676, 'GA Arroyo'!AU676, 'GA Arroyo'!AX676)</f>
        <v>308427</v>
      </c>
      <c r="G676" s="45">
        <f t="shared" si="54"/>
        <v>308427</v>
      </c>
      <c r="I676" s="49">
        <f t="shared" si="55"/>
        <v>5.1795076306549035</v>
      </c>
      <c r="J676" s="49">
        <f t="shared" si="56"/>
        <v>12.763474014920872</v>
      </c>
      <c r="K676" s="49">
        <f t="shared" si="57"/>
        <v>22.784321735775404</v>
      </c>
      <c r="L676" s="49">
        <f t="shared" si="58"/>
        <v>0</v>
      </c>
      <c r="T676" s="49">
        <f>(100*('GA Arroyo'!AO676-E676))/E676</f>
        <v>0</v>
      </c>
      <c r="U676" s="49">
        <f>(100*('GA Arroyo'!AR676-E676))/E676</f>
        <v>0.13876865514368067</v>
      </c>
      <c r="V676" s="49">
        <f>(100*('GA Arroyo'!AU676-E676))/E676</f>
        <v>2.3992711403346658</v>
      </c>
      <c r="W676" s="49">
        <f>(100*('GA Arroyo'!AX676-E676))/E676</f>
        <v>1.7722183855499032</v>
      </c>
    </row>
    <row r="677" spans="2:23" ht="15" customHeight="1">
      <c r="B677">
        <f>MIN('GA Arroyo'!B677,'GA Arroyo'!E677,'GA Arroyo'!H677,'GA Arroyo'!K677)</f>
        <v>349759</v>
      </c>
      <c r="C677">
        <f>MIN('GA Arroyo'!O677, 'GA Arroyo'!R677, 'GA Arroyo'!U677, 'GA Arroyo'!X677)</f>
        <v>356392</v>
      </c>
      <c r="D677">
        <f>MIN('GA Arroyo'!AB677, 'GA Arroyo'!AE677, 'GA Arroyo'!AH677, 'GA Arroyo'!AK677)</f>
        <v>404833</v>
      </c>
      <c r="E677">
        <f>MIN('GA Arroyo'!AO677, 'GA Arroyo'!AR677, 'GA Arroyo'!AU677, 'GA Arroyo'!AX677)</f>
        <v>344421</v>
      </c>
      <c r="G677" s="45">
        <f t="shared" si="54"/>
        <v>344421</v>
      </c>
      <c r="I677" s="49">
        <f t="shared" si="55"/>
        <v>1.5498474250989343</v>
      </c>
      <c r="J677" s="49">
        <f t="shared" si="56"/>
        <v>3.475688183937681</v>
      </c>
      <c r="K677" s="49">
        <f t="shared" si="57"/>
        <v>17.540161604547922</v>
      </c>
      <c r="L677" s="49">
        <f t="shared" si="58"/>
        <v>0</v>
      </c>
      <c r="T677" s="49">
        <f>(100*('GA Arroyo'!AO677-E677))/E677</f>
        <v>6.6546464936806986</v>
      </c>
      <c r="U677" s="49">
        <f>(100*('GA Arroyo'!AR677-E677))/E677</f>
        <v>8.2823056666115011</v>
      </c>
      <c r="V677" s="49">
        <f>(100*('GA Arroyo'!AU677-E677))/E677</f>
        <v>5.7943621323903018</v>
      </c>
      <c r="W677" s="49">
        <f>(100*('GA Arroyo'!AX677-E677))/E677</f>
        <v>0</v>
      </c>
    </row>
    <row r="678" spans="2:23" ht="15" customHeight="1">
      <c r="B678">
        <f>MIN('GA Arroyo'!B678,'GA Arroyo'!E678,'GA Arroyo'!H678,'GA Arroyo'!K678)</f>
        <v>339001</v>
      </c>
      <c r="C678">
        <f>MIN('GA Arroyo'!O678, 'GA Arroyo'!R678, 'GA Arroyo'!U678, 'GA Arroyo'!X678)</f>
        <v>361630</v>
      </c>
      <c r="D678">
        <f>MIN('GA Arroyo'!AB678, 'GA Arroyo'!AE678, 'GA Arroyo'!AH678, 'GA Arroyo'!AK678)</f>
        <v>407644</v>
      </c>
      <c r="E678">
        <f>MIN('GA Arroyo'!AO678, 'GA Arroyo'!AR678, 'GA Arroyo'!AU678, 'GA Arroyo'!AX678)</f>
        <v>325755</v>
      </c>
      <c r="G678" s="45">
        <f t="shared" si="54"/>
        <v>325755</v>
      </c>
      <c r="I678" s="49">
        <f t="shared" si="55"/>
        <v>4.0662461052017624</v>
      </c>
      <c r="J678" s="49">
        <f t="shared" si="56"/>
        <v>11.012877776242881</v>
      </c>
      <c r="K678" s="49">
        <f t="shared" si="57"/>
        <v>25.138217371951313</v>
      </c>
      <c r="L678" s="49">
        <f t="shared" si="58"/>
        <v>0</v>
      </c>
      <c r="T678" s="49">
        <f>(100*('GA Arroyo'!AO678-E678))/E678</f>
        <v>10.441282558978374</v>
      </c>
      <c r="U678" s="49">
        <f>(100*('GA Arroyo'!AR678-E678))/E678</f>
        <v>15.791315559239306</v>
      </c>
      <c r="V678" s="49">
        <f>(100*('GA Arroyo'!AU678-E678))/E678</f>
        <v>7.8522202268576073</v>
      </c>
      <c r="W678" s="49">
        <f>(100*('GA Arroyo'!AX678-E678))/E678</f>
        <v>0</v>
      </c>
    </row>
    <row r="679" spans="2:23" ht="15" customHeight="1">
      <c r="B679">
        <f>MIN('GA Arroyo'!B679,'GA Arroyo'!E679,'GA Arroyo'!H679,'GA Arroyo'!K679)</f>
        <v>325189</v>
      </c>
      <c r="C679">
        <f>MIN('GA Arroyo'!O679, 'GA Arroyo'!R679, 'GA Arroyo'!U679, 'GA Arroyo'!X679)</f>
        <v>350427</v>
      </c>
      <c r="D679">
        <f>MIN('GA Arroyo'!AB679, 'GA Arroyo'!AE679, 'GA Arroyo'!AH679, 'GA Arroyo'!AK679)</f>
        <v>400113</v>
      </c>
      <c r="E679">
        <f>MIN('GA Arroyo'!AO679, 'GA Arroyo'!AR679, 'GA Arroyo'!AU679, 'GA Arroyo'!AX679)</f>
        <v>320937</v>
      </c>
      <c r="G679" s="45">
        <f t="shared" si="54"/>
        <v>320937</v>
      </c>
      <c r="I679" s="49">
        <f t="shared" si="55"/>
        <v>1.3248706132356194</v>
      </c>
      <c r="J679" s="49">
        <f t="shared" si="56"/>
        <v>9.1887192813542846</v>
      </c>
      <c r="K679" s="49">
        <f t="shared" si="57"/>
        <v>24.670262387945296</v>
      </c>
      <c r="L679" s="49">
        <f t="shared" si="58"/>
        <v>0</v>
      </c>
      <c r="T679" s="49">
        <f>(100*('GA Arroyo'!AO679-E679))/E679</f>
        <v>0</v>
      </c>
      <c r="U679" s="49">
        <f>(100*('GA Arroyo'!AR679-E679))/E679</f>
        <v>1.5090189040216615</v>
      </c>
      <c r="V679" s="49">
        <f>(100*('GA Arroyo'!AU679-E679))/E679</f>
        <v>2.6120391229431323</v>
      </c>
      <c r="W679" s="49">
        <f>(100*('GA Arroyo'!AX679-E679))/E679</f>
        <v>7.8629139052212738</v>
      </c>
    </row>
    <row r="680" spans="2:23" ht="15" customHeight="1">
      <c r="B680">
        <f>MIN('GA Arroyo'!B680,'GA Arroyo'!E680,'GA Arroyo'!H680,'GA Arroyo'!K680)</f>
        <v>377554</v>
      </c>
      <c r="C680">
        <f>MIN('GA Arroyo'!O680, 'GA Arroyo'!R680, 'GA Arroyo'!U680, 'GA Arroyo'!X680)</f>
        <v>411104</v>
      </c>
      <c r="D680">
        <f>MIN('GA Arroyo'!AB680, 'GA Arroyo'!AE680, 'GA Arroyo'!AH680, 'GA Arroyo'!AK680)</f>
        <v>455802</v>
      </c>
      <c r="E680">
        <f>MIN('GA Arroyo'!AO680, 'GA Arroyo'!AR680, 'GA Arroyo'!AU680, 'GA Arroyo'!AX680)</f>
        <v>368496</v>
      </c>
      <c r="G680" s="45">
        <f t="shared" si="54"/>
        <v>368496</v>
      </c>
      <c r="I680" s="49">
        <f t="shared" si="55"/>
        <v>2.4580999522382876</v>
      </c>
      <c r="J680" s="49">
        <f t="shared" si="56"/>
        <v>11.562676392688116</v>
      </c>
      <c r="K680" s="49">
        <f t="shared" si="57"/>
        <v>23.692523121010812</v>
      </c>
      <c r="L680" s="49">
        <f t="shared" si="58"/>
        <v>0</v>
      </c>
      <c r="T680" s="49">
        <f>(100*('GA Arroyo'!AO680-E680))/E680</f>
        <v>2.0784486127393511</v>
      </c>
      <c r="U680" s="49">
        <f>(100*('GA Arroyo'!AR680-E680))/E680</f>
        <v>4.9143002909122488</v>
      </c>
      <c r="V680" s="49">
        <f>(100*('GA Arroyo'!AU680-E680))/E680</f>
        <v>7.788415613738005</v>
      </c>
      <c r="W680" s="49">
        <f>(100*('GA Arroyo'!AX680-E680))/E680</f>
        <v>0</v>
      </c>
    </row>
    <row r="681" spans="2:23" ht="15" customHeight="1">
      <c r="B681">
        <f>MIN('GA Arroyo'!B681,'GA Arroyo'!E681,'GA Arroyo'!H681,'GA Arroyo'!K681)</f>
        <v>312868</v>
      </c>
      <c r="C681">
        <f>MIN('GA Arroyo'!O681, 'GA Arroyo'!R681, 'GA Arroyo'!U681, 'GA Arroyo'!X681)</f>
        <v>345816</v>
      </c>
      <c r="D681">
        <f>MIN('GA Arroyo'!AB681, 'GA Arroyo'!AE681, 'GA Arroyo'!AH681, 'GA Arroyo'!AK681)</f>
        <v>401779</v>
      </c>
      <c r="E681">
        <f>MIN('GA Arroyo'!AO681, 'GA Arroyo'!AR681, 'GA Arroyo'!AU681, 'GA Arroyo'!AX681)</f>
        <v>324510</v>
      </c>
      <c r="G681" s="45">
        <f t="shared" si="54"/>
        <v>312868</v>
      </c>
      <c r="I681" s="49">
        <f t="shared" si="55"/>
        <v>0</v>
      </c>
      <c r="J681" s="49">
        <f t="shared" si="56"/>
        <v>10.530958742984263</v>
      </c>
      <c r="K681" s="49">
        <f t="shared" si="57"/>
        <v>28.418054898551464</v>
      </c>
      <c r="L681" s="49">
        <f t="shared" si="58"/>
        <v>3.7210580820026338</v>
      </c>
      <c r="T681" s="49">
        <f>(100*('GA Arroyo'!AO681-E681))/E681</f>
        <v>0</v>
      </c>
      <c r="U681" s="49">
        <f>(100*('GA Arroyo'!AR681-E681))/E681</f>
        <v>1.8880774090166712</v>
      </c>
      <c r="V681" s="49">
        <f>(100*('GA Arroyo'!AU681-E681))/E681</f>
        <v>12.519182767865397</v>
      </c>
      <c r="W681" s="49">
        <f>(100*('GA Arroyo'!AX681-E681))/E681</f>
        <v>1.1907183137653694</v>
      </c>
    </row>
    <row r="682" spans="2:23" ht="15" customHeight="1">
      <c r="B682">
        <f>MIN('GA Arroyo'!B682,'GA Arroyo'!E682,'GA Arroyo'!H682,'GA Arroyo'!K682)</f>
        <v>332693</v>
      </c>
      <c r="C682">
        <f>MIN('GA Arroyo'!O682, 'GA Arroyo'!R682, 'GA Arroyo'!U682, 'GA Arroyo'!X682)</f>
        <v>370281</v>
      </c>
      <c r="D682">
        <f>MIN('GA Arroyo'!AB682, 'GA Arroyo'!AE682, 'GA Arroyo'!AH682, 'GA Arroyo'!AK682)</f>
        <v>426666</v>
      </c>
      <c r="E682">
        <f>MIN('GA Arroyo'!AO682, 'GA Arroyo'!AR682, 'GA Arroyo'!AU682, 'GA Arroyo'!AX682)</f>
        <v>342058</v>
      </c>
      <c r="G682" s="45">
        <f t="shared" si="54"/>
        <v>332693</v>
      </c>
      <c r="I682" s="49">
        <f t="shared" si="55"/>
        <v>0</v>
      </c>
      <c r="J682" s="49">
        <f t="shared" si="56"/>
        <v>11.298103657125338</v>
      </c>
      <c r="K682" s="49">
        <f t="shared" si="57"/>
        <v>28.246160875040953</v>
      </c>
      <c r="L682" s="49">
        <f t="shared" si="58"/>
        <v>2.8149074371868359</v>
      </c>
      <c r="T682" s="49">
        <f>(100*('GA Arroyo'!AO682-E682))/E682</f>
        <v>3.9136637646247125</v>
      </c>
      <c r="U682" s="49">
        <f>(100*('GA Arroyo'!AR682-E682))/E682</f>
        <v>3.9426062246753473</v>
      </c>
      <c r="V682" s="49">
        <f>(100*('GA Arroyo'!AU682-E682))/E682</f>
        <v>6.4684936472761931</v>
      </c>
      <c r="W682" s="49">
        <f>(100*('GA Arroyo'!AX682-E682))/E682</f>
        <v>0</v>
      </c>
    </row>
    <row r="683" spans="2:23" ht="15" customHeight="1">
      <c r="B683">
        <f>MIN('GA Arroyo'!B683,'GA Arroyo'!E683,'GA Arroyo'!H683,'GA Arroyo'!K683)</f>
        <v>322499</v>
      </c>
      <c r="C683">
        <f>MIN('GA Arroyo'!O683, 'GA Arroyo'!R683, 'GA Arroyo'!U683, 'GA Arroyo'!X683)</f>
        <v>351866</v>
      </c>
      <c r="D683">
        <f>MIN('GA Arroyo'!AB683, 'GA Arroyo'!AE683, 'GA Arroyo'!AH683, 'GA Arroyo'!AK683)</f>
        <v>393939</v>
      </c>
      <c r="E683">
        <f>MIN('GA Arroyo'!AO683, 'GA Arroyo'!AR683, 'GA Arroyo'!AU683, 'GA Arroyo'!AX683)</f>
        <v>326538</v>
      </c>
      <c r="G683" s="45">
        <f t="shared" si="54"/>
        <v>322499</v>
      </c>
      <c r="I683" s="49">
        <f t="shared" si="55"/>
        <v>0</v>
      </c>
      <c r="J683" s="49">
        <f t="shared" si="56"/>
        <v>9.1060747475185977</v>
      </c>
      <c r="K683" s="49">
        <f t="shared" si="57"/>
        <v>22.152006672888909</v>
      </c>
      <c r="L683" s="49">
        <f t="shared" si="58"/>
        <v>1.252406984207703</v>
      </c>
      <c r="T683" s="49">
        <f>(100*('GA Arroyo'!AO683-E683))/E683</f>
        <v>0</v>
      </c>
      <c r="U683" s="49">
        <f>(100*('GA Arroyo'!AR683-E683))/E683</f>
        <v>6.5609515584709897</v>
      </c>
      <c r="V683" s="49">
        <f>(100*('GA Arroyo'!AU683-E683))/E683</f>
        <v>4.5477096080701171</v>
      </c>
      <c r="W683" s="49">
        <f>(100*('GA Arroyo'!AX683-E683))/E683</f>
        <v>9.9241129669441221</v>
      </c>
    </row>
    <row r="684" spans="2:23" ht="15" customHeight="1">
      <c r="B684">
        <f>MIN('GA Arroyo'!B684,'GA Arroyo'!E684,'GA Arroyo'!H684,'GA Arroyo'!K684)</f>
        <v>392167</v>
      </c>
      <c r="C684">
        <f>MIN('GA Arroyo'!O684, 'GA Arroyo'!R684, 'GA Arroyo'!U684, 'GA Arroyo'!X684)</f>
        <v>410617</v>
      </c>
      <c r="D684">
        <f>MIN('GA Arroyo'!AB684, 'GA Arroyo'!AE684, 'GA Arroyo'!AH684, 'GA Arroyo'!AK684)</f>
        <v>448933</v>
      </c>
      <c r="E684">
        <f>MIN('GA Arroyo'!AO684, 'GA Arroyo'!AR684, 'GA Arroyo'!AU684, 'GA Arroyo'!AX684)</f>
        <v>393588</v>
      </c>
      <c r="G684" s="45">
        <f t="shared" si="54"/>
        <v>392167</v>
      </c>
      <c r="I684" s="49">
        <f t="shared" si="55"/>
        <v>0</v>
      </c>
      <c r="J684" s="49">
        <f t="shared" si="56"/>
        <v>4.704628385356239</v>
      </c>
      <c r="K684" s="49">
        <f t="shared" si="57"/>
        <v>14.474955822391991</v>
      </c>
      <c r="L684" s="49">
        <f t="shared" si="58"/>
        <v>0.36234563336537751</v>
      </c>
      <c r="T684" s="49">
        <f>(100*('GA Arroyo'!AO684-E684))/E684</f>
        <v>4.8870900535585431</v>
      </c>
      <c r="U684" s="49">
        <f>(100*('GA Arroyo'!AR684-E684))/E684</f>
        <v>1.7121965100562009</v>
      </c>
      <c r="V684" s="49">
        <f>(100*('GA Arroyo'!AU684-E684))/E684</f>
        <v>3.8697826153236381</v>
      </c>
      <c r="W684" s="49">
        <f>(100*('GA Arroyo'!AX684-E684))/E684</f>
        <v>0</v>
      </c>
    </row>
    <row r="685" spans="2:23" ht="15" customHeight="1">
      <c r="B685">
        <f>MIN('GA Arroyo'!B685,'GA Arroyo'!E685,'GA Arroyo'!H685,'GA Arroyo'!K685)</f>
        <v>377586</v>
      </c>
      <c r="C685">
        <f>MIN('GA Arroyo'!O685, 'GA Arroyo'!R685, 'GA Arroyo'!U685, 'GA Arroyo'!X685)</f>
        <v>399873</v>
      </c>
      <c r="D685">
        <f>MIN('GA Arroyo'!AB685, 'GA Arroyo'!AE685, 'GA Arroyo'!AH685, 'GA Arroyo'!AK685)</f>
        <v>450262</v>
      </c>
      <c r="E685">
        <f>MIN('GA Arroyo'!AO685, 'GA Arroyo'!AR685, 'GA Arroyo'!AU685, 'GA Arroyo'!AX685)</f>
        <v>373133</v>
      </c>
      <c r="G685" s="45">
        <f t="shared" si="54"/>
        <v>373133</v>
      </c>
      <c r="I685" s="49">
        <f t="shared" si="55"/>
        <v>1.1934082485333648</v>
      </c>
      <c r="J685" s="49">
        <f t="shared" si="56"/>
        <v>7.1663455121900235</v>
      </c>
      <c r="K685" s="49">
        <f t="shared" si="57"/>
        <v>20.670645587498292</v>
      </c>
      <c r="L685" s="49">
        <f t="shared" si="58"/>
        <v>0</v>
      </c>
      <c r="T685" s="49">
        <f>(100*('GA Arroyo'!AO685-E685))/E685</f>
        <v>3.1814393259240004</v>
      </c>
      <c r="U685" s="49">
        <f>(100*('GA Arroyo'!AR685-E685))/E685</f>
        <v>4.4836559618152236</v>
      </c>
      <c r="V685" s="49">
        <f>(100*('GA Arroyo'!AU685-E685))/E685</f>
        <v>7.1674175160063571</v>
      </c>
      <c r="W685" s="49">
        <f>(100*('GA Arroyo'!AX685-E685))/E685</f>
        <v>0</v>
      </c>
    </row>
    <row r="686" spans="2:23" ht="15" customHeight="1">
      <c r="B686">
        <f>MIN('GA Arroyo'!B686,'GA Arroyo'!E686,'GA Arroyo'!H686,'GA Arroyo'!K686)</f>
        <v>363371</v>
      </c>
      <c r="C686">
        <f>MIN('GA Arroyo'!O686, 'GA Arroyo'!R686, 'GA Arroyo'!U686, 'GA Arroyo'!X686)</f>
        <v>376066</v>
      </c>
      <c r="D686">
        <f>MIN('GA Arroyo'!AB686, 'GA Arroyo'!AE686, 'GA Arroyo'!AH686, 'GA Arroyo'!AK686)</f>
        <v>424575</v>
      </c>
      <c r="E686">
        <f>MIN('GA Arroyo'!AO686, 'GA Arroyo'!AR686, 'GA Arroyo'!AU686, 'GA Arroyo'!AX686)</f>
        <v>372589</v>
      </c>
      <c r="G686" s="45">
        <f t="shared" si="54"/>
        <v>363371</v>
      </c>
      <c r="I686" s="49">
        <f t="shared" si="55"/>
        <v>0</v>
      </c>
      <c r="J686" s="49">
        <f t="shared" si="56"/>
        <v>3.4936745089729229</v>
      </c>
      <c r="K686" s="49">
        <f t="shared" si="57"/>
        <v>16.843391464921528</v>
      </c>
      <c r="L686" s="49">
        <f t="shared" si="58"/>
        <v>2.536801230698102</v>
      </c>
      <c r="T686" s="49">
        <f>(100*('GA Arroyo'!AO686-E686))/E686</f>
        <v>3.3162546398310204</v>
      </c>
      <c r="U686" s="49">
        <f>(100*('GA Arroyo'!AR686-E686))/E686</f>
        <v>0.36045079162294108</v>
      </c>
      <c r="V686" s="49">
        <f>(100*('GA Arroyo'!AU686-E686))/E686</f>
        <v>0</v>
      </c>
      <c r="W686" s="49">
        <f>(100*('GA Arroyo'!AX686-E686))/E686</f>
        <v>2.1474063914930395</v>
      </c>
    </row>
    <row r="687" spans="2:23" ht="15" customHeight="1">
      <c r="B687">
        <f>MIN('GA Arroyo'!B687,'GA Arroyo'!E687,'GA Arroyo'!H687,'GA Arroyo'!K687)</f>
        <v>375512</v>
      </c>
      <c r="C687">
        <f>MIN('GA Arroyo'!O687, 'GA Arroyo'!R687, 'GA Arroyo'!U687, 'GA Arroyo'!X687)</f>
        <v>397308</v>
      </c>
      <c r="D687">
        <f>MIN('GA Arroyo'!AB687, 'GA Arroyo'!AE687, 'GA Arroyo'!AH687, 'GA Arroyo'!AK687)</f>
        <v>433416</v>
      </c>
      <c r="E687">
        <f>MIN('GA Arroyo'!AO687, 'GA Arroyo'!AR687, 'GA Arroyo'!AU687, 'GA Arroyo'!AX687)</f>
        <v>357421</v>
      </c>
      <c r="G687" s="45">
        <f t="shared" si="54"/>
        <v>357421</v>
      </c>
      <c r="I687" s="49">
        <f t="shared" si="55"/>
        <v>5.0615380741478537</v>
      </c>
      <c r="J687" s="49">
        <f t="shared" si="56"/>
        <v>11.159668849899699</v>
      </c>
      <c r="K687" s="49">
        <f t="shared" si="57"/>
        <v>21.262041122373894</v>
      </c>
      <c r="L687" s="49">
        <f t="shared" si="58"/>
        <v>0</v>
      </c>
      <c r="T687" s="49">
        <f>(100*('GA Arroyo'!AO687-E687))/E687</f>
        <v>2.2402153203085438</v>
      </c>
      <c r="U687" s="49">
        <f>(100*('GA Arroyo'!AR687-E687))/E687</f>
        <v>4.1614790401235515</v>
      </c>
      <c r="V687" s="49">
        <f>(100*('GA Arroyo'!AU687-E687))/E687</f>
        <v>14.882169766186093</v>
      </c>
      <c r="W687" s="49">
        <f>(100*('GA Arroyo'!AX687-E687))/E687</f>
        <v>0</v>
      </c>
    </row>
    <row r="688" spans="2:23" ht="15" customHeight="1">
      <c r="B688">
        <f>MIN('GA Arroyo'!B688,'GA Arroyo'!E688,'GA Arroyo'!H688,'GA Arroyo'!K688)</f>
        <v>333919</v>
      </c>
      <c r="C688">
        <f>MIN('GA Arroyo'!O688, 'GA Arroyo'!R688, 'GA Arroyo'!U688, 'GA Arroyo'!X688)</f>
        <v>366787</v>
      </c>
      <c r="D688">
        <f>MIN('GA Arroyo'!AB688, 'GA Arroyo'!AE688, 'GA Arroyo'!AH688, 'GA Arroyo'!AK688)</f>
        <v>398574</v>
      </c>
      <c r="E688">
        <f>MIN('GA Arroyo'!AO688, 'GA Arroyo'!AR688, 'GA Arroyo'!AU688, 'GA Arroyo'!AX688)</f>
        <v>341836</v>
      </c>
      <c r="G688" s="45">
        <f t="shared" si="54"/>
        <v>333919</v>
      </c>
      <c r="I688" s="49">
        <f t="shared" si="55"/>
        <v>0</v>
      </c>
      <c r="J688" s="49">
        <f t="shared" si="56"/>
        <v>9.8431056633494958</v>
      </c>
      <c r="K688" s="49">
        <f t="shared" si="57"/>
        <v>19.362480122424898</v>
      </c>
      <c r="L688" s="49">
        <f t="shared" si="58"/>
        <v>2.3709342684902626</v>
      </c>
      <c r="T688" s="49">
        <f>(100*('GA Arroyo'!AO688-E688))/E688</f>
        <v>7.0352449712727738</v>
      </c>
      <c r="U688" s="49">
        <f>(100*('GA Arroyo'!AR688-E688))/E688</f>
        <v>1.9910132344165039</v>
      </c>
      <c r="V688" s="49">
        <f>(100*('GA Arroyo'!AU688-E688))/E688</f>
        <v>0</v>
      </c>
      <c r="W688" s="49">
        <f>(100*('GA Arroyo'!AX688-E688))/E688</f>
        <v>4.9971331281667233</v>
      </c>
    </row>
    <row r="689" spans="2:23" ht="15" customHeight="1">
      <c r="B689">
        <f>MIN('GA Arroyo'!B689,'GA Arroyo'!E689,'GA Arroyo'!H689,'GA Arroyo'!K689)</f>
        <v>302296</v>
      </c>
      <c r="C689">
        <f>MIN('GA Arroyo'!O689, 'GA Arroyo'!R689, 'GA Arroyo'!U689, 'GA Arroyo'!X689)</f>
        <v>347585</v>
      </c>
      <c r="D689">
        <f>MIN('GA Arroyo'!AB689, 'GA Arroyo'!AE689, 'GA Arroyo'!AH689, 'GA Arroyo'!AK689)</f>
        <v>378674</v>
      </c>
      <c r="E689">
        <f>MIN('GA Arroyo'!AO689, 'GA Arroyo'!AR689, 'GA Arroyo'!AU689, 'GA Arroyo'!AX689)</f>
        <v>317825</v>
      </c>
      <c r="G689" s="45">
        <f t="shared" si="54"/>
        <v>302296</v>
      </c>
      <c r="I689" s="49">
        <f t="shared" si="55"/>
        <v>0</v>
      </c>
      <c r="J689" s="49">
        <f t="shared" si="56"/>
        <v>14.981673591446794</v>
      </c>
      <c r="K689" s="49">
        <f t="shared" si="57"/>
        <v>25.265964485140394</v>
      </c>
      <c r="L689" s="49">
        <f t="shared" si="58"/>
        <v>5.137018022071083</v>
      </c>
      <c r="T689" s="49">
        <f>(100*('GA Arroyo'!AO689-E689))/E689</f>
        <v>16.119562652403051</v>
      </c>
      <c r="U689" s="49">
        <f>(100*('GA Arroyo'!AR689-E689))/E689</f>
        <v>3.9339259026193658</v>
      </c>
      <c r="V689" s="49">
        <f>(100*('GA Arroyo'!AU689-E689))/E689</f>
        <v>0</v>
      </c>
      <c r="W689" s="49">
        <f>(100*('GA Arroyo'!AX689-E689))/E689</f>
        <v>2.5687091953118855</v>
      </c>
    </row>
    <row r="690" spans="2:23" ht="15" customHeight="1">
      <c r="B690">
        <f>MIN('GA Arroyo'!B690,'GA Arroyo'!E690,'GA Arroyo'!H690,'GA Arroyo'!K690)</f>
        <v>345945</v>
      </c>
      <c r="C690">
        <f>MIN('GA Arroyo'!O690, 'GA Arroyo'!R690, 'GA Arroyo'!U690, 'GA Arroyo'!X690)</f>
        <v>377202</v>
      </c>
      <c r="D690">
        <f>MIN('GA Arroyo'!AB690, 'GA Arroyo'!AE690, 'GA Arroyo'!AH690, 'GA Arroyo'!AK690)</f>
        <v>418289</v>
      </c>
      <c r="E690">
        <f>MIN('GA Arroyo'!AO690, 'GA Arroyo'!AR690, 'GA Arroyo'!AU690, 'GA Arroyo'!AX690)</f>
        <v>350016</v>
      </c>
      <c r="G690" s="45">
        <f t="shared" si="54"/>
        <v>345945</v>
      </c>
      <c r="I690" s="49">
        <f t="shared" si="55"/>
        <v>0</v>
      </c>
      <c r="J690" s="49">
        <f t="shared" si="56"/>
        <v>9.0352512682651867</v>
      </c>
      <c r="K690" s="49">
        <f t="shared" si="57"/>
        <v>20.911994681235456</v>
      </c>
      <c r="L690" s="49">
        <f t="shared" si="58"/>
        <v>1.1767766552486667</v>
      </c>
      <c r="T690" s="49">
        <f>(100*('GA Arroyo'!AO690-E690))/E690</f>
        <v>5.2277610166392394</v>
      </c>
      <c r="U690" s="49">
        <f>(100*('GA Arroyo'!AR690-E690))/E690</f>
        <v>3.9661044066556959</v>
      </c>
      <c r="V690" s="49">
        <f>(100*('GA Arroyo'!AU690-E690))/E690</f>
        <v>5.3660404095812764</v>
      </c>
      <c r="W690" s="49">
        <f>(100*('GA Arroyo'!AX690-E690))/E690</f>
        <v>0</v>
      </c>
    </row>
    <row r="691" spans="2:23" ht="15" customHeight="1">
      <c r="B691">
        <f>MIN('GA Arroyo'!B691,'GA Arroyo'!E691,'GA Arroyo'!H691,'GA Arroyo'!K691)</f>
        <v>302740</v>
      </c>
      <c r="C691">
        <f>MIN('GA Arroyo'!O691, 'GA Arroyo'!R691, 'GA Arroyo'!U691, 'GA Arroyo'!X691)</f>
        <v>333567</v>
      </c>
      <c r="D691">
        <f>MIN('GA Arroyo'!AB691, 'GA Arroyo'!AE691, 'GA Arroyo'!AH691, 'GA Arroyo'!AK691)</f>
        <v>371729</v>
      </c>
      <c r="E691">
        <f>MIN('GA Arroyo'!AO691, 'GA Arroyo'!AR691, 'GA Arroyo'!AU691, 'GA Arroyo'!AX691)</f>
        <v>307160</v>
      </c>
      <c r="G691" s="45">
        <f t="shared" si="54"/>
        <v>302740</v>
      </c>
      <c r="I691" s="49">
        <f t="shared" si="55"/>
        <v>0</v>
      </c>
      <c r="J691" s="49">
        <f t="shared" si="56"/>
        <v>10.182664993063355</v>
      </c>
      <c r="K691" s="49">
        <f t="shared" si="57"/>
        <v>22.788201096650592</v>
      </c>
      <c r="L691" s="49">
        <f t="shared" si="58"/>
        <v>1.4599986787342274</v>
      </c>
      <c r="T691" s="49">
        <f>(100*('GA Arroyo'!AO691-E691))/E691</f>
        <v>2.4977210574293527</v>
      </c>
      <c r="U691" s="49">
        <f>(100*('GA Arroyo'!AR691-E691))/E691</f>
        <v>29.372965229847637</v>
      </c>
      <c r="V691" s="49">
        <f>(100*('GA Arroyo'!AU691-E691))/E691</f>
        <v>0</v>
      </c>
      <c r="W691" s="49">
        <f>(100*('GA Arroyo'!AX691-E691))/E691</f>
        <v>3.7374658158614404</v>
      </c>
    </row>
    <row r="692" spans="2:23" ht="15" customHeight="1">
      <c r="B692">
        <f>MIN('GA Arroyo'!B692,'GA Arroyo'!E692,'GA Arroyo'!H692,'GA Arroyo'!K692)</f>
        <v>377113</v>
      </c>
      <c r="C692">
        <f>MIN('GA Arroyo'!O692, 'GA Arroyo'!R692, 'GA Arroyo'!U692, 'GA Arroyo'!X692)</f>
        <v>387744</v>
      </c>
      <c r="D692">
        <f>MIN('GA Arroyo'!AB692, 'GA Arroyo'!AE692, 'GA Arroyo'!AH692, 'GA Arroyo'!AK692)</f>
        <v>440057</v>
      </c>
      <c r="E692">
        <f>MIN('GA Arroyo'!AO692, 'GA Arroyo'!AR692, 'GA Arroyo'!AU692, 'GA Arroyo'!AX692)</f>
        <v>361026</v>
      </c>
      <c r="G692" s="45">
        <f t="shared" si="54"/>
        <v>361026</v>
      </c>
      <c r="I692" s="49">
        <f t="shared" si="55"/>
        <v>4.4559117625877365</v>
      </c>
      <c r="J692" s="49">
        <f t="shared" si="56"/>
        <v>7.4005750278373306</v>
      </c>
      <c r="K692" s="49">
        <f t="shared" si="57"/>
        <v>21.890667154166181</v>
      </c>
      <c r="L692" s="49">
        <f t="shared" si="58"/>
        <v>0</v>
      </c>
      <c r="T692" s="49">
        <f>(100*('GA Arroyo'!AO692-E692))/E692</f>
        <v>11.826849035803516</v>
      </c>
      <c r="U692" s="49">
        <f>(100*('GA Arroyo'!AR692-E692))/E692</f>
        <v>1.1037986183820556</v>
      </c>
      <c r="V692" s="49">
        <f>(100*('GA Arroyo'!AU692-E692))/E692</f>
        <v>0</v>
      </c>
      <c r="W692" s="49">
        <f>(100*('GA Arroyo'!AX692-E692))/E692</f>
        <v>2.6635200788862852</v>
      </c>
    </row>
    <row r="693" spans="2:23" ht="15" customHeight="1">
      <c r="B693">
        <f>MIN('GA Arroyo'!B693,'GA Arroyo'!E693,'GA Arroyo'!H693,'GA Arroyo'!K693)</f>
        <v>306238</v>
      </c>
      <c r="C693">
        <f>MIN('GA Arroyo'!O693, 'GA Arroyo'!R693, 'GA Arroyo'!U693, 'GA Arroyo'!X693)</f>
        <v>324850</v>
      </c>
      <c r="D693">
        <f>MIN('GA Arroyo'!AB693, 'GA Arroyo'!AE693, 'GA Arroyo'!AH693, 'GA Arroyo'!AK693)</f>
        <v>364198</v>
      </c>
      <c r="E693">
        <f>MIN('GA Arroyo'!AO693, 'GA Arroyo'!AR693, 'GA Arroyo'!AU693, 'GA Arroyo'!AX693)</f>
        <v>294023</v>
      </c>
      <c r="G693" s="45">
        <f t="shared" si="54"/>
        <v>294023</v>
      </c>
      <c r="I693" s="49">
        <f t="shared" si="55"/>
        <v>4.1544368977937101</v>
      </c>
      <c r="J693" s="49">
        <f t="shared" si="56"/>
        <v>10.484553929454499</v>
      </c>
      <c r="K693" s="49">
        <f t="shared" si="57"/>
        <v>23.867180458671601</v>
      </c>
      <c r="L693" s="49">
        <f t="shared" si="58"/>
        <v>0</v>
      </c>
      <c r="T693" s="49">
        <f>(100*('GA Arroyo'!AO693-E693))/E693</f>
        <v>3.7670522374099984</v>
      </c>
      <c r="U693" s="49">
        <f>(100*('GA Arroyo'!AR693-E693))/E693</f>
        <v>0.55335807062712783</v>
      </c>
      <c r="V693" s="49">
        <f>(100*('GA Arroyo'!AU693-E693))/E693</f>
        <v>7.9153671651537465</v>
      </c>
      <c r="W693" s="49">
        <f>(100*('GA Arroyo'!AX693-E693))/E693</f>
        <v>0</v>
      </c>
    </row>
    <row r="694" spans="2:23" ht="15" customHeight="1">
      <c r="B694">
        <f>MIN('GA Arroyo'!B694,'GA Arroyo'!E694,'GA Arroyo'!H694,'GA Arroyo'!K694)</f>
        <v>287600</v>
      </c>
      <c r="C694">
        <f>MIN('GA Arroyo'!O694, 'GA Arroyo'!R694, 'GA Arroyo'!U694, 'GA Arroyo'!X694)</f>
        <v>285854</v>
      </c>
      <c r="D694">
        <f>MIN('GA Arroyo'!AB694, 'GA Arroyo'!AE694, 'GA Arroyo'!AH694, 'GA Arroyo'!AK694)</f>
        <v>338787</v>
      </c>
      <c r="E694">
        <f>MIN('GA Arroyo'!AO694, 'GA Arroyo'!AR694, 'GA Arroyo'!AU694, 'GA Arroyo'!AX694)</f>
        <v>268230</v>
      </c>
      <c r="G694" s="45">
        <f t="shared" si="54"/>
        <v>268230</v>
      </c>
      <c r="I694" s="49">
        <f t="shared" si="55"/>
        <v>7.2214144577414903</v>
      </c>
      <c r="J694" s="49">
        <f t="shared" si="56"/>
        <v>6.5704805577303063</v>
      </c>
      <c r="K694" s="49">
        <f t="shared" si="57"/>
        <v>26.304663907840286</v>
      </c>
      <c r="L694" s="49">
        <f t="shared" si="58"/>
        <v>0</v>
      </c>
      <c r="T694" s="49">
        <f>(100*('GA Arroyo'!AO694-E694))/E694</f>
        <v>6.5540767251985237</v>
      </c>
      <c r="U694" s="49">
        <f>(100*('GA Arroyo'!AR694-E694))/E694</f>
        <v>5.8561682138463258</v>
      </c>
      <c r="V694" s="49">
        <f>(100*('GA Arroyo'!AU694-E694))/E694</f>
        <v>0</v>
      </c>
      <c r="W694" s="49">
        <f>(100*('GA Arroyo'!AX694-E694))/E694</f>
        <v>1.4099839689818439</v>
      </c>
    </row>
    <row r="695" spans="2:23" ht="15" customHeight="1">
      <c r="B695">
        <f>MIN('GA Arroyo'!B695,'GA Arroyo'!E695,'GA Arroyo'!H695,'GA Arroyo'!K695)</f>
        <v>303052</v>
      </c>
      <c r="C695">
        <f>MIN('GA Arroyo'!O695, 'GA Arroyo'!R695, 'GA Arroyo'!U695, 'GA Arroyo'!X695)</f>
        <v>320192</v>
      </c>
      <c r="D695">
        <f>MIN('GA Arroyo'!AB695, 'GA Arroyo'!AE695, 'GA Arroyo'!AH695, 'GA Arroyo'!AK695)</f>
        <v>376462</v>
      </c>
      <c r="E695">
        <f>MIN('GA Arroyo'!AO695, 'GA Arroyo'!AR695, 'GA Arroyo'!AU695, 'GA Arroyo'!AX695)</f>
        <v>304405</v>
      </c>
      <c r="G695" s="45">
        <f t="shared" si="54"/>
        <v>303052</v>
      </c>
      <c r="I695" s="49">
        <f t="shared" si="55"/>
        <v>0</v>
      </c>
      <c r="J695" s="49">
        <f t="shared" si="56"/>
        <v>5.6557950450747727</v>
      </c>
      <c r="K695" s="49">
        <f t="shared" si="57"/>
        <v>24.223565592703562</v>
      </c>
      <c r="L695" s="49">
        <f t="shared" si="58"/>
        <v>0.44645803360479391</v>
      </c>
      <c r="T695" s="49">
        <f>(100*('GA Arroyo'!AO695-E695))/E695</f>
        <v>10.569143082406661</v>
      </c>
      <c r="U695" s="49">
        <f>(100*('GA Arroyo'!AR695-E695))/E695</f>
        <v>8.3444752878566391</v>
      </c>
      <c r="V695" s="49">
        <f>(100*('GA Arroyo'!AU695-E695))/E695</f>
        <v>3.9608416418915589</v>
      </c>
      <c r="W695" s="49">
        <f>(100*('GA Arroyo'!AX695-E695))/E695</f>
        <v>0</v>
      </c>
    </row>
    <row r="696" spans="2:23" ht="15" customHeight="1">
      <c r="B696">
        <f>MIN('GA Arroyo'!B696,'GA Arroyo'!E696,'GA Arroyo'!H696,'GA Arroyo'!K696)</f>
        <v>307211</v>
      </c>
      <c r="C696">
        <f>MIN('GA Arroyo'!O696, 'GA Arroyo'!R696, 'GA Arroyo'!U696, 'GA Arroyo'!X696)</f>
        <v>332634</v>
      </c>
      <c r="D696">
        <f>MIN('GA Arroyo'!AB696, 'GA Arroyo'!AE696, 'GA Arroyo'!AH696, 'GA Arroyo'!AK696)</f>
        <v>366694</v>
      </c>
      <c r="E696">
        <f>MIN('GA Arroyo'!AO696, 'GA Arroyo'!AR696, 'GA Arroyo'!AU696, 'GA Arroyo'!AX696)</f>
        <v>305657</v>
      </c>
      <c r="G696" s="45">
        <f t="shared" si="54"/>
        <v>305657</v>
      </c>
      <c r="I696" s="49">
        <f t="shared" si="55"/>
        <v>0.50841302505749908</v>
      </c>
      <c r="J696" s="49">
        <f t="shared" si="56"/>
        <v>8.8259061627903179</v>
      </c>
      <c r="K696" s="49">
        <f t="shared" si="57"/>
        <v>19.969115708130357</v>
      </c>
      <c r="L696" s="49">
        <f t="shared" si="58"/>
        <v>0</v>
      </c>
      <c r="T696" s="49">
        <f>(100*('GA Arroyo'!AO696-E696))/E696</f>
        <v>0</v>
      </c>
      <c r="U696" s="49">
        <f>(100*('GA Arroyo'!AR696-E696))/E696</f>
        <v>0.14689668484608565</v>
      </c>
      <c r="V696" s="49">
        <f>(100*('GA Arroyo'!AU696-E696))/E696</f>
        <v>7.5401512152510817</v>
      </c>
      <c r="W696" s="49">
        <f>(100*('GA Arroyo'!AX696-E696))/E696</f>
        <v>5.6651737077835609</v>
      </c>
    </row>
    <row r="697" spans="2:23" ht="15" customHeight="1">
      <c r="B697">
        <f>MIN('GA Arroyo'!B697,'GA Arroyo'!E697,'GA Arroyo'!H697,'GA Arroyo'!K697)</f>
        <v>291483</v>
      </c>
      <c r="C697">
        <f>MIN('GA Arroyo'!O697, 'GA Arroyo'!R697, 'GA Arroyo'!U697, 'GA Arroyo'!X697)</f>
        <v>324087</v>
      </c>
      <c r="D697">
        <f>MIN('GA Arroyo'!AB697, 'GA Arroyo'!AE697, 'GA Arroyo'!AH697, 'GA Arroyo'!AK697)</f>
        <v>363014</v>
      </c>
      <c r="E697">
        <f>MIN('GA Arroyo'!AO697, 'GA Arroyo'!AR697, 'GA Arroyo'!AU697, 'GA Arroyo'!AX697)</f>
        <v>292439</v>
      </c>
      <c r="G697" s="45">
        <f t="shared" si="54"/>
        <v>291483</v>
      </c>
      <c r="I697" s="49">
        <f t="shared" si="55"/>
        <v>0</v>
      </c>
      <c r="J697" s="49">
        <f t="shared" si="56"/>
        <v>11.18555799137514</v>
      </c>
      <c r="K697" s="49">
        <f t="shared" si="57"/>
        <v>24.540367705835333</v>
      </c>
      <c r="L697" s="49">
        <f t="shared" si="58"/>
        <v>0.3279779609788564</v>
      </c>
      <c r="T697" s="49">
        <f>(100*('GA Arroyo'!AO697-E697))/E697</f>
        <v>1.0785155194758564</v>
      </c>
      <c r="U697" s="49">
        <f>(100*('GA Arroyo'!AR697-E697))/E697</f>
        <v>1.4960384900782728</v>
      </c>
      <c r="V697" s="49">
        <f>(100*('GA Arroyo'!AU697-E697))/E697</f>
        <v>0.94959974558796878</v>
      </c>
      <c r="W697" s="49">
        <f>(100*('GA Arroyo'!AX697-E697))/E697</f>
        <v>0</v>
      </c>
    </row>
    <row r="698" spans="2:23" ht="15" customHeight="1">
      <c r="B698">
        <f>MIN('GA Arroyo'!B698,'GA Arroyo'!E698,'GA Arroyo'!H698,'GA Arroyo'!K698)</f>
        <v>336031</v>
      </c>
      <c r="C698">
        <f>MIN('GA Arroyo'!O698, 'GA Arroyo'!R698, 'GA Arroyo'!U698, 'GA Arroyo'!X698)</f>
        <v>361627</v>
      </c>
      <c r="D698">
        <f>MIN('GA Arroyo'!AB698, 'GA Arroyo'!AE698, 'GA Arroyo'!AH698, 'GA Arroyo'!AK698)</f>
        <v>396300</v>
      </c>
      <c r="E698">
        <f>MIN('GA Arroyo'!AO698, 'GA Arroyo'!AR698, 'GA Arroyo'!AU698, 'GA Arroyo'!AX698)</f>
        <v>326553</v>
      </c>
      <c r="G698" s="45">
        <f t="shared" si="54"/>
        <v>326553</v>
      </c>
      <c r="I698" s="49">
        <f t="shared" si="55"/>
        <v>2.902438501560237</v>
      </c>
      <c r="J698" s="49">
        <f t="shared" si="56"/>
        <v>10.740676092395415</v>
      </c>
      <c r="K698" s="49">
        <f t="shared" si="57"/>
        <v>21.358554354117096</v>
      </c>
      <c r="L698" s="49">
        <f t="shared" si="58"/>
        <v>0</v>
      </c>
      <c r="T698" s="49">
        <f>(100*('GA Arroyo'!AO698-E698))/E698</f>
        <v>5.1118807666749344</v>
      </c>
      <c r="U698" s="49">
        <f>(100*('GA Arroyo'!AR698-E698))/E698</f>
        <v>6.9755904860772979</v>
      </c>
      <c r="V698" s="49">
        <f>(100*('GA Arroyo'!AU698-E698))/E698</f>
        <v>3.6606615158948164</v>
      </c>
      <c r="W698" s="49">
        <f>(100*('GA Arroyo'!AX698-E698))/E698</f>
        <v>0</v>
      </c>
    </row>
    <row r="699" spans="2:23" ht="15" customHeight="1">
      <c r="B699">
        <f>MIN('GA Arroyo'!B699,'GA Arroyo'!E699,'GA Arroyo'!H699,'GA Arroyo'!K699)</f>
        <v>324410</v>
      </c>
      <c r="C699">
        <f>MIN('GA Arroyo'!O699, 'GA Arroyo'!R699, 'GA Arroyo'!U699, 'GA Arroyo'!X699)</f>
        <v>341940</v>
      </c>
      <c r="D699">
        <f>MIN('GA Arroyo'!AB699, 'GA Arroyo'!AE699, 'GA Arroyo'!AH699, 'GA Arroyo'!AK699)</f>
        <v>380432</v>
      </c>
      <c r="E699">
        <f>MIN('GA Arroyo'!AO699, 'GA Arroyo'!AR699, 'GA Arroyo'!AU699, 'GA Arroyo'!AX699)</f>
        <v>309933</v>
      </c>
      <c r="G699" s="45">
        <f t="shared" si="54"/>
        <v>309933</v>
      </c>
      <c r="I699" s="49">
        <f t="shared" si="55"/>
        <v>4.6710095407717152</v>
      </c>
      <c r="J699" s="49">
        <f t="shared" si="56"/>
        <v>10.327070689471595</v>
      </c>
      <c r="K699" s="49">
        <f t="shared" si="57"/>
        <v>22.746529088544943</v>
      </c>
      <c r="L699" s="49">
        <f t="shared" si="58"/>
        <v>0</v>
      </c>
      <c r="T699" s="49">
        <f>(100*('GA Arroyo'!AO699-E699))/E699</f>
        <v>4.628097040328071</v>
      </c>
      <c r="U699" s="49">
        <f>(100*('GA Arroyo'!AR699-E699))/E699</f>
        <v>3.4404209942148789</v>
      </c>
      <c r="V699" s="49">
        <f>(100*('GA Arroyo'!AU699-E699))/E699</f>
        <v>0</v>
      </c>
      <c r="W699" s="49">
        <f>(100*('GA Arroyo'!AX699-E699))/E699</f>
        <v>2.669931888504935</v>
      </c>
    </row>
    <row r="700" spans="2:23" ht="15" customHeight="1">
      <c r="B700">
        <f>MIN('GA Arroyo'!B700,'GA Arroyo'!E700,'GA Arroyo'!H700,'GA Arroyo'!K700)</f>
        <v>297241</v>
      </c>
      <c r="C700">
        <f>MIN('GA Arroyo'!O700, 'GA Arroyo'!R700, 'GA Arroyo'!U700, 'GA Arroyo'!X700)</f>
        <v>310046</v>
      </c>
      <c r="D700">
        <f>MIN('GA Arroyo'!AB700, 'GA Arroyo'!AE700, 'GA Arroyo'!AH700, 'GA Arroyo'!AK700)</f>
        <v>367022</v>
      </c>
      <c r="E700">
        <f>MIN('GA Arroyo'!AO700, 'GA Arroyo'!AR700, 'GA Arroyo'!AU700, 'GA Arroyo'!AX700)</f>
        <v>280100</v>
      </c>
      <c r="G700" s="45">
        <f t="shared" si="54"/>
        <v>280100</v>
      </c>
      <c r="I700" s="49">
        <f t="shared" si="55"/>
        <v>6.1196001428061404</v>
      </c>
      <c r="J700" s="49">
        <f t="shared" si="56"/>
        <v>10.691181720813995</v>
      </c>
      <c r="K700" s="49">
        <f t="shared" si="57"/>
        <v>31.032488397001071</v>
      </c>
      <c r="L700" s="49">
        <f t="shared" si="58"/>
        <v>0</v>
      </c>
      <c r="T700" s="49">
        <f>(100*('GA Arroyo'!AO700-E700))/E700</f>
        <v>7.4837558014994645</v>
      </c>
      <c r="U700" s="49">
        <f>(100*('GA Arroyo'!AR700-E700))/E700</f>
        <v>3.5301677972152801</v>
      </c>
      <c r="V700" s="49">
        <f>(100*('GA Arroyo'!AU700-E700))/E700</f>
        <v>0</v>
      </c>
      <c r="W700" s="49">
        <f>(100*('GA Arroyo'!AX700-E700))/E700</f>
        <v>4.5240985362370578</v>
      </c>
    </row>
    <row r="701" spans="2:23" ht="15" customHeight="1">
      <c r="B701">
        <f>MIN('GA Arroyo'!B701,'GA Arroyo'!E701,'GA Arroyo'!H701,'GA Arroyo'!K701)</f>
        <v>310715</v>
      </c>
      <c r="C701">
        <f>MIN('GA Arroyo'!O701, 'GA Arroyo'!R701, 'GA Arroyo'!U701, 'GA Arroyo'!X701)</f>
        <v>332606</v>
      </c>
      <c r="D701">
        <f>MIN('GA Arroyo'!AB701, 'GA Arroyo'!AE701, 'GA Arroyo'!AH701, 'GA Arroyo'!AK701)</f>
        <v>382110</v>
      </c>
      <c r="E701">
        <f>MIN('GA Arroyo'!AO701, 'GA Arroyo'!AR701, 'GA Arroyo'!AU701, 'GA Arroyo'!AX701)</f>
        <v>302152</v>
      </c>
      <c r="G701" s="45">
        <f t="shared" si="54"/>
        <v>302152</v>
      </c>
      <c r="I701" s="49">
        <f t="shared" si="55"/>
        <v>2.8340040774179882</v>
      </c>
      <c r="J701" s="49">
        <f t="shared" si="56"/>
        <v>10.079033069448489</v>
      </c>
      <c r="K701" s="49">
        <f t="shared" si="57"/>
        <v>26.462839895152108</v>
      </c>
      <c r="L701" s="49">
        <f t="shared" si="58"/>
        <v>0</v>
      </c>
      <c r="T701" s="49">
        <f>(100*('GA Arroyo'!AO701-E701))/E701</f>
        <v>7.0424819296248247</v>
      </c>
      <c r="U701" s="49">
        <f>(100*('GA Arroyo'!AR701-E701))/E701</f>
        <v>13.149673012258731</v>
      </c>
      <c r="V701" s="49">
        <f>(100*('GA Arroyo'!AU701-E701))/E701</f>
        <v>0</v>
      </c>
      <c r="W701" s="49">
        <f>(100*('GA Arroyo'!AX701-E701))/E701</f>
        <v>7.3837009187428846</v>
      </c>
    </row>
    <row r="702" spans="2:23" ht="15" customHeight="1">
      <c r="B702">
        <f>MIN('GA Arroyo'!B702,'GA Arroyo'!E702,'GA Arroyo'!H702,'GA Arroyo'!K702)</f>
        <v>339095</v>
      </c>
      <c r="C702">
        <f>MIN('GA Arroyo'!O702, 'GA Arroyo'!R702, 'GA Arroyo'!U702, 'GA Arroyo'!X702)</f>
        <v>366696</v>
      </c>
      <c r="D702">
        <f>MIN('GA Arroyo'!AB702, 'GA Arroyo'!AE702, 'GA Arroyo'!AH702, 'GA Arroyo'!AK702)</f>
        <v>417215</v>
      </c>
      <c r="E702">
        <f>MIN('GA Arroyo'!AO702, 'GA Arroyo'!AR702, 'GA Arroyo'!AU702, 'GA Arroyo'!AX702)</f>
        <v>340184</v>
      </c>
      <c r="G702" s="45">
        <f t="shared" si="54"/>
        <v>339095</v>
      </c>
      <c r="I702" s="49">
        <f t="shared" si="55"/>
        <v>0</v>
      </c>
      <c r="J702" s="49">
        <f t="shared" si="56"/>
        <v>8.1396068948229843</v>
      </c>
      <c r="K702" s="49">
        <f t="shared" si="57"/>
        <v>23.0377917692682</v>
      </c>
      <c r="L702" s="49">
        <f t="shared" si="58"/>
        <v>0.32114894056237925</v>
      </c>
      <c r="T702" s="49">
        <f>(100*('GA Arroyo'!AO702-E702))/E702</f>
        <v>0</v>
      </c>
      <c r="U702" s="49">
        <f>(100*('GA Arroyo'!AR702-E702))/E702</f>
        <v>3.7076993626978343</v>
      </c>
      <c r="V702" s="49">
        <f>(100*('GA Arroyo'!AU702-E702))/E702</f>
        <v>4.6416057192578135</v>
      </c>
      <c r="W702" s="49">
        <f>(100*('GA Arroyo'!AX702-E702))/E702</f>
        <v>1.4453942572255014</v>
      </c>
    </row>
    <row r="703" spans="2:23" ht="15" customHeight="1">
      <c r="B703">
        <f>MIN('GA Arroyo'!B703,'GA Arroyo'!E703,'GA Arroyo'!H703,'GA Arroyo'!K703)</f>
        <v>290077</v>
      </c>
      <c r="C703">
        <f>MIN('GA Arroyo'!O703, 'GA Arroyo'!R703, 'GA Arroyo'!U703, 'GA Arroyo'!X703)</f>
        <v>311571</v>
      </c>
      <c r="D703">
        <f>MIN('GA Arroyo'!AB703, 'GA Arroyo'!AE703, 'GA Arroyo'!AH703, 'GA Arroyo'!AK703)</f>
        <v>349150</v>
      </c>
      <c r="E703">
        <f>MIN('GA Arroyo'!AO703, 'GA Arroyo'!AR703, 'GA Arroyo'!AU703, 'GA Arroyo'!AX703)</f>
        <v>293597</v>
      </c>
      <c r="G703" s="45">
        <f t="shared" si="54"/>
        <v>290077</v>
      </c>
      <c r="I703" s="49">
        <f t="shared" si="55"/>
        <v>0</v>
      </c>
      <c r="J703" s="49">
        <f t="shared" si="56"/>
        <v>7.4097567197675103</v>
      </c>
      <c r="K703" s="49">
        <f t="shared" si="57"/>
        <v>20.364592849484794</v>
      </c>
      <c r="L703" s="49">
        <f t="shared" si="58"/>
        <v>1.2134709060008204</v>
      </c>
      <c r="T703" s="49">
        <f>(100*('GA Arroyo'!AO703-E703))/E703</f>
        <v>0</v>
      </c>
      <c r="U703" s="49">
        <f>(100*('GA Arroyo'!AR703-E703))/E703</f>
        <v>1.9775406424452566</v>
      </c>
      <c r="V703" s="49">
        <f>(100*('GA Arroyo'!AU703-E703))/E703</f>
        <v>2.787494422626934</v>
      </c>
      <c r="W703" s="49">
        <f>(100*('GA Arroyo'!AX703-E703))/E703</f>
        <v>2.3733212532825609</v>
      </c>
    </row>
    <row r="704" spans="2:23" ht="15" customHeight="1">
      <c r="B704">
        <f>MIN('GA Arroyo'!B704,'GA Arroyo'!E704,'GA Arroyo'!H704,'GA Arroyo'!K704)</f>
        <v>314277</v>
      </c>
      <c r="C704">
        <f>MIN('GA Arroyo'!O704, 'GA Arroyo'!R704, 'GA Arroyo'!U704, 'GA Arroyo'!X704)</f>
        <v>343105</v>
      </c>
      <c r="D704">
        <f>MIN('GA Arroyo'!AB704, 'GA Arroyo'!AE704, 'GA Arroyo'!AH704, 'GA Arroyo'!AK704)</f>
        <v>369005</v>
      </c>
      <c r="E704">
        <f>MIN('GA Arroyo'!AO704, 'GA Arroyo'!AR704, 'GA Arroyo'!AU704, 'GA Arroyo'!AX704)</f>
        <v>316957</v>
      </c>
      <c r="G704" s="45">
        <f t="shared" si="54"/>
        <v>314277</v>
      </c>
      <c r="I704" s="49">
        <f t="shared" si="55"/>
        <v>0</v>
      </c>
      <c r="J704" s="49">
        <f t="shared" si="56"/>
        <v>9.1727997912669395</v>
      </c>
      <c r="K704" s="49">
        <f t="shared" si="57"/>
        <v>17.413937386445713</v>
      </c>
      <c r="L704" s="49">
        <f t="shared" si="58"/>
        <v>0.85275091718452189</v>
      </c>
      <c r="T704" s="49">
        <f>(100*('GA Arroyo'!AO704-E704))/E704</f>
        <v>0</v>
      </c>
      <c r="U704" s="49">
        <f>(100*('GA Arroyo'!AR704-E704))/E704</f>
        <v>10.324744365955004</v>
      </c>
      <c r="V704" s="49">
        <f>(100*('GA Arroyo'!AU704-E704))/E704</f>
        <v>2.2151269730594372</v>
      </c>
      <c r="W704" s="49">
        <f>(100*('GA Arroyo'!AX704-E704))/E704</f>
        <v>3.9191436062304983</v>
      </c>
    </row>
    <row r="705" spans="2:23" ht="15" customHeight="1">
      <c r="B705">
        <f>MIN('GA Arroyo'!B705,'GA Arroyo'!E705,'GA Arroyo'!H705,'GA Arroyo'!K705)</f>
        <v>278088</v>
      </c>
      <c r="C705">
        <f>MIN('GA Arroyo'!O705, 'GA Arroyo'!R705, 'GA Arroyo'!U705, 'GA Arroyo'!X705)</f>
        <v>299624</v>
      </c>
      <c r="D705">
        <f>MIN('GA Arroyo'!AB705, 'GA Arroyo'!AE705, 'GA Arroyo'!AH705, 'GA Arroyo'!AK705)</f>
        <v>351910</v>
      </c>
      <c r="E705">
        <f>MIN('GA Arroyo'!AO705, 'GA Arroyo'!AR705, 'GA Arroyo'!AU705, 'GA Arroyo'!AX705)</f>
        <v>278893</v>
      </c>
      <c r="G705" s="45">
        <f t="shared" si="54"/>
        <v>278088</v>
      </c>
      <c r="I705" s="49">
        <f t="shared" si="55"/>
        <v>0</v>
      </c>
      <c r="J705" s="49">
        <f t="shared" si="56"/>
        <v>7.7443111533039897</v>
      </c>
      <c r="K705" s="49">
        <f t="shared" si="57"/>
        <v>26.546273122177151</v>
      </c>
      <c r="L705" s="49">
        <f t="shared" si="58"/>
        <v>0.28947671240758321</v>
      </c>
      <c r="T705" s="49">
        <f>(100*('GA Arroyo'!AO705-E705))/E705</f>
        <v>7.5405262950307108</v>
      </c>
      <c r="U705" s="49">
        <f>(100*('GA Arroyo'!AR705-E705))/E705</f>
        <v>5.2575719003345371</v>
      </c>
      <c r="V705" s="49">
        <f>(100*('GA Arroyo'!AU705-E705))/E705</f>
        <v>6.3389902220564878</v>
      </c>
      <c r="W705" s="49">
        <f>(100*('GA Arroyo'!AX705-E705))/E705</f>
        <v>0</v>
      </c>
    </row>
    <row r="706" spans="2:23" ht="15" customHeight="1">
      <c r="B706">
        <f>MIN('GA Arroyo'!B706,'GA Arroyo'!E706,'GA Arroyo'!H706,'GA Arroyo'!K706)</f>
        <v>317659</v>
      </c>
      <c r="C706">
        <f>MIN('GA Arroyo'!O706, 'GA Arroyo'!R706, 'GA Arroyo'!U706, 'GA Arroyo'!X706)</f>
        <v>329793</v>
      </c>
      <c r="D706">
        <f>MIN('GA Arroyo'!AB706, 'GA Arroyo'!AE706, 'GA Arroyo'!AH706, 'GA Arroyo'!AK706)</f>
        <v>366193</v>
      </c>
      <c r="E706">
        <f>MIN('GA Arroyo'!AO706, 'GA Arroyo'!AR706, 'GA Arroyo'!AU706, 'GA Arroyo'!AX706)</f>
        <v>310993</v>
      </c>
      <c r="G706" s="45">
        <f t="shared" si="54"/>
        <v>310993</v>
      </c>
      <c r="I706" s="49">
        <f t="shared" si="55"/>
        <v>2.1434566051325916</v>
      </c>
      <c r="J706" s="49">
        <f t="shared" si="56"/>
        <v>6.0451521416880762</v>
      </c>
      <c r="K706" s="49">
        <f t="shared" si="57"/>
        <v>17.749595650062862</v>
      </c>
      <c r="L706" s="49">
        <f t="shared" si="58"/>
        <v>0</v>
      </c>
      <c r="T706" s="49">
        <f>(100*('GA Arroyo'!AO706-E706))/E706</f>
        <v>1.1411832420665418</v>
      </c>
      <c r="U706" s="49">
        <f>(100*('GA Arroyo'!AR706-E706))/E706</f>
        <v>5.3940120838732701</v>
      </c>
      <c r="V706" s="49">
        <f>(100*('GA Arroyo'!AU706-E706))/E706</f>
        <v>2.4286720279877683</v>
      </c>
      <c r="W706" s="49">
        <f>(100*('GA Arroyo'!AX706-E706))/E706</f>
        <v>0</v>
      </c>
    </row>
    <row r="707" spans="2:23" ht="15" customHeight="1">
      <c r="B707">
        <f>MIN('GA Arroyo'!B707,'GA Arroyo'!E707,'GA Arroyo'!H707,'GA Arroyo'!K707)</f>
        <v>323919</v>
      </c>
      <c r="C707">
        <f>MIN('GA Arroyo'!O707, 'GA Arroyo'!R707, 'GA Arroyo'!U707, 'GA Arroyo'!X707)</f>
        <v>343208</v>
      </c>
      <c r="D707">
        <f>MIN('GA Arroyo'!AB707, 'GA Arroyo'!AE707, 'GA Arroyo'!AH707, 'GA Arroyo'!AK707)</f>
        <v>385093</v>
      </c>
      <c r="E707">
        <f>MIN('GA Arroyo'!AO707, 'GA Arroyo'!AR707, 'GA Arroyo'!AU707, 'GA Arroyo'!AX707)</f>
        <v>320862</v>
      </c>
      <c r="G707" s="45">
        <f t="shared" si="54"/>
        <v>320862</v>
      </c>
      <c r="I707" s="49">
        <f t="shared" si="55"/>
        <v>0.95274604035379695</v>
      </c>
      <c r="J707" s="49">
        <f t="shared" si="56"/>
        <v>6.9643647424749577</v>
      </c>
      <c r="K707" s="49">
        <f t="shared" si="57"/>
        <v>20.018263303226931</v>
      </c>
      <c r="L707" s="49">
        <f t="shared" si="58"/>
        <v>0</v>
      </c>
      <c r="T707" s="49">
        <f>(100*('GA Arroyo'!AO707-E707))/E707</f>
        <v>7.1959284676901598</v>
      </c>
      <c r="U707" s="49">
        <f>(100*('GA Arroyo'!AR707-E707))/E707</f>
        <v>0</v>
      </c>
      <c r="V707" s="49">
        <f>(100*('GA Arroyo'!AU707-E707))/E707</f>
        <v>3.811919142809058</v>
      </c>
      <c r="W707" s="49">
        <f>(100*('GA Arroyo'!AX707-E707))/E707</f>
        <v>1.4323914954092414</v>
      </c>
    </row>
    <row r="708" spans="2:23" ht="15" customHeight="1">
      <c r="B708">
        <f>MIN('GA Arroyo'!B708,'GA Arroyo'!E708,'GA Arroyo'!H708,'GA Arroyo'!K708)</f>
        <v>302542</v>
      </c>
      <c r="C708">
        <f>MIN('GA Arroyo'!O708, 'GA Arroyo'!R708, 'GA Arroyo'!U708, 'GA Arroyo'!X708)</f>
        <v>331150</v>
      </c>
      <c r="D708">
        <f>MIN('GA Arroyo'!AB708, 'GA Arroyo'!AE708, 'GA Arroyo'!AH708, 'GA Arroyo'!AK708)</f>
        <v>375403</v>
      </c>
      <c r="E708">
        <f>MIN('GA Arroyo'!AO708, 'GA Arroyo'!AR708, 'GA Arroyo'!AU708, 'GA Arroyo'!AX708)</f>
        <v>299393</v>
      </c>
      <c r="G708" s="45">
        <f t="shared" ref="G708:G771" si="59">MIN(B708,C708,D708,E708)</f>
        <v>299393</v>
      </c>
      <c r="I708" s="49">
        <f t="shared" ref="I708:I771" si="60">(100*(B708-G708))/G708</f>
        <v>1.0517947981415732</v>
      </c>
      <c r="J708" s="49">
        <f t="shared" ref="J708:J771" si="61">(100*(C708-G708))/G708</f>
        <v>10.607128423176226</v>
      </c>
      <c r="K708" s="49">
        <f t="shared" ref="K708:K771" si="62">(100*(D708-G708))/G708</f>
        <v>25.388035124401707</v>
      </c>
      <c r="L708" s="49">
        <f t="shared" ref="L708:L771" si="63">(100*(E708-G708))/G708</f>
        <v>0</v>
      </c>
      <c r="T708" s="49">
        <f>(100*('GA Arroyo'!AO708-E708))/E708</f>
        <v>2.9352723677574293</v>
      </c>
      <c r="U708" s="49">
        <f>(100*('GA Arroyo'!AR708-E708))/E708</f>
        <v>2.5431456313273859</v>
      </c>
      <c r="V708" s="49">
        <f>(100*('GA Arroyo'!AU708-E708))/E708</f>
        <v>6.3084307248332463</v>
      </c>
      <c r="W708" s="49">
        <f>(100*('GA Arroyo'!AX708-E708))/E708</f>
        <v>0</v>
      </c>
    </row>
    <row r="709" spans="2:23" ht="15" customHeight="1">
      <c r="B709">
        <f>MIN('GA Arroyo'!B709,'GA Arroyo'!E709,'GA Arroyo'!H709,'GA Arroyo'!K709)</f>
        <v>316323</v>
      </c>
      <c r="C709">
        <f>MIN('GA Arroyo'!O709, 'GA Arroyo'!R709, 'GA Arroyo'!U709, 'GA Arroyo'!X709)</f>
        <v>345182</v>
      </c>
      <c r="D709">
        <f>MIN('GA Arroyo'!AB709, 'GA Arroyo'!AE709, 'GA Arroyo'!AH709, 'GA Arroyo'!AK709)</f>
        <v>386095</v>
      </c>
      <c r="E709">
        <f>MIN('GA Arroyo'!AO709, 'GA Arroyo'!AR709, 'GA Arroyo'!AU709, 'GA Arroyo'!AX709)</f>
        <v>325256</v>
      </c>
      <c r="G709" s="45">
        <f t="shared" si="59"/>
        <v>316323</v>
      </c>
      <c r="I709" s="49">
        <f t="shared" si="60"/>
        <v>0</v>
      </c>
      <c r="J709" s="49">
        <f t="shared" si="61"/>
        <v>9.1232695693958394</v>
      </c>
      <c r="K709" s="49">
        <f t="shared" si="62"/>
        <v>22.057201025534027</v>
      </c>
      <c r="L709" s="49">
        <f t="shared" si="63"/>
        <v>2.8240121647809358</v>
      </c>
      <c r="T709" s="49">
        <f>(100*('GA Arroyo'!AO709-E709))/E709</f>
        <v>4.5127530314582973</v>
      </c>
      <c r="U709" s="49">
        <f>(100*('GA Arroyo'!AR709-E709))/E709</f>
        <v>0</v>
      </c>
      <c r="V709" s="49">
        <f>(100*('GA Arroyo'!AU709-E709))/E709</f>
        <v>2.30187913520427</v>
      </c>
      <c r="W709" s="49">
        <f>(100*('GA Arroyo'!AX709-E709))/E709</f>
        <v>19.426851464692426</v>
      </c>
    </row>
    <row r="710" spans="2:23" ht="15" customHeight="1">
      <c r="B710">
        <f>MIN('GA Arroyo'!B710,'GA Arroyo'!E710,'GA Arroyo'!H710,'GA Arroyo'!K710)</f>
        <v>312095</v>
      </c>
      <c r="C710">
        <f>MIN('GA Arroyo'!O710, 'GA Arroyo'!R710, 'GA Arroyo'!U710, 'GA Arroyo'!X710)</f>
        <v>336249</v>
      </c>
      <c r="D710">
        <f>MIN('GA Arroyo'!AB710, 'GA Arroyo'!AE710, 'GA Arroyo'!AH710, 'GA Arroyo'!AK710)</f>
        <v>358716</v>
      </c>
      <c r="E710">
        <f>MIN('GA Arroyo'!AO710, 'GA Arroyo'!AR710, 'GA Arroyo'!AU710, 'GA Arroyo'!AX710)</f>
        <v>327685</v>
      </c>
      <c r="G710" s="45">
        <f t="shared" si="59"/>
        <v>312095</v>
      </c>
      <c r="I710" s="49">
        <f t="shared" si="60"/>
        <v>0</v>
      </c>
      <c r="J710" s="49">
        <f t="shared" si="61"/>
        <v>7.7393101459491502</v>
      </c>
      <c r="K710" s="49">
        <f t="shared" si="62"/>
        <v>14.93807975135776</v>
      </c>
      <c r="L710" s="49">
        <f t="shared" si="63"/>
        <v>4.9952738749419243</v>
      </c>
      <c r="T710" s="49">
        <f>(100*('GA Arroyo'!AO710-E710))/E710</f>
        <v>1.8017303202770953</v>
      </c>
      <c r="U710" s="49">
        <f>(100*('GA Arroyo'!AR710-E710))/E710</f>
        <v>0</v>
      </c>
      <c r="V710" s="49">
        <f>(100*('GA Arroyo'!AU710-E710))/E710</f>
        <v>1.4544455803591865</v>
      </c>
      <c r="W710" s="49">
        <f>(100*('GA Arroyo'!AX710-E710))/E710</f>
        <v>2.5661839876710864</v>
      </c>
    </row>
    <row r="711" spans="2:23" ht="15" customHeight="1">
      <c r="B711">
        <f>MIN('GA Arroyo'!B711,'GA Arroyo'!E711,'GA Arroyo'!H711,'GA Arroyo'!K711)</f>
        <v>347583</v>
      </c>
      <c r="C711">
        <f>MIN('GA Arroyo'!O711, 'GA Arroyo'!R711, 'GA Arroyo'!U711, 'GA Arroyo'!X711)</f>
        <v>359014</v>
      </c>
      <c r="D711">
        <f>MIN('GA Arroyo'!AB711, 'GA Arroyo'!AE711, 'GA Arroyo'!AH711, 'GA Arroyo'!AK711)</f>
        <v>422256</v>
      </c>
      <c r="E711">
        <f>MIN('GA Arroyo'!AO711, 'GA Arroyo'!AR711, 'GA Arroyo'!AU711, 'GA Arroyo'!AX711)</f>
        <v>342773</v>
      </c>
      <c r="G711" s="45">
        <f t="shared" si="59"/>
        <v>342773</v>
      </c>
      <c r="I711" s="49">
        <f t="shared" si="60"/>
        <v>1.4032610503160985</v>
      </c>
      <c r="J711" s="49">
        <f t="shared" si="61"/>
        <v>4.7381211472315501</v>
      </c>
      <c r="K711" s="49">
        <f t="shared" si="62"/>
        <v>23.188232445379303</v>
      </c>
      <c r="L711" s="49">
        <f t="shared" si="63"/>
        <v>0</v>
      </c>
      <c r="T711" s="49">
        <f>(100*('GA Arroyo'!AO711-E711))/E711</f>
        <v>9.6081079898358386</v>
      </c>
      <c r="U711" s="49">
        <f>(100*('GA Arroyo'!AR711-E711))/E711</f>
        <v>7.3885632765707916</v>
      </c>
      <c r="V711" s="49">
        <f>(100*('GA Arroyo'!AU711-E711))/E711</f>
        <v>0</v>
      </c>
      <c r="W711" s="49">
        <f>(100*('GA Arroyo'!AX711-E711))/E711</f>
        <v>5.2063610611104139</v>
      </c>
    </row>
    <row r="712" spans="2:23" ht="15" customHeight="1">
      <c r="B712">
        <f>MIN('GA Arroyo'!B712,'GA Arroyo'!E712,'GA Arroyo'!H712,'GA Arroyo'!K712)</f>
        <v>328854</v>
      </c>
      <c r="C712">
        <f>MIN('GA Arroyo'!O712, 'GA Arroyo'!R712, 'GA Arroyo'!U712, 'GA Arroyo'!X712)</f>
        <v>349473</v>
      </c>
      <c r="D712">
        <f>MIN('GA Arroyo'!AB712, 'GA Arroyo'!AE712, 'GA Arroyo'!AH712, 'GA Arroyo'!AK712)</f>
        <v>400761</v>
      </c>
      <c r="E712">
        <f>MIN('GA Arroyo'!AO712, 'GA Arroyo'!AR712, 'GA Arroyo'!AU712, 'GA Arroyo'!AX712)</f>
        <v>323905</v>
      </c>
      <c r="G712" s="45">
        <f t="shared" si="59"/>
        <v>323905</v>
      </c>
      <c r="I712" s="49">
        <f t="shared" si="60"/>
        <v>1.5279171361973418</v>
      </c>
      <c r="J712" s="49">
        <f t="shared" si="61"/>
        <v>7.8936725274386008</v>
      </c>
      <c r="K712" s="49">
        <f t="shared" si="62"/>
        <v>23.727944922122227</v>
      </c>
      <c r="L712" s="49">
        <f t="shared" si="63"/>
        <v>0</v>
      </c>
      <c r="T712" s="49">
        <f>(100*('GA Arroyo'!AO712-E712))/E712</f>
        <v>4.2256217100693103</v>
      </c>
      <c r="U712" s="49">
        <f>(100*('GA Arroyo'!AR712-E712))/E712</f>
        <v>2.6872076689152684</v>
      </c>
      <c r="V712" s="49">
        <f>(100*('GA Arroyo'!AU712-E712))/E712</f>
        <v>0</v>
      </c>
      <c r="W712" s="49">
        <f>(100*('GA Arroyo'!AX712-E712))/E712</f>
        <v>1.9511893919513437</v>
      </c>
    </row>
    <row r="713" spans="2:23" ht="15" customHeight="1">
      <c r="B713">
        <f>MIN('GA Arroyo'!B713,'GA Arroyo'!E713,'GA Arroyo'!H713,'GA Arroyo'!K713)</f>
        <v>310797</v>
      </c>
      <c r="C713">
        <f>MIN('GA Arroyo'!O713, 'GA Arroyo'!R713, 'GA Arroyo'!U713, 'GA Arroyo'!X713)</f>
        <v>320605</v>
      </c>
      <c r="D713">
        <f>MIN('GA Arroyo'!AB713, 'GA Arroyo'!AE713, 'GA Arroyo'!AH713, 'GA Arroyo'!AK713)</f>
        <v>373443</v>
      </c>
      <c r="E713">
        <f>MIN('GA Arroyo'!AO713, 'GA Arroyo'!AR713, 'GA Arroyo'!AU713, 'GA Arroyo'!AX713)</f>
        <v>317647</v>
      </c>
      <c r="G713" s="45">
        <f t="shared" si="59"/>
        <v>310797</v>
      </c>
      <c r="I713" s="49">
        <f t="shared" si="60"/>
        <v>0</v>
      </c>
      <c r="J713" s="49">
        <f t="shared" si="61"/>
        <v>3.1557576167080121</v>
      </c>
      <c r="K713" s="49">
        <f t="shared" si="62"/>
        <v>20.156565217810982</v>
      </c>
      <c r="L713" s="49">
        <f t="shared" si="63"/>
        <v>2.2040109782269455</v>
      </c>
      <c r="T713" s="49">
        <f>(100*('GA Arroyo'!AO713-E713))/E713</f>
        <v>0</v>
      </c>
      <c r="U713" s="49">
        <f>(100*('GA Arroyo'!AR713-E713))/E713</f>
        <v>0.16685188275034865</v>
      </c>
      <c r="V713" s="49">
        <f>(100*('GA Arroyo'!AU713-E713))/E713</f>
        <v>2.4228152634843081</v>
      </c>
      <c r="W713" s="49">
        <f>(100*('GA Arroyo'!AX713-E713))/E713</f>
        <v>12.230243005600556</v>
      </c>
    </row>
    <row r="714" spans="2:23" ht="15" customHeight="1">
      <c r="B714">
        <f>MIN('GA Arroyo'!B714,'GA Arroyo'!E714,'GA Arroyo'!H714,'GA Arroyo'!K714)</f>
        <v>313155</v>
      </c>
      <c r="C714">
        <f>MIN('GA Arroyo'!O714, 'GA Arroyo'!R714, 'GA Arroyo'!U714, 'GA Arroyo'!X714)</f>
        <v>332497</v>
      </c>
      <c r="D714">
        <f>MIN('GA Arroyo'!AB714, 'GA Arroyo'!AE714, 'GA Arroyo'!AH714, 'GA Arroyo'!AK714)</f>
        <v>366344</v>
      </c>
      <c r="E714">
        <f>MIN('GA Arroyo'!AO714, 'GA Arroyo'!AR714, 'GA Arroyo'!AU714, 'GA Arroyo'!AX714)</f>
        <v>308054</v>
      </c>
      <c r="G714" s="45">
        <f t="shared" si="59"/>
        <v>308054</v>
      </c>
      <c r="I714" s="49">
        <f t="shared" si="60"/>
        <v>1.6558785148058457</v>
      </c>
      <c r="J714" s="49">
        <f t="shared" si="61"/>
        <v>7.9346478214858438</v>
      </c>
      <c r="K714" s="49">
        <f t="shared" si="62"/>
        <v>18.922007180559252</v>
      </c>
      <c r="L714" s="49">
        <f t="shared" si="63"/>
        <v>0</v>
      </c>
      <c r="T714" s="49">
        <f>(100*('GA Arroyo'!AO714-E714))/E714</f>
        <v>2.8426834256331683</v>
      </c>
      <c r="U714" s="49">
        <f>(100*('GA Arroyo'!AR714-E714))/E714</f>
        <v>3.5389899173521524</v>
      </c>
      <c r="V714" s="49">
        <f>(100*('GA Arroyo'!AU714-E714))/E714</f>
        <v>3.6853928207392213</v>
      </c>
      <c r="W714" s="49">
        <f>(100*('GA Arroyo'!AX714-E714))/E714</f>
        <v>0</v>
      </c>
    </row>
    <row r="715" spans="2:23" ht="15" customHeight="1">
      <c r="B715">
        <f>MIN('GA Arroyo'!B715,'GA Arroyo'!E715,'GA Arroyo'!H715,'GA Arroyo'!K715)</f>
        <v>298792</v>
      </c>
      <c r="C715">
        <f>MIN('GA Arroyo'!O715, 'GA Arroyo'!R715, 'GA Arroyo'!U715, 'GA Arroyo'!X715)</f>
        <v>328971</v>
      </c>
      <c r="D715">
        <f>MIN('GA Arroyo'!AB715, 'GA Arroyo'!AE715, 'GA Arroyo'!AH715, 'GA Arroyo'!AK715)</f>
        <v>354576</v>
      </c>
      <c r="E715">
        <f>MIN('GA Arroyo'!AO715, 'GA Arroyo'!AR715, 'GA Arroyo'!AU715, 'GA Arroyo'!AX715)</f>
        <v>299073</v>
      </c>
      <c r="G715" s="45">
        <f t="shared" si="59"/>
        <v>298792</v>
      </c>
      <c r="I715" s="49">
        <f t="shared" si="60"/>
        <v>0</v>
      </c>
      <c r="J715" s="49">
        <f t="shared" si="61"/>
        <v>10.100337358429945</v>
      </c>
      <c r="K715" s="49">
        <f t="shared" si="62"/>
        <v>18.669843904789953</v>
      </c>
      <c r="L715" s="49">
        <f t="shared" si="63"/>
        <v>9.4045355966692543E-2</v>
      </c>
      <c r="T715" s="49">
        <f>(100*('GA Arroyo'!AO715-E715))/E715</f>
        <v>0.63295583352559404</v>
      </c>
      <c r="U715" s="49">
        <f>(100*('GA Arroyo'!AR715-E715))/E715</f>
        <v>2.4572595988270423</v>
      </c>
      <c r="V715" s="49">
        <f>(100*('GA Arroyo'!AU715-E715))/E715</f>
        <v>0</v>
      </c>
      <c r="W715" s="49">
        <f>(100*('GA Arroyo'!AX715-E715))/E715</f>
        <v>0.96565052679446151</v>
      </c>
    </row>
    <row r="716" spans="2:23" ht="15" customHeight="1">
      <c r="B716">
        <f>MIN('GA Arroyo'!B716,'GA Arroyo'!E716,'GA Arroyo'!H716,'GA Arroyo'!K716)</f>
        <v>374080</v>
      </c>
      <c r="C716">
        <f>MIN('GA Arroyo'!O716, 'GA Arroyo'!R716, 'GA Arroyo'!U716, 'GA Arroyo'!X716)</f>
        <v>419515</v>
      </c>
      <c r="D716">
        <f>MIN('GA Arroyo'!AB716, 'GA Arroyo'!AE716, 'GA Arroyo'!AH716, 'GA Arroyo'!AK716)</f>
        <v>455533</v>
      </c>
      <c r="E716">
        <f>MIN('GA Arroyo'!AO716, 'GA Arroyo'!AR716, 'GA Arroyo'!AU716, 'GA Arroyo'!AX716)</f>
        <v>373351</v>
      </c>
      <c r="G716" s="45">
        <f t="shared" si="59"/>
        <v>373351</v>
      </c>
      <c r="I716" s="49">
        <f t="shared" si="60"/>
        <v>0.19525861722614912</v>
      </c>
      <c r="J716" s="49">
        <f t="shared" si="61"/>
        <v>12.364772024180999</v>
      </c>
      <c r="K716" s="49">
        <f t="shared" si="62"/>
        <v>22.011994075280366</v>
      </c>
      <c r="L716" s="49">
        <f t="shared" si="63"/>
        <v>0</v>
      </c>
      <c r="T716" s="49">
        <f>(100*('GA Arroyo'!AO716-E716))/E716</f>
        <v>0</v>
      </c>
      <c r="U716" s="49">
        <f>(100*('GA Arroyo'!AR716-E716))/E716</f>
        <v>12.190405275464643</v>
      </c>
      <c r="V716" s="49">
        <f>(100*('GA Arroyo'!AU716-E716))/E716</f>
        <v>4.7108485044904125</v>
      </c>
      <c r="W716" s="49">
        <f>(100*('GA Arroyo'!AX716-E716))/E716</f>
        <v>9.0887663351644967</v>
      </c>
    </row>
    <row r="717" spans="2:23" ht="15" customHeight="1">
      <c r="B717">
        <f>MIN('GA Arroyo'!B717,'GA Arroyo'!E717,'GA Arroyo'!H717,'GA Arroyo'!K717)</f>
        <v>358479</v>
      </c>
      <c r="C717">
        <f>MIN('GA Arroyo'!O717, 'GA Arroyo'!R717, 'GA Arroyo'!U717, 'GA Arroyo'!X717)</f>
        <v>386349</v>
      </c>
      <c r="D717">
        <f>MIN('GA Arroyo'!AB717, 'GA Arroyo'!AE717, 'GA Arroyo'!AH717, 'GA Arroyo'!AK717)</f>
        <v>427254</v>
      </c>
      <c r="E717">
        <f>MIN('GA Arroyo'!AO717, 'GA Arroyo'!AR717, 'GA Arroyo'!AU717, 'GA Arroyo'!AX717)</f>
        <v>360394</v>
      </c>
      <c r="G717" s="45">
        <f t="shared" si="59"/>
        <v>358479</v>
      </c>
      <c r="I717" s="49">
        <f t="shared" si="60"/>
        <v>0</v>
      </c>
      <c r="J717" s="49">
        <f t="shared" si="61"/>
        <v>7.7745139882670955</v>
      </c>
      <c r="K717" s="49">
        <f t="shared" si="62"/>
        <v>19.185224239076767</v>
      </c>
      <c r="L717" s="49">
        <f t="shared" si="63"/>
        <v>0.53420144555190119</v>
      </c>
      <c r="T717" s="49">
        <f>(100*('GA Arroyo'!AO717-E717))/E717</f>
        <v>2.3130240792022065</v>
      </c>
      <c r="U717" s="49">
        <f>(100*('GA Arroyo'!AR717-E717))/E717</f>
        <v>1.0901957302285832</v>
      </c>
      <c r="V717" s="49">
        <f>(100*('GA Arroyo'!AU717-E717))/E717</f>
        <v>0.10100057159664146</v>
      </c>
      <c r="W717" s="49">
        <f>(100*('GA Arroyo'!AX717-E717))/E717</f>
        <v>0</v>
      </c>
    </row>
    <row r="718" spans="2:23" ht="15" customHeight="1">
      <c r="B718">
        <f>MIN('GA Arroyo'!B718,'GA Arroyo'!E718,'GA Arroyo'!H718,'GA Arroyo'!K718)</f>
        <v>316753</v>
      </c>
      <c r="C718">
        <f>MIN('GA Arroyo'!O718, 'GA Arroyo'!R718, 'GA Arroyo'!U718, 'GA Arroyo'!X718)</f>
        <v>343705</v>
      </c>
      <c r="D718">
        <f>MIN('GA Arroyo'!AB718, 'GA Arroyo'!AE718, 'GA Arroyo'!AH718, 'GA Arroyo'!AK718)</f>
        <v>382301</v>
      </c>
      <c r="E718">
        <f>MIN('GA Arroyo'!AO718, 'GA Arroyo'!AR718, 'GA Arroyo'!AU718, 'GA Arroyo'!AX718)</f>
        <v>326306</v>
      </c>
      <c r="G718" s="45">
        <f t="shared" si="59"/>
        <v>316753</v>
      </c>
      <c r="I718" s="49">
        <f t="shared" si="60"/>
        <v>0</v>
      </c>
      <c r="J718" s="49">
        <f t="shared" si="61"/>
        <v>8.5088381167660607</v>
      </c>
      <c r="K718" s="49">
        <f t="shared" si="62"/>
        <v>20.693726657679644</v>
      </c>
      <c r="L718" s="49">
        <f t="shared" si="63"/>
        <v>3.0159146085435653</v>
      </c>
      <c r="T718" s="49">
        <f>(100*('GA Arroyo'!AO718-E718))/E718</f>
        <v>0</v>
      </c>
      <c r="U718" s="49">
        <f>(100*('GA Arroyo'!AR718-E718))/E718</f>
        <v>20.329384075070639</v>
      </c>
      <c r="V718" s="49">
        <f>(100*('GA Arroyo'!AU718-E718))/E718</f>
        <v>9.653515411913971E-2</v>
      </c>
      <c r="W718" s="49">
        <f>(100*('GA Arroyo'!AX718-E718))/E718</f>
        <v>3.6358510110142013</v>
      </c>
    </row>
    <row r="719" spans="2:23" ht="15" customHeight="1">
      <c r="B719">
        <f>MIN('GA Arroyo'!B719,'GA Arroyo'!E719,'GA Arroyo'!H719,'GA Arroyo'!K719)</f>
        <v>299560</v>
      </c>
      <c r="C719">
        <f>MIN('GA Arroyo'!O719, 'GA Arroyo'!R719, 'GA Arroyo'!U719, 'GA Arroyo'!X719)</f>
        <v>309692</v>
      </c>
      <c r="D719">
        <f>MIN('GA Arroyo'!AB719, 'GA Arroyo'!AE719, 'GA Arroyo'!AH719, 'GA Arroyo'!AK719)</f>
        <v>360495</v>
      </c>
      <c r="E719">
        <f>MIN('GA Arroyo'!AO719, 'GA Arroyo'!AR719, 'GA Arroyo'!AU719, 'GA Arroyo'!AX719)</f>
        <v>301132</v>
      </c>
      <c r="G719" s="45">
        <f t="shared" si="59"/>
        <v>299560</v>
      </c>
      <c r="I719" s="49">
        <f t="shared" si="60"/>
        <v>0</v>
      </c>
      <c r="J719" s="49">
        <f t="shared" si="61"/>
        <v>3.3822940312458272</v>
      </c>
      <c r="K719" s="49">
        <f t="shared" si="62"/>
        <v>20.341500867939644</v>
      </c>
      <c r="L719" s="49">
        <f t="shared" si="63"/>
        <v>0.52476966217118437</v>
      </c>
      <c r="T719" s="49">
        <f>(100*('GA Arroyo'!AO719-E719))/E719</f>
        <v>2.2086659670842024</v>
      </c>
      <c r="U719" s="49">
        <f>(100*('GA Arroyo'!AR719-E719))/E719</f>
        <v>0.55723071609792385</v>
      </c>
      <c r="V719" s="49">
        <f>(100*('GA Arroyo'!AU719-E719))/E719</f>
        <v>1.7344553219186269</v>
      </c>
      <c r="W719" s="49">
        <f>(100*('GA Arroyo'!AX719-E719))/E719</f>
        <v>0</v>
      </c>
    </row>
    <row r="720" spans="2:23" ht="15" customHeight="1">
      <c r="B720">
        <f>MIN('GA Arroyo'!B720,'GA Arroyo'!E720,'GA Arroyo'!H720,'GA Arroyo'!K720)</f>
        <v>305984</v>
      </c>
      <c r="C720">
        <f>MIN('GA Arroyo'!O720, 'GA Arroyo'!R720, 'GA Arroyo'!U720, 'GA Arroyo'!X720)</f>
        <v>334648</v>
      </c>
      <c r="D720">
        <f>MIN('GA Arroyo'!AB720, 'GA Arroyo'!AE720, 'GA Arroyo'!AH720, 'GA Arroyo'!AK720)</f>
        <v>370441</v>
      </c>
      <c r="E720">
        <f>MIN('GA Arroyo'!AO720, 'GA Arroyo'!AR720, 'GA Arroyo'!AU720, 'GA Arroyo'!AX720)</f>
        <v>305763</v>
      </c>
      <c r="G720" s="45">
        <f t="shared" si="59"/>
        <v>305763</v>
      </c>
      <c r="I720" s="49">
        <f t="shared" si="60"/>
        <v>7.2278202398589758E-2</v>
      </c>
      <c r="J720" s="49">
        <f t="shared" si="61"/>
        <v>9.4468591687025576</v>
      </c>
      <c r="K720" s="49">
        <f t="shared" si="62"/>
        <v>21.15298450106782</v>
      </c>
      <c r="L720" s="49">
        <f t="shared" si="63"/>
        <v>0</v>
      </c>
      <c r="T720" s="49">
        <f>(100*('GA Arroyo'!AO720-E720))/E720</f>
        <v>8.3289999116963145</v>
      </c>
      <c r="U720" s="49">
        <f>(100*('GA Arroyo'!AR720-E720))/E720</f>
        <v>6.1989187704202271</v>
      </c>
      <c r="V720" s="49">
        <f>(100*('GA Arroyo'!AU720-E720))/E720</f>
        <v>4.7860597914070704</v>
      </c>
      <c r="W720" s="49">
        <f>(100*('GA Arroyo'!AX720-E720))/E720</f>
        <v>0</v>
      </c>
    </row>
    <row r="721" spans="2:23" ht="15" customHeight="1">
      <c r="B721">
        <f>MIN('GA Arroyo'!B721,'GA Arroyo'!E721,'GA Arroyo'!H721,'GA Arroyo'!K721)</f>
        <v>304633</v>
      </c>
      <c r="C721">
        <f>MIN('GA Arroyo'!O721, 'GA Arroyo'!R721, 'GA Arroyo'!U721, 'GA Arroyo'!X721)</f>
        <v>320927</v>
      </c>
      <c r="D721">
        <f>MIN('GA Arroyo'!AB721, 'GA Arroyo'!AE721, 'GA Arroyo'!AH721, 'GA Arroyo'!AK721)</f>
        <v>374266</v>
      </c>
      <c r="E721">
        <f>MIN('GA Arroyo'!AO721, 'GA Arroyo'!AR721, 'GA Arroyo'!AU721, 'GA Arroyo'!AX721)</f>
        <v>315558</v>
      </c>
      <c r="G721" s="45">
        <f t="shared" si="59"/>
        <v>304633</v>
      </c>
      <c r="I721" s="49">
        <f t="shared" si="60"/>
        <v>0</v>
      </c>
      <c r="J721" s="49">
        <f t="shared" si="61"/>
        <v>5.3487310961058059</v>
      </c>
      <c r="K721" s="49">
        <f t="shared" si="62"/>
        <v>22.857996343140762</v>
      </c>
      <c r="L721" s="49">
        <f t="shared" si="63"/>
        <v>3.5862825104305838</v>
      </c>
      <c r="T721" s="49">
        <f>(100*('GA Arroyo'!AO721-E721))/E721</f>
        <v>24.295058277717565</v>
      </c>
      <c r="U721" s="49">
        <f>(100*('GA Arroyo'!AR721-E721))/E721</f>
        <v>0.41291933654035073</v>
      </c>
      <c r="V721" s="49">
        <f>(100*('GA Arroyo'!AU721-E721))/E721</f>
        <v>1.9552665437098726</v>
      </c>
      <c r="W721" s="49">
        <f>(100*('GA Arroyo'!AX721-E721))/E721</f>
        <v>0</v>
      </c>
    </row>
    <row r="722" spans="2:23" ht="15" customHeight="1">
      <c r="B722">
        <f>MIN('GA Arroyo'!B722,'GA Arroyo'!E722,'GA Arroyo'!H722,'GA Arroyo'!K722)</f>
        <v>360490</v>
      </c>
      <c r="C722">
        <f>MIN('GA Arroyo'!O722, 'GA Arroyo'!R722, 'GA Arroyo'!U722, 'GA Arroyo'!X722)</f>
        <v>381014</v>
      </c>
      <c r="D722">
        <f>MIN('GA Arroyo'!AB722, 'GA Arroyo'!AE722, 'GA Arroyo'!AH722, 'GA Arroyo'!AK722)</f>
        <v>422371</v>
      </c>
      <c r="E722">
        <f>MIN('GA Arroyo'!AO722, 'GA Arroyo'!AR722, 'GA Arroyo'!AU722, 'GA Arroyo'!AX722)</f>
        <v>349992</v>
      </c>
      <c r="G722" s="45">
        <f t="shared" si="59"/>
        <v>349992</v>
      </c>
      <c r="I722" s="49">
        <f t="shared" si="60"/>
        <v>2.9994971313630026</v>
      </c>
      <c r="J722" s="49">
        <f t="shared" si="61"/>
        <v>8.863631168712427</v>
      </c>
      <c r="K722" s="49">
        <f t="shared" si="62"/>
        <v>20.680186975702302</v>
      </c>
      <c r="L722" s="49">
        <f t="shared" si="63"/>
        <v>0</v>
      </c>
      <c r="T722" s="49">
        <f>(100*('GA Arroyo'!AO722-E722))/E722</f>
        <v>4.851825184575647</v>
      </c>
      <c r="U722" s="49">
        <f>(100*('GA Arroyo'!AR722-E722))/E722</f>
        <v>1.6574664563761456</v>
      </c>
      <c r="V722" s="49">
        <f>(100*('GA Arroyo'!AU722-E722))/E722</f>
        <v>3.5272234793938146</v>
      </c>
      <c r="W722" s="49">
        <f>(100*('GA Arroyo'!AX722-E722))/E722</f>
        <v>0</v>
      </c>
    </row>
    <row r="723" spans="2:23" ht="15" customHeight="1">
      <c r="B723">
        <f>MIN('GA Arroyo'!B723,'GA Arroyo'!E723,'GA Arroyo'!H723,'GA Arroyo'!K723)</f>
        <v>327794</v>
      </c>
      <c r="C723">
        <f>MIN('GA Arroyo'!O723, 'GA Arroyo'!R723, 'GA Arroyo'!U723, 'GA Arroyo'!X723)</f>
        <v>338199</v>
      </c>
      <c r="D723">
        <f>MIN('GA Arroyo'!AB723, 'GA Arroyo'!AE723, 'GA Arroyo'!AH723, 'GA Arroyo'!AK723)</f>
        <v>381417</v>
      </c>
      <c r="E723">
        <f>MIN('GA Arroyo'!AO723, 'GA Arroyo'!AR723, 'GA Arroyo'!AU723, 'GA Arroyo'!AX723)</f>
        <v>318945</v>
      </c>
      <c r="G723" s="45">
        <f t="shared" si="59"/>
        <v>318945</v>
      </c>
      <c r="I723" s="49">
        <f t="shared" si="60"/>
        <v>2.7744595463167632</v>
      </c>
      <c r="J723" s="49">
        <f t="shared" si="61"/>
        <v>6.0367775008230256</v>
      </c>
      <c r="K723" s="49">
        <f t="shared" si="62"/>
        <v>19.587076141654517</v>
      </c>
      <c r="L723" s="49">
        <f t="shared" si="63"/>
        <v>0</v>
      </c>
      <c r="T723" s="49">
        <f>(100*('GA Arroyo'!AO723-E723))/E723</f>
        <v>0.9801062879179796</v>
      </c>
      <c r="U723" s="49">
        <f>(100*('GA Arroyo'!AR723-E723))/E723</f>
        <v>2.1937951684459702</v>
      </c>
      <c r="V723" s="49">
        <f>(100*('GA Arroyo'!AU723-E723))/E723</f>
        <v>0.16178337957955133</v>
      </c>
      <c r="W723" s="49">
        <f>(100*('GA Arroyo'!AX723-E723))/E723</f>
        <v>0</v>
      </c>
    </row>
    <row r="724" spans="2:23" ht="15" customHeight="1">
      <c r="B724">
        <f>MIN('GA Arroyo'!B724,'GA Arroyo'!E724,'GA Arroyo'!H724,'GA Arroyo'!K724)</f>
        <v>373434</v>
      </c>
      <c r="C724">
        <f>MIN('GA Arroyo'!O724, 'GA Arroyo'!R724, 'GA Arroyo'!U724, 'GA Arroyo'!X724)</f>
        <v>398200</v>
      </c>
      <c r="D724">
        <f>MIN('GA Arroyo'!AB724, 'GA Arroyo'!AE724, 'GA Arroyo'!AH724, 'GA Arroyo'!AK724)</f>
        <v>426795</v>
      </c>
      <c r="E724">
        <f>MIN('GA Arroyo'!AO724, 'GA Arroyo'!AR724, 'GA Arroyo'!AU724, 'GA Arroyo'!AX724)</f>
        <v>364168</v>
      </c>
      <c r="G724" s="45">
        <f t="shared" si="59"/>
        <v>364168</v>
      </c>
      <c r="I724" s="49">
        <f t="shared" si="60"/>
        <v>2.5444300432767295</v>
      </c>
      <c r="J724" s="49">
        <f t="shared" si="61"/>
        <v>9.3451374091078847</v>
      </c>
      <c r="K724" s="49">
        <f t="shared" si="62"/>
        <v>17.19728257287845</v>
      </c>
      <c r="L724" s="49">
        <f t="shared" si="63"/>
        <v>0</v>
      </c>
      <c r="T724" s="49">
        <f>(100*('GA Arroyo'!AO724-E724))/E724</f>
        <v>4.9188835921882212</v>
      </c>
      <c r="U724" s="49">
        <f>(100*('GA Arroyo'!AR724-E724))/E724</f>
        <v>0</v>
      </c>
      <c r="V724" s="49">
        <f>(100*('GA Arroyo'!AU724-E724))/E724</f>
        <v>5.3272116166165069E-2</v>
      </c>
      <c r="W724" s="49">
        <f>(100*('GA Arroyo'!AX724-E724))/E724</f>
        <v>5.128951472946552</v>
      </c>
    </row>
    <row r="725" spans="2:23" ht="15" customHeight="1">
      <c r="B725">
        <f>MIN('GA Arroyo'!B725,'GA Arroyo'!E725,'GA Arroyo'!H725,'GA Arroyo'!K725)</f>
        <v>323959</v>
      </c>
      <c r="C725">
        <f>MIN('GA Arroyo'!O725, 'GA Arroyo'!R725, 'GA Arroyo'!U725, 'GA Arroyo'!X725)</f>
        <v>320878</v>
      </c>
      <c r="D725">
        <f>MIN('GA Arroyo'!AB725, 'GA Arroyo'!AE725, 'GA Arroyo'!AH725, 'GA Arroyo'!AK725)</f>
        <v>375517</v>
      </c>
      <c r="E725">
        <f>MIN('GA Arroyo'!AO725, 'GA Arroyo'!AR725, 'GA Arroyo'!AU725, 'GA Arroyo'!AX725)</f>
        <v>323263</v>
      </c>
      <c r="G725" s="45">
        <f t="shared" si="59"/>
        <v>320878</v>
      </c>
      <c r="I725" s="49">
        <f t="shared" si="60"/>
        <v>0.96017801158072535</v>
      </c>
      <c r="J725" s="49">
        <f t="shared" si="61"/>
        <v>0</v>
      </c>
      <c r="K725" s="49">
        <f t="shared" si="62"/>
        <v>17.027967015501218</v>
      </c>
      <c r="L725" s="49">
        <f t="shared" si="63"/>
        <v>0.74327314431029867</v>
      </c>
      <c r="T725" s="49">
        <f>(100*('GA Arroyo'!AO725-E725))/E725</f>
        <v>2.8951658556655109</v>
      </c>
      <c r="U725" s="49">
        <f>(100*('GA Arroyo'!AR725-E725))/E725</f>
        <v>5.1072965356381648</v>
      </c>
      <c r="V725" s="49">
        <f>(100*('GA Arroyo'!AU725-E725))/E725</f>
        <v>1.2769788067301238</v>
      </c>
      <c r="W725" s="49">
        <f>(100*('GA Arroyo'!AX725-E725))/E725</f>
        <v>0</v>
      </c>
    </row>
    <row r="726" spans="2:23" ht="15" customHeight="1">
      <c r="B726">
        <f>MIN('GA Arroyo'!B726,'GA Arroyo'!E726,'GA Arroyo'!H726,'GA Arroyo'!K726)</f>
        <v>316139</v>
      </c>
      <c r="C726">
        <f>MIN('GA Arroyo'!O726, 'GA Arroyo'!R726, 'GA Arroyo'!U726, 'GA Arroyo'!X726)</f>
        <v>350031</v>
      </c>
      <c r="D726">
        <f>MIN('GA Arroyo'!AB726, 'GA Arroyo'!AE726, 'GA Arroyo'!AH726, 'GA Arroyo'!AK726)</f>
        <v>396043</v>
      </c>
      <c r="E726">
        <f>MIN('GA Arroyo'!AO726, 'GA Arroyo'!AR726, 'GA Arroyo'!AU726, 'GA Arroyo'!AX726)</f>
        <v>328558</v>
      </c>
      <c r="G726" s="45">
        <f t="shared" si="59"/>
        <v>316139</v>
      </c>
      <c r="I726" s="49">
        <f t="shared" si="60"/>
        <v>0</v>
      </c>
      <c r="J726" s="49">
        <f t="shared" si="61"/>
        <v>10.720600748404975</v>
      </c>
      <c r="K726" s="49">
        <f t="shared" si="62"/>
        <v>25.274958167135342</v>
      </c>
      <c r="L726" s="49">
        <f t="shared" si="63"/>
        <v>3.9283353208556995</v>
      </c>
      <c r="T726" s="49">
        <f>(100*('GA Arroyo'!AO726-E726))/E726</f>
        <v>0</v>
      </c>
      <c r="U726" s="49">
        <f>(100*('GA Arroyo'!AR726-E726))/E726</f>
        <v>4.4530950395363984</v>
      </c>
      <c r="V726" s="49">
        <f>(100*('GA Arroyo'!AU726-E726))/E726</f>
        <v>8.9481917956646922E-2</v>
      </c>
      <c r="W726" s="49">
        <f>(100*('GA Arroyo'!AX726-E726))/E726</f>
        <v>2.3094856920239351</v>
      </c>
    </row>
    <row r="727" spans="2:23" ht="15" customHeight="1">
      <c r="B727">
        <f>MIN('GA Arroyo'!B727,'GA Arroyo'!E727,'GA Arroyo'!H727,'GA Arroyo'!K727)</f>
        <v>332809</v>
      </c>
      <c r="C727">
        <f>MIN('GA Arroyo'!O727, 'GA Arroyo'!R727, 'GA Arroyo'!U727, 'GA Arroyo'!X727)</f>
        <v>362805</v>
      </c>
      <c r="D727">
        <f>MIN('GA Arroyo'!AB727, 'GA Arroyo'!AE727, 'GA Arroyo'!AH727, 'GA Arroyo'!AK727)</f>
        <v>407690</v>
      </c>
      <c r="E727">
        <f>MIN('GA Arroyo'!AO727, 'GA Arroyo'!AR727, 'GA Arroyo'!AU727, 'GA Arroyo'!AX727)</f>
        <v>335465</v>
      </c>
      <c r="G727" s="45">
        <f t="shared" si="59"/>
        <v>332809</v>
      </c>
      <c r="I727" s="49">
        <f t="shared" si="60"/>
        <v>0</v>
      </c>
      <c r="J727" s="49">
        <f t="shared" si="61"/>
        <v>9.0129774134713898</v>
      </c>
      <c r="K727" s="49">
        <f t="shared" si="62"/>
        <v>22.499692015540447</v>
      </c>
      <c r="L727" s="49">
        <f t="shared" si="63"/>
        <v>0.79805534105147402</v>
      </c>
      <c r="T727" s="49">
        <f>(100*('GA Arroyo'!AO727-E727))/E727</f>
        <v>4.9242096791021419</v>
      </c>
      <c r="U727" s="49">
        <f>(100*('GA Arroyo'!AR727-E727))/E727</f>
        <v>0</v>
      </c>
      <c r="V727" s="49">
        <f>(100*('GA Arroyo'!AU727-E727))/E727</f>
        <v>4.7656238355715201</v>
      </c>
      <c r="W727" s="49">
        <f>(100*('GA Arroyo'!AX727-E727))/E727</f>
        <v>1.7507042463446261</v>
      </c>
    </row>
    <row r="728" spans="2:23" ht="15" customHeight="1">
      <c r="B728">
        <f>MIN('GA Arroyo'!B728,'GA Arroyo'!E728,'GA Arroyo'!H728,'GA Arroyo'!K728)</f>
        <v>331441</v>
      </c>
      <c r="C728">
        <f>MIN('GA Arroyo'!O728, 'GA Arroyo'!R728, 'GA Arroyo'!U728, 'GA Arroyo'!X728)</f>
        <v>354134</v>
      </c>
      <c r="D728">
        <f>MIN('GA Arroyo'!AB728, 'GA Arroyo'!AE728, 'GA Arroyo'!AH728, 'GA Arroyo'!AK728)</f>
        <v>395996</v>
      </c>
      <c r="E728">
        <f>MIN('GA Arroyo'!AO728, 'GA Arroyo'!AR728, 'GA Arroyo'!AU728, 'GA Arroyo'!AX728)</f>
        <v>325333</v>
      </c>
      <c r="G728" s="45">
        <f t="shared" si="59"/>
        <v>325333</v>
      </c>
      <c r="I728" s="49">
        <f t="shared" si="60"/>
        <v>1.877460940021455</v>
      </c>
      <c r="J728" s="49">
        <f t="shared" si="61"/>
        <v>8.8527754639092873</v>
      </c>
      <c r="K728" s="49">
        <f t="shared" si="62"/>
        <v>21.720206680539633</v>
      </c>
      <c r="L728" s="49">
        <f t="shared" si="63"/>
        <v>0</v>
      </c>
      <c r="T728" s="49">
        <f>(100*('GA Arroyo'!AO728-E728))/E728</f>
        <v>5.1839192458188998</v>
      </c>
      <c r="U728" s="49">
        <f>(100*('GA Arroyo'!AR728-E728))/E728</f>
        <v>6.5246993080935534</v>
      </c>
      <c r="V728" s="49">
        <f>(100*('GA Arroyo'!AU728-E728))/E728</f>
        <v>3.3833026468264822</v>
      </c>
      <c r="W728" s="49">
        <f>(100*('GA Arroyo'!AX728-E728))/E728</f>
        <v>0</v>
      </c>
    </row>
    <row r="729" spans="2:23" ht="15" customHeight="1">
      <c r="B729">
        <f>MIN('GA Arroyo'!B729,'GA Arroyo'!E729,'GA Arroyo'!H729,'GA Arroyo'!K729)</f>
        <v>327438</v>
      </c>
      <c r="C729">
        <f>MIN('GA Arroyo'!O729, 'GA Arroyo'!R729, 'GA Arroyo'!U729, 'GA Arroyo'!X729)</f>
        <v>339419</v>
      </c>
      <c r="D729">
        <f>MIN('GA Arroyo'!AB729, 'GA Arroyo'!AE729, 'GA Arroyo'!AH729, 'GA Arroyo'!AK729)</f>
        <v>384358</v>
      </c>
      <c r="E729">
        <f>MIN('GA Arroyo'!AO729, 'GA Arroyo'!AR729, 'GA Arroyo'!AU729, 'GA Arroyo'!AX729)</f>
        <v>327498</v>
      </c>
      <c r="G729" s="45">
        <f t="shared" si="59"/>
        <v>327438</v>
      </c>
      <c r="I729" s="49">
        <f t="shared" si="60"/>
        <v>0</v>
      </c>
      <c r="J729" s="49">
        <f t="shared" si="61"/>
        <v>3.6590133093898691</v>
      </c>
      <c r="K729" s="49">
        <f t="shared" si="62"/>
        <v>17.383443583212699</v>
      </c>
      <c r="L729" s="49">
        <f t="shared" si="63"/>
        <v>1.8324079673098417E-2</v>
      </c>
      <c r="T729" s="49">
        <f>(100*('GA Arroyo'!AO729-E729))/E729</f>
        <v>0.28397119982412106</v>
      </c>
      <c r="U729" s="49">
        <f>(100*('GA Arroyo'!AR729-E729))/E729</f>
        <v>3.2296380435911058</v>
      </c>
      <c r="V729" s="49">
        <f>(100*('GA Arroyo'!AU729-E729))/E729</f>
        <v>0</v>
      </c>
      <c r="W729" s="49">
        <f>(100*('GA Arroyo'!AX729-E729))/E729</f>
        <v>6.3508784786471981</v>
      </c>
    </row>
    <row r="730" spans="2:23" ht="15" customHeight="1">
      <c r="B730">
        <f>MIN('GA Arroyo'!B730,'GA Arroyo'!E730,'GA Arroyo'!H730,'GA Arroyo'!K730)</f>
        <v>346255</v>
      </c>
      <c r="C730">
        <f>MIN('GA Arroyo'!O730, 'GA Arroyo'!R730, 'GA Arroyo'!U730, 'GA Arroyo'!X730)</f>
        <v>365135</v>
      </c>
      <c r="D730">
        <f>MIN('GA Arroyo'!AB730, 'GA Arroyo'!AE730, 'GA Arroyo'!AH730, 'GA Arroyo'!AK730)</f>
        <v>409606</v>
      </c>
      <c r="E730">
        <f>MIN('GA Arroyo'!AO730, 'GA Arroyo'!AR730, 'GA Arroyo'!AU730, 'GA Arroyo'!AX730)</f>
        <v>341807</v>
      </c>
      <c r="G730" s="45">
        <f t="shared" si="59"/>
        <v>341807</v>
      </c>
      <c r="I730" s="49">
        <f t="shared" si="60"/>
        <v>1.3013191654939775</v>
      </c>
      <c r="J730" s="49">
        <f t="shared" si="61"/>
        <v>6.824904112554746</v>
      </c>
      <c r="K730" s="49">
        <f t="shared" si="62"/>
        <v>19.835462702636281</v>
      </c>
      <c r="L730" s="49">
        <f t="shared" si="63"/>
        <v>0</v>
      </c>
      <c r="T730" s="49">
        <f>(100*('GA Arroyo'!AO730-E730))/E730</f>
        <v>6.5355595409105138</v>
      </c>
      <c r="U730" s="49">
        <f>(100*('GA Arroyo'!AR730-E730))/E730</f>
        <v>1.6889648251791216</v>
      </c>
      <c r="V730" s="49">
        <f>(100*('GA Arroyo'!AU730-E730))/E730</f>
        <v>3.7752298811902625</v>
      </c>
      <c r="W730" s="49">
        <f>(100*('GA Arroyo'!AX730-E730))/E730</f>
        <v>0</v>
      </c>
    </row>
    <row r="731" spans="2:23" ht="15" customHeight="1">
      <c r="B731">
        <f>MIN('GA Arroyo'!B731,'GA Arroyo'!E731,'GA Arroyo'!H731,'GA Arroyo'!K731)</f>
        <v>326682</v>
      </c>
      <c r="C731">
        <f>MIN('GA Arroyo'!O731, 'GA Arroyo'!R731, 'GA Arroyo'!U731, 'GA Arroyo'!X731)</f>
        <v>361610</v>
      </c>
      <c r="D731">
        <f>MIN('GA Arroyo'!AB731, 'GA Arroyo'!AE731, 'GA Arroyo'!AH731, 'GA Arroyo'!AK731)</f>
        <v>404106</v>
      </c>
      <c r="E731">
        <f>MIN('GA Arroyo'!AO731, 'GA Arroyo'!AR731, 'GA Arroyo'!AU731, 'GA Arroyo'!AX731)</f>
        <v>321564</v>
      </c>
      <c r="G731" s="45">
        <f t="shared" si="59"/>
        <v>321564</v>
      </c>
      <c r="I731" s="49">
        <f t="shared" si="60"/>
        <v>1.5915960741874091</v>
      </c>
      <c r="J731" s="49">
        <f t="shared" si="61"/>
        <v>12.453508477317113</v>
      </c>
      <c r="K731" s="49">
        <f t="shared" si="62"/>
        <v>25.668918162480875</v>
      </c>
      <c r="L731" s="49">
        <f t="shared" si="63"/>
        <v>0</v>
      </c>
      <c r="T731" s="49">
        <f>(100*('GA Arroyo'!AO731-E731))/E731</f>
        <v>10.320807055516164</v>
      </c>
      <c r="U731" s="49">
        <f>(100*('GA Arroyo'!AR731-E731))/E731</f>
        <v>0</v>
      </c>
      <c r="V731" s="49">
        <f>(100*('GA Arroyo'!AU731-E731))/E731</f>
        <v>4.1323033672923586</v>
      </c>
      <c r="W731" s="49">
        <f>(100*('GA Arroyo'!AX731-E731))/E731</f>
        <v>38.858516500603301</v>
      </c>
    </row>
    <row r="732" spans="2:23" ht="15" customHeight="1">
      <c r="B732">
        <f>MIN('GA Arroyo'!B732,'GA Arroyo'!E732,'GA Arroyo'!H732,'GA Arroyo'!K732)</f>
        <v>287832</v>
      </c>
      <c r="C732">
        <f>MIN('GA Arroyo'!O732, 'GA Arroyo'!R732, 'GA Arroyo'!U732, 'GA Arroyo'!X732)</f>
        <v>313106</v>
      </c>
      <c r="D732">
        <f>MIN('GA Arroyo'!AB732, 'GA Arroyo'!AE732, 'GA Arroyo'!AH732, 'GA Arroyo'!AK732)</f>
        <v>350224</v>
      </c>
      <c r="E732">
        <f>MIN('GA Arroyo'!AO732, 'GA Arroyo'!AR732, 'GA Arroyo'!AU732, 'GA Arroyo'!AX732)</f>
        <v>290967</v>
      </c>
      <c r="G732" s="45">
        <f t="shared" si="59"/>
        <v>287832</v>
      </c>
      <c r="I732" s="49">
        <f t="shared" si="60"/>
        <v>0</v>
      </c>
      <c r="J732" s="49">
        <f t="shared" si="61"/>
        <v>8.780816587453792</v>
      </c>
      <c r="K732" s="49">
        <f t="shared" si="62"/>
        <v>21.676533533450069</v>
      </c>
      <c r="L732" s="49">
        <f t="shared" si="63"/>
        <v>1.0891770199282915</v>
      </c>
      <c r="T732" s="49">
        <f>(100*('GA Arroyo'!AO732-E732))/E732</f>
        <v>1.8194503156715367</v>
      </c>
      <c r="U732" s="49">
        <f>(100*('GA Arroyo'!AR732-E732))/E732</f>
        <v>0.6718975004038259</v>
      </c>
      <c r="V732" s="49">
        <f>(100*('GA Arroyo'!AU732-E732))/E732</f>
        <v>0</v>
      </c>
      <c r="W732" s="49">
        <f>(100*('GA Arroyo'!AX732-E732))/E732</f>
        <v>1.15786326284424</v>
      </c>
    </row>
    <row r="733" spans="2:23" ht="15" customHeight="1">
      <c r="B733">
        <f>MIN('GA Arroyo'!B733,'GA Arroyo'!E733,'GA Arroyo'!H733,'GA Arroyo'!K733)</f>
        <v>335998</v>
      </c>
      <c r="C733">
        <f>MIN('GA Arroyo'!O733, 'GA Arroyo'!R733, 'GA Arroyo'!U733, 'GA Arroyo'!X733)</f>
        <v>370148</v>
      </c>
      <c r="D733">
        <f>MIN('GA Arroyo'!AB733, 'GA Arroyo'!AE733, 'GA Arroyo'!AH733, 'GA Arroyo'!AK733)</f>
        <v>410484</v>
      </c>
      <c r="E733">
        <f>MIN('GA Arroyo'!AO733, 'GA Arroyo'!AR733, 'GA Arroyo'!AU733, 'GA Arroyo'!AX733)</f>
        <v>343833</v>
      </c>
      <c r="G733" s="45">
        <f t="shared" si="59"/>
        <v>335998</v>
      </c>
      <c r="I733" s="49">
        <f t="shared" si="60"/>
        <v>0</v>
      </c>
      <c r="J733" s="49">
        <f t="shared" si="61"/>
        <v>10.163750974708183</v>
      </c>
      <c r="K733" s="49">
        <f t="shared" si="62"/>
        <v>22.168584336811527</v>
      </c>
      <c r="L733" s="49">
        <f t="shared" si="63"/>
        <v>2.3318591182090369</v>
      </c>
      <c r="T733" s="49">
        <f>(100*('GA Arroyo'!AO733-E733))/E733</f>
        <v>4.3157579406281537</v>
      </c>
      <c r="U733" s="49">
        <f>(100*('GA Arroyo'!AR733-E733))/E733</f>
        <v>0.44178423827846658</v>
      </c>
      <c r="V733" s="49">
        <f>(100*('GA Arroyo'!AU733-E733))/E733</f>
        <v>2.2513836659075772</v>
      </c>
      <c r="W733" s="49">
        <f>(100*('GA Arroyo'!AX733-E733))/E733</f>
        <v>0</v>
      </c>
    </row>
    <row r="734" spans="2:23" ht="15" customHeight="1">
      <c r="B734">
        <f>MIN('GA Arroyo'!B734,'GA Arroyo'!E734,'GA Arroyo'!H734,'GA Arroyo'!K734)</f>
        <v>331197</v>
      </c>
      <c r="C734">
        <f>MIN('GA Arroyo'!O734, 'GA Arroyo'!R734, 'GA Arroyo'!U734, 'GA Arroyo'!X734)</f>
        <v>349438</v>
      </c>
      <c r="D734">
        <f>MIN('GA Arroyo'!AB734, 'GA Arroyo'!AE734, 'GA Arroyo'!AH734, 'GA Arroyo'!AK734)</f>
        <v>405422</v>
      </c>
      <c r="E734">
        <f>MIN('GA Arroyo'!AO734, 'GA Arroyo'!AR734, 'GA Arroyo'!AU734, 'GA Arroyo'!AX734)</f>
        <v>320499</v>
      </c>
      <c r="G734" s="45">
        <f t="shared" si="59"/>
        <v>320499</v>
      </c>
      <c r="I734" s="49">
        <f t="shared" si="60"/>
        <v>3.3379199311074292</v>
      </c>
      <c r="J734" s="49">
        <f t="shared" si="61"/>
        <v>9.029357345888755</v>
      </c>
      <c r="K734" s="49">
        <f t="shared" si="62"/>
        <v>26.497118555752124</v>
      </c>
      <c r="L734" s="49">
        <f t="shared" si="63"/>
        <v>0</v>
      </c>
      <c r="T734" s="49">
        <f>(100*('GA Arroyo'!AO734-E734))/E734</f>
        <v>8.0983091990926646</v>
      </c>
      <c r="U734" s="49">
        <f>(100*('GA Arroyo'!AR734-E734))/E734</f>
        <v>1.0455570844214803</v>
      </c>
      <c r="V734" s="49">
        <f>(100*('GA Arroyo'!AU734-E734))/E734</f>
        <v>3.1778570291950987</v>
      </c>
      <c r="W734" s="49">
        <f>(100*('GA Arroyo'!AX734-E734))/E734</f>
        <v>0</v>
      </c>
    </row>
    <row r="735" spans="2:23" ht="15" customHeight="1">
      <c r="B735">
        <f>MIN('GA Arroyo'!B735,'GA Arroyo'!E735,'GA Arroyo'!H735,'GA Arroyo'!K735)</f>
        <v>344320</v>
      </c>
      <c r="C735">
        <f>MIN('GA Arroyo'!O735, 'GA Arroyo'!R735, 'GA Arroyo'!U735, 'GA Arroyo'!X735)</f>
        <v>368141</v>
      </c>
      <c r="D735">
        <f>MIN('GA Arroyo'!AB735, 'GA Arroyo'!AE735, 'GA Arroyo'!AH735, 'GA Arroyo'!AK735)</f>
        <v>407391</v>
      </c>
      <c r="E735">
        <f>MIN('GA Arroyo'!AO735, 'GA Arroyo'!AR735, 'GA Arroyo'!AU735, 'GA Arroyo'!AX735)</f>
        <v>337533</v>
      </c>
      <c r="G735" s="45">
        <f t="shared" si="59"/>
        <v>337533</v>
      </c>
      <c r="I735" s="49">
        <f t="shared" si="60"/>
        <v>2.0107663546971701</v>
      </c>
      <c r="J735" s="49">
        <f t="shared" si="61"/>
        <v>9.0681503734449667</v>
      </c>
      <c r="K735" s="49">
        <f t="shared" si="62"/>
        <v>20.696642994907165</v>
      </c>
      <c r="L735" s="49">
        <f t="shared" si="63"/>
        <v>0</v>
      </c>
      <c r="T735" s="49">
        <f>(100*('GA Arroyo'!AO735-E735))/E735</f>
        <v>2.1123860481789927</v>
      </c>
      <c r="U735" s="49">
        <f>(100*('GA Arroyo'!AR735-E735))/E735</f>
        <v>13.268628548912254</v>
      </c>
      <c r="V735" s="49">
        <f>(100*('GA Arroyo'!AU735-E735))/E735</f>
        <v>7.3047672375738077</v>
      </c>
      <c r="W735" s="49">
        <f>(100*('GA Arroyo'!AX735-E735))/E735</f>
        <v>0</v>
      </c>
    </row>
    <row r="736" spans="2:23" ht="15" customHeight="1">
      <c r="B736">
        <f>MIN('GA Arroyo'!B736,'GA Arroyo'!E736,'GA Arroyo'!H736,'GA Arroyo'!K736)</f>
        <v>334539</v>
      </c>
      <c r="C736">
        <f>MIN('GA Arroyo'!O736, 'GA Arroyo'!R736, 'GA Arroyo'!U736, 'GA Arroyo'!X736)</f>
        <v>365978</v>
      </c>
      <c r="D736">
        <f>MIN('GA Arroyo'!AB736, 'GA Arroyo'!AE736, 'GA Arroyo'!AH736, 'GA Arroyo'!AK736)</f>
        <v>391250</v>
      </c>
      <c r="E736">
        <f>MIN('GA Arroyo'!AO736, 'GA Arroyo'!AR736, 'GA Arroyo'!AU736, 'GA Arroyo'!AX736)</f>
        <v>338446</v>
      </c>
      <c r="G736" s="45">
        <f t="shared" si="59"/>
        <v>334539</v>
      </c>
      <c r="I736" s="49">
        <f t="shared" si="60"/>
        <v>0</v>
      </c>
      <c r="J736" s="49">
        <f t="shared" si="61"/>
        <v>9.3977084883974662</v>
      </c>
      <c r="K736" s="49">
        <f t="shared" si="62"/>
        <v>16.951984671443387</v>
      </c>
      <c r="L736" s="49">
        <f t="shared" si="63"/>
        <v>1.1678757932557937</v>
      </c>
      <c r="T736" s="49">
        <f>(100*('GA Arroyo'!AO736-E736))/E736</f>
        <v>0.85153909338565092</v>
      </c>
      <c r="U736" s="49">
        <f>(100*('GA Arroyo'!AR736-E736))/E736</f>
        <v>0</v>
      </c>
      <c r="V736" s="49">
        <f>(100*('GA Arroyo'!AU736-E736))/E736</f>
        <v>2.2709678944351537</v>
      </c>
      <c r="W736" s="49">
        <f>(100*('GA Arroyo'!AX736-E736))/E736</f>
        <v>1.2518983826075651</v>
      </c>
    </row>
    <row r="737" spans="2:23" ht="15" customHeight="1">
      <c r="B737">
        <f>MIN('GA Arroyo'!B737,'GA Arroyo'!E737,'GA Arroyo'!H737,'GA Arroyo'!K737)</f>
        <v>267307</v>
      </c>
      <c r="C737">
        <f>MIN('GA Arroyo'!O737, 'GA Arroyo'!R737, 'GA Arroyo'!U737, 'GA Arroyo'!X737)</f>
        <v>300537</v>
      </c>
      <c r="D737">
        <f>MIN('GA Arroyo'!AB737, 'GA Arroyo'!AE737, 'GA Arroyo'!AH737, 'GA Arroyo'!AK737)</f>
        <v>362093</v>
      </c>
      <c r="E737">
        <f>MIN('GA Arroyo'!AO737, 'GA Arroyo'!AR737, 'GA Arroyo'!AU737, 'GA Arroyo'!AX737)</f>
        <v>288922</v>
      </c>
      <c r="G737" s="45">
        <f t="shared" si="59"/>
        <v>267307</v>
      </c>
      <c r="I737" s="49">
        <f t="shared" si="60"/>
        <v>0</v>
      </c>
      <c r="J737" s="49">
        <f t="shared" si="61"/>
        <v>12.431399102904152</v>
      </c>
      <c r="K737" s="49">
        <f t="shared" si="62"/>
        <v>35.459602629186662</v>
      </c>
      <c r="L737" s="49">
        <f t="shared" si="63"/>
        <v>8.0862079930566733</v>
      </c>
      <c r="T737" s="49">
        <f>(100*('GA Arroyo'!AO737-E737))/E737</f>
        <v>0.46725413779497582</v>
      </c>
      <c r="U737" s="49">
        <f>(100*('GA Arroyo'!AR737-E737))/E737</f>
        <v>4.9286658682966333</v>
      </c>
      <c r="V737" s="49">
        <f>(100*('GA Arroyo'!AU737-E737))/E737</f>
        <v>0</v>
      </c>
      <c r="W737" s="49">
        <f>(100*('GA Arroyo'!AX737-E737))/E737</f>
        <v>11.47368493918774</v>
      </c>
    </row>
    <row r="738" spans="2:23" ht="15" customHeight="1">
      <c r="B738">
        <f>MIN('GA Arroyo'!B738,'GA Arroyo'!E738,'GA Arroyo'!H738,'GA Arroyo'!K738)</f>
        <v>284879</v>
      </c>
      <c r="C738">
        <f>MIN('GA Arroyo'!O738, 'GA Arroyo'!R738, 'GA Arroyo'!U738, 'GA Arroyo'!X738)</f>
        <v>310100</v>
      </c>
      <c r="D738">
        <f>MIN('GA Arroyo'!AB738, 'GA Arroyo'!AE738, 'GA Arroyo'!AH738, 'GA Arroyo'!AK738)</f>
        <v>360584</v>
      </c>
      <c r="E738">
        <f>MIN('GA Arroyo'!AO738, 'GA Arroyo'!AR738, 'GA Arroyo'!AU738, 'GA Arroyo'!AX738)</f>
        <v>278608</v>
      </c>
      <c r="G738" s="45">
        <f t="shared" si="59"/>
        <v>278608</v>
      </c>
      <c r="I738" s="49">
        <f t="shared" si="60"/>
        <v>2.2508327111927868</v>
      </c>
      <c r="J738" s="49">
        <f t="shared" si="61"/>
        <v>11.30333658760696</v>
      </c>
      <c r="K738" s="49">
        <f t="shared" si="62"/>
        <v>29.423419284442659</v>
      </c>
      <c r="L738" s="49">
        <f t="shared" si="63"/>
        <v>0</v>
      </c>
      <c r="T738" s="49">
        <f>(100*('GA Arroyo'!AO738-E738))/E738</f>
        <v>21.875897318095674</v>
      </c>
      <c r="U738" s="49">
        <f>(100*('GA Arroyo'!AR738-E738))/E738</f>
        <v>2.9650979153506003</v>
      </c>
      <c r="V738" s="49">
        <f>(100*('GA Arroyo'!AU738-E738))/E738</f>
        <v>10.804786653649572</v>
      </c>
      <c r="W738" s="49">
        <f>(100*('GA Arroyo'!AX738-E738))/E738</f>
        <v>0</v>
      </c>
    </row>
    <row r="739" spans="2:23" ht="15" customHeight="1">
      <c r="B739">
        <f>MIN('GA Arroyo'!B739,'GA Arroyo'!E739,'GA Arroyo'!H739,'GA Arroyo'!K739)</f>
        <v>304735</v>
      </c>
      <c r="C739">
        <f>MIN('GA Arroyo'!O739, 'GA Arroyo'!R739, 'GA Arroyo'!U739, 'GA Arroyo'!X739)</f>
        <v>330433</v>
      </c>
      <c r="D739">
        <f>MIN('GA Arroyo'!AB739, 'GA Arroyo'!AE739, 'GA Arroyo'!AH739, 'GA Arroyo'!AK739)</f>
        <v>365154</v>
      </c>
      <c r="E739">
        <f>MIN('GA Arroyo'!AO739, 'GA Arroyo'!AR739, 'GA Arroyo'!AU739, 'GA Arroyo'!AX739)</f>
        <v>307176</v>
      </c>
      <c r="G739" s="45">
        <f t="shared" si="59"/>
        <v>304735</v>
      </c>
      <c r="I739" s="49">
        <f t="shared" si="60"/>
        <v>0</v>
      </c>
      <c r="J739" s="49">
        <f t="shared" si="61"/>
        <v>8.432900717016425</v>
      </c>
      <c r="K739" s="49">
        <f t="shared" si="62"/>
        <v>19.82673470392308</v>
      </c>
      <c r="L739" s="49">
        <f t="shared" si="63"/>
        <v>0.80102384038590901</v>
      </c>
      <c r="T739" s="49">
        <f>(100*('GA Arroyo'!AO739-E739))/E739</f>
        <v>2.4399692684324297</v>
      </c>
      <c r="U739" s="49">
        <f>(100*('GA Arroyo'!AR739-E739))/E739</f>
        <v>0</v>
      </c>
      <c r="V739" s="49">
        <f>(100*('GA Arroyo'!AU739-E739))/E739</f>
        <v>3.9049274682917936</v>
      </c>
      <c r="W739" s="49">
        <f>(100*('GA Arroyo'!AX739-E739))/E739</f>
        <v>3.4550225278016513</v>
      </c>
    </row>
    <row r="740" spans="2:23" ht="15" customHeight="1">
      <c r="B740">
        <f>MIN('GA Arroyo'!B740,'GA Arroyo'!E740,'GA Arroyo'!H740,'GA Arroyo'!K740)</f>
        <v>287178</v>
      </c>
      <c r="C740">
        <f>MIN('GA Arroyo'!O740, 'GA Arroyo'!R740, 'GA Arroyo'!U740, 'GA Arroyo'!X740)</f>
        <v>292540</v>
      </c>
      <c r="D740">
        <f>MIN('GA Arroyo'!AB740, 'GA Arroyo'!AE740, 'GA Arroyo'!AH740, 'GA Arroyo'!AK740)</f>
        <v>344146</v>
      </c>
      <c r="E740">
        <f>MIN('GA Arroyo'!AO740, 'GA Arroyo'!AR740, 'GA Arroyo'!AU740, 'GA Arroyo'!AX740)</f>
        <v>287692</v>
      </c>
      <c r="G740" s="45">
        <f t="shared" si="59"/>
        <v>287178</v>
      </c>
      <c r="I740" s="49">
        <f t="shared" si="60"/>
        <v>0</v>
      </c>
      <c r="J740" s="49">
        <f t="shared" si="61"/>
        <v>1.8671346690902506</v>
      </c>
      <c r="K740" s="49">
        <f t="shared" si="62"/>
        <v>19.837174156794742</v>
      </c>
      <c r="L740" s="49">
        <f t="shared" si="63"/>
        <v>0.17898306973375397</v>
      </c>
      <c r="T740" s="49">
        <f>(100*('GA Arroyo'!AO740-E740))/E740</f>
        <v>6.6164509266854834</v>
      </c>
      <c r="U740" s="49">
        <f>(100*('GA Arroyo'!AR740-E740))/E740</f>
        <v>0</v>
      </c>
      <c r="V740" s="49">
        <f>(100*('GA Arroyo'!AU740-E740))/E740</f>
        <v>8.5303032409660329</v>
      </c>
      <c r="W740" s="49">
        <f>(100*('GA Arroyo'!AX740-E740))/E740</f>
        <v>1.0897070478150244</v>
      </c>
    </row>
    <row r="741" spans="2:23" ht="15" customHeight="1">
      <c r="B741">
        <f>MIN('GA Arroyo'!B741,'GA Arroyo'!E741,'GA Arroyo'!H741,'GA Arroyo'!K741)</f>
        <v>343128</v>
      </c>
      <c r="C741">
        <f>MIN('GA Arroyo'!O741, 'GA Arroyo'!R741, 'GA Arroyo'!U741, 'GA Arroyo'!X741)</f>
        <v>373556</v>
      </c>
      <c r="D741">
        <f>MIN('GA Arroyo'!AB741, 'GA Arroyo'!AE741, 'GA Arroyo'!AH741, 'GA Arroyo'!AK741)</f>
        <v>435078</v>
      </c>
      <c r="E741">
        <f>MIN('GA Arroyo'!AO741, 'GA Arroyo'!AR741, 'GA Arroyo'!AU741, 'GA Arroyo'!AX741)</f>
        <v>357383</v>
      </c>
      <c r="G741" s="45">
        <f t="shared" si="59"/>
        <v>343128</v>
      </c>
      <c r="I741" s="49">
        <f t="shared" si="60"/>
        <v>0</v>
      </c>
      <c r="J741" s="49">
        <f t="shared" si="61"/>
        <v>8.8678277494112976</v>
      </c>
      <c r="K741" s="49">
        <f t="shared" si="62"/>
        <v>26.797579911869622</v>
      </c>
      <c r="L741" s="49">
        <f t="shared" si="63"/>
        <v>4.1544263365274769</v>
      </c>
      <c r="T741" s="49">
        <f>(100*('GA Arroyo'!AO741-E741))/E741</f>
        <v>4.1412154467336162E-2</v>
      </c>
      <c r="U741" s="49">
        <f>(100*('GA Arroyo'!AR741-E741))/E741</f>
        <v>0.11220455365812028</v>
      </c>
      <c r="V741" s="49">
        <f>(100*('GA Arroyo'!AU741-E741))/E741</f>
        <v>0</v>
      </c>
      <c r="W741" s="49">
        <f>(100*('GA Arroyo'!AX741-E741))/E741</f>
        <v>0.81061494251265453</v>
      </c>
    </row>
    <row r="742" spans="2:23" ht="15" customHeight="1">
      <c r="B742">
        <f>MIN('GA Arroyo'!B742,'GA Arroyo'!E742,'GA Arroyo'!H742,'GA Arroyo'!K742)</f>
        <v>304180</v>
      </c>
      <c r="C742">
        <f>MIN('GA Arroyo'!O742, 'GA Arroyo'!R742, 'GA Arroyo'!U742, 'GA Arroyo'!X742)</f>
        <v>324064</v>
      </c>
      <c r="D742">
        <f>MIN('GA Arroyo'!AB742, 'GA Arroyo'!AE742, 'GA Arroyo'!AH742, 'GA Arroyo'!AK742)</f>
        <v>367336</v>
      </c>
      <c r="E742">
        <f>MIN('GA Arroyo'!AO742, 'GA Arroyo'!AR742, 'GA Arroyo'!AU742, 'GA Arroyo'!AX742)</f>
        <v>302862</v>
      </c>
      <c r="G742" s="45">
        <f t="shared" si="59"/>
        <v>302862</v>
      </c>
      <c r="I742" s="49">
        <f t="shared" si="60"/>
        <v>0.43518169991613342</v>
      </c>
      <c r="J742" s="49">
        <f t="shared" si="61"/>
        <v>7.0005481044171933</v>
      </c>
      <c r="K742" s="49">
        <f t="shared" si="62"/>
        <v>21.288243490434589</v>
      </c>
      <c r="L742" s="49">
        <f t="shared" si="63"/>
        <v>0</v>
      </c>
      <c r="T742" s="49">
        <f>(100*('GA Arroyo'!AO742-E742))/E742</f>
        <v>0.3354663179930133</v>
      </c>
      <c r="U742" s="49">
        <f>(100*('GA Arroyo'!AR742-E742))/E742</f>
        <v>0.47843572320066563</v>
      </c>
      <c r="V742" s="49">
        <f>(100*('GA Arroyo'!AU742-E742))/E742</f>
        <v>2.9399528498127858</v>
      </c>
      <c r="W742" s="49">
        <f>(100*('GA Arroyo'!AX742-E742))/E742</f>
        <v>0</v>
      </c>
    </row>
    <row r="743" spans="2:23" ht="15" customHeight="1">
      <c r="B743">
        <f>MIN('GA Arroyo'!B743,'GA Arroyo'!E743,'GA Arroyo'!H743,'GA Arroyo'!K743)</f>
        <v>282494</v>
      </c>
      <c r="C743">
        <f>MIN('GA Arroyo'!O743, 'GA Arroyo'!R743, 'GA Arroyo'!U743, 'GA Arroyo'!X743)</f>
        <v>299974</v>
      </c>
      <c r="D743">
        <f>MIN('GA Arroyo'!AB743, 'GA Arroyo'!AE743, 'GA Arroyo'!AH743, 'GA Arroyo'!AK743)</f>
        <v>351289</v>
      </c>
      <c r="E743">
        <f>MIN('GA Arroyo'!AO743, 'GA Arroyo'!AR743, 'GA Arroyo'!AU743, 'GA Arroyo'!AX743)</f>
        <v>290412</v>
      </c>
      <c r="G743" s="45">
        <f t="shared" si="59"/>
        <v>282494</v>
      </c>
      <c r="I743" s="49">
        <f t="shared" si="60"/>
        <v>0</v>
      </c>
      <c r="J743" s="49">
        <f t="shared" si="61"/>
        <v>6.1877420405389145</v>
      </c>
      <c r="K743" s="49">
        <f t="shared" si="62"/>
        <v>24.352729615496258</v>
      </c>
      <c r="L743" s="49">
        <f t="shared" si="63"/>
        <v>2.8028913888436571</v>
      </c>
      <c r="T743" s="49">
        <f>(100*('GA Arroyo'!AO743-E743))/E743</f>
        <v>22.176425216588846</v>
      </c>
      <c r="U743" s="49">
        <f>(100*('GA Arroyo'!AR743-E743))/E743</f>
        <v>3.4506149883613624</v>
      </c>
      <c r="V743" s="49">
        <f>(100*('GA Arroyo'!AU743-E743))/E743</f>
        <v>8.2985551561230247E-2</v>
      </c>
      <c r="W743" s="49">
        <f>(100*('GA Arroyo'!AX743-E743))/E743</f>
        <v>0</v>
      </c>
    </row>
    <row r="744" spans="2:23" ht="15" customHeight="1">
      <c r="B744">
        <f>MIN('GA Arroyo'!B744,'GA Arroyo'!E744,'GA Arroyo'!H744,'GA Arroyo'!K744)</f>
        <v>322584</v>
      </c>
      <c r="C744">
        <f>MIN('GA Arroyo'!O744, 'GA Arroyo'!R744, 'GA Arroyo'!U744, 'GA Arroyo'!X744)</f>
        <v>351323</v>
      </c>
      <c r="D744">
        <f>MIN('GA Arroyo'!AB744, 'GA Arroyo'!AE744, 'GA Arroyo'!AH744, 'GA Arroyo'!AK744)</f>
        <v>389764</v>
      </c>
      <c r="E744">
        <f>MIN('GA Arroyo'!AO744, 'GA Arroyo'!AR744, 'GA Arroyo'!AU744, 'GA Arroyo'!AX744)</f>
        <v>313029</v>
      </c>
      <c r="G744" s="45">
        <f t="shared" si="59"/>
        <v>313029</v>
      </c>
      <c r="I744" s="49">
        <f t="shared" si="60"/>
        <v>3.0524328416855946</v>
      </c>
      <c r="J744" s="49">
        <f t="shared" si="61"/>
        <v>12.233371348980446</v>
      </c>
      <c r="K744" s="49">
        <f t="shared" si="62"/>
        <v>24.513703203217592</v>
      </c>
      <c r="L744" s="49">
        <f t="shared" si="63"/>
        <v>0</v>
      </c>
      <c r="T744" s="49">
        <f>(100*('GA Arroyo'!AO744-E744))/E744</f>
        <v>7.6133521175354364</v>
      </c>
      <c r="U744" s="49">
        <f>(100*('GA Arroyo'!AR744-E744))/E744</f>
        <v>7.3839803979822953</v>
      </c>
      <c r="V744" s="49">
        <f>(100*('GA Arroyo'!AU744-E744))/E744</f>
        <v>0</v>
      </c>
      <c r="W744" s="49">
        <f>(100*('GA Arroyo'!AX744-E744))/E744</f>
        <v>8.7384874883796702</v>
      </c>
    </row>
    <row r="745" spans="2:23" ht="15" customHeight="1">
      <c r="B745">
        <f>MIN('GA Arroyo'!B745,'GA Arroyo'!E745,'GA Arroyo'!H745,'GA Arroyo'!K745)</f>
        <v>283060</v>
      </c>
      <c r="C745">
        <f>MIN('GA Arroyo'!O745, 'GA Arroyo'!R745, 'GA Arroyo'!U745, 'GA Arroyo'!X745)</f>
        <v>313063</v>
      </c>
      <c r="D745">
        <f>MIN('GA Arroyo'!AB745, 'GA Arroyo'!AE745, 'GA Arroyo'!AH745, 'GA Arroyo'!AK745)</f>
        <v>341741</v>
      </c>
      <c r="E745">
        <f>MIN('GA Arroyo'!AO745, 'GA Arroyo'!AR745, 'GA Arroyo'!AU745, 'GA Arroyo'!AX745)</f>
        <v>288413</v>
      </c>
      <c r="G745" s="45">
        <f t="shared" si="59"/>
        <v>283060</v>
      </c>
      <c r="I745" s="49">
        <f t="shared" si="60"/>
        <v>0</v>
      </c>
      <c r="J745" s="49">
        <f t="shared" si="61"/>
        <v>10.599519536494029</v>
      </c>
      <c r="K745" s="49">
        <f t="shared" si="62"/>
        <v>20.730940436656539</v>
      </c>
      <c r="L745" s="49">
        <f t="shared" si="63"/>
        <v>1.8911184907793401</v>
      </c>
      <c r="T745" s="49">
        <f>(100*('GA Arroyo'!AO745-E745))/E745</f>
        <v>5.5846997188060179</v>
      </c>
      <c r="U745" s="49">
        <f>(100*('GA Arroyo'!AR745-E745))/E745</f>
        <v>7.8710044276783639</v>
      </c>
      <c r="V745" s="49">
        <f>(100*('GA Arroyo'!AU745-E745))/E745</f>
        <v>4.4158897137091602</v>
      </c>
      <c r="W745" s="49">
        <f>(100*('GA Arroyo'!AX745-E745))/E745</f>
        <v>0</v>
      </c>
    </row>
    <row r="746" spans="2:23" ht="15" customHeight="1">
      <c r="B746">
        <f>MIN('GA Arroyo'!B746,'GA Arroyo'!E746,'GA Arroyo'!H746,'GA Arroyo'!K746)</f>
        <v>282140</v>
      </c>
      <c r="C746">
        <f>MIN('GA Arroyo'!O746, 'GA Arroyo'!R746, 'GA Arroyo'!U746, 'GA Arroyo'!X746)</f>
        <v>307341</v>
      </c>
      <c r="D746">
        <f>MIN('GA Arroyo'!AB746, 'GA Arroyo'!AE746, 'GA Arroyo'!AH746, 'GA Arroyo'!AK746)</f>
        <v>360926</v>
      </c>
      <c r="E746">
        <f>MIN('GA Arroyo'!AO746, 'GA Arroyo'!AR746, 'GA Arroyo'!AU746, 'GA Arroyo'!AX746)</f>
        <v>293384</v>
      </c>
      <c r="G746" s="45">
        <f t="shared" si="59"/>
        <v>282140</v>
      </c>
      <c r="I746" s="49">
        <f t="shared" si="60"/>
        <v>0</v>
      </c>
      <c r="J746" s="49">
        <f t="shared" si="61"/>
        <v>8.932090451548877</v>
      </c>
      <c r="K746" s="49">
        <f t="shared" si="62"/>
        <v>27.924434677819523</v>
      </c>
      <c r="L746" s="49">
        <f t="shared" si="63"/>
        <v>3.9852555468916142</v>
      </c>
      <c r="T746" s="49">
        <f>(100*('GA Arroyo'!AO746-E746))/E746</f>
        <v>5.5919886565047854</v>
      </c>
      <c r="U746" s="49">
        <f>(100*('GA Arroyo'!AR746-E746))/E746</f>
        <v>0</v>
      </c>
      <c r="V746" s="49">
        <f>(100*('GA Arroyo'!AU746-E746))/E746</f>
        <v>16.843113462220163</v>
      </c>
      <c r="W746" s="49">
        <f>(100*('GA Arroyo'!AX746-E746))/E746</f>
        <v>12.752910860851307</v>
      </c>
    </row>
    <row r="747" spans="2:23" ht="15" customHeight="1">
      <c r="B747">
        <f>MIN('GA Arroyo'!B747,'GA Arroyo'!E747,'GA Arroyo'!H747,'GA Arroyo'!K747)</f>
        <v>341410</v>
      </c>
      <c r="C747">
        <f>MIN('GA Arroyo'!O747, 'GA Arroyo'!R747, 'GA Arroyo'!U747, 'GA Arroyo'!X747)</f>
        <v>349457</v>
      </c>
      <c r="D747">
        <f>MIN('GA Arroyo'!AB747, 'GA Arroyo'!AE747, 'GA Arroyo'!AH747, 'GA Arroyo'!AK747)</f>
        <v>398085</v>
      </c>
      <c r="E747">
        <f>MIN('GA Arroyo'!AO747, 'GA Arroyo'!AR747, 'GA Arroyo'!AU747, 'GA Arroyo'!AX747)</f>
        <v>322024</v>
      </c>
      <c r="G747" s="45">
        <f t="shared" si="59"/>
        <v>322024</v>
      </c>
      <c r="I747" s="49">
        <f t="shared" si="60"/>
        <v>6.020048195165578</v>
      </c>
      <c r="J747" s="49">
        <f t="shared" si="61"/>
        <v>8.5189302660671249</v>
      </c>
      <c r="K747" s="49">
        <f t="shared" si="62"/>
        <v>23.619668099272104</v>
      </c>
      <c r="L747" s="49">
        <f t="shared" si="63"/>
        <v>0</v>
      </c>
      <c r="T747" s="49">
        <f>(100*('GA Arroyo'!AO747-E747))/E747</f>
        <v>2.3755993342111146</v>
      </c>
      <c r="U747" s="49">
        <f>(100*('GA Arroyo'!AR747-E747))/E747</f>
        <v>0.86887933818597374</v>
      </c>
      <c r="V747" s="49">
        <f>(100*('GA Arroyo'!AU747-E747))/E747</f>
        <v>4.2245298487069283</v>
      </c>
      <c r="W747" s="49">
        <f>(100*('GA Arroyo'!AX747-E747))/E747</f>
        <v>0</v>
      </c>
    </row>
    <row r="748" spans="2:23" ht="15" customHeight="1">
      <c r="B748">
        <f>MIN('GA Arroyo'!B748,'GA Arroyo'!E748,'GA Arroyo'!H748,'GA Arroyo'!K748)</f>
        <v>333823</v>
      </c>
      <c r="C748">
        <f>MIN('GA Arroyo'!O748, 'GA Arroyo'!R748, 'GA Arroyo'!U748, 'GA Arroyo'!X748)</f>
        <v>375404</v>
      </c>
      <c r="D748">
        <f>MIN('GA Arroyo'!AB748, 'GA Arroyo'!AE748, 'GA Arroyo'!AH748, 'GA Arroyo'!AK748)</f>
        <v>416011</v>
      </c>
      <c r="E748">
        <f>MIN('GA Arroyo'!AO748, 'GA Arroyo'!AR748, 'GA Arroyo'!AU748, 'GA Arroyo'!AX748)</f>
        <v>340783</v>
      </c>
      <c r="G748" s="45">
        <f t="shared" si="59"/>
        <v>333823</v>
      </c>
      <c r="I748" s="49">
        <f t="shared" si="60"/>
        <v>0</v>
      </c>
      <c r="J748" s="49">
        <f t="shared" si="61"/>
        <v>12.456002132866818</v>
      </c>
      <c r="K748" s="49">
        <f t="shared" si="62"/>
        <v>24.62023287790236</v>
      </c>
      <c r="L748" s="49">
        <f t="shared" si="63"/>
        <v>2.0849372272132238</v>
      </c>
      <c r="T748" s="49">
        <f>(100*('GA Arroyo'!AO748-E748))/E748</f>
        <v>17.642311969787226</v>
      </c>
      <c r="U748" s="49">
        <f>(100*('GA Arroyo'!AR748-E748))/E748</f>
        <v>1.9736900021421255</v>
      </c>
      <c r="V748" s="49">
        <f>(100*('GA Arroyo'!AU748-E748))/E748</f>
        <v>0.1930847489458101</v>
      </c>
      <c r="W748" s="49">
        <f>(100*('GA Arroyo'!AX748-E748))/E748</f>
        <v>0</v>
      </c>
    </row>
    <row r="749" spans="2:23" ht="15" customHeight="1">
      <c r="B749">
        <f>MIN('GA Arroyo'!B749,'GA Arroyo'!E749,'GA Arroyo'!H749,'GA Arroyo'!K749)</f>
        <v>325706</v>
      </c>
      <c r="C749">
        <f>MIN('GA Arroyo'!O749, 'GA Arroyo'!R749, 'GA Arroyo'!U749, 'GA Arroyo'!X749)</f>
        <v>341454</v>
      </c>
      <c r="D749">
        <f>MIN('GA Arroyo'!AB749, 'GA Arroyo'!AE749, 'GA Arroyo'!AH749, 'GA Arroyo'!AK749)</f>
        <v>397559</v>
      </c>
      <c r="E749">
        <f>MIN('GA Arroyo'!AO749, 'GA Arroyo'!AR749, 'GA Arroyo'!AU749, 'GA Arroyo'!AX749)</f>
        <v>321630</v>
      </c>
      <c r="G749" s="45">
        <f t="shared" si="59"/>
        <v>321630</v>
      </c>
      <c r="I749" s="49">
        <f t="shared" si="60"/>
        <v>1.2672947175325684</v>
      </c>
      <c r="J749" s="49">
        <f t="shared" si="61"/>
        <v>6.1636041414047193</v>
      </c>
      <c r="K749" s="49">
        <f t="shared" si="62"/>
        <v>23.607561483692443</v>
      </c>
      <c r="L749" s="49">
        <f t="shared" si="63"/>
        <v>0</v>
      </c>
      <c r="T749" s="49">
        <f>(100*('GA Arroyo'!AO749-E749))/E749</f>
        <v>2.2830581724341634</v>
      </c>
      <c r="U749" s="49">
        <f>(100*('GA Arroyo'!AR749-E749))/E749</f>
        <v>11.330410720392997</v>
      </c>
      <c r="V749" s="49">
        <f>(100*('GA Arroyo'!AU749-E749))/E749</f>
        <v>0</v>
      </c>
      <c r="W749" s="49">
        <f>(100*('GA Arroyo'!AX749-E749))/E749</f>
        <v>18.589372881882909</v>
      </c>
    </row>
    <row r="750" spans="2:23" ht="15" customHeight="1">
      <c r="B750">
        <f>MIN('GA Arroyo'!B750,'GA Arroyo'!E750,'GA Arroyo'!H750,'GA Arroyo'!K750)</f>
        <v>305094</v>
      </c>
      <c r="C750">
        <f>MIN('GA Arroyo'!O750, 'GA Arroyo'!R750, 'GA Arroyo'!U750, 'GA Arroyo'!X750)</f>
        <v>323966</v>
      </c>
      <c r="D750">
        <f>MIN('GA Arroyo'!AB750, 'GA Arroyo'!AE750, 'GA Arroyo'!AH750, 'GA Arroyo'!AK750)</f>
        <v>363066</v>
      </c>
      <c r="E750">
        <f>MIN('GA Arroyo'!AO750, 'GA Arroyo'!AR750, 'GA Arroyo'!AU750, 'GA Arroyo'!AX750)</f>
        <v>298952</v>
      </c>
      <c r="G750" s="45">
        <f t="shared" si="59"/>
        <v>298952</v>
      </c>
      <c r="I750" s="49">
        <f t="shared" si="60"/>
        <v>2.0545104230779523</v>
      </c>
      <c r="J750" s="49">
        <f t="shared" si="61"/>
        <v>8.3672295217961405</v>
      </c>
      <c r="K750" s="49">
        <f t="shared" si="62"/>
        <v>21.446252241162462</v>
      </c>
      <c r="L750" s="49">
        <f t="shared" si="63"/>
        <v>0</v>
      </c>
      <c r="T750" s="49">
        <f>(100*('GA Arroyo'!AO750-E750))/E750</f>
        <v>13.425566646150553</v>
      </c>
      <c r="U750" s="49">
        <f>(100*('GA Arroyo'!AR750-E750))/E750</f>
        <v>1.8939495303593887</v>
      </c>
      <c r="V750" s="49">
        <f>(100*('GA Arroyo'!AU750-E750))/E750</f>
        <v>0</v>
      </c>
      <c r="W750" s="49">
        <f>(100*('GA Arroyo'!AX750-E750))/E750</f>
        <v>2.2960207658754581</v>
      </c>
    </row>
    <row r="751" spans="2:23" ht="15" customHeight="1">
      <c r="B751">
        <f>MIN('GA Arroyo'!B751,'GA Arroyo'!E751,'GA Arroyo'!H751,'GA Arroyo'!K751)</f>
        <v>307109</v>
      </c>
      <c r="C751">
        <f>MIN('GA Arroyo'!O751, 'GA Arroyo'!R751, 'GA Arroyo'!U751, 'GA Arroyo'!X751)</f>
        <v>326990</v>
      </c>
      <c r="D751">
        <f>MIN('GA Arroyo'!AB751, 'GA Arroyo'!AE751, 'GA Arroyo'!AH751, 'GA Arroyo'!AK751)</f>
        <v>369495</v>
      </c>
      <c r="E751">
        <f>MIN('GA Arroyo'!AO751, 'GA Arroyo'!AR751, 'GA Arroyo'!AU751, 'GA Arroyo'!AX751)</f>
        <v>305514</v>
      </c>
      <c r="G751" s="45">
        <f t="shared" si="59"/>
        <v>305514</v>
      </c>
      <c r="I751" s="49">
        <f t="shared" si="60"/>
        <v>0.52207100165622522</v>
      </c>
      <c r="J751" s="49">
        <f t="shared" si="61"/>
        <v>7.0294650981624409</v>
      </c>
      <c r="K751" s="49">
        <f t="shared" si="62"/>
        <v>20.942084487126614</v>
      </c>
      <c r="L751" s="49">
        <f t="shared" si="63"/>
        <v>0</v>
      </c>
      <c r="T751" s="49">
        <f>(100*('GA Arroyo'!AO751-E751))/E751</f>
        <v>1.8097370333274416</v>
      </c>
      <c r="U751" s="49">
        <f>(100*('GA Arroyo'!AR751-E751))/E751</f>
        <v>0</v>
      </c>
      <c r="V751" s="49">
        <f>(100*('GA Arroyo'!AU751-E751))/E751</f>
        <v>0.39899971850717153</v>
      </c>
      <c r="W751" s="49">
        <f>(100*('GA Arroyo'!AX751-E751))/E751</f>
        <v>0.13943714526993853</v>
      </c>
    </row>
    <row r="752" spans="2:23" ht="15" customHeight="1">
      <c r="B752">
        <f>MIN('GA Arroyo'!B752,'GA Arroyo'!E752,'GA Arroyo'!H752,'GA Arroyo'!K752)</f>
        <v>303089</v>
      </c>
      <c r="C752">
        <f>MIN('GA Arroyo'!O752, 'GA Arroyo'!R752, 'GA Arroyo'!U752, 'GA Arroyo'!X752)</f>
        <v>323024</v>
      </c>
      <c r="D752">
        <f>MIN('GA Arroyo'!AB752, 'GA Arroyo'!AE752, 'GA Arroyo'!AH752, 'GA Arroyo'!AK752)</f>
        <v>372417</v>
      </c>
      <c r="E752">
        <f>MIN('GA Arroyo'!AO752, 'GA Arroyo'!AR752, 'GA Arroyo'!AU752, 'GA Arroyo'!AX752)</f>
        <v>295448</v>
      </c>
      <c r="G752" s="45">
        <f t="shared" si="59"/>
        <v>295448</v>
      </c>
      <c r="I752" s="49">
        <f t="shared" si="60"/>
        <v>2.5862419105900192</v>
      </c>
      <c r="J752" s="49">
        <f t="shared" si="61"/>
        <v>9.3336221602447811</v>
      </c>
      <c r="K752" s="49">
        <f t="shared" si="62"/>
        <v>26.051623297500743</v>
      </c>
      <c r="L752" s="49">
        <f t="shared" si="63"/>
        <v>0</v>
      </c>
      <c r="T752" s="49">
        <f>(100*('GA Arroyo'!AO752-E752))/E752</f>
        <v>1.5156643470255342</v>
      </c>
      <c r="U752" s="49">
        <f>(100*('GA Arroyo'!AR752-E752))/E752</f>
        <v>3.9810728114592075</v>
      </c>
      <c r="V752" s="49">
        <f>(100*('GA Arroyo'!AU752-E752))/E752</f>
        <v>0</v>
      </c>
      <c r="W752" s="49">
        <f>(100*('GA Arroyo'!AX752-E752))/E752</f>
        <v>2.951450001353876</v>
      </c>
    </row>
    <row r="753" spans="2:23" ht="15" customHeight="1">
      <c r="B753">
        <f>MIN('GA Arroyo'!B753,'GA Arroyo'!E753,'GA Arroyo'!H753,'GA Arroyo'!K753)</f>
        <v>306859</v>
      </c>
      <c r="C753">
        <f>MIN('GA Arroyo'!O753, 'GA Arroyo'!R753, 'GA Arroyo'!U753, 'GA Arroyo'!X753)</f>
        <v>346068</v>
      </c>
      <c r="D753">
        <f>MIN('GA Arroyo'!AB753, 'GA Arroyo'!AE753, 'GA Arroyo'!AH753, 'GA Arroyo'!AK753)</f>
        <v>363675</v>
      </c>
      <c r="E753">
        <f>MIN('GA Arroyo'!AO753, 'GA Arroyo'!AR753, 'GA Arroyo'!AU753, 'GA Arroyo'!AX753)</f>
        <v>328165</v>
      </c>
      <c r="G753" s="45">
        <f t="shared" si="59"/>
        <v>306859</v>
      </c>
      <c r="I753" s="49">
        <f t="shared" si="60"/>
        <v>0</v>
      </c>
      <c r="J753" s="49">
        <f t="shared" si="61"/>
        <v>12.77752974493171</v>
      </c>
      <c r="K753" s="49">
        <f t="shared" si="62"/>
        <v>18.515344180877861</v>
      </c>
      <c r="L753" s="49">
        <f t="shared" si="63"/>
        <v>6.9432540678291987</v>
      </c>
      <c r="T753" s="49">
        <f>(100*('GA Arroyo'!AO753-E753))/E753</f>
        <v>0.17399783645422273</v>
      </c>
      <c r="U753" s="49">
        <f>(100*('GA Arroyo'!AR753-E753))/E753</f>
        <v>0.11305288498164033</v>
      </c>
      <c r="V753" s="49">
        <f>(100*('GA Arroyo'!AU753-E753))/E753</f>
        <v>0</v>
      </c>
      <c r="W753" s="49">
        <f>(100*('GA Arroyo'!AX753-E753))/E753</f>
        <v>13.289960842868679</v>
      </c>
    </row>
    <row r="754" spans="2:23" ht="15" customHeight="1">
      <c r="B754">
        <f>MIN('GA Arroyo'!B754,'GA Arroyo'!E754,'GA Arroyo'!H754,'GA Arroyo'!K754)</f>
        <v>289894</v>
      </c>
      <c r="C754">
        <f>MIN('GA Arroyo'!O754, 'GA Arroyo'!R754, 'GA Arroyo'!U754, 'GA Arroyo'!X754)</f>
        <v>303159</v>
      </c>
      <c r="D754">
        <f>MIN('GA Arroyo'!AB754, 'GA Arroyo'!AE754, 'GA Arroyo'!AH754, 'GA Arroyo'!AK754)</f>
        <v>365878</v>
      </c>
      <c r="E754">
        <f>MIN('GA Arroyo'!AO754, 'GA Arroyo'!AR754, 'GA Arroyo'!AU754, 'GA Arroyo'!AX754)</f>
        <v>296647</v>
      </c>
      <c r="G754" s="45">
        <f t="shared" si="59"/>
        <v>289894</v>
      </c>
      <c r="I754" s="49">
        <f t="shared" si="60"/>
        <v>0</v>
      </c>
      <c r="J754" s="49">
        <f t="shared" si="61"/>
        <v>4.5758104686540602</v>
      </c>
      <c r="K754" s="49">
        <f t="shared" si="62"/>
        <v>26.210959868089716</v>
      </c>
      <c r="L754" s="49">
        <f t="shared" si="63"/>
        <v>2.329472151890001</v>
      </c>
      <c r="T754" s="49">
        <f>(100*('GA Arroyo'!AO754-E754))/E754</f>
        <v>0</v>
      </c>
      <c r="U754" s="49">
        <f>(100*('GA Arroyo'!AR754-E754))/E754</f>
        <v>0.36069806874837768</v>
      </c>
      <c r="V754" s="49">
        <f>(100*('GA Arroyo'!AU754-E754))/E754</f>
        <v>4.4251248116448165</v>
      </c>
      <c r="W754" s="49">
        <f>(100*('GA Arroyo'!AX754-E754))/E754</f>
        <v>2.019572083992085</v>
      </c>
    </row>
    <row r="755" spans="2:23" ht="15" customHeight="1">
      <c r="B755">
        <f>MIN('GA Arroyo'!B755,'GA Arroyo'!E755,'GA Arroyo'!H755,'GA Arroyo'!K755)</f>
        <v>312299</v>
      </c>
      <c r="C755">
        <f>MIN('GA Arroyo'!O755, 'GA Arroyo'!R755, 'GA Arroyo'!U755, 'GA Arroyo'!X755)</f>
        <v>340390</v>
      </c>
      <c r="D755">
        <f>MIN('GA Arroyo'!AB755, 'GA Arroyo'!AE755, 'GA Arroyo'!AH755, 'GA Arroyo'!AK755)</f>
        <v>385201</v>
      </c>
      <c r="E755">
        <f>MIN('GA Arroyo'!AO755, 'GA Arroyo'!AR755, 'GA Arroyo'!AU755, 'GA Arroyo'!AX755)</f>
        <v>318806</v>
      </c>
      <c r="G755" s="45">
        <f t="shared" si="59"/>
        <v>312299</v>
      </c>
      <c r="I755" s="49">
        <f t="shared" si="60"/>
        <v>0</v>
      </c>
      <c r="J755" s="49">
        <f t="shared" si="61"/>
        <v>8.9949055232325428</v>
      </c>
      <c r="K755" s="49">
        <f t="shared" si="62"/>
        <v>23.343654638663587</v>
      </c>
      <c r="L755" s="49">
        <f t="shared" si="63"/>
        <v>2.0835801587581133</v>
      </c>
      <c r="T755" s="49">
        <f>(100*('GA Arroyo'!AO755-E755))/E755</f>
        <v>0</v>
      </c>
      <c r="U755" s="49">
        <f>(100*('GA Arroyo'!AR755-E755))/E755</f>
        <v>1.5777620245541175</v>
      </c>
      <c r="V755" s="49">
        <f>(100*('GA Arroyo'!AU755-E755))/E755</f>
        <v>3.646731868283533</v>
      </c>
      <c r="W755" s="49">
        <f>(100*('GA Arroyo'!AX755-E755))/E755</f>
        <v>10.815668462952392</v>
      </c>
    </row>
    <row r="756" spans="2:23" ht="15" customHeight="1">
      <c r="B756">
        <f>MIN('GA Arroyo'!B756,'GA Arroyo'!E756,'GA Arroyo'!H756,'GA Arroyo'!K756)</f>
        <v>322548</v>
      </c>
      <c r="C756">
        <f>MIN('GA Arroyo'!O756, 'GA Arroyo'!R756, 'GA Arroyo'!U756, 'GA Arroyo'!X756)</f>
        <v>336917</v>
      </c>
      <c r="D756">
        <f>MIN('GA Arroyo'!AB756, 'GA Arroyo'!AE756, 'GA Arroyo'!AH756, 'GA Arroyo'!AK756)</f>
        <v>378862</v>
      </c>
      <c r="E756">
        <f>MIN('GA Arroyo'!AO756, 'GA Arroyo'!AR756, 'GA Arroyo'!AU756, 'GA Arroyo'!AX756)</f>
        <v>308262</v>
      </c>
      <c r="G756" s="45">
        <f t="shared" si="59"/>
        <v>308262</v>
      </c>
      <c r="I756" s="49">
        <f t="shared" si="60"/>
        <v>4.6343694649356717</v>
      </c>
      <c r="J756" s="49">
        <f t="shared" si="61"/>
        <v>9.2956640779596569</v>
      </c>
      <c r="K756" s="49">
        <f t="shared" si="62"/>
        <v>22.902595843795215</v>
      </c>
      <c r="L756" s="49">
        <f t="shared" si="63"/>
        <v>0</v>
      </c>
      <c r="T756" s="49">
        <f>(100*('GA Arroyo'!AO756-E756))/E756</f>
        <v>4.0017906845475606</v>
      </c>
      <c r="U756" s="49">
        <f>(100*('GA Arroyo'!AR756-E756))/E756</f>
        <v>0</v>
      </c>
      <c r="V756" s="49">
        <f>(100*('GA Arroyo'!AU756-E756))/E756</f>
        <v>2.3840110036267852</v>
      </c>
      <c r="W756" s="49">
        <f>(100*('GA Arroyo'!AX756-E756))/E756</f>
        <v>1.2216880445854501</v>
      </c>
    </row>
    <row r="757" spans="2:23" ht="15" customHeight="1">
      <c r="B757">
        <f>MIN('GA Arroyo'!B757,'GA Arroyo'!E757,'GA Arroyo'!H757,'GA Arroyo'!K757)</f>
        <v>318976</v>
      </c>
      <c r="C757">
        <f>MIN('GA Arroyo'!O757, 'GA Arroyo'!R757, 'GA Arroyo'!U757, 'GA Arroyo'!X757)</f>
        <v>325097</v>
      </c>
      <c r="D757">
        <f>MIN('GA Arroyo'!AB757, 'GA Arroyo'!AE757, 'GA Arroyo'!AH757, 'GA Arroyo'!AK757)</f>
        <v>380870</v>
      </c>
      <c r="E757">
        <f>MIN('GA Arroyo'!AO757, 'GA Arroyo'!AR757, 'GA Arroyo'!AU757, 'GA Arroyo'!AX757)</f>
        <v>329116</v>
      </c>
      <c r="G757" s="45">
        <f t="shared" si="59"/>
        <v>318976</v>
      </c>
      <c r="I757" s="49">
        <f t="shared" si="60"/>
        <v>0</v>
      </c>
      <c r="J757" s="49">
        <f t="shared" si="61"/>
        <v>1.9189531500802568</v>
      </c>
      <c r="K757" s="49">
        <f t="shared" si="62"/>
        <v>19.403967696629213</v>
      </c>
      <c r="L757" s="49">
        <f t="shared" si="63"/>
        <v>3.178922552166934</v>
      </c>
      <c r="T757" s="49">
        <f>(100*('GA Arroyo'!AO757-E757))/E757</f>
        <v>2.8445897495108108</v>
      </c>
      <c r="U757" s="49">
        <f>(100*('GA Arroyo'!AR757-E757))/E757</f>
        <v>0</v>
      </c>
      <c r="V757" s="49">
        <f>(100*('GA Arroyo'!AU757-E757))/E757</f>
        <v>1.1284774972957863</v>
      </c>
      <c r="W757" s="49">
        <f>(100*('GA Arroyo'!AX757-E757))/E757</f>
        <v>0.35732082305326995</v>
      </c>
    </row>
    <row r="758" spans="2:23" ht="15" customHeight="1">
      <c r="B758">
        <f>MIN('GA Arroyo'!B758,'GA Arroyo'!E758,'GA Arroyo'!H758,'GA Arroyo'!K758)</f>
        <v>316849</v>
      </c>
      <c r="C758">
        <f>MIN('GA Arroyo'!O758, 'GA Arroyo'!R758, 'GA Arroyo'!U758, 'GA Arroyo'!X758)</f>
        <v>338608</v>
      </c>
      <c r="D758">
        <f>MIN('GA Arroyo'!AB758, 'GA Arroyo'!AE758, 'GA Arroyo'!AH758, 'GA Arroyo'!AK758)</f>
        <v>386830</v>
      </c>
      <c r="E758">
        <f>MIN('GA Arroyo'!AO758, 'GA Arroyo'!AR758, 'GA Arroyo'!AU758, 'GA Arroyo'!AX758)</f>
        <v>325443</v>
      </c>
      <c r="G758" s="45">
        <f t="shared" si="59"/>
        <v>316849</v>
      </c>
      <c r="I758" s="49">
        <f t="shared" si="60"/>
        <v>0</v>
      </c>
      <c r="J758" s="49">
        <f t="shared" si="61"/>
        <v>6.8673090336406304</v>
      </c>
      <c r="K758" s="49">
        <f t="shared" si="62"/>
        <v>22.086545957222526</v>
      </c>
      <c r="L758" s="49">
        <f t="shared" si="63"/>
        <v>2.7123330040492473</v>
      </c>
      <c r="T758" s="49">
        <f>(100*('GA Arroyo'!AO758-E758))/E758</f>
        <v>5.2331744729491803</v>
      </c>
      <c r="U758" s="49">
        <f>(100*('GA Arroyo'!AR758-E758))/E758</f>
        <v>0.19511865365056247</v>
      </c>
      <c r="V758" s="49">
        <f>(100*('GA Arroyo'!AU758-E758))/E758</f>
        <v>2.304551027368848E-2</v>
      </c>
      <c r="W758" s="49">
        <f>(100*('GA Arroyo'!AX758-E758))/E758</f>
        <v>0</v>
      </c>
    </row>
    <row r="759" spans="2:23" ht="15" customHeight="1">
      <c r="B759">
        <f>MIN('GA Arroyo'!B759,'GA Arroyo'!E759,'GA Arroyo'!H759,'GA Arroyo'!K759)</f>
        <v>296318</v>
      </c>
      <c r="C759">
        <f>MIN('GA Arroyo'!O759, 'GA Arroyo'!R759, 'GA Arroyo'!U759, 'GA Arroyo'!X759)</f>
        <v>340108</v>
      </c>
      <c r="D759">
        <f>MIN('GA Arroyo'!AB759, 'GA Arroyo'!AE759, 'GA Arroyo'!AH759, 'GA Arroyo'!AK759)</f>
        <v>371708</v>
      </c>
      <c r="E759">
        <f>MIN('GA Arroyo'!AO759, 'GA Arroyo'!AR759, 'GA Arroyo'!AU759, 'GA Arroyo'!AX759)</f>
        <v>302746</v>
      </c>
      <c r="G759" s="45">
        <f t="shared" si="59"/>
        <v>296318</v>
      </c>
      <c r="I759" s="49">
        <f t="shared" si="60"/>
        <v>0</v>
      </c>
      <c r="J759" s="49">
        <f t="shared" si="61"/>
        <v>14.77804250838626</v>
      </c>
      <c r="K759" s="49">
        <f t="shared" si="62"/>
        <v>25.442261354355793</v>
      </c>
      <c r="L759" s="49">
        <f t="shared" si="63"/>
        <v>2.169291099426967</v>
      </c>
      <c r="T759" s="49">
        <f>(100*('GA Arroyo'!AO759-E759))/E759</f>
        <v>4.0651238992422689</v>
      </c>
      <c r="U759" s="49">
        <f>(100*('GA Arroyo'!AR759-E759))/E759</f>
        <v>0</v>
      </c>
      <c r="V759" s="49">
        <f>(100*('GA Arroyo'!AU759-E759))/E759</f>
        <v>3.6776703903602361</v>
      </c>
      <c r="W759" s="49">
        <f>(100*('GA Arroyo'!AX759-E759))/E759</f>
        <v>3.9594247322838285</v>
      </c>
    </row>
    <row r="760" spans="2:23" ht="15" customHeight="1">
      <c r="B760">
        <f>MIN('GA Arroyo'!B760,'GA Arroyo'!E760,'GA Arroyo'!H760,'GA Arroyo'!K760)</f>
        <v>281116</v>
      </c>
      <c r="C760">
        <f>MIN('GA Arroyo'!O760, 'GA Arroyo'!R760, 'GA Arroyo'!U760, 'GA Arroyo'!X760)</f>
        <v>284161</v>
      </c>
      <c r="D760">
        <f>MIN('GA Arroyo'!AB760, 'GA Arroyo'!AE760, 'GA Arroyo'!AH760, 'GA Arroyo'!AK760)</f>
        <v>340837</v>
      </c>
      <c r="E760">
        <f>MIN('GA Arroyo'!AO760, 'GA Arroyo'!AR760, 'GA Arroyo'!AU760, 'GA Arroyo'!AX760)</f>
        <v>273409</v>
      </c>
      <c r="G760" s="45">
        <f t="shared" si="59"/>
        <v>273409</v>
      </c>
      <c r="I760" s="49">
        <f t="shared" si="60"/>
        <v>2.8188538051051721</v>
      </c>
      <c r="J760" s="49">
        <f t="shared" si="61"/>
        <v>3.9325698861412755</v>
      </c>
      <c r="K760" s="49">
        <f t="shared" si="62"/>
        <v>24.661953337307843</v>
      </c>
      <c r="L760" s="49">
        <f t="shared" si="63"/>
        <v>0</v>
      </c>
      <c r="T760" s="49">
        <f>(100*('GA Arroyo'!AO760-E760))/E760</f>
        <v>5.8425289584468691</v>
      </c>
      <c r="U760" s="49">
        <f>(100*('GA Arroyo'!AR760-E760))/E760</f>
        <v>9.2945001810474412</v>
      </c>
      <c r="V760" s="49">
        <f>(100*('GA Arroyo'!AU760-E760))/E760</f>
        <v>10.995980381040859</v>
      </c>
      <c r="W760" s="49">
        <f>(100*('GA Arroyo'!AX760-E760))/E760</f>
        <v>0</v>
      </c>
    </row>
    <row r="761" spans="2:23" ht="15" customHeight="1">
      <c r="B761">
        <f>MIN('GA Arroyo'!B761,'GA Arroyo'!E761,'GA Arroyo'!H761,'GA Arroyo'!K761)</f>
        <v>321488</v>
      </c>
      <c r="C761">
        <f>MIN('GA Arroyo'!O761, 'GA Arroyo'!R761, 'GA Arroyo'!U761, 'GA Arroyo'!X761)</f>
        <v>336018</v>
      </c>
      <c r="D761">
        <f>MIN('GA Arroyo'!AB761, 'GA Arroyo'!AE761, 'GA Arroyo'!AH761, 'GA Arroyo'!AK761)</f>
        <v>387748</v>
      </c>
      <c r="E761">
        <f>MIN('GA Arroyo'!AO761, 'GA Arroyo'!AR761, 'GA Arroyo'!AU761, 'GA Arroyo'!AX761)</f>
        <v>326433</v>
      </c>
      <c r="G761" s="45">
        <f t="shared" si="59"/>
        <v>321488</v>
      </c>
      <c r="I761" s="49">
        <f t="shared" si="60"/>
        <v>0</v>
      </c>
      <c r="J761" s="49">
        <f t="shared" si="61"/>
        <v>4.5196088189916885</v>
      </c>
      <c r="K761" s="49">
        <f t="shared" si="62"/>
        <v>20.610411586124521</v>
      </c>
      <c r="L761" s="49">
        <f t="shared" si="63"/>
        <v>1.5381600557408053</v>
      </c>
      <c r="T761" s="49">
        <f>(100*('GA Arroyo'!AO761-E761))/E761</f>
        <v>1.2063731301675995</v>
      </c>
      <c r="U761" s="49">
        <f>(100*('GA Arroyo'!AR761-E761))/E761</f>
        <v>0</v>
      </c>
      <c r="V761" s="49">
        <f>(100*('GA Arroyo'!AU761-E761))/E761</f>
        <v>4.1202942104505365</v>
      </c>
      <c r="W761" s="49">
        <f>(100*('GA Arroyo'!AX761-E761))/E761</f>
        <v>1.6674172035302803</v>
      </c>
    </row>
    <row r="762" spans="2:23" ht="15" customHeight="1">
      <c r="B762">
        <f>MIN('GA Arroyo'!B762,'GA Arroyo'!E762,'GA Arroyo'!H762,'GA Arroyo'!K762)</f>
        <v>293121</v>
      </c>
      <c r="C762">
        <f>MIN('GA Arroyo'!O762, 'GA Arroyo'!R762, 'GA Arroyo'!U762, 'GA Arroyo'!X762)</f>
        <v>336253</v>
      </c>
      <c r="D762">
        <f>MIN('GA Arroyo'!AB762, 'GA Arroyo'!AE762, 'GA Arroyo'!AH762, 'GA Arroyo'!AK762)</f>
        <v>347940</v>
      </c>
      <c r="E762">
        <f>MIN('GA Arroyo'!AO762, 'GA Arroyo'!AR762, 'GA Arroyo'!AU762, 'GA Arroyo'!AX762)</f>
        <v>302838</v>
      </c>
      <c r="G762" s="45">
        <f t="shared" si="59"/>
        <v>293121</v>
      </c>
      <c r="I762" s="49">
        <f t="shared" si="60"/>
        <v>0</v>
      </c>
      <c r="J762" s="49">
        <f t="shared" si="61"/>
        <v>14.714742376015366</v>
      </c>
      <c r="K762" s="49">
        <f t="shared" si="62"/>
        <v>18.701833031410235</v>
      </c>
      <c r="L762" s="49">
        <f t="shared" si="63"/>
        <v>3.3150132539122068</v>
      </c>
      <c r="T762" s="49">
        <f>(100*('GA Arroyo'!AO762-E762))/E762</f>
        <v>12.772505431947113</v>
      </c>
      <c r="U762" s="49">
        <f>(100*('GA Arroyo'!AR762-E762))/E762</f>
        <v>2.838151090682147</v>
      </c>
      <c r="V762" s="49">
        <f>(100*('GA Arroyo'!AU762-E762))/E762</f>
        <v>0</v>
      </c>
      <c r="W762" s="49">
        <f>(100*('GA Arroyo'!AX762-E762))/E762</f>
        <v>12.3544601404051</v>
      </c>
    </row>
    <row r="763" spans="2:23" ht="15" customHeight="1">
      <c r="B763">
        <f>MIN('GA Arroyo'!B763,'GA Arroyo'!E763,'GA Arroyo'!H763,'GA Arroyo'!K763)</f>
        <v>295004</v>
      </c>
      <c r="C763">
        <f>MIN('GA Arroyo'!O763, 'GA Arroyo'!R763, 'GA Arroyo'!U763, 'GA Arroyo'!X763)</f>
        <v>320277</v>
      </c>
      <c r="D763">
        <f>MIN('GA Arroyo'!AB763, 'GA Arroyo'!AE763, 'GA Arroyo'!AH763, 'GA Arroyo'!AK763)</f>
        <v>364098</v>
      </c>
      <c r="E763">
        <f>MIN('GA Arroyo'!AO763, 'GA Arroyo'!AR763, 'GA Arroyo'!AU763, 'GA Arroyo'!AX763)</f>
        <v>287013</v>
      </c>
      <c r="G763" s="45">
        <f t="shared" si="59"/>
        <v>287013</v>
      </c>
      <c r="I763" s="49">
        <f t="shared" si="60"/>
        <v>2.7841944441540973</v>
      </c>
      <c r="J763" s="49">
        <f t="shared" si="61"/>
        <v>11.589718932591904</v>
      </c>
      <c r="K763" s="49">
        <f t="shared" si="62"/>
        <v>26.857668467978801</v>
      </c>
      <c r="L763" s="49">
        <f t="shared" si="63"/>
        <v>0</v>
      </c>
      <c r="T763" s="49">
        <f>(100*('GA Arroyo'!AO763-E763))/E763</f>
        <v>17.199220941211721</v>
      </c>
      <c r="U763" s="49">
        <f>(100*('GA Arroyo'!AR763-E763))/E763</f>
        <v>0</v>
      </c>
      <c r="V763" s="49">
        <f>(100*('GA Arroyo'!AU763-E763))/E763</f>
        <v>10.175845693400648</v>
      </c>
      <c r="W763" s="49">
        <f>(100*('GA Arroyo'!AX763-E763))/E763</f>
        <v>0.35677826439917354</v>
      </c>
    </row>
    <row r="764" spans="2:23" ht="15" customHeight="1">
      <c r="B764">
        <f>MIN('GA Arroyo'!B764,'GA Arroyo'!E764,'GA Arroyo'!H764,'GA Arroyo'!K764)</f>
        <v>306742</v>
      </c>
      <c r="C764">
        <f>MIN('GA Arroyo'!O764, 'GA Arroyo'!R764, 'GA Arroyo'!U764, 'GA Arroyo'!X764)</f>
        <v>314979</v>
      </c>
      <c r="D764">
        <f>MIN('GA Arroyo'!AB764, 'GA Arroyo'!AE764, 'GA Arroyo'!AH764, 'GA Arroyo'!AK764)</f>
        <v>363361</v>
      </c>
      <c r="E764">
        <f>MIN('GA Arroyo'!AO764, 'GA Arroyo'!AR764, 'GA Arroyo'!AU764, 'GA Arroyo'!AX764)</f>
        <v>304328</v>
      </c>
      <c r="G764" s="45">
        <f t="shared" si="59"/>
        <v>304328</v>
      </c>
      <c r="I764" s="49">
        <f t="shared" si="60"/>
        <v>0.79322310139060492</v>
      </c>
      <c r="J764" s="49">
        <f t="shared" si="61"/>
        <v>3.4998422754396574</v>
      </c>
      <c r="K764" s="49">
        <f t="shared" si="62"/>
        <v>19.397820772324597</v>
      </c>
      <c r="L764" s="49">
        <f t="shared" si="63"/>
        <v>0</v>
      </c>
      <c r="T764" s="49">
        <f>(100*('GA Arroyo'!AO764-E764))/E764</f>
        <v>5.8243079834914964</v>
      </c>
      <c r="U764" s="49">
        <f>(100*('GA Arroyo'!AR764-E764))/E764</f>
        <v>1.2115217791330406</v>
      </c>
      <c r="V764" s="49">
        <f>(100*('GA Arroyo'!AU764-E764))/E764</f>
        <v>0.51227622828001362</v>
      </c>
      <c r="W764" s="49">
        <f>(100*('GA Arroyo'!AX764-E764))/E764</f>
        <v>0</v>
      </c>
    </row>
    <row r="765" spans="2:23" ht="15" customHeight="1">
      <c r="B765">
        <f>MIN('GA Arroyo'!B765,'GA Arroyo'!E765,'GA Arroyo'!H765,'GA Arroyo'!K765)</f>
        <v>364881</v>
      </c>
      <c r="C765">
        <f>MIN('GA Arroyo'!O765, 'GA Arroyo'!R765, 'GA Arroyo'!U765, 'GA Arroyo'!X765)</f>
        <v>375768</v>
      </c>
      <c r="D765">
        <f>MIN('GA Arroyo'!AB765, 'GA Arroyo'!AE765, 'GA Arroyo'!AH765, 'GA Arroyo'!AK765)</f>
        <v>432069</v>
      </c>
      <c r="E765">
        <f>MIN('GA Arroyo'!AO765, 'GA Arroyo'!AR765, 'GA Arroyo'!AU765, 'GA Arroyo'!AX765)</f>
        <v>367827</v>
      </c>
      <c r="G765" s="45">
        <f t="shared" si="59"/>
        <v>364881</v>
      </c>
      <c r="I765" s="49">
        <f t="shared" si="60"/>
        <v>0</v>
      </c>
      <c r="J765" s="49">
        <f t="shared" si="61"/>
        <v>2.9837124980473084</v>
      </c>
      <c r="K765" s="49">
        <f t="shared" si="62"/>
        <v>18.413674595279009</v>
      </c>
      <c r="L765" s="49">
        <f t="shared" si="63"/>
        <v>0.80738651779621307</v>
      </c>
      <c r="T765" s="49">
        <f>(100*('GA Arroyo'!AO765-E765))/E765</f>
        <v>3.3056300924075721</v>
      </c>
      <c r="U765" s="49">
        <f>(100*('GA Arroyo'!AR765-E765))/E765</f>
        <v>0</v>
      </c>
      <c r="V765" s="49">
        <f>(100*('GA Arroyo'!AU765-E765))/E765</f>
        <v>9.7872097480609099E-3</v>
      </c>
      <c r="W765" s="49">
        <f>(100*('GA Arroyo'!AX765-E765))/E765</f>
        <v>0.33439633305874772</v>
      </c>
    </row>
    <row r="766" spans="2:23" ht="15" customHeight="1">
      <c r="B766">
        <f>MIN('GA Arroyo'!B766,'GA Arroyo'!E766,'GA Arroyo'!H766,'GA Arroyo'!K766)</f>
        <v>348034</v>
      </c>
      <c r="C766">
        <f>MIN('GA Arroyo'!O766, 'GA Arroyo'!R766, 'GA Arroyo'!U766, 'GA Arroyo'!X766)</f>
        <v>385054</v>
      </c>
      <c r="D766">
        <f>MIN('GA Arroyo'!AB766, 'GA Arroyo'!AE766, 'GA Arroyo'!AH766, 'GA Arroyo'!AK766)</f>
        <v>445914</v>
      </c>
      <c r="E766">
        <f>MIN('GA Arroyo'!AO766, 'GA Arroyo'!AR766, 'GA Arroyo'!AU766, 'GA Arroyo'!AX766)</f>
        <v>355406</v>
      </c>
      <c r="G766" s="45">
        <f t="shared" si="59"/>
        <v>348034</v>
      </c>
      <c r="I766" s="49">
        <f t="shared" si="60"/>
        <v>0</v>
      </c>
      <c r="J766" s="49">
        <f t="shared" si="61"/>
        <v>10.636891797927788</v>
      </c>
      <c r="K766" s="49">
        <f t="shared" si="62"/>
        <v>28.12368906486148</v>
      </c>
      <c r="L766" s="49">
        <f t="shared" si="63"/>
        <v>2.1181838556003147</v>
      </c>
      <c r="T766" s="49">
        <f>(100*('GA Arroyo'!AO766-E766))/E766</f>
        <v>0.8919376712829834</v>
      </c>
      <c r="U766" s="49">
        <f>(100*('GA Arroyo'!AR766-E766))/E766</f>
        <v>1.2428040044343651</v>
      </c>
      <c r="V766" s="49">
        <f>(100*('GA Arroyo'!AU766-E766))/E766</f>
        <v>0</v>
      </c>
      <c r="W766" s="49">
        <f>(100*('GA Arroyo'!AX766-E766))/E766</f>
        <v>4.6344181021142017</v>
      </c>
    </row>
    <row r="767" spans="2:23" ht="15" customHeight="1">
      <c r="B767">
        <f>MIN('GA Arroyo'!B767,'GA Arroyo'!E767,'GA Arroyo'!H767,'GA Arroyo'!K767)</f>
        <v>324027</v>
      </c>
      <c r="C767">
        <f>MIN('GA Arroyo'!O767, 'GA Arroyo'!R767, 'GA Arroyo'!U767, 'GA Arroyo'!X767)</f>
        <v>340929</v>
      </c>
      <c r="D767">
        <f>MIN('GA Arroyo'!AB767, 'GA Arroyo'!AE767, 'GA Arroyo'!AH767, 'GA Arroyo'!AK767)</f>
        <v>380866</v>
      </c>
      <c r="E767">
        <f>MIN('GA Arroyo'!AO767, 'GA Arroyo'!AR767, 'GA Arroyo'!AU767, 'GA Arroyo'!AX767)</f>
        <v>322731</v>
      </c>
      <c r="G767" s="45">
        <f t="shared" si="59"/>
        <v>322731</v>
      </c>
      <c r="I767" s="49">
        <f t="shared" si="60"/>
        <v>0.40157282690537938</v>
      </c>
      <c r="J767" s="49">
        <f t="shared" si="61"/>
        <v>5.6387517777963687</v>
      </c>
      <c r="K767" s="49">
        <f t="shared" si="62"/>
        <v>18.013453929123635</v>
      </c>
      <c r="L767" s="49">
        <f t="shared" si="63"/>
        <v>0</v>
      </c>
      <c r="T767" s="49">
        <f>(100*('GA Arroyo'!AO767-E767))/E767</f>
        <v>0</v>
      </c>
      <c r="U767" s="49">
        <f>(100*('GA Arroyo'!AR767-E767))/E767</f>
        <v>0.37492524734221377</v>
      </c>
      <c r="V767" s="49">
        <f>(100*('GA Arroyo'!AU767-E767))/E767</f>
        <v>1.8498377906057986</v>
      </c>
      <c r="W767" s="49">
        <f>(100*('GA Arroyo'!AX767-E767))/E767</f>
        <v>1.4030260495583009</v>
      </c>
    </row>
    <row r="768" spans="2:23" ht="15" customHeight="1">
      <c r="B768">
        <f>MIN('GA Arroyo'!B768,'GA Arroyo'!E768,'GA Arroyo'!H768,'GA Arroyo'!K768)</f>
        <v>319600</v>
      </c>
      <c r="C768">
        <f>MIN('GA Arroyo'!O768, 'GA Arroyo'!R768, 'GA Arroyo'!U768, 'GA Arroyo'!X768)</f>
        <v>327538</v>
      </c>
      <c r="D768">
        <f>MIN('GA Arroyo'!AB768, 'GA Arroyo'!AE768, 'GA Arroyo'!AH768, 'GA Arroyo'!AK768)</f>
        <v>395948</v>
      </c>
      <c r="E768">
        <f>MIN('GA Arroyo'!AO768, 'GA Arroyo'!AR768, 'GA Arroyo'!AU768, 'GA Arroyo'!AX768)</f>
        <v>317454</v>
      </c>
      <c r="G768" s="45">
        <f t="shared" si="59"/>
        <v>317454</v>
      </c>
      <c r="I768" s="49">
        <f t="shared" si="60"/>
        <v>0.67600345246870408</v>
      </c>
      <c r="J768" s="49">
        <f t="shared" si="61"/>
        <v>3.1765232128119352</v>
      </c>
      <c r="K768" s="49">
        <f t="shared" si="62"/>
        <v>24.726102049430782</v>
      </c>
      <c r="L768" s="49">
        <f t="shared" si="63"/>
        <v>0</v>
      </c>
      <c r="T768" s="49">
        <f>(100*('GA Arroyo'!AO768-E768))/E768</f>
        <v>1.7085940010206202</v>
      </c>
      <c r="U768" s="49">
        <f>(100*('GA Arroyo'!AR768-E768))/E768</f>
        <v>2.957278849849112</v>
      </c>
      <c r="V768" s="49">
        <f>(100*('GA Arroyo'!AU768-E768))/E768</f>
        <v>2.6980286907709465</v>
      </c>
      <c r="W768" s="49">
        <f>(100*('GA Arroyo'!AX768-E768))/E768</f>
        <v>0</v>
      </c>
    </row>
    <row r="769" spans="1:23" ht="15" customHeight="1">
      <c r="B769">
        <f>MIN('GA Arroyo'!B769,'GA Arroyo'!E769,'GA Arroyo'!H769,'GA Arroyo'!K769)</f>
        <v>386610</v>
      </c>
      <c r="C769">
        <f>MIN('GA Arroyo'!O769, 'GA Arroyo'!R769, 'GA Arroyo'!U769, 'GA Arroyo'!X769)</f>
        <v>397378</v>
      </c>
      <c r="D769">
        <f>MIN('GA Arroyo'!AB769, 'GA Arroyo'!AE769, 'GA Arroyo'!AH769, 'GA Arroyo'!AK769)</f>
        <v>473862</v>
      </c>
      <c r="E769">
        <f>MIN('GA Arroyo'!AO769, 'GA Arroyo'!AR769, 'GA Arroyo'!AU769, 'GA Arroyo'!AX769)</f>
        <v>392217</v>
      </c>
      <c r="G769" s="45">
        <f t="shared" si="59"/>
        <v>386610</v>
      </c>
      <c r="I769" s="49">
        <f t="shared" si="60"/>
        <v>0</v>
      </c>
      <c r="J769" s="49">
        <f t="shared" si="61"/>
        <v>2.7852357673107266</v>
      </c>
      <c r="K769" s="49">
        <f t="shared" si="62"/>
        <v>22.568479863428262</v>
      </c>
      <c r="L769" s="49">
        <f t="shared" si="63"/>
        <v>1.4502987506789788</v>
      </c>
      <c r="T769" s="49">
        <f>(100*('GA Arroyo'!AO769-E769))/E769</f>
        <v>3.0189920375710386</v>
      </c>
      <c r="U769" s="49">
        <f>(100*('GA Arroyo'!AR769-E769))/E769</f>
        <v>2.6023859241185363</v>
      </c>
      <c r="V769" s="49">
        <f>(100*('GA Arroyo'!AU769-E769))/E769</f>
        <v>0</v>
      </c>
      <c r="W769" s="49">
        <f>(100*('GA Arroyo'!AX769-E769))/E769</f>
        <v>5.5754849993753455</v>
      </c>
    </row>
    <row r="770" spans="1:23" ht="15" customHeight="1">
      <c r="B770">
        <f>MIN('GA Arroyo'!B770,'GA Arroyo'!E770,'GA Arroyo'!H770,'GA Arroyo'!K770)</f>
        <v>344209</v>
      </c>
      <c r="C770">
        <f>MIN('GA Arroyo'!O770, 'GA Arroyo'!R770, 'GA Arroyo'!U770, 'GA Arroyo'!X770)</f>
        <v>369280</v>
      </c>
      <c r="D770">
        <f>MIN('GA Arroyo'!AB770, 'GA Arroyo'!AE770, 'GA Arroyo'!AH770, 'GA Arroyo'!AK770)</f>
        <v>404924</v>
      </c>
      <c r="E770">
        <f>MIN('GA Arroyo'!AO770, 'GA Arroyo'!AR770, 'GA Arroyo'!AU770, 'GA Arroyo'!AX770)</f>
        <v>351051</v>
      </c>
      <c r="G770" s="45">
        <f t="shared" si="59"/>
        <v>344209</v>
      </c>
      <c r="I770" s="49">
        <f t="shared" si="60"/>
        <v>0</v>
      </c>
      <c r="J770" s="49">
        <f t="shared" si="61"/>
        <v>7.2836561507688646</v>
      </c>
      <c r="K770" s="49">
        <f t="shared" si="62"/>
        <v>17.638992588805056</v>
      </c>
      <c r="L770" s="49">
        <f t="shared" si="63"/>
        <v>1.9877458172215137</v>
      </c>
      <c r="T770" s="49">
        <f>(100*('GA Arroyo'!AO770-E770))/E770</f>
        <v>0</v>
      </c>
      <c r="U770" s="49">
        <f>(100*('GA Arroyo'!AR770-E770))/E770</f>
        <v>0.55974772896245839</v>
      </c>
      <c r="V770" s="49">
        <f>(100*('GA Arroyo'!AU770-E770))/E770</f>
        <v>0.94031921287790088</v>
      </c>
      <c r="W770" s="49">
        <f>(100*('GA Arroyo'!AX770-E770))/E770</f>
        <v>0.8676801946155972</v>
      </c>
    </row>
    <row r="771" spans="1:23" ht="15" customHeight="1">
      <c r="B771">
        <f>MIN('GA Arroyo'!B771,'GA Arroyo'!E771,'GA Arroyo'!H771,'GA Arroyo'!K771)</f>
        <v>356899</v>
      </c>
      <c r="C771">
        <f>MIN('GA Arroyo'!O771, 'GA Arroyo'!R771, 'GA Arroyo'!U771, 'GA Arroyo'!X771)</f>
        <v>357838</v>
      </c>
      <c r="D771">
        <f>MIN('GA Arroyo'!AB771, 'GA Arroyo'!AE771, 'GA Arroyo'!AH771, 'GA Arroyo'!AK771)</f>
        <v>413136</v>
      </c>
      <c r="E771">
        <f>MIN('GA Arroyo'!AO771, 'GA Arroyo'!AR771, 'GA Arroyo'!AU771, 'GA Arroyo'!AX771)</f>
        <v>354080</v>
      </c>
      <c r="G771" s="45">
        <f t="shared" si="59"/>
        <v>354080</v>
      </c>
      <c r="I771" s="49">
        <f t="shared" si="60"/>
        <v>0.79614776321735203</v>
      </c>
      <c r="J771" s="49">
        <f t="shared" si="61"/>
        <v>1.0613420695887934</v>
      </c>
      <c r="K771" s="49">
        <f t="shared" si="62"/>
        <v>16.678716674197922</v>
      </c>
      <c r="L771" s="49">
        <f t="shared" si="63"/>
        <v>0</v>
      </c>
      <c r="T771" s="49">
        <f>(100*('GA Arroyo'!AO771-E771))/E771</f>
        <v>0</v>
      </c>
      <c r="U771" s="49">
        <f>(100*('GA Arroyo'!AR771-E771))/E771</f>
        <v>1.9665047446904653</v>
      </c>
      <c r="V771" s="49">
        <f>(100*('GA Arroyo'!AU771-E771))/E771</f>
        <v>4.2702214188883865</v>
      </c>
      <c r="W771" s="49">
        <f>(100*('GA Arroyo'!AX771-E771))/E771</f>
        <v>1.4236895616809762</v>
      </c>
    </row>
    <row r="772" spans="1:23" ht="15" customHeight="1">
      <c r="B772">
        <f>MIN('GA Arroyo'!B772,'GA Arroyo'!E772,'GA Arroyo'!H772,'GA Arroyo'!K772)</f>
        <v>354137</v>
      </c>
      <c r="C772">
        <f>MIN('GA Arroyo'!O772, 'GA Arroyo'!R772, 'GA Arroyo'!U772, 'GA Arroyo'!X772)</f>
        <v>380114</v>
      </c>
      <c r="D772">
        <f>MIN('GA Arroyo'!AB772, 'GA Arroyo'!AE772, 'GA Arroyo'!AH772, 'GA Arroyo'!AK772)</f>
        <v>409625</v>
      </c>
      <c r="E772">
        <f>MIN('GA Arroyo'!AO772, 'GA Arroyo'!AR772, 'GA Arroyo'!AU772, 'GA Arroyo'!AX772)</f>
        <v>358060</v>
      </c>
      <c r="G772" s="45">
        <f t="shared" ref="G772:G835" si="64">MIN(B772,C772,D772,E772)</f>
        <v>354137</v>
      </c>
      <c r="I772" s="49">
        <f t="shared" ref="I772:I835" si="65">(100*(B772-G772))/G772</f>
        <v>0</v>
      </c>
      <c r="J772" s="49">
        <f t="shared" ref="J772:J835" si="66">(100*(C772-G772))/G772</f>
        <v>7.3352967919195118</v>
      </c>
      <c r="K772" s="49">
        <f t="shared" ref="K772:K835" si="67">(100*(D772-G772))/G772</f>
        <v>15.668512468338525</v>
      </c>
      <c r="L772" s="49">
        <f t="shared" ref="L772:L835" si="68">(100*(E772-G772))/G772</f>
        <v>1.1077633797089828</v>
      </c>
      <c r="T772" s="49">
        <f>(100*('GA Arroyo'!AO772-E772))/E772</f>
        <v>0</v>
      </c>
      <c r="U772" s="49">
        <f>(100*('GA Arroyo'!AR772-E772))/E772</f>
        <v>1.730156956934592</v>
      </c>
      <c r="V772" s="49">
        <f>(100*('GA Arroyo'!AU772-E772))/E772</f>
        <v>2.1792437021728204</v>
      </c>
      <c r="W772" s="49">
        <f>(100*('GA Arroyo'!AX772-E772))/E772</f>
        <v>1.518460593196671</v>
      </c>
    </row>
    <row r="773" spans="1:23" ht="15" customHeight="1">
      <c r="B773">
        <f>MIN('GA Arroyo'!B773,'GA Arroyo'!E773,'GA Arroyo'!H773,'GA Arroyo'!K773)</f>
        <v>362978</v>
      </c>
      <c r="C773">
        <f>MIN('GA Arroyo'!O773, 'GA Arroyo'!R773, 'GA Arroyo'!U773, 'GA Arroyo'!X773)</f>
        <v>386596</v>
      </c>
      <c r="D773">
        <f>MIN('GA Arroyo'!AB773, 'GA Arroyo'!AE773, 'GA Arroyo'!AH773, 'GA Arroyo'!AK773)</f>
        <v>422550</v>
      </c>
      <c r="E773">
        <f>MIN('GA Arroyo'!AO773, 'GA Arroyo'!AR773, 'GA Arroyo'!AU773, 'GA Arroyo'!AX773)</f>
        <v>366869</v>
      </c>
      <c r="G773" s="45">
        <f t="shared" si="64"/>
        <v>362978</v>
      </c>
      <c r="I773" s="49">
        <f t="shared" si="65"/>
        <v>0</v>
      </c>
      <c r="J773" s="49">
        <f t="shared" si="66"/>
        <v>6.5067304354533881</v>
      </c>
      <c r="K773" s="49">
        <f t="shared" si="67"/>
        <v>16.412013951258754</v>
      </c>
      <c r="L773" s="49">
        <f t="shared" si="68"/>
        <v>1.0719657940701641</v>
      </c>
      <c r="T773" s="49">
        <f>(100*('GA Arroyo'!AO773-E773))/E773</f>
        <v>1.3598859538418346</v>
      </c>
      <c r="U773" s="49">
        <f>(100*('GA Arroyo'!AR773-E773))/E773</f>
        <v>4.06221294249446</v>
      </c>
      <c r="V773" s="49">
        <f>(100*('GA Arroyo'!AU773-E773))/E773</f>
        <v>0</v>
      </c>
      <c r="W773" s="49">
        <f>(100*('GA Arroyo'!AX773-E773))/E773</f>
        <v>2.8187173078128707</v>
      </c>
    </row>
    <row r="774" spans="1:23" ht="15" customHeight="1">
      <c r="B774">
        <f>MIN('GA Arroyo'!B774,'GA Arroyo'!E774,'GA Arroyo'!H774,'GA Arroyo'!K774)</f>
        <v>330285</v>
      </c>
      <c r="C774">
        <f>MIN('GA Arroyo'!O774, 'GA Arroyo'!R774, 'GA Arroyo'!U774, 'GA Arroyo'!X774)</f>
        <v>361143</v>
      </c>
      <c r="D774">
        <f>MIN('GA Arroyo'!AB774, 'GA Arroyo'!AE774, 'GA Arroyo'!AH774, 'GA Arroyo'!AK774)</f>
        <v>396421</v>
      </c>
      <c r="E774">
        <f>MIN('GA Arroyo'!AO774, 'GA Arroyo'!AR774, 'GA Arroyo'!AU774, 'GA Arroyo'!AX774)</f>
        <v>332117</v>
      </c>
      <c r="G774" s="45">
        <f t="shared" si="64"/>
        <v>330285</v>
      </c>
      <c r="I774" s="49">
        <f t="shared" si="65"/>
        <v>0</v>
      </c>
      <c r="J774" s="49">
        <f t="shared" si="66"/>
        <v>9.3428402743085517</v>
      </c>
      <c r="K774" s="49">
        <f t="shared" si="67"/>
        <v>20.023918736848479</v>
      </c>
      <c r="L774" s="49">
        <f t="shared" si="68"/>
        <v>0.55467247982802736</v>
      </c>
      <c r="T774" s="49">
        <f>(100*('GA Arroyo'!AO774-E774))/E774</f>
        <v>4.8925529256256075</v>
      </c>
      <c r="U774" s="49">
        <f>(100*('GA Arroyo'!AR774-E774))/E774</f>
        <v>0</v>
      </c>
      <c r="V774" s="49">
        <f>(100*('GA Arroyo'!AU774-E774))/E774</f>
        <v>20.54968580349696</v>
      </c>
      <c r="W774" s="49">
        <f>(100*('GA Arroyo'!AX774-E774))/E774</f>
        <v>0.4901886985610493</v>
      </c>
    </row>
    <row r="775" spans="1:23" ht="15" customHeight="1">
      <c r="B775">
        <f>MIN('GA Arroyo'!B775,'GA Arroyo'!E775,'GA Arroyo'!H775,'GA Arroyo'!K775)</f>
        <v>364095</v>
      </c>
      <c r="C775">
        <f>MIN('GA Arroyo'!O775, 'GA Arroyo'!R775, 'GA Arroyo'!U775, 'GA Arroyo'!X775)</f>
        <v>374261</v>
      </c>
      <c r="D775">
        <f>MIN('GA Arroyo'!AB775, 'GA Arroyo'!AE775, 'GA Arroyo'!AH775, 'GA Arroyo'!AK775)</f>
        <v>433753</v>
      </c>
      <c r="E775">
        <f>MIN('GA Arroyo'!AO775, 'GA Arroyo'!AR775, 'GA Arroyo'!AU775, 'GA Arroyo'!AX775)</f>
        <v>374388</v>
      </c>
      <c r="G775" s="45">
        <f t="shared" si="64"/>
        <v>364095</v>
      </c>
      <c r="I775" s="49">
        <f t="shared" si="65"/>
        <v>0</v>
      </c>
      <c r="J775" s="49">
        <f t="shared" si="66"/>
        <v>2.7921284280201597</v>
      </c>
      <c r="K775" s="49">
        <f t="shared" si="67"/>
        <v>19.131819992035044</v>
      </c>
      <c r="L775" s="49">
        <f t="shared" si="68"/>
        <v>2.8270094343509249</v>
      </c>
      <c r="T775" s="49">
        <f>(100*('GA Arroyo'!AO775-E775))/E775</f>
        <v>0</v>
      </c>
      <c r="U775" s="49">
        <f>(100*('GA Arroyo'!AR775-E775))/E775</f>
        <v>4.457942028056455</v>
      </c>
      <c r="V775" s="49">
        <f>(100*('GA Arroyo'!AU775-E775))/E775</f>
        <v>0.46689530647349808</v>
      </c>
      <c r="W775" s="49">
        <f>(100*('GA Arroyo'!AX775-E775))/E775</f>
        <v>1.5184781563511651</v>
      </c>
    </row>
    <row r="776" spans="1:23" ht="15" customHeight="1">
      <c r="B776">
        <f>MIN('GA Arroyo'!B776,'GA Arroyo'!E776,'GA Arroyo'!H776,'GA Arroyo'!K776)</f>
        <v>286501</v>
      </c>
      <c r="C776">
        <f>MIN('GA Arroyo'!O776, 'GA Arroyo'!R776, 'GA Arroyo'!U776, 'GA Arroyo'!X776)</f>
        <v>312461</v>
      </c>
      <c r="D776">
        <f>MIN('GA Arroyo'!AB776, 'GA Arroyo'!AE776, 'GA Arroyo'!AH776, 'GA Arroyo'!AK776)</f>
        <v>356573</v>
      </c>
      <c r="E776">
        <f>MIN('GA Arroyo'!AO776, 'GA Arroyo'!AR776, 'GA Arroyo'!AU776, 'GA Arroyo'!AX776)</f>
        <v>294825</v>
      </c>
      <c r="G776" s="45">
        <f t="shared" si="64"/>
        <v>286501</v>
      </c>
      <c r="I776" s="49">
        <f t="shared" si="65"/>
        <v>0</v>
      </c>
      <c r="J776" s="49">
        <f t="shared" si="66"/>
        <v>9.0610503977298507</v>
      </c>
      <c r="K776" s="49">
        <f t="shared" si="67"/>
        <v>24.457855295443995</v>
      </c>
      <c r="L776" s="49">
        <f t="shared" si="68"/>
        <v>2.9053999811518985</v>
      </c>
      <c r="T776" s="49">
        <f>(100*('GA Arroyo'!AO776-E776))/E776</f>
        <v>12.321207495972187</v>
      </c>
      <c r="U776" s="49">
        <f>(100*('GA Arroyo'!AR776-E776))/E776</f>
        <v>1.5310777579920292</v>
      </c>
      <c r="V776" s="49">
        <f>(100*('GA Arroyo'!AU776-E776))/E776</f>
        <v>0</v>
      </c>
      <c r="W776" s="49">
        <f>(100*('GA Arroyo'!AX776-E776))/E776</f>
        <v>0.28457559569235985</v>
      </c>
    </row>
    <row r="777" spans="1:23" ht="15" customHeight="1">
      <c r="B777">
        <f>MIN('GA Arroyo'!B777,'GA Arroyo'!E777,'GA Arroyo'!H777,'GA Arroyo'!K777)</f>
        <v>400955</v>
      </c>
      <c r="C777">
        <f>MIN('GA Arroyo'!O777, 'GA Arroyo'!R777, 'GA Arroyo'!U777, 'GA Arroyo'!X777)</f>
        <v>386855</v>
      </c>
      <c r="D777">
        <f>MIN('GA Arroyo'!AB777, 'GA Arroyo'!AE777, 'GA Arroyo'!AH777, 'GA Arroyo'!AK777)</f>
        <v>449226</v>
      </c>
      <c r="E777">
        <f>MIN('GA Arroyo'!AO777, 'GA Arroyo'!AR777, 'GA Arroyo'!AU777, 'GA Arroyo'!AX777)</f>
        <v>405133</v>
      </c>
      <c r="G777" s="45">
        <f t="shared" si="64"/>
        <v>386855</v>
      </c>
      <c r="I777" s="49">
        <f t="shared" si="65"/>
        <v>3.6447764666347857</v>
      </c>
      <c r="J777" s="49">
        <f t="shared" si="66"/>
        <v>0</v>
      </c>
      <c r="K777" s="49">
        <f t="shared" si="67"/>
        <v>16.12257822698427</v>
      </c>
      <c r="L777" s="49">
        <f t="shared" si="68"/>
        <v>4.7247676778120997</v>
      </c>
      <c r="T777" s="49">
        <f>(100*('GA Arroyo'!AO777-E777))/E777</f>
        <v>3.1130517632481185</v>
      </c>
      <c r="U777" s="49">
        <f>(100*('GA Arroyo'!AR777-E777))/E777</f>
        <v>3.3539603043938655</v>
      </c>
      <c r="V777" s="49">
        <f>(100*('GA Arroyo'!AU777-E777))/E777</f>
        <v>0</v>
      </c>
      <c r="W777" s="49">
        <f>(100*('GA Arroyo'!AX777-E777))/E777</f>
        <v>3.3110114456240298</v>
      </c>
    </row>
    <row r="778" spans="1:23" ht="15" customHeight="1">
      <c r="B778">
        <f>MIN('GA Arroyo'!B778,'GA Arroyo'!E778,'GA Arroyo'!H778,'GA Arroyo'!K778)</f>
        <v>312811</v>
      </c>
      <c r="C778">
        <f>MIN('GA Arroyo'!O778, 'GA Arroyo'!R778, 'GA Arroyo'!U778, 'GA Arroyo'!X778)</f>
        <v>321900</v>
      </c>
      <c r="D778">
        <f>MIN('GA Arroyo'!AB778, 'GA Arroyo'!AE778, 'GA Arroyo'!AH778, 'GA Arroyo'!AK778)</f>
        <v>367246</v>
      </c>
      <c r="E778">
        <f>MIN('GA Arroyo'!AO778, 'GA Arroyo'!AR778, 'GA Arroyo'!AU778, 'GA Arroyo'!AX778)</f>
        <v>303408</v>
      </c>
      <c r="G778" s="45">
        <f t="shared" si="64"/>
        <v>303408</v>
      </c>
      <c r="I778" s="49">
        <f t="shared" si="65"/>
        <v>3.0991272477983443</v>
      </c>
      <c r="J778" s="49">
        <f t="shared" si="66"/>
        <v>6.0947634867900646</v>
      </c>
      <c r="K778" s="49">
        <f t="shared" si="67"/>
        <v>21.040315350946582</v>
      </c>
      <c r="L778" s="49">
        <f t="shared" si="68"/>
        <v>0</v>
      </c>
      <c r="T778" s="49">
        <f>(100*('GA Arroyo'!AO778-E778))/E778</f>
        <v>10.821072615092548</v>
      </c>
      <c r="U778" s="49">
        <f>(100*('GA Arroyo'!AR778-E778))/E778</f>
        <v>2.912579760586405</v>
      </c>
      <c r="V778" s="49">
        <f>(100*('GA Arroyo'!AU778-E778))/E778</f>
        <v>0</v>
      </c>
      <c r="W778" s="49">
        <f>(100*('GA Arroyo'!AX778-E778))/E778</f>
        <v>4.517019986289089</v>
      </c>
    </row>
    <row r="779" spans="1:23" ht="15" customHeight="1">
      <c r="B779">
        <f>MIN('GA Arroyo'!B779,'GA Arroyo'!E779,'GA Arroyo'!H779,'GA Arroyo'!K779)</f>
        <v>306267</v>
      </c>
      <c r="C779">
        <f>MIN('GA Arroyo'!O779, 'GA Arroyo'!R779, 'GA Arroyo'!U779, 'GA Arroyo'!X779)</f>
        <v>333401</v>
      </c>
      <c r="D779">
        <f>MIN('GA Arroyo'!AB779, 'GA Arroyo'!AE779, 'GA Arroyo'!AH779, 'GA Arroyo'!AK779)</f>
        <v>380916</v>
      </c>
      <c r="E779">
        <f>MIN('GA Arroyo'!AO779, 'GA Arroyo'!AR779, 'GA Arroyo'!AU779, 'GA Arroyo'!AX779)</f>
        <v>295480</v>
      </c>
      <c r="G779" s="45">
        <f t="shared" si="64"/>
        <v>295480</v>
      </c>
      <c r="I779" s="49">
        <f t="shared" si="65"/>
        <v>3.6506700961147964</v>
      </c>
      <c r="J779" s="49">
        <f t="shared" si="66"/>
        <v>12.833694327873291</v>
      </c>
      <c r="K779" s="49">
        <f t="shared" si="67"/>
        <v>28.91430892107757</v>
      </c>
      <c r="L779" s="49">
        <f t="shared" si="68"/>
        <v>0</v>
      </c>
      <c r="T779" s="49">
        <f>(100*('GA Arroyo'!AO779-E779))/E779</f>
        <v>0</v>
      </c>
      <c r="U779" s="49">
        <f>(100*('GA Arroyo'!AR779-E779))/E779</f>
        <v>7.2630973331528361</v>
      </c>
      <c r="V779" s="49">
        <f>(100*('GA Arroyo'!AU779-E779))/E779</f>
        <v>3.1389603357249221</v>
      </c>
      <c r="W779" s="49">
        <f>(100*('GA Arroyo'!AX779-E779))/E779</f>
        <v>11.844456477595777</v>
      </c>
    </row>
    <row r="780" spans="1:23" ht="15" customHeight="1">
      <c r="B780">
        <f>MIN('GA Arroyo'!B780,'GA Arroyo'!E780,'GA Arroyo'!H780,'GA Arroyo'!K780)</f>
        <v>308940</v>
      </c>
      <c r="C780">
        <f>MIN('GA Arroyo'!O780, 'GA Arroyo'!R780, 'GA Arroyo'!U780, 'GA Arroyo'!X780)</f>
        <v>337834</v>
      </c>
      <c r="D780">
        <f>MIN('GA Arroyo'!AB780, 'GA Arroyo'!AE780, 'GA Arroyo'!AH780, 'GA Arroyo'!AK780)</f>
        <v>385196</v>
      </c>
      <c r="E780">
        <f>MIN('GA Arroyo'!AO780, 'GA Arroyo'!AR780, 'GA Arroyo'!AU780, 'GA Arroyo'!AX780)</f>
        <v>302042</v>
      </c>
      <c r="G780" s="45">
        <f t="shared" si="64"/>
        <v>302042</v>
      </c>
      <c r="I780" s="49">
        <f t="shared" si="65"/>
        <v>2.2837883473159364</v>
      </c>
      <c r="J780" s="49">
        <f t="shared" si="66"/>
        <v>11.850007614835024</v>
      </c>
      <c r="K780" s="49">
        <f t="shared" si="67"/>
        <v>27.530608325994397</v>
      </c>
      <c r="L780" s="49">
        <f t="shared" si="68"/>
        <v>0</v>
      </c>
      <c r="T780" s="49">
        <f>(100*('GA Arroyo'!AO780-E780))/E780</f>
        <v>1.3527919958151515</v>
      </c>
      <c r="U780" s="49">
        <f>(100*('GA Arroyo'!AR780-E780))/E780</f>
        <v>2.9870018076956186</v>
      </c>
      <c r="V780" s="49">
        <f>(100*('GA Arroyo'!AU780-E780))/E780</f>
        <v>0</v>
      </c>
      <c r="W780" s="49">
        <f>(100*('GA Arroyo'!AX780-E780))/E780</f>
        <v>28.150389680905306</v>
      </c>
    </row>
    <row r="781" spans="1:23" ht="15" customHeight="1">
      <c r="B781">
        <f>MIN('GA Arroyo'!B781,'GA Arroyo'!E781,'GA Arroyo'!H781,'GA Arroyo'!K781)</f>
        <v>305202</v>
      </c>
      <c r="C781">
        <f>MIN('GA Arroyo'!O781, 'GA Arroyo'!R781, 'GA Arroyo'!U781, 'GA Arroyo'!X781)</f>
        <v>330982</v>
      </c>
      <c r="D781">
        <f>MIN('GA Arroyo'!AB781, 'GA Arroyo'!AE781, 'GA Arroyo'!AH781, 'GA Arroyo'!AK781)</f>
        <v>371284</v>
      </c>
      <c r="E781">
        <f>MIN('GA Arroyo'!AO781, 'GA Arroyo'!AR781, 'GA Arroyo'!AU781, 'GA Arroyo'!AX781)</f>
        <v>285394</v>
      </c>
      <c r="G781" s="45">
        <f t="shared" si="64"/>
        <v>285394</v>
      </c>
      <c r="I781" s="49">
        <f t="shared" si="65"/>
        <v>6.9405803906178827</v>
      </c>
      <c r="J781" s="49">
        <f t="shared" si="66"/>
        <v>15.973706525014542</v>
      </c>
      <c r="K781" s="49">
        <f t="shared" si="67"/>
        <v>30.095236760408419</v>
      </c>
      <c r="L781" s="49">
        <f t="shared" si="68"/>
        <v>0</v>
      </c>
      <c r="T781" s="49">
        <f>(100*('GA Arroyo'!AO781-E781))/E781</f>
        <v>11.415797108558694</v>
      </c>
      <c r="U781" s="49">
        <f>(100*('GA Arroyo'!AR781-E781))/E781</f>
        <v>0</v>
      </c>
      <c r="V781" s="49">
        <f>(100*('GA Arroyo'!AU781-E781))/E781</f>
        <v>13.907440240509612</v>
      </c>
      <c r="W781" s="49">
        <f>(100*('GA Arroyo'!AX781-E781))/E781</f>
        <v>8.0527271070870441</v>
      </c>
    </row>
    <row r="782" spans="1:23" ht="15" customHeight="1">
      <c r="B782">
        <f>MIN('GA Arroyo'!B782,'GA Arroyo'!E782,'GA Arroyo'!H782,'GA Arroyo'!K782)</f>
        <v>256352</v>
      </c>
      <c r="C782">
        <f>MIN('GA Arroyo'!O782, 'GA Arroyo'!R782, 'GA Arroyo'!U782, 'GA Arroyo'!X782)</f>
        <v>287597</v>
      </c>
      <c r="D782">
        <f>MIN('GA Arroyo'!AB782, 'GA Arroyo'!AE782, 'GA Arroyo'!AH782, 'GA Arroyo'!AK782)</f>
        <v>332067</v>
      </c>
      <c r="E782">
        <f>MIN('GA Arroyo'!AO782, 'GA Arroyo'!AR782, 'GA Arroyo'!AU782, 'GA Arroyo'!AX782)</f>
        <v>260155</v>
      </c>
      <c r="G782" s="45">
        <f t="shared" si="64"/>
        <v>256352</v>
      </c>
      <c r="I782" s="49">
        <f t="shared" si="65"/>
        <v>0</v>
      </c>
      <c r="J782" s="49">
        <f t="shared" si="66"/>
        <v>12.188319186119086</v>
      </c>
      <c r="K782" s="49">
        <f t="shared" si="67"/>
        <v>29.535560479340905</v>
      </c>
      <c r="L782" s="49">
        <f t="shared" si="68"/>
        <v>1.4835070528023968</v>
      </c>
      <c r="T782" s="49">
        <f>(100*('GA Arroyo'!AO782-E782))/E782</f>
        <v>3.6509004247467858</v>
      </c>
      <c r="U782" s="49">
        <f>(100*('GA Arroyo'!AR782-E782))/E782</f>
        <v>3.1854086986604138</v>
      </c>
      <c r="V782" s="49">
        <f>(100*('GA Arroyo'!AU782-E782))/E782</f>
        <v>0</v>
      </c>
      <c r="W782" s="49">
        <f>(100*('GA Arroyo'!AX782-E782))/E782</f>
        <v>5.9556802675328173</v>
      </c>
    </row>
    <row r="783" spans="1:23" ht="15" customHeight="1">
      <c r="A783" s="50"/>
      <c r="B783" s="50">
        <f>MIN('GA Arroyo'!B783,'GA Arroyo'!E783,'GA Arroyo'!H783,'GA Arroyo'!K783)</f>
        <v>1253660</v>
      </c>
      <c r="C783" s="50">
        <f>MIN('GA Arroyo'!O783, 'GA Arroyo'!R783, 'GA Arroyo'!U783, 'GA Arroyo'!X783)</f>
        <v>1307830</v>
      </c>
      <c r="D783" s="50">
        <f>MIN('GA Arroyo'!AB783, 'GA Arroyo'!AE783, 'GA Arroyo'!AH783, 'GA Arroyo'!AK783)</f>
        <v>1251140</v>
      </c>
      <c r="E783" s="50">
        <f>MIN('GA Arroyo'!AO783, 'GA Arroyo'!AR783, 'GA Arroyo'!AU783, 'GA Arroyo'!AX783)</f>
        <v>1276970</v>
      </c>
      <c r="F783" s="50"/>
      <c r="G783" s="50">
        <f t="shared" si="64"/>
        <v>1251140</v>
      </c>
      <c r="H783" s="50"/>
      <c r="I783" s="50">
        <f t="shared" si="65"/>
        <v>0.20141630832680596</v>
      </c>
      <c r="J783" s="50">
        <f t="shared" si="66"/>
        <v>4.5310676662883447</v>
      </c>
      <c r="K783" s="50">
        <f t="shared" si="67"/>
        <v>0</v>
      </c>
      <c r="L783" s="50">
        <f t="shared" si="68"/>
        <v>2.064517160349761</v>
      </c>
      <c r="M783" s="50"/>
      <c r="N783" s="50"/>
      <c r="O783" s="50"/>
      <c r="P783" s="50"/>
      <c r="Q783" s="50"/>
      <c r="R783" s="50"/>
      <c r="S783" s="50"/>
      <c r="T783" s="49">
        <f>(100*('GA Arroyo'!AO783-E783))/E783</f>
        <v>2.8003790222166534</v>
      </c>
      <c r="U783" s="49">
        <f>(100*('GA Arroyo'!AR783-E783))/E783</f>
        <v>0</v>
      </c>
      <c r="V783" s="49">
        <f>(100*('GA Arroyo'!AU783-E783))/E783</f>
        <v>1.1362835462070369</v>
      </c>
      <c r="W783" s="49">
        <f>(100*('GA Arroyo'!AX783-E783))/E783</f>
        <v>4.888133628824483</v>
      </c>
    </row>
    <row r="784" spans="1:23" ht="15" customHeight="1">
      <c r="B784">
        <f>MIN('GA Arroyo'!B784,'GA Arroyo'!E784,'GA Arroyo'!H784,'GA Arroyo'!K784)</f>
        <v>1186120</v>
      </c>
      <c r="C784">
        <f>MIN('GA Arroyo'!O784, 'GA Arroyo'!R784, 'GA Arroyo'!U784, 'GA Arroyo'!X784)</f>
        <v>1265940</v>
      </c>
      <c r="D784">
        <f>MIN('GA Arroyo'!AB784, 'GA Arroyo'!AE784, 'GA Arroyo'!AH784, 'GA Arroyo'!AK784)</f>
        <v>1203280</v>
      </c>
      <c r="E784">
        <f>MIN('GA Arroyo'!AO784, 'GA Arroyo'!AR784, 'GA Arroyo'!AU784, 'GA Arroyo'!AX784)</f>
        <v>1223470</v>
      </c>
      <c r="G784" s="45">
        <f t="shared" si="64"/>
        <v>1186120</v>
      </c>
      <c r="I784" s="49">
        <f t="shared" si="65"/>
        <v>0</v>
      </c>
      <c r="J784" s="49">
        <f t="shared" si="66"/>
        <v>6.729504603244191</v>
      </c>
      <c r="K784" s="49">
        <f t="shared" si="67"/>
        <v>1.4467338886453309</v>
      </c>
      <c r="L784" s="49">
        <f t="shared" si="68"/>
        <v>3.1489225373486662</v>
      </c>
      <c r="T784" s="49">
        <f>(100*('GA Arroyo'!AO784-E784))/E784</f>
        <v>7.126451813285164</v>
      </c>
      <c r="U784" s="49">
        <f>(100*('GA Arroyo'!AR784-E784))/E784</f>
        <v>5.5358938102282851</v>
      </c>
      <c r="V784" s="49">
        <f>(100*('GA Arroyo'!AU784-E784))/E784</f>
        <v>4.927787358905408</v>
      </c>
      <c r="W784" s="49">
        <f>(100*('GA Arroyo'!AX784-E784))/E784</f>
        <v>0</v>
      </c>
    </row>
    <row r="785" spans="2:23" ht="15" customHeight="1">
      <c r="B785">
        <f>MIN('GA Arroyo'!B785,'GA Arroyo'!E785,'GA Arroyo'!H785,'GA Arroyo'!K785)</f>
        <v>1442420</v>
      </c>
      <c r="C785">
        <f>MIN('GA Arroyo'!O785, 'GA Arroyo'!R785, 'GA Arroyo'!U785, 'GA Arroyo'!X785)</f>
        <v>1547170</v>
      </c>
      <c r="D785">
        <f>MIN('GA Arroyo'!AB785, 'GA Arroyo'!AE785, 'GA Arroyo'!AH785, 'GA Arroyo'!AK785)</f>
        <v>1509520</v>
      </c>
      <c r="E785">
        <f>MIN('GA Arroyo'!AO785, 'GA Arroyo'!AR785, 'GA Arroyo'!AU785, 'GA Arroyo'!AX785)</f>
        <v>1408380</v>
      </c>
      <c r="G785" s="45">
        <f t="shared" si="64"/>
        <v>1408380</v>
      </c>
      <c r="I785" s="49">
        <f t="shared" si="65"/>
        <v>2.4169613314588392</v>
      </c>
      <c r="J785" s="49">
        <f t="shared" si="66"/>
        <v>9.854584700151948</v>
      </c>
      <c r="K785" s="49">
        <f t="shared" si="67"/>
        <v>7.1813005012851647</v>
      </c>
      <c r="L785" s="49">
        <f t="shared" si="68"/>
        <v>0</v>
      </c>
      <c r="T785" s="49">
        <f>(100*('GA Arroyo'!AO785-E785))/E785</f>
        <v>22.632386145784519</v>
      </c>
      <c r="U785" s="49">
        <f>(100*('GA Arroyo'!AR785-E785))/E785</f>
        <v>16.127039577386785</v>
      </c>
      <c r="V785" s="49">
        <f>(100*('GA Arroyo'!AU785-E785))/E785</f>
        <v>0</v>
      </c>
      <c r="W785" s="49">
        <f>(100*('GA Arroyo'!AX785-E785))/E785</f>
        <v>17.788522983853788</v>
      </c>
    </row>
    <row r="786" spans="2:23" ht="15" customHeight="1">
      <c r="B786">
        <f>MIN('GA Arroyo'!B786,'GA Arroyo'!E786,'GA Arroyo'!H786,'GA Arroyo'!K786)</f>
        <v>1433950</v>
      </c>
      <c r="C786">
        <f>MIN('GA Arroyo'!O786, 'GA Arroyo'!R786, 'GA Arroyo'!U786, 'GA Arroyo'!X786)</f>
        <v>1460590</v>
      </c>
      <c r="D786">
        <f>MIN('GA Arroyo'!AB786, 'GA Arroyo'!AE786, 'GA Arroyo'!AH786, 'GA Arroyo'!AK786)</f>
        <v>1457710</v>
      </c>
      <c r="E786">
        <f>MIN('GA Arroyo'!AO786, 'GA Arroyo'!AR786, 'GA Arroyo'!AU786, 'GA Arroyo'!AX786)</f>
        <v>1419060</v>
      </c>
      <c r="G786" s="45">
        <f t="shared" si="64"/>
        <v>1419060</v>
      </c>
      <c r="I786" s="49">
        <f t="shared" si="65"/>
        <v>1.0492861471678434</v>
      </c>
      <c r="J786" s="49">
        <f t="shared" si="66"/>
        <v>2.9265852042901641</v>
      </c>
      <c r="K786" s="49">
        <f t="shared" si="67"/>
        <v>2.7236339548715347</v>
      </c>
      <c r="L786" s="49">
        <f t="shared" si="68"/>
        <v>0</v>
      </c>
      <c r="T786" s="49">
        <f>(100*('GA Arroyo'!AO786-E786))/E786</f>
        <v>1.8244471692528856</v>
      </c>
      <c r="U786" s="49">
        <f>(100*('GA Arroyo'!AR786-E786))/E786</f>
        <v>5.9123645229940944</v>
      </c>
      <c r="V786" s="49">
        <f>(100*('GA Arroyo'!AU786-E786))/E786</f>
        <v>0</v>
      </c>
      <c r="W786" s="49">
        <f>(100*('GA Arroyo'!AX786-E786))/E786</f>
        <v>5.4860259608473214</v>
      </c>
    </row>
    <row r="787" spans="2:23" ht="15" customHeight="1">
      <c r="B787">
        <f>MIN('GA Arroyo'!B787,'GA Arroyo'!E787,'GA Arroyo'!H787,'GA Arroyo'!K787)</f>
        <v>1412150</v>
      </c>
      <c r="C787">
        <f>MIN('GA Arroyo'!O787, 'GA Arroyo'!R787, 'GA Arroyo'!U787, 'GA Arroyo'!X787)</f>
        <v>1457190</v>
      </c>
      <c r="D787">
        <f>MIN('GA Arroyo'!AB787, 'GA Arroyo'!AE787, 'GA Arroyo'!AH787, 'GA Arroyo'!AK787)</f>
        <v>1397860</v>
      </c>
      <c r="E787">
        <f>MIN('GA Arroyo'!AO787, 'GA Arroyo'!AR787, 'GA Arroyo'!AU787, 'GA Arroyo'!AX787)</f>
        <v>1456750</v>
      </c>
      <c r="G787" s="45">
        <f t="shared" si="64"/>
        <v>1397860</v>
      </c>
      <c r="I787" s="49">
        <f t="shared" si="65"/>
        <v>1.0222769089894552</v>
      </c>
      <c r="J787" s="49">
        <f t="shared" si="66"/>
        <v>4.2443449272459333</v>
      </c>
      <c r="K787" s="49">
        <f t="shared" si="67"/>
        <v>0</v>
      </c>
      <c r="L787" s="49">
        <f t="shared" si="68"/>
        <v>4.2128682414547951</v>
      </c>
      <c r="T787" s="49">
        <f>(100*('GA Arroyo'!AO787-E787))/E787</f>
        <v>5.5568903380813452</v>
      </c>
      <c r="U787" s="49">
        <f>(100*('GA Arroyo'!AR787-E787))/E787</f>
        <v>1.2651450145872662</v>
      </c>
      <c r="V787" s="49">
        <f>(100*('GA Arroyo'!AU787-E787))/E787</f>
        <v>0</v>
      </c>
      <c r="W787" s="49">
        <f>(100*('GA Arroyo'!AX787-E787))/E787</f>
        <v>0.27527029346147247</v>
      </c>
    </row>
    <row r="788" spans="2:23" ht="15" customHeight="1">
      <c r="B788">
        <f>MIN('GA Arroyo'!B788,'GA Arroyo'!E788,'GA Arroyo'!H788,'GA Arroyo'!K788)</f>
        <v>1267160</v>
      </c>
      <c r="C788">
        <f>MIN('GA Arroyo'!O788, 'GA Arroyo'!R788, 'GA Arroyo'!U788, 'GA Arroyo'!X788)</f>
        <v>1357010</v>
      </c>
      <c r="D788">
        <f>MIN('GA Arroyo'!AB788, 'GA Arroyo'!AE788, 'GA Arroyo'!AH788, 'GA Arroyo'!AK788)</f>
        <v>1263750</v>
      </c>
      <c r="E788">
        <f>MIN('GA Arroyo'!AO788, 'GA Arroyo'!AR788, 'GA Arroyo'!AU788, 'GA Arroyo'!AX788)</f>
        <v>1294130</v>
      </c>
      <c r="G788" s="45">
        <f t="shared" si="64"/>
        <v>1263750</v>
      </c>
      <c r="I788" s="49">
        <f t="shared" si="65"/>
        <v>0.26983184965380813</v>
      </c>
      <c r="J788" s="49">
        <f t="shared" si="66"/>
        <v>7.3796241345202773</v>
      </c>
      <c r="K788" s="49">
        <f t="shared" si="67"/>
        <v>0</v>
      </c>
      <c r="L788" s="49">
        <f t="shared" si="68"/>
        <v>2.4039564787339267</v>
      </c>
      <c r="T788" s="49">
        <f>(100*('GA Arroyo'!AO788-E788))/E788</f>
        <v>6.1678502159752115</v>
      </c>
      <c r="U788" s="49">
        <f>(100*('GA Arroyo'!AR788-E788))/E788</f>
        <v>5.313222010153539</v>
      </c>
      <c r="V788" s="49">
        <f>(100*('GA Arroyo'!AU788-E788))/E788</f>
        <v>8.2735119346588064</v>
      </c>
      <c r="W788" s="49">
        <f>(100*('GA Arroyo'!AX788-E788))/E788</f>
        <v>0</v>
      </c>
    </row>
    <row r="789" spans="2:23" ht="15" customHeight="1">
      <c r="B789">
        <f>MIN('GA Arroyo'!B789,'GA Arroyo'!E789,'GA Arroyo'!H789,'GA Arroyo'!K789)</f>
        <v>1348650</v>
      </c>
      <c r="C789">
        <f>MIN('GA Arroyo'!O789, 'GA Arroyo'!R789, 'GA Arroyo'!U789, 'GA Arroyo'!X789)</f>
        <v>1360040</v>
      </c>
      <c r="D789">
        <f>MIN('GA Arroyo'!AB789, 'GA Arroyo'!AE789, 'GA Arroyo'!AH789, 'GA Arroyo'!AK789)</f>
        <v>1318740</v>
      </c>
      <c r="E789">
        <f>MIN('GA Arroyo'!AO789, 'GA Arroyo'!AR789, 'GA Arroyo'!AU789, 'GA Arroyo'!AX789)</f>
        <v>1326990</v>
      </c>
      <c r="G789" s="45">
        <f t="shared" si="64"/>
        <v>1318740</v>
      </c>
      <c r="I789" s="49">
        <f t="shared" si="65"/>
        <v>2.2680740707038538</v>
      </c>
      <c r="J789" s="49">
        <f t="shared" si="66"/>
        <v>3.1317773025767019</v>
      </c>
      <c r="K789" s="49">
        <f t="shared" si="67"/>
        <v>0</v>
      </c>
      <c r="L789" s="49">
        <f t="shared" si="68"/>
        <v>0.62559716092633877</v>
      </c>
      <c r="T789" s="49">
        <f>(100*('GA Arroyo'!AO789-E789))/E789</f>
        <v>0</v>
      </c>
      <c r="U789" s="49">
        <f>(100*('GA Arroyo'!AR789-E789))/E789</f>
        <v>2.5267711135728228</v>
      </c>
      <c r="V789" s="49">
        <f>(100*('GA Arroyo'!AU789-E789))/E789</f>
        <v>2.920896163497841</v>
      </c>
      <c r="W789" s="49">
        <f>(100*('GA Arroyo'!AX789-E789))/E789</f>
        <v>5.0648460048681603</v>
      </c>
    </row>
    <row r="790" spans="2:23" ht="15" customHeight="1">
      <c r="B790">
        <f>MIN('GA Arroyo'!B790,'GA Arroyo'!E790,'GA Arroyo'!H790,'GA Arroyo'!K790)</f>
        <v>1310830</v>
      </c>
      <c r="C790">
        <f>MIN('GA Arroyo'!O790, 'GA Arroyo'!R790, 'GA Arroyo'!U790, 'GA Arroyo'!X790)</f>
        <v>1349630</v>
      </c>
      <c r="D790">
        <f>MIN('GA Arroyo'!AB790, 'GA Arroyo'!AE790, 'GA Arroyo'!AH790, 'GA Arroyo'!AK790)</f>
        <v>1266030</v>
      </c>
      <c r="E790">
        <f>MIN('GA Arroyo'!AO790, 'GA Arroyo'!AR790, 'GA Arroyo'!AU790, 'GA Arroyo'!AX790)</f>
        <v>1297590</v>
      </c>
      <c r="G790" s="45">
        <f t="shared" si="64"/>
        <v>1266030</v>
      </c>
      <c r="I790" s="49">
        <f t="shared" si="65"/>
        <v>3.5386207277868613</v>
      </c>
      <c r="J790" s="49">
        <f t="shared" si="66"/>
        <v>6.6033190366736969</v>
      </c>
      <c r="K790" s="49">
        <f t="shared" si="67"/>
        <v>0</v>
      </c>
      <c r="L790" s="49">
        <f t="shared" si="68"/>
        <v>2.492831923414137</v>
      </c>
      <c r="T790" s="49">
        <f>(100*('GA Arroyo'!AO790-E790))/E790</f>
        <v>3.0556647323114388</v>
      </c>
      <c r="U790" s="49">
        <f>(100*('GA Arroyo'!AR790-E790))/E790</f>
        <v>9.1723888131073767</v>
      </c>
      <c r="V790" s="49">
        <f>(100*('GA Arroyo'!AU790-E790))/E790</f>
        <v>0</v>
      </c>
      <c r="W790" s="49">
        <f>(100*('GA Arroyo'!AX790-E790))/E790</f>
        <v>2.1123775614793581</v>
      </c>
    </row>
    <row r="791" spans="2:23" ht="15" customHeight="1">
      <c r="B791">
        <f>MIN('GA Arroyo'!B791,'GA Arroyo'!E791,'GA Arroyo'!H791,'GA Arroyo'!K791)</f>
        <v>1446420</v>
      </c>
      <c r="C791">
        <f>MIN('GA Arroyo'!O791, 'GA Arroyo'!R791, 'GA Arroyo'!U791, 'GA Arroyo'!X791)</f>
        <v>1496650</v>
      </c>
      <c r="D791">
        <f>MIN('GA Arroyo'!AB791, 'GA Arroyo'!AE791, 'GA Arroyo'!AH791, 'GA Arroyo'!AK791)</f>
        <v>1448510</v>
      </c>
      <c r="E791">
        <f>MIN('GA Arroyo'!AO791, 'GA Arroyo'!AR791, 'GA Arroyo'!AU791, 'GA Arroyo'!AX791)</f>
        <v>1367300</v>
      </c>
      <c r="G791" s="45">
        <f t="shared" si="64"/>
        <v>1367300</v>
      </c>
      <c r="I791" s="49">
        <f t="shared" si="65"/>
        <v>5.7865867037226648</v>
      </c>
      <c r="J791" s="49">
        <f t="shared" si="66"/>
        <v>9.4602501279894682</v>
      </c>
      <c r="K791" s="49">
        <f t="shared" si="67"/>
        <v>5.9394426972866237</v>
      </c>
      <c r="L791" s="49">
        <f t="shared" si="68"/>
        <v>0</v>
      </c>
      <c r="T791" s="49">
        <f>(100*('GA Arroyo'!AO791-E791))/E791</f>
        <v>7.5521099978058945</v>
      </c>
      <c r="U791" s="49">
        <f>(100*('GA Arroyo'!AR791-E791))/E791</f>
        <v>0</v>
      </c>
      <c r="V791" s="49">
        <f>(100*('GA Arroyo'!AU791-E791))/E791</f>
        <v>14.897242741168727</v>
      </c>
      <c r="W791" s="49">
        <f>(100*('GA Arroyo'!AX791-E791))/E791</f>
        <v>9.0872522489577996</v>
      </c>
    </row>
    <row r="792" spans="2:23" ht="15" customHeight="1">
      <c r="B792">
        <f>MIN('GA Arroyo'!B792,'GA Arroyo'!E792,'GA Arroyo'!H792,'GA Arroyo'!K792)</f>
        <v>1421080</v>
      </c>
      <c r="C792">
        <f>MIN('GA Arroyo'!O792, 'GA Arroyo'!R792, 'GA Arroyo'!U792, 'GA Arroyo'!X792)</f>
        <v>1457860</v>
      </c>
      <c r="D792">
        <f>MIN('GA Arroyo'!AB792, 'GA Arroyo'!AE792, 'GA Arroyo'!AH792, 'GA Arroyo'!AK792)</f>
        <v>1374220</v>
      </c>
      <c r="E792">
        <f>MIN('GA Arroyo'!AO792, 'GA Arroyo'!AR792, 'GA Arroyo'!AU792, 'GA Arroyo'!AX792)</f>
        <v>1392440</v>
      </c>
      <c r="G792" s="45">
        <f t="shared" si="64"/>
        <v>1374220</v>
      </c>
      <c r="I792" s="49">
        <f t="shared" si="65"/>
        <v>3.409934362765787</v>
      </c>
      <c r="J792" s="49">
        <f t="shared" si="66"/>
        <v>6.086361717919984</v>
      </c>
      <c r="K792" s="49">
        <f t="shared" si="67"/>
        <v>0</v>
      </c>
      <c r="L792" s="49">
        <f t="shared" si="68"/>
        <v>1.325843023678887</v>
      </c>
      <c r="T792" s="49">
        <f>(100*('GA Arroyo'!AO792-E792))/E792</f>
        <v>15.260980724483641</v>
      </c>
      <c r="U792" s="49">
        <f>(100*('GA Arroyo'!AR792-E792))/E792</f>
        <v>0</v>
      </c>
      <c r="V792" s="49">
        <f>(100*('GA Arroyo'!AU792-E792))/E792</f>
        <v>1.0032748269225245</v>
      </c>
      <c r="W792" s="49">
        <f>(100*('GA Arroyo'!AX792-E792))/E792</f>
        <v>6.1395823159346188</v>
      </c>
    </row>
    <row r="793" spans="2:23" ht="15" customHeight="1">
      <c r="B793">
        <f>MIN('GA Arroyo'!B793,'GA Arroyo'!E793,'GA Arroyo'!H793,'GA Arroyo'!K793)</f>
        <v>1380990</v>
      </c>
      <c r="C793">
        <f>MIN('GA Arroyo'!O793, 'GA Arroyo'!R793, 'GA Arroyo'!U793, 'GA Arroyo'!X793)</f>
        <v>1443660</v>
      </c>
      <c r="D793">
        <f>MIN('GA Arroyo'!AB793, 'GA Arroyo'!AE793, 'GA Arroyo'!AH793, 'GA Arroyo'!AK793)</f>
        <v>1348830</v>
      </c>
      <c r="E793">
        <f>MIN('GA Arroyo'!AO793, 'GA Arroyo'!AR793, 'GA Arroyo'!AU793, 'GA Arroyo'!AX793)</f>
        <v>1341450</v>
      </c>
      <c r="G793" s="45">
        <f t="shared" si="64"/>
        <v>1341450</v>
      </c>
      <c r="I793" s="49">
        <f t="shared" si="65"/>
        <v>2.9475567482947556</v>
      </c>
      <c r="J793" s="49">
        <f t="shared" si="66"/>
        <v>7.6193671027619363</v>
      </c>
      <c r="K793" s="49">
        <f t="shared" si="67"/>
        <v>0.55015095605501507</v>
      </c>
      <c r="L793" s="49">
        <f t="shared" si="68"/>
        <v>0</v>
      </c>
      <c r="T793" s="49">
        <f>(100*('GA Arroyo'!AO793-E793))/E793</f>
        <v>4.08960453240896</v>
      </c>
      <c r="U793" s="49">
        <f>(100*('GA Arroyo'!AR793-E793))/E793</f>
        <v>0</v>
      </c>
      <c r="V793" s="49">
        <f>(100*('GA Arroyo'!AU793-E793))/E793</f>
        <v>6.4728465466472844</v>
      </c>
      <c r="W793" s="49">
        <f>(100*('GA Arroyo'!AX793-E793))/E793</f>
        <v>7.8027507547802752</v>
      </c>
    </row>
    <row r="794" spans="2:23" ht="15" customHeight="1">
      <c r="B794">
        <f>MIN('GA Arroyo'!B794,'GA Arroyo'!E794,'GA Arroyo'!H794,'GA Arroyo'!K794)</f>
        <v>1326750</v>
      </c>
      <c r="C794">
        <f>MIN('GA Arroyo'!O794, 'GA Arroyo'!R794, 'GA Arroyo'!U794, 'GA Arroyo'!X794)</f>
        <v>1427960</v>
      </c>
      <c r="D794">
        <f>MIN('GA Arroyo'!AB794, 'GA Arroyo'!AE794, 'GA Arroyo'!AH794, 'GA Arroyo'!AK794)</f>
        <v>1404710</v>
      </c>
      <c r="E794">
        <f>MIN('GA Arroyo'!AO794, 'GA Arroyo'!AR794, 'GA Arroyo'!AU794, 'GA Arroyo'!AX794)</f>
        <v>1371570</v>
      </c>
      <c r="G794" s="45">
        <f t="shared" si="64"/>
        <v>1326750</v>
      </c>
      <c r="I794" s="49">
        <f t="shared" si="65"/>
        <v>0</v>
      </c>
      <c r="J794" s="49">
        <f t="shared" si="66"/>
        <v>7.6284153005464477</v>
      </c>
      <c r="K794" s="49">
        <f t="shared" si="67"/>
        <v>5.8760128132654987</v>
      </c>
      <c r="L794" s="49">
        <f t="shared" si="68"/>
        <v>3.3781797625777275</v>
      </c>
      <c r="T794" s="49">
        <f>(100*('GA Arroyo'!AO794-E794))/E794</f>
        <v>1.2379973315251864</v>
      </c>
      <c r="U794" s="49">
        <f>(100*('GA Arroyo'!AR794-E794))/E794</f>
        <v>5.762009959389605</v>
      </c>
      <c r="V794" s="49">
        <f>(100*('GA Arroyo'!AU794-E794))/E794</f>
        <v>7.1895710754828412</v>
      </c>
      <c r="W794" s="49">
        <f>(100*('GA Arroyo'!AX794-E794))/E794</f>
        <v>0</v>
      </c>
    </row>
    <row r="795" spans="2:23" ht="15" customHeight="1">
      <c r="B795">
        <f>MIN('GA Arroyo'!B795,'GA Arroyo'!E795,'GA Arroyo'!H795,'GA Arroyo'!K795)</f>
        <v>1299010</v>
      </c>
      <c r="C795">
        <f>MIN('GA Arroyo'!O795, 'GA Arroyo'!R795, 'GA Arroyo'!U795, 'GA Arroyo'!X795)</f>
        <v>1356980</v>
      </c>
      <c r="D795">
        <f>MIN('GA Arroyo'!AB795, 'GA Arroyo'!AE795, 'GA Arroyo'!AH795, 'GA Arroyo'!AK795)</f>
        <v>1326150</v>
      </c>
      <c r="E795">
        <f>MIN('GA Arroyo'!AO795, 'GA Arroyo'!AR795, 'GA Arroyo'!AU795, 'GA Arroyo'!AX795)</f>
        <v>1288230</v>
      </c>
      <c r="G795" s="45">
        <f t="shared" si="64"/>
        <v>1288230</v>
      </c>
      <c r="I795" s="49">
        <f t="shared" si="65"/>
        <v>0.83680709190129088</v>
      </c>
      <c r="J795" s="49">
        <f t="shared" si="66"/>
        <v>5.3367799228398658</v>
      </c>
      <c r="K795" s="49">
        <f t="shared" si="67"/>
        <v>2.9435737407140028</v>
      </c>
      <c r="L795" s="49">
        <f t="shared" si="68"/>
        <v>0</v>
      </c>
      <c r="T795" s="49">
        <f>(100*('GA Arroyo'!AO795-E795))/E795</f>
        <v>8.4767471647143751</v>
      </c>
      <c r="U795" s="49">
        <f>(100*('GA Arroyo'!AR795-E795))/E795</f>
        <v>0</v>
      </c>
      <c r="V795" s="49">
        <f>(100*('GA Arroyo'!AU795-E795))/E795</f>
        <v>18.097699944885619</v>
      </c>
      <c r="W795" s="49">
        <f>(100*('GA Arroyo'!AX795-E795))/E795</f>
        <v>10.550134680918781</v>
      </c>
    </row>
    <row r="796" spans="2:23" ht="15" customHeight="1">
      <c r="B796">
        <f>MIN('GA Arroyo'!B796,'GA Arroyo'!E796,'GA Arroyo'!H796,'GA Arroyo'!K796)</f>
        <v>1304720</v>
      </c>
      <c r="C796">
        <f>MIN('GA Arroyo'!O796, 'GA Arroyo'!R796, 'GA Arroyo'!U796, 'GA Arroyo'!X796)</f>
        <v>1376100</v>
      </c>
      <c r="D796">
        <f>MIN('GA Arroyo'!AB796, 'GA Arroyo'!AE796, 'GA Arroyo'!AH796, 'GA Arroyo'!AK796)</f>
        <v>1242670</v>
      </c>
      <c r="E796">
        <f>MIN('GA Arroyo'!AO796, 'GA Arroyo'!AR796, 'GA Arroyo'!AU796, 'GA Arroyo'!AX796)</f>
        <v>1376850</v>
      </c>
      <c r="G796" s="45">
        <f t="shared" si="64"/>
        <v>1242670</v>
      </c>
      <c r="I796" s="49">
        <f t="shared" si="65"/>
        <v>4.9932805974232899</v>
      </c>
      <c r="J796" s="49">
        <f t="shared" si="66"/>
        <v>10.737363901920864</v>
      </c>
      <c r="K796" s="49">
        <f t="shared" si="67"/>
        <v>0</v>
      </c>
      <c r="L796" s="49">
        <f t="shared" si="68"/>
        <v>10.797717817280533</v>
      </c>
      <c r="T796" s="49">
        <f>(100*('GA Arroyo'!AO796-E796))/E796</f>
        <v>0.40091513236736026</v>
      </c>
      <c r="U796" s="49">
        <f>(100*('GA Arroyo'!AR796-E796))/E796</f>
        <v>0</v>
      </c>
      <c r="V796" s="49">
        <f>(100*('GA Arroyo'!AU796-E796))/E796</f>
        <v>2.0793841013908558</v>
      </c>
      <c r="W796" s="49">
        <f>(100*('GA Arroyo'!AX796-E796))/E796</f>
        <v>1.1039692050695429</v>
      </c>
    </row>
    <row r="797" spans="2:23" ht="15" customHeight="1">
      <c r="B797">
        <f>MIN('GA Arroyo'!B797,'GA Arroyo'!E797,'GA Arroyo'!H797,'GA Arroyo'!K797)</f>
        <v>1391940</v>
      </c>
      <c r="C797">
        <f>MIN('GA Arroyo'!O797, 'GA Arroyo'!R797, 'GA Arroyo'!U797, 'GA Arroyo'!X797)</f>
        <v>1436740</v>
      </c>
      <c r="D797">
        <f>MIN('GA Arroyo'!AB797, 'GA Arroyo'!AE797, 'GA Arroyo'!AH797, 'GA Arroyo'!AK797)</f>
        <v>1360990</v>
      </c>
      <c r="E797">
        <f>MIN('GA Arroyo'!AO797, 'GA Arroyo'!AR797, 'GA Arroyo'!AU797, 'GA Arroyo'!AX797)</f>
        <v>1347980</v>
      </c>
      <c r="G797" s="45">
        <f t="shared" si="64"/>
        <v>1347980</v>
      </c>
      <c r="I797" s="49">
        <f t="shared" si="65"/>
        <v>3.261175981839493</v>
      </c>
      <c r="J797" s="49">
        <f t="shared" si="66"/>
        <v>6.584667428300123</v>
      </c>
      <c r="K797" s="49">
        <f t="shared" si="67"/>
        <v>0.96514785085832133</v>
      </c>
      <c r="L797" s="49">
        <f t="shared" si="68"/>
        <v>0</v>
      </c>
      <c r="T797" s="49">
        <f>(100*('GA Arroyo'!AO797-E797))/E797</f>
        <v>8.3413700500007426</v>
      </c>
      <c r="U797" s="49">
        <f>(100*('GA Arroyo'!AR797-E797))/E797</f>
        <v>0</v>
      </c>
      <c r="V797" s="49">
        <f>(100*('GA Arroyo'!AU797-E797))/E797</f>
        <v>0.37834389234261634</v>
      </c>
      <c r="W797" s="49">
        <f>(100*('GA Arroyo'!AX797-E797))/E797</f>
        <v>7.0550008160358466</v>
      </c>
    </row>
    <row r="798" spans="2:23" ht="15" customHeight="1">
      <c r="B798">
        <f>MIN('GA Arroyo'!B798,'GA Arroyo'!E798,'GA Arroyo'!H798,'GA Arroyo'!K798)</f>
        <v>1255440</v>
      </c>
      <c r="C798">
        <f>MIN('GA Arroyo'!O798, 'GA Arroyo'!R798, 'GA Arroyo'!U798, 'GA Arroyo'!X798)</f>
        <v>1303660</v>
      </c>
      <c r="D798">
        <f>MIN('GA Arroyo'!AB798, 'GA Arroyo'!AE798, 'GA Arroyo'!AH798, 'GA Arroyo'!AK798)</f>
        <v>1222190</v>
      </c>
      <c r="E798">
        <f>MIN('GA Arroyo'!AO798, 'GA Arroyo'!AR798, 'GA Arroyo'!AU798, 'GA Arroyo'!AX798)</f>
        <v>1232320</v>
      </c>
      <c r="G798" s="45">
        <f t="shared" si="64"/>
        <v>1222190</v>
      </c>
      <c r="I798" s="49">
        <f t="shared" si="65"/>
        <v>2.7205262684198037</v>
      </c>
      <c r="J798" s="49">
        <f t="shared" si="66"/>
        <v>6.6659030101702683</v>
      </c>
      <c r="K798" s="49">
        <f t="shared" si="67"/>
        <v>0</v>
      </c>
      <c r="L798" s="49">
        <f t="shared" si="68"/>
        <v>0.82884003305541687</v>
      </c>
      <c r="T798" s="49">
        <f>(100*('GA Arroyo'!AO798-E798))/E798</f>
        <v>1.9272591534666321</v>
      </c>
      <c r="U798" s="49">
        <f>(100*('GA Arroyo'!AR798-E798))/E798</f>
        <v>5.184529992209816</v>
      </c>
      <c r="V798" s="49">
        <f>(100*('GA Arroyo'!AU798-E798))/E798</f>
        <v>0</v>
      </c>
      <c r="W798" s="49">
        <f>(100*('GA Arroyo'!AX798-E798))/E798</f>
        <v>2.9286224357309791</v>
      </c>
    </row>
    <row r="799" spans="2:23" ht="15" customHeight="1">
      <c r="B799">
        <f>MIN('GA Arroyo'!B799,'GA Arroyo'!E799,'GA Arroyo'!H799,'GA Arroyo'!K799)</f>
        <v>1415440</v>
      </c>
      <c r="C799">
        <f>MIN('GA Arroyo'!O799, 'GA Arroyo'!R799, 'GA Arroyo'!U799, 'GA Arroyo'!X799)</f>
        <v>1459210</v>
      </c>
      <c r="D799">
        <f>MIN('GA Arroyo'!AB799, 'GA Arroyo'!AE799, 'GA Arroyo'!AH799, 'GA Arroyo'!AK799)</f>
        <v>1435920</v>
      </c>
      <c r="E799">
        <f>MIN('GA Arroyo'!AO799, 'GA Arroyo'!AR799, 'GA Arroyo'!AU799, 'GA Arroyo'!AX799)</f>
        <v>1426650</v>
      </c>
      <c r="G799" s="45">
        <f t="shared" si="64"/>
        <v>1415440</v>
      </c>
      <c r="I799" s="49">
        <f t="shared" si="65"/>
        <v>0</v>
      </c>
      <c r="J799" s="49">
        <f t="shared" si="66"/>
        <v>3.0923246481659414</v>
      </c>
      <c r="K799" s="49">
        <f t="shared" si="67"/>
        <v>1.4468999039168033</v>
      </c>
      <c r="L799" s="49">
        <f t="shared" si="68"/>
        <v>0.79197987904821121</v>
      </c>
      <c r="T799" s="49">
        <f>(100*('GA Arroyo'!AO799-E799))/E799</f>
        <v>8.2907510601759373</v>
      </c>
      <c r="U799" s="49">
        <f>(100*('GA Arroyo'!AR799-E799))/E799</f>
        <v>3.1430273718150912</v>
      </c>
      <c r="V799" s="49">
        <f>(100*('GA Arroyo'!AU799-E799))/E799</f>
        <v>7.7699505835348548</v>
      </c>
      <c r="W799" s="49">
        <f>(100*('GA Arroyo'!AX799-E799))/E799</f>
        <v>0</v>
      </c>
    </row>
    <row r="800" spans="2:23" ht="15" customHeight="1">
      <c r="B800">
        <f>MIN('GA Arroyo'!B800,'GA Arroyo'!E800,'GA Arroyo'!H800,'GA Arroyo'!K800)</f>
        <v>1408600</v>
      </c>
      <c r="C800">
        <f>MIN('GA Arroyo'!O800, 'GA Arroyo'!R800, 'GA Arroyo'!U800, 'GA Arroyo'!X800)</f>
        <v>1433260</v>
      </c>
      <c r="D800">
        <f>MIN('GA Arroyo'!AB800, 'GA Arroyo'!AE800, 'GA Arroyo'!AH800, 'GA Arroyo'!AK800)</f>
        <v>1407070</v>
      </c>
      <c r="E800">
        <f>MIN('GA Arroyo'!AO800, 'GA Arroyo'!AR800, 'GA Arroyo'!AU800, 'GA Arroyo'!AX800)</f>
        <v>1370110</v>
      </c>
      <c r="G800" s="45">
        <f t="shared" si="64"/>
        <v>1370110</v>
      </c>
      <c r="I800" s="49">
        <f t="shared" si="65"/>
        <v>2.8092634897927904</v>
      </c>
      <c r="J800" s="49">
        <f t="shared" si="66"/>
        <v>4.6091189758486548</v>
      </c>
      <c r="K800" s="49">
        <f t="shared" si="67"/>
        <v>2.6975936238696163</v>
      </c>
      <c r="L800" s="49">
        <f t="shared" si="68"/>
        <v>0</v>
      </c>
      <c r="T800" s="49">
        <f>(100*('GA Arroyo'!AO800-E800))/E800</f>
        <v>1.1561115530869783</v>
      </c>
      <c r="U800" s="49">
        <f>(100*('GA Arroyo'!AR800-E800))/E800</f>
        <v>5.3601535643123546</v>
      </c>
      <c r="V800" s="49">
        <f>(100*('GA Arroyo'!AU800-E800))/E800</f>
        <v>0</v>
      </c>
      <c r="W800" s="49">
        <f>(100*('GA Arroyo'!AX800-E800))/E800</f>
        <v>1.8414579851252819</v>
      </c>
    </row>
    <row r="801" spans="2:23" ht="15" customHeight="1">
      <c r="B801">
        <f>MIN('GA Arroyo'!B801,'GA Arroyo'!E801,'GA Arroyo'!H801,'GA Arroyo'!K801)</f>
        <v>1329280</v>
      </c>
      <c r="C801">
        <f>MIN('GA Arroyo'!O801, 'GA Arroyo'!R801, 'GA Arroyo'!U801, 'GA Arroyo'!X801)</f>
        <v>1324610</v>
      </c>
      <c r="D801">
        <f>MIN('GA Arroyo'!AB801, 'GA Arroyo'!AE801, 'GA Arroyo'!AH801, 'GA Arroyo'!AK801)</f>
        <v>1283120</v>
      </c>
      <c r="E801">
        <f>MIN('GA Arroyo'!AO801, 'GA Arroyo'!AR801, 'GA Arroyo'!AU801, 'GA Arroyo'!AX801)</f>
        <v>1287950</v>
      </c>
      <c r="G801" s="45">
        <f t="shared" si="64"/>
        <v>1283120</v>
      </c>
      <c r="I801" s="49">
        <f t="shared" si="65"/>
        <v>3.597481139721928</v>
      </c>
      <c r="J801" s="49">
        <f t="shared" si="66"/>
        <v>3.2335245339485006</v>
      </c>
      <c r="K801" s="49">
        <f t="shared" si="67"/>
        <v>0</v>
      </c>
      <c r="L801" s="49">
        <f t="shared" si="68"/>
        <v>0.37642621111041835</v>
      </c>
      <c r="T801" s="49">
        <f>(100*('GA Arroyo'!AO801-E801))/E801</f>
        <v>8.4778135797197098</v>
      </c>
      <c r="U801" s="49">
        <f>(100*('GA Arroyo'!AR801-E801))/E801</f>
        <v>3.3479560541946505</v>
      </c>
      <c r="V801" s="49">
        <f>(100*('GA Arroyo'!AU801-E801))/E801</f>
        <v>0</v>
      </c>
      <c r="W801" s="49">
        <f>(100*('GA Arroyo'!AX801-E801))/E801</f>
        <v>1.4790946853526923</v>
      </c>
    </row>
    <row r="802" spans="2:23" ht="15" customHeight="1">
      <c r="B802">
        <f>MIN('GA Arroyo'!B802,'GA Arroyo'!E802,'GA Arroyo'!H802,'GA Arroyo'!K802)</f>
        <v>1416940</v>
      </c>
      <c r="C802">
        <f>MIN('GA Arroyo'!O802, 'GA Arroyo'!R802, 'GA Arroyo'!U802, 'GA Arroyo'!X802)</f>
        <v>1374710</v>
      </c>
      <c r="D802">
        <f>MIN('GA Arroyo'!AB802, 'GA Arroyo'!AE802, 'GA Arroyo'!AH802, 'GA Arroyo'!AK802)</f>
        <v>1367000</v>
      </c>
      <c r="E802">
        <f>MIN('GA Arroyo'!AO802, 'GA Arroyo'!AR802, 'GA Arroyo'!AU802, 'GA Arroyo'!AX802)</f>
        <v>1421920</v>
      </c>
      <c r="G802" s="45">
        <f t="shared" si="64"/>
        <v>1367000</v>
      </c>
      <c r="I802" s="49">
        <f t="shared" si="65"/>
        <v>3.6532553035844915</v>
      </c>
      <c r="J802" s="49">
        <f t="shared" si="66"/>
        <v>0.56400877834674468</v>
      </c>
      <c r="K802" s="49">
        <f t="shared" si="67"/>
        <v>0</v>
      </c>
      <c r="L802" s="49">
        <f t="shared" si="68"/>
        <v>4.0175566934893929</v>
      </c>
      <c r="T802" s="49">
        <f>(100*('GA Arroyo'!AO802-E802))/E802</f>
        <v>3.9425565432654439</v>
      </c>
      <c r="U802" s="49">
        <f>(100*('GA Arroyo'!AR802-E802))/E802</f>
        <v>5.2590863058399906</v>
      </c>
      <c r="V802" s="49">
        <f>(100*('GA Arroyo'!AU802-E802))/E802</f>
        <v>0.36710926071790256</v>
      </c>
      <c r="W802" s="49">
        <f>(100*('GA Arroyo'!AX802-E802))/E802</f>
        <v>0</v>
      </c>
    </row>
    <row r="803" spans="2:23" ht="15" customHeight="1">
      <c r="B803">
        <f>MIN('GA Arroyo'!B803,'GA Arroyo'!E803,'GA Arroyo'!H803,'GA Arroyo'!K803)</f>
        <v>1317570</v>
      </c>
      <c r="C803">
        <f>MIN('GA Arroyo'!O803, 'GA Arroyo'!R803, 'GA Arroyo'!U803, 'GA Arroyo'!X803)</f>
        <v>1344580</v>
      </c>
      <c r="D803">
        <f>MIN('GA Arroyo'!AB803, 'GA Arroyo'!AE803, 'GA Arroyo'!AH803, 'GA Arroyo'!AK803)</f>
        <v>1312260</v>
      </c>
      <c r="E803">
        <f>MIN('GA Arroyo'!AO803, 'GA Arroyo'!AR803, 'GA Arroyo'!AU803, 'GA Arroyo'!AX803)</f>
        <v>1295160</v>
      </c>
      <c r="G803" s="45">
        <f t="shared" si="64"/>
        <v>1295160</v>
      </c>
      <c r="I803" s="49">
        <f t="shared" si="65"/>
        <v>1.7302881497266747</v>
      </c>
      <c r="J803" s="49">
        <f t="shared" si="66"/>
        <v>3.8157447728465983</v>
      </c>
      <c r="K803" s="49">
        <f t="shared" si="67"/>
        <v>1.320300194570555</v>
      </c>
      <c r="L803" s="49">
        <f t="shared" si="68"/>
        <v>0</v>
      </c>
      <c r="T803" s="49">
        <f>(100*('GA Arroyo'!AO803-E803))/E803</f>
        <v>2.7286204021124805</v>
      </c>
      <c r="U803" s="49">
        <f>(100*('GA Arroyo'!AR803-E803))/E803</f>
        <v>0</v>
      </c>
      <c r="V803" s="49">
        <f>(100*('GA Arroyo'!AU803-E803))/E803</f>
        <v>5.2703913030050344</v>
      </c>
      <c r="W803" s="49">
        <f>(100*('GA Arroyo'!AX803-E803))/E803</f>
        <v>10.133110966984773</v>
      </c>
    </row>
    <row r="804" spans="2:23" ht="15" customHeight="1">
      <c r="B804">
        <f>MIN('GA Arroyo'!B804,'GA Arroyo'!E804,'GA Arroyo'!H804,'GA Arroyo'!K804)</f>
        <v>1426950</v>
      </c>
      <c r="C804">
        <f>MIN('GA Arroyo'!O804, 'GA Arroyo'!R804, 'GA Arroyo'!U804, 'GA Arroyo'!X804)</f>
        <v>1488950</v>
      </c>
      <c r="D804">
        <f>MIN('GA Arroyo'!AB804, 'GA Arroyo'!AE804, 'GA Arroyo'!AH804, 'GA Arroyo'!AK804)</f>
        <v>1443020</v>
      </c>
      <c r="E804">
        <f>MIN('GA Arroyo'!AO804, 'GA Arroyo'!AR804, 'GA Arroyo'!AU804, 'GA Arroyo'!AX804)</f>
        <v>1387550</v>
      </c>
      <c r="G804" s="45">
        <f t="shared" si="64"/>
        <v>1387550</v>
      </c>
      <c r="I804" s="49">
        <f t="shared" si="65"/>
        <v>2.8395373139706677</v>
      </c>
      <c r="J804" s="49">
        <f t="shared" si="66"/>
        <v>7.3078447623509062</v>
      </c>
      <c r="K804" s="49">
        <f t="shared" si="67"/>
        <v>3.997693776800836</v>
      </c>
      <c r="L804" s="49">
        <f t="shared" si="68"/>
        <v>0</v>
      </c>
      <c r="T804" s="49">
        <f>(100*('GA Arroyo'!AO804-E804))/E804</f>
        <v>9.6104644877662064</v>
      </c>
      <c r="U804" s="49">
        <f>(100*('GA Arroyo'!AR804-E804))/E804</f>
        <v>0</v>
      </c>
      <c r="V804" s="49">
        <f>(100*('GA Arroyo'!AU804-E804))/E804</f>
        <v>7.8022413606716876</v>
      </c>
      <c r="W804" s="49">
        <f>(100*('GA Arroyo'!AX804-E804))/E804</f>
        <v>5.5695290259810459</v>
      </c>
    </row>
    <row r="805" spans="2:23" ht="15" customHeight="1">
      <c r="B805">
        <f>MIN('GA Arroyo'!B805,'GA Arroyo'!E805,'GA Arroyo'!H805,'GA Arroyo'!K805)</f>
        <v>1367250</v>
      </c>
      <c r="C805">
        <f>MIN('GA Arroyo'!O805, 'GA Arroyo'!R805, 'GA Arroyo'!U805, 'GA Arroyo'!X805)</f>
        <v>1331920</v>
      </c>
      <c r="D805">
        <f>MIN('GA Arroyo'!AB805, 'GA Arroyo'!AE805, 'GA Arroyo'!AH805, 'GA Arroyo'!AK805)</f>
        <v>1342550</v>
      </c>
      <c r="E805">
        <f>MIN('GA Arroyo'!AO805, 'GA Arroyo'!AR805, 'GA Arroyo'!AU805, 'GA Arroyo'!AX805)</f>
        <v>1339350</v>
      </c>
      <c r="G805" s="45">
        <f t="shared" si="64"/>
        <v>1331920</v>
      </c>
      <c r="I805" s="49">
        <f t="shared" si="65"/>
        <v>2.6525617154183436</v>
      </c>
      <c r="J805" s="49">
        <f t="shared" si="66"/>
        <v>0</v>
      </c>
      <c r="K805" s="49">
        <f t="shared" si="67"/>
        <v>0.79809598174064511</v>
      </c>
      <c r="L805" s="49">
        <f t="shared" si="68"/>
        <v>0.5578413117904979</v>
      </c>
      <c r="T805" s="49">
        <f>(100*('GA Arroyo'!AO805-E805))/E805</f>
        <v>6.1955426139545304</v>
      </c>
      <c r="U805" s="49">
        <f>(100*('GA Arroyo'!AR805-E805))/E805</f>
        <v>0.7742561690372195</v>
      </c>
      <c r="V805" s="49">
        <f>(100*('GA Arroyo'!AU805-E805))/E805</f>
        <v>0</v>
      </c>
      <c r="W805" s="49">
        <f>(100*('GA Arroyo'!AX805-E805))/E805</f>
        <v>3.2918953223578602</v>
      </c>
    </row>
    <row r="806" spans="2:23" ht="15" customHeight="1">
      <c r="B806">
        <f>MIN('GA Arroyo'!B806,'GA Arroyo'!E806,'GA Arroyo'!H806,'GA Arroyo'!K806)</f>
        <v>1449470</v>
      </c>
      <c r="C806">
        <f>MIN('GA Arroyo'!O806, 'GA Arroyo'!R806, 'GA Arroyo'!U806, 'GA Arroyo'!X806)</f>
        <v>1534380</v>
      </c>
      <c r="D806">
        <f>MIN('GA Arroyo'!AB806, 'GA Arroyo'!AE806, 'GA Arroyo'!AH806, 'GA Arroyo'!AK806)</f>
        <v>1470890</v>
      </c>
      <c r="E806">
        <f>MIN('GA Arroyo'!AO806, 'GA Arroyo'!AR806, 'GA Arroyo'!AU806, 'GA Arroyo'!AX806)</f>
        <v>1469710</v>
      </c>
      <c r="G806" s="45">
        <f t="shared" si="64"/>
        <v>1449470</v>
      </c>
      <c r="I806" s="49">
        <f t="shared" si="65"/>
        <v>0</v>
      </c>
      <c r="J806" s="49">
        <f t="shared" si="66"/>
        <v>5.8580032701608173</v>
      </c>
      <c r="K806" s="49">
        <f t="shared" si="67"/>
        <v>1.4777815339399918</v>
      </c>
      <c r="L806" s="49">
        <f t="shared" si="68"/>
        <v>1.3963724671776581</v>
      </c>
      <c r="T806" s="49">
        <f>(100*('GA Arroyo'!AO806-E806))/E806</f>
        <v>3.6850807302120825</v>
      </c>
      <c r="U806" s="49">
        <f>(100*('GA Arroyo'!AR806-E806))/E806</f>
        <v>0</v>
      </c>
      <c r="V806" s="49">
        <f>(100*('GA Arroyo'!AU806-E806))/E806</f>
        <v>0.26739969109552225</v>
      </c>
      <c r="W806" s="49">
        <f>(100*('GA Arroyo'!AX806-E806))/E806</f>
        <v>2.990385858434657</v>
      </c>
    </row>
    <row r="807" spans="2:23" ht="15" customHeight="1">
      <c r="B807">
        <f>MIN('GA Arroyo'!B807,'GA Arroyo'!E807,'GA Arroyo'!H807,'GA Arroyo'!K807)</f>
        <v>1529230</v>
      </c>
      <c r="C807">
        <f>MIN('GA Arroyo'!O807, 'GA Arroyo'!R807, 'GA Arroyo'!U807, 'GA Arroyo'!X807)</f>
        <v>1509690</v>
      </c>
      <c r="D807">
        <f>MIN('GA Arroyo'!AB807, 'GA Arroyo'!AE807, 'GA Arroyo'!AH807, 'GA Arroyo'!AK807)</f>
        <v>1446350</v>
      </c>
      <c r="E807">
        <f>MIN('GA Arroyo'!AO807, 'GA Arroyo'!AR807, 'GA Arroyo'!AU807, 'GA Arroyo'!AX807)</f>
        <v>1485650</v>
      </c>
      <c r="G807" s="45">
        <f t="shared" si="64"/>
        <v>1446350</v>
      </c>
      <c r="I807" s="49">
        <f t="shared" si="65"/>
        <v>5.7302865834687315</v>
      </c>
      <c r="J807" s="49">
        <f t="shared" si="66"/>
        <v>4.3792996162754516</v>
      </c>
      <c r="K807" s="49">
        <f t="shared" si="67"/>
        <v>0</v>
      </c>
      <c r="L807" s="49">
        <f t="shared" si="68"/>
        <v>2.7171846371901682</v>
      </c>
      <c r="T807" s="49">
        <f>(100*('GA Arroyo'!AO807-E807))/E807</f>
        <v>6.1286305657456328</v>
      </c>
      <c r="U807" s="49">
        <f>(100*('GA Arroyo'!AR807-E807))/E807</f>
        <v>0</v>
      </c>
      <c r="V807" s="49">
        <f>(100*('GA Arroyo'!AU807-E807))/E807</f>
        <v>3.3675495574327736</v>
      </c>
      <c r="W807" s="49">
        <f>(100*('GA Arroyo'!AX807-E807))/E807</f>
        <v>1.9324874633998586</v>
      </c>
    </row>
    <row r="808" spans="2:23" ht="15" customHeight="1">
      <c r="B808">
        <f>MIN('GA Arroyo'!B808,'GA Arroyo'!E808,'GA Arroyo'!H808,'GA Arroyo'!K808)</f>
        <v>1230400</v>
      </c>
      <c r="C808">
        <f>MIN('GA Arroyo'!O808, 'GA Arroyo'!R808, 'GA Arroyo'!U808, 'GA Arroyo'!X808)</f>
        <v>1315710</v>
      </c>
      <c r="D808">
        <f>MIN('GA Arroyo'!AB808, 'GA Arroyo'!AE808, 'GA Arroyo'!AH808, 'GA Arroyo'!AK808)</f>
        <v>1325950</v>
      </c>
      <c r="E808">
        <f>MIN('GA Arroyo'!AO808, 'GA Arroyo'!AR808, 'GA Arroyo'!AU808, 'GA Arroyo'!AX808)</f>
        <v>1271440</v>
      </c>
      <c r="G808" s="45">
        <f t="shared" si="64"/>
        <v>1230400</v>
      </c>
      <c r="I808" s="49">
        <f t="shared" si="65"/>
        <v>0</v>
      </c>
      <c r="J808" s="49">
        <f t="shared" si="66"/>
        <v>6.9335175552665795</v>
      </c>
      <c r="K808" s="49">
        <f t="shared" si="67"/>
        <v>7.7657672301690504</v>
      </c>
      <c r="L808" s="49">
        <f t="shared" si="68"/>
        <v>3.3355006501950584</v>
      </c>
      <c r="T808" s="49">
        <f>(100*('GA Arroyo'!AO808-E808))/E808</f>
        <v>6.8866796702950985</v>
      </c>
      <c r="U808" s="49">
        <f>(100*('GA Arroyo'!AR808-E808))/E808</f>
        <v>2.6843578934121939</v>
      </c>
      <c r="V808" s="49">
        <f>(100*('GA Arroyo'!AU808-E808))/E808</f>
        <v>6.760838104826024</v>
      </c>
      <c r="W808" s="49">
        <f>(100*('GA Arroyo'!AX808-E808))/E808</f>
        <v>0</v>
      </c>
    </row>
    <row r="809" spans="2:23" ht="15" customHeight="1">
      <c r="B809">
        <f>MIN('GA Arroyo'!B809,'GA Arroyo'!E809,'GA Arroyo'!H809,'GA Arroyo'!K809)</f>
        <v>1410140</v>
      </c>
      <c r="C809">
        <f>MIN('GA Arroyo'!O809, 'GA Arroyo'!R809, 'GA Arroyo'!U809, 'GA Arroyo'!X809)</f>
        <v>1435010</v>
      </c>
      <c r="D809">
        <f>MIN('GA Arroyo'!AB809, 'GA Arroyo'!AE809, 'GA Arroyo'!AH809, 'GA Arroyo'!AK809)</f>
        <v>1398480</v>
      </c>
      <c r="E809">
        <f>MIN('GA Arroyo'!AO809, 'GA Arroyo'!AR809, 'GA Arroyo'!AU809, 'GA Arroyo'!AX809)</f>
        <v>1363230</v>
      </c>
      <c r="G809" s="45">
        <f t="shared" si="64"/>
        <v>1363230</v>
      </c>
      <c r="I809" s="49">
        <f t="shared" si="65"/>
        <v>3.4410921121160771</v>
      </c>
      <c r="J809" s="49">
        <f t="shared" si="66"/>
        <v>5.2654357665250915</v>
      </c>
      <c r="K809" s="49">
        <f t="shared" si="67"/>
        <v>2.5857705596267686</v>
      </c>
      <c r="L809" s="49">
        <f t="shared" si="68"/>
        <v>0</v>
      </c>
      <c r="T809" s="49">
        <f>(100*('GA Arroyo'!AO809-E809))/E809</f>
        <v>11.000344769407951</v>
      </c>
      <c r="U809" s="49">
        <f>(100*('GA Arroyo'!AR809-E809))/E809</f>
        <v>8.2994065564871669</v>
      </c>
      <c r="V809" s="49">
        <f>(100*('GA Arroyo'!AU809-E809))/E809</f>
        <v>9.2412872369299386</v>
      </c>
      <c r="W809" s="49">
        <f>(100*('GA Arroyo'!AX809-E809))/E809</f>
        <v>0</v>
      </c>
    </row>
    <row r="810" spans="2:23" ht="15" customHeight="1">
      <c r="B810">
        <f>MIN('GA Arroyo'!B810,'GA Arroyo'!E810,'GA Arroyo'!H810,'GA Arroyo'!K810)</f>
        <v>1364050</v>
      </c>
      <c r="C810">
        <f>MIN('GA Arroyo'!O810, 'GA Arroyo'!R810, 'GA Arroyo'!U810, 'GA Arroyo'!X810)</f>
        <v>1410610</v>
      </c>
      <c r="D810">
        <f>MIN('GA Arroyo'!AB810, 'GA Arroyo'!AE810, 'GA Arroyo'!AH810, 'GA Arroyo'!AK810)</f>
        <v>1324310</v>
      </c>
      <c r="E810">
        <f>MIN('GA Arroyo'!AO810, 'GA Arroyo'!AR810, 'GA Arroyo'!AU810, 'GA Arroyo'!AX810)</f>
        <v>1391070</v>
      </c>
      <c r="G810" s="45">
        <f t="shared" si="64"/>
        <v>1324310</v>
      </c>
      <c r="I810" s="49">
        <f t="shared" si="65"/>
        <v>3.0008079679229183</v>
      </c>
      <c r="J810" s="49">
        <f t="shared" si="66"/>
        <v>6.5166010979302431</v>
      </c>
      <c r="K810" s="49">
        <f t="shared" si="67"/>
        <v>0</v>
      </c>
      <c r="L810" s="49">
        <f t="shared" si="68"/>
        <v>5.0411157508438356</v>
      </c>
      <c r="T810" s="49">
        <f>(100*('GA Arroyo'!AO810-E810))/E810</f>
        <v>1.2508356876361362</v>
      </c>
      <c r="U810" s="49">
        <f>(100*('GA Arroyo'!AR810-E810))/E810</f>
        <v>0.69011624145441997</v>
      </c>
      <c r="V810" s="49">
        <f>(100*('GA Arroyo'!AU810-E810))/E810</f>
        <v>6.1837290718655424</v>
      </c>
      <c r="W810" s="49">
        <f>(100*('GA Arroyo'!AX810-E810))/E810</f>
        <v>0</v>
      </c>
    </row>
    <row r="811" spans="2:23" ht="15" customHeight="1">
      <c r="B811">
        <f>MIN('GA Arroyo'!B811,'GA Arroyo'!E811,'GA Arroyo'!H811,'GA Arroyo'!K811)</f>
        <v>1495380</v>
      </c>
      <c r="C811">
        <f>MIN('GA Arroyo'!O811, 'GA Arroyo'!R811, 'GA Arroyo'!U811, 'GA Arroyo'!X811)</f>
        <v>1440870</v>
      </c>
      <c r="D811">
        <f>MIN('GA Arroyo'!AB811, 'GA Arroyo'!AE811, 'GA Arroyo'!AH811, 'GA Arroyo'!AK811)</f>
        <v>1475330</v>
      </c>
      <c r="E811">
        <f>MIN('GA Arroyo'!AO811, 'GA Arroyo'!AR811, 'GA Arroyo'!AU811, 'GA Arroyo'!AX811)</f>
        <v>1439320</v>
      </c>
      <c r="G811" s="45">
        <f t="shared" si="64"/>
        <v>1439320</v>
      </c>
      <c r="I811" s="49">
        <f t="shared" si="65"/>
        <v>3.8948948114387352</v>
      </c>
      <c r="J811" s="49">
        <f t="shared" si="66"/>
        <v>0.10768974237834533</v>
      </c>
      <c r="K811" s="49">
        <f t="shared" si="67"/>
        <v>2.5018758858349774</v>
      </c>
      <c r="L811" s="49">
        <f t="shared" si="68"/>
        <v>0</v>
      </c>
      <c r="T811" s="49">
        <f>(100*('GA Arroyo'!AO811-E811))/E811</f>
        <v>9.1703026429147094</v>
      </c>
      <c r="U811" s="49">
        <f>(100*('GA Arroyo'!AR811-E811))/E811</f>
        <v>6.904649417780619</v>
      </c>
      <c r="V811" s="49">
        <f>(100*('GA Arroyo'!AU811-E811))/E811</f>
        <v>4.0338493177333739</v>
      </c>
      <c r="W811" s="49">
        <f>(100*('GA Arroyo'!AX811-E811))/E811</f>
        <v>0</v>
      </c>
    </row>
    <row r="812" spans="2:23" ht="15" customHeight="1">
      <c r="B812">
        <f>MIN('GA Arroyo'!B812,'GA Arroyo'!E812,'GA Arroyo'!H812,'GA Arroyo'!K812)</f>
        <v>1331810</v>
      </c>
      <c r="C812">
        <f>MIN('GA Arroyo'!O812, 'GA Arroyo'!R812, 'GA Arroyo'!U812, 'GA Arroyo'!X812)</f>
        <v>1421110</v>
      </c>
      <c r="D812">
        <f>MIN('GA Arroyo'!AB812, 'GA Arroyo'!AE812, 'GA Arroyo'!AH812, 'GA Arroyo'!AK812)</f>
        <v>1346770</v>
      </c>
      <c r="E812">
        <f>MIN('GA Arroyo'!AO812, 'GA Arroyo'!AR812, 'GA Arroyo'!AU812, 'GA Arroyo'!AX812)</f>
        <v>1261560</v>
      </c>
      <c r="G812" s="45">
        <f t="shared" si="64"/>
        <v>1261560</v>
      </c>
      <c r="I812" s="49">
        <f t="shared" si="65"/>
        <v>5.5685024889818955</v>
      </c>
      <c r="J812" s="49">
        <f t="shared" si="66"/>
        <v>12.647040172484861</v>
      </c>
      <c r="K812" s="49">
        <f t="shared" si="67"/>
        <v>6.7543359015821682</v>
      </c>
      <c r="L812" s="49">
        <f t="shared" si="68"/>
        <v>0</v>
      </c>
      <c r="T812" s="49">
        <f>(100*('GA Arroyo'!AO812-E812))/E812</f>
        <v>8.8453977615016335</v>
      </c>
      <c r="U812" s="49">
        <f>(100*('GA Arroyo'!AR812-E812))/E812</f>
        <v>0</v>
      </c>
      <c r="V812" s="49">
        <f>(100*('GA Arroyo'!AU812-E812))/E812</f>
        <v>11.763213798788801</v>
      </c>
      <c r="W812" s="49">
        <f>(100*('GA Arroyo'!AX812-E812))/E812</f>
        <v>13.006912077110879</v>
      </c>
    </row>
    <row r="813" spans="2:23" ht="15" customHeight="1">
      <c r="B813">
        <f>MIN('GA Arroyo'!B813,'GA Arroyo'!E813,'GA Arroyo'!H813,'GA Arroyo'!K813)</f>
        <v>1495770</v>
      </c>
      <c r="C813">
        <f>MIN('GA Arroyo'!O813, 'GA Arroyo'!R813, 'GA Arroyo'!U813, 'GA Arroyo'!X813)</f>
        <v>1573960</v>
      </c>
      <c r="D813">
        <f>MIN('GA Arroyo'!AB813, 'GA Arroyo'!AE813, 'GA Arroyo'!AH813, 'GA Arroyo'!AK813)</f>
        <v>1469110</v>
      </c>
      <c r="E813">
        <f>MIN('GA Arroyo'!AO813, 'GA Arroyo'!AR813, 'GA Arroyo'!AU813, 'GA Arroyo'!AX813)</f>
        <v>1534490</v>
      </c>
      <c r="G813" s="45">
        <f t="shared" si="64"/>
        <v>1469110</v>
      </c>
      <c r="I813" s="49">
        <f t="shared" si="65"/>
        <v>1.8147041406021334</v>
      </c>
      <c r="J813" s="49">
        <f t="shared" si="66"/>
        <v>7.1369740863516009</v>
      </c>
      <c r="K813" s="49">
        <f t="shared" si="67"/>
        <v>0</v>
      </c>
      <c r="L813" s="49">
        <f t="shared" si="68"/>
        <v>4.4503134550850518</v>
      </c>
      <c r="T813" s="49">
        <f>(100*('GA Arroyo'!AO813-E813))/E813</f>
        <v>2.7553128400967095</v>
      </c>
      <c r="U813" s="49">
        <f>(100*('GA Arroyo'!AR813-E813))/E813</f>
        <v>0.43076201213432475</v>
      </c>
      <c r="V813" s="49">
        <f>(100*('GA Arroyo'!AU813-E813))/E813</f>
        <v>2.84068322374209</v>
      </c>
      <c r="W813" s="49">
        <f>(100*('GA Arroyo'!AX813-E813))/E813</f>
        <v>0</v>
      </c>
    </row>
    <row r="814" spans="2:23" ht="15" customHeight="1">
      <c r="B814">
        <f>MIN('GA Arroyo'!B814,'GA Arroyo'!E814,'GA Arroyo'!H814,'GA Arroyo'!K814)</f>
        <v>1549590</v>
      </c>
      <c r="C814">
        <f>MIN('GA Arroyo'!O814, 'GA Arroyo'!R814, 'GA Arroyo'!U814, 'GA Arroyo'!X814)</f>
        <v>1631750</v>
      </c>
      <c r="D814">
        <f>MIN('GA Arroyo'!AB814, 'GA Arroyo'!AE814, 'GA Arroyo'!AH814, 'GA Arroyo'!AK814)</f>
        <v>1594800</v>
      </c>
      <c r="E814">
        <f>MIN('GA Arroyo'!AO814, 'GA Arroyo'!AR814, 'GA Arroyo'!AU814, 'GA Arroyo'!AX814)</f>
        <v>1589760</v>
      </c>
      <c r="G814" s="45">
        <f t="shared" si="64"/>
        <v>1549590</v>
      </c>
      <c r="I814" s="49">
        <f t="shared" si="65"/>
        <v>0</v>
      </c>
      <c r="J814" s="49">
        <f t="shared" si="66"/>
        <v>5.3020476384075792</v>
      </c>
      <c r="K814" s="49">
        <f t="shared" si="67"/>
        <v>2.9175459315044625</v>
      </c>
      <c r="L814" s="49">
        <f t="shared" si="68"/>
        <v>2.5922986080188952</v>
      </c>
      <c r="T814" s="49">
        <f>(100*('GA Arroyo'!AO814-E814))/E814</f>
        <v>0</v>
      </c>
      <c r="U814" s="49">
        <f>(100*('GA Arroyo'!AR814-E814))/E814</f>
        <v>2.8312449677938809</v>
      </c>
      <c r="V814" s="49">
        <f>(100*('GA Arroyo'!AU814-E814))/E814</f>
        <v>0.18241747181964574</v>
      </c>
      <c r="W814" s="49">
        <f>(100*('GA Arroyo'!AX814-E814))/E814</f>
        <v>9.6869967793880837E-2</v>
      </c>
    </row>
    <row r="815" spans="2:23" ht="15" customHeight="1">
      <c r="B815">
        <f>MIN('GA Arroyo'!B815,'GA Arroyo'!E815,'GA Arroyo'!H815,'GA Arroyo'!K815)</f>
        <v>1531370</v>
      </c>
      <c r="C815">
        <f>MIN('GA Arroyo'!O815, 'GA Arroyo'!R815, 'GA Arroyo'!U815, 'GA Arroyo'!X815)</f>
        <v>1525990</v>
      </c>
      <c r="D815">
        <f>MIN('GA Arroyo'!AB815, 'GA Arroyo'!AE815, 'GA Arroyo'!AH815, 'GA Arroyo'!AK815)</f>
        <v>1519590</v>
      </c>
      <c r="E815">
        <f>MIN('GA Arroyo'!AO815, 'GA Arroyo'!AR815, 'GA Arroyo'!AU815, 'GA Arroyo'!AX815)</f>
        <v>1522400</v>
      </c>
      <c r="G815" s="45">
        <f t="shared" si="64"/>
        <v>1519590</v>
      </c>
      <c r="I815" s="49">
        <f t="shared" si="65"/>
        <v>0.77520910245526753</v>
      </c>
      <c r="J815" s="49">
        <f t="shared" si="66"/>
        <v>0.42116623562934741</v>
      </c>
      <c r="K815" s="49">
        <f t="shared" si="67"/>
        <v>0</v>
      </c>
      <c r="L815" s="49">
        <f t="shared" si="68"/>
        <v>0.18491830033101034</v>
      </c>
      <c r="T815" s="49">
        <f>(100*('GA Arroyo'!AO815-E815))/E815</f>
        <v>9.3129269574356286</v>
      </c>
      <c r="U815" s="49">
        <f>(100*('GA Arroyo'!AR815-E815))/E815</f>
        <v>0</v>
      </c>
      <c r="V815" s="49">
        <f>(100*('GA Arroyo'!AU815-E815))/E815</f>
        <v>7.8652128218602204</v>
      </c>
      <c r="W815" s="49">
        <f>(100*('GA Arroyo'!AX815-E815))/E815</f>
        <v>2.7535470310036785</v>
      </c>
    </row>
    <row r="816" spans="2:23" ht="15" customHeight="1">
      <c r="B816">
        <f>MIN('GA Arroyo'!B816,'GA Arroyo'!E816,'GA Arroyo'!H816,'GA Arroyo'!K816)</f>
        <v>1476620</v>
      </c>
      <c r="C816">
        <f>MIN('GA Arroyo'!O816, 'GA Arroyo'!R816, 'GA Arroyo'!U816, 'GA Arroyo'!X816)</f>
        <v>1561820</v>
      </c>
      <c r="D816">
        <f>MIN('GA Arroyo'!AB816, 'GA Arroyo'!AE816, 'GA Arroyo'!AH816, 'GA Arroyo'!AK816)</f>
        <v>1470970</v>
      </c>
      <c r="E816">
        <f>MIN('GA Arroyo'!AO816, 'GA Arroyo'!AR816, 'GA Arroyo'!AU816, 'GA Arroyo'!AX816)</f>
        <v>1456320</v>
      </c>
      <c r="G816" s="45">
        <f t="shared" si="64"/>
        <v>1456320</v>
      </c>
      <c r="I816" s="49">
        <f t="shared" si="65"/>
        <v>1.3939244122170951</v>
      </c>
      <c r="J816" s="49">
        <f t="shared" si="66"/>
        <v>7.2442869698967263</v>
      </c>
      <c r="K816" s="49">
        <f t="shared" si="67"/>
        <v>1.0059602285212041</v>
      </c>
      <c r="L816" s="49">
        <f t="shared" si="68"/>
        <v>0</v>
      </c>
      <c r="T816" s="49">
        <f>(100*('GA Arroyo'!AO816-E816))/E816</f>
        <v>10.65356515051637</v>
      </c>
      <c r="U816" s="49">
        <f>(100*('GA Arroyo'!AR816-E816))/E816</f>
        <v>1.4433640958031202</v>
      </c>
      <c r="V816" s="49">
        <f>(100*('GA Arroyo'!AU816-E816))/E816</f>
        <v>0</v>
      </c>
      <c r="W816" s="49">
        <f>(100*('GA Arroyo'!AX816-E816))/E816</f>
        <v>9.3502801582069868</v>
      </c>
    </row>
    <row r="817" spans="2:23" ht="15" customHeight="1">
      <c r="B817">
        <f>MIN('GA Arroyo'!B817,'GA Arroyo'!E817,'GA Arroyo'!H817,'GA Arroyo'!K817)</f>
        <v>1441160</v>
      </c>
      <c r="C817">
        <f>MIN('GA Arroyo'!O817, 'GA Arroyo'!R817, 'GA Arroyo'!U817, 'GA Arroyo'!X817)</f>
        <v>1509550</v>
      </c>
      <c r="D817">
        <f>MIN('GA Arroyo'!AB817, 'GA Arroyo'!AE817, 'GA Arroyo'!AH817, 'GA Arroyo'!AK817)</f>
        <v>1485840</v>
      </c>
      <c r="E817">
        <f>MIN('GA Arroyo'!AO817, 'GA Arroyo'!AR817, 'GA Arroyo'!AU817, 'GA Arroyo'!AX817)</f>
        <v>1439680</v>
      </c>
      <c r="G817" s="45">
        <f t="shared" si="64"/>
        <v>1439680</v>
      </c>
      <c r="I817" s="49">
        <f t="shared" si="65"/>
        <v>0.10280062236052456</v>
      </c>
      <c r="J817" s="49">
        <f t="shared" si="66"/>
        <v>4.8531618137363859</v>
      </c>
      <c r="K817" s="49">
        <f t="shared" si="67"/>
        <v>3.2062680595687931</v>
      </c>
      <c r="L817" s="49">
        <f t="shared" si="68"/>
        <v>0</v>
      </c>
      <c r="T817" s="49">
        <f>(100*('GA Arroyo'!AO817-E817))/E817</f>
        <v>6.9682151589242052</v>
      </c>
      <c r="U817" s="49">
        <f>(100*('GA Arroyo'!AR817-E817))/E817</f>
        <v>8.3150422316070234</v>
      </c>
      <c r="V817" s="49">
        <f>(100*('GA Arroyo'!AU817-E817))/E817</f>
        <v>0.49316514781062459</v>
      </c>
      <c r="W817" s="49">
        <f>(100*('GA Arroyo'!AX817-E817))/E817</f>
        <v>0</v>
      </c>
    </row>
    <row r="818" spans="2:23" ht="15" customHeight="1">
      <c r="B818">
        <f>MIN('GA Arroyo'!B818,'GA Arroyo'!E818,'GA Arroyo'!H818,'GA Arroyo'!K818)</f>
        <v>1482320</v>
      </c>
      <c r="C818">
        <f>MIN('GA Arroyo'!O818, 'GA Arroyo'!R818, 'GA Arroyo'!U818, 'GA Arroyo'!X818)</f>
        <v>1519720</v>
      </c>
      <c r="D818">
        <f>MIN('GA Arroyo'!AB818, 'GA Arroyo'!AE818, 'GA Arroyo'!AH818, 'GA Arroyo'!AK818)</f>
        <v>1535720</v>
      </c>
      <c r="E818">
        <f>MIN('GA Arroyo'!AO818, 'GA Arroyo'!AR818, 'GA Arroyo'!AU818, 'GA Arroyo'!AX818)</f>
        <v>1512790</v>
      </c>
      <c r="G818" s="45">
        <f t="shared" si="64"/>
        <v>1482320</v>
      </c>
      <c r="I818" s="49">
        <f t="shared" si="65"/>
        <v>0</v>
      </c>
      <c r="J818" s="49">
        <f t="shared" si="66"/>
        <v>2.523071941281235</v>
      </c>
      <c r="K818" s="49">
        <f t="shared" si="67"/>
        <v>3.6024610070699983</v>
      </c>
      <c r="L818" s="49">
        <f t="shared" si="68"/>
        <v>2.0555615521614765</v>
      </c>
      <c r="T818" s="49">
        <f>(100*('GA Arroyo'!AO818-E818))/E818</f>
        <v>1.9837518756734247</v>
      </c>
      <c r="U818" s="49">
        <f>(100*('GA Arroyo'!AR818-E818))/E818</f>
        <v>0</v>
      </c>
      <c r="V818" s="49">
        <f>(100*('GA Arroyo'!AU818-E818))/E818</f>
        <v>8.5695965732190196</v>
      </c>
      <c r="W818" s="49">
        <f>(100*('GA Arroyo'!AX818-E818))/E818</f>
        <v>3.4102552237918018</v>
      </c>
    </row>
    <row r="819" spans="2:23" ht="15" customHeight="1">
      <c r="B819">
        <f>MIN('GA Arroyo'!B819,'GA Arroyo'!E819,'GA Arroyo'!H819,'GA Arroyo'!K819)</f>
        <v>1451100</v>
      </c>
      <c r="C819">
        <f>MIN('GA Arroyo'!O819, 'GA Arroyo'!R819, 'GA Arroyo'!U819, 'GA Arroyo'!X819)</f>
        <v>1502490</v>
      </c>
      <c r="D819">
        <f>MIN('GA Arroyo'!AB819, 'GA Arroyo'!AE819, 'GA Arroyo'!AH819, 'GA Arroyo'!AK819)</f>
        <v>1459600</v>
      </c>
      <c r="E819">
        <f>MIN('GA Arroyo'!AO819, 'GA Arroyo'!AR819, 'GA Arroyo'!AU819, 'GA Arroyo'!AX819)</f>
        <v>1427760</v>
      </c>
      <c r="G819" s="45">
        <f t="shared" si="64"/>
        <v>1427760</v>
      </c>
      <c r="I819" s="49">
        <f t="shared" si="65"/>
        <v>1.6347285258026558</v>
      </c>
      <c r="J819" s="49">
        <f t="shared" si="66"/>
        <v>5.2340729534375523</v>
      </c>
      <c r="K819" s="49">
        <f t="shared" si="67"/>
        <v>2.2300666778730318</v>
      </c>
      <c r="L819" s="49">
        <f t="shared" si="68"/>
        <v>0</v>
      </c>
      <c r="T819" s="49">
        <f>(100*('GA Arroyo'!AO819-E819))/E819</f>
        <v>0</v>
      </c>
      <c r="U819" s="49">
        <f>(100*('GA Arroyo'!AR819-E819))/E819</f>
        <v>6.4254496554042699</v>
      </c>
      <c r="V819" s="49">
        <f>(100*('GA Arroyo'!AU819-E819))/E819</f>
        <v>5.2697932425617751</v>
      </c>
      <c r="W819" s="49">
        <f>(100*('GA Arroyo'!AX819-E819))/E819</f>
        <v>1.1206365215442371</v>
      </c>
    </row>
    <row r="820" spans="2:23" ht="15" customHeight="1">
      <c r="B820">
        <f>MIN('GA Arroyo'!B820,'GA Arroyo'!E820,'GA Arroyo'!H820,'GA Arroyo'!K820)</f>
        <v>1685890</v>
      </c>
      <c r="C820">
        <f>MIN('GA Arroyo'!O820, 'GA Arroyo'!R820, 'GA Arroyo'!U820, 'GA Arroyo'!X820)</f>
        <v>1673870</v>
      </c>
      <c r="D820">
        <f>MIN('GA Arroyo'!AB820, 'GA Arroyo'!AE820, 'GA Arroyo'!AH820, 'GA Arroyo'!AK820)</f>
        <v>1599190</v>
      </c>
      <c r="E820">
        <f>MIN('GA Arroyo'!AO820, 'GA Arroyo'!AR820, 'GA Arroyo'!AU820, 'GA Arroyo'!AX820)</f>
        <v>1580250</v>
      </c>
      <c r="G820" s="45">
        <f t="shared" si="64"/>
        <v>1580250</v>
      </c>
      <c r="I820" s="49">
        <f t="shared" si="65"/>
        <v>6.6850181933238408</v>
      </c>
      <c r="J820" s="49">
        <f t="shared" si="66"/>
        <v>5.9243790539471606</v>
      </c>
      <c r="K820" s="49">
        <f t="shared" si="67"/>
        <v>1.1985445340927068</v>
      </c>
      <c r="L820" s="49">
        <f t="shared" si="68"/>
        <v>0</v>
      </c>
      <c r="T820" s="49">
        <f>(100*('GA Arroyo'!AO820-E820))/E820</f>
        <v>12.044929599746876</v>
      </c>
      <c r="U820" s="49">
        <f>(100*('GA Arroyo'!AR820-E820))/E820</f>
        <v>5.0333807941781368</v>
      </c>
      <c r="V820" s="49">
        <f>(100*('GA Arroyo'!AU820-E820))/E820</f>
        <v>4.3398196487897485</v>
      </c>
      <c r="W820" s="49">
        <f>(100*('GA Arroyo'!AX820-E820))/E820</f>
        <v>0</v>
      </c>
    </row>
    <row r="821" spans="2:23" ht="15" customHeight="1">
      <c r="B821">
        <f>MIN('GA Arroyo'!B821,'GA Arroyo'!E821,'GA Arroyo'!H821,'GA Arroyo'!K821)</f>
        <v>1549850</v>
      </c>
      <c r="C821">
        <f>MIN('GA Arroyo'!O821, 'GA Arroyo'!R821, 'GA Arroyo'!U821, 'GA Arroyo'!X821)</f>
        <v>1573240</v>
      </c>
      <c r="D821">
        <f>MIN('GA Arroyo'!AB821, 'GA Arroyo'!AE821, 'GA Arroyo'!AH821, 'GA Arroyo'!AK821)</f>
        <v>1550290</v>
      </c>
      <c r="E821">
        <f>MIN('GA Arroyo'!AO821, 'GA Arroyo'!AR821, 'GA Arroyo'!AU821, 'GA Arroyo'!AX821)</f>
        <v>1509900</v>
      </c>
      <c r="G821" s="45">
        <f t="shared" si="64"/>
        <v>1509900</v>
      </c>
      <c r="I821" s="49">
        <f t="shared" si="65"/>
        <v>2.6458705874561228</v>
      </c>
      <c r="J821" s="49">
        <f t="shared" si="66"/>
        <v>4.1949797999867542</v>
      </c>
      <c r="K821" s="49">
        <f t="shared" si="67"/>
        <v>2.6750115901715343</v>
      </c>
      <c r="L821" s="49">
        <f t="shared" si="68"/>
        <v>0</v>
      </c>
      <c r="T821" s="49">
        <f>(100*('GA Arroyo'!AO821-E821))/E821</f>
        <v>2.5723557851513346</v>
      </c>
      <c r="U821" s="49">
        <f>(100*('GA Arroyo'!AR821-E821))/E821</f>
        <v>0</v>
      </c>
      <c r="V821" s="49">
        <f>(100*('GA Arroyo'!AU821-E821))/E821</f>
        <v>6.3924763229352939</v>
      </c>
      <c r="W821" s="49">
        <f>(100*('GA Arroyo'!AX821-E821))/E821</f>
        <v>8.9118484667858802</v>
      </c>
    </row>
    <row r="822" spans="2:23" ht="15" customHeight="1">
      <c r="B822">
        <f>MIN('GA Arroyo'!B822,'GA Arroyo'!E822,'GA Arroyo'!H822,'GA Arroyo'!K822)</f>
        <v>1509080</v>
      </c>
      <c r="C822">
        <f>MIN('GA Arroyo'!O822, 'GA Arroyo'!R822, 'GA Arroyo'!U822, 'GA Arroyo'!X822)</f>
        <v>1570920</v>
      </c>
      <c r="D822">
        <f>MIN('GA Arroyo'!AB822, 'GA Arroyo'!AE822, 'GA Arroyo'!AH822, 'GA Arroyo'!AK822)</f>
        <v>1492800</v>
      </c>
      <c r="E822">
        <f>MIN('GA Arroyo'!AO822, 'GA Arroyo'!AR822, 'GA Arroyo'!AU822, 'GA Arroyo'!AX822)</f>
        <v>1485770</v>
      </c>
      <c r="G822" s="45">
        <f t="shared" si="64"/>
        <v>1485770</v>
      </c>
      <c r="I822" s="49">
        <f t="shared" si="65"/>
        <v>1.5688834745620117</v>
      </c>
      <c r="J822" s="49">
        <f t="shared" si="66"/>
        <v>5.731035086184268</v>
      </c>
      <c r="K822" s="49">
        <f t="shared" si="67"/>
        <v>0.473155333598067</v>
      </c>
      <c r="L822" s="49">
        <f t="shared" si="68"/>
        <v>0</v>
      </c>
      <c r="T822" s="49">
        <f>(100*('GA Arroyo'!AO822-E822))/E822</f>
        <v>6.8052255732717715</v>
      </c>
      <c r="U822" s="49">
        <f>(100*('GA Arroyo'!AR822-E822))/E822</f>
        <v>4.1305181824912331</v>
      </c>
      <c r="V822" s="49">
        <f>(100*('GA Arroyo'!AU822-E822))/E822</f>
        <v>0</v>
      </c>
      <c r="W822" s="49">
        <f>(100*('GA Arroyo'!AX822-E822))/E822</f>
        <v>5.3958553477321525</v>
      </c>
    </row>
    <row r="823" spans="2:23" ht="15" customHeight="1">
      <c r="B823">
        <f>MIN('GA Arroyo'!B823,'GA Arroyo'!E823,'GA Arroyo'!H823,'GA Arroyo'!K823)</f>
        <v>1431630</v>
      </c>
      <c r="C823">
        <f>MIN('GA Arroyo'!O823, 'GA Arroyo'!R823, 'GA Arroyo'!U823, 'GA Arroyo'!X823)</f>
        <v>1500060</v>
      </c>
      <c r="D823">
        <f>MIN('GA Arroyo'!AB823, 'GA Arroyo'!AE823, 'GA Arroyo'!AH823, 'GA Arroyo'!AK823)</f>
        <v>1445040</v>
      </c>
      <c r="E823">
        <f>MIN('GA Arroyo'!AO823, 'GA Arroyo'!AR823, 'GA Arroyo'!AU823, 'GA Arroyo'!AX823)</f>
        <v>1453770</v>
      </c>
      <c r="G823" s="45">
        <f t="shared" si="64"/>
        <v>1431630</v>
      </c>
      <c r="I823" s="49">
        <f t="shared" si="65"/>
        <v>0</v>
      </c>
      <c r="J823" s="49">
        <f t="shared" si="66"/>
        <v>4.7798663062383433</v>
      </c>
      <c r="K823" s="49">
        <f t="shared" si="67"/>
        <v>0.93669453699629091</v>
      </c>
      <c r="L823" s="49">
        <f t="shared" si="68"/>
        <v>1.5464889671213931</v>
      </c>
      <c r="T823" s="49">
        <f>(100*('GA Arroyo'!AO823-E823))/E823</f>
        <v>1.8180317381704121</v>
      </c>
      <c r="U823" s="49">
        <f>(100*('GA Arroyo'!AR823-E823))/E823</f>
        <v>3.409067459089127</v>
      </c>
      <c r="V823" s="49">
        <f>(100*('GA Arroyo'!AU823-E823))/E823</f>
        <v>0</v>
      </c>
      <c r="W823" s="49">
        <f>(100*('GA Arroyo'!AX823-E823))/E823</f>
        <v>0.58675031125969035</v>
      </c>
    </row>
    <row r="824" spans="2:23" ht="15" customHeight="1">
      <c r="B824">
        <f>MIN('GA Arroyo'!B824,'GA Arroyo'!E824,'GA Arroyo'!H824,'GA Arroyo'!K824)</f>
        <v>1298930</v>
      </c>
      <c r="C824">
        <f>MIN('GA Arroyo'!O824, 'GA Arroyo'!R824, 'GA Arroyo'!U824, 'GA Arroyo'!X824)</f>
        <v>1337820</v>
      </c>
      <c r="D824">
        <f>MIN('GA Arroyo'!AB824, 'GA Arroyo'!AE824, 'GA Arroyo'!AH824, 'GA Arroyo'!AK824)</f>
        <v>1287230</v>
      </c>
      <c r="E824">
        <f>MIN('GA Arroyo'!AO824, 'GA Arroyo'!AR824, 'GA Arroyo'!AU824, 'GA Arroyo'!AX824)</f>
        <v>1291510</v>
      </c>
      <c r="G824" s="45">
        <f t="shared" si="64"/>
        <v>1287230</v>
      </c>
      <c r="I824" s="49">
        <f t="shared" si="65"/>
        <v>0.90892847432082846</v>
      </c>
      <c r="J824" s="49">
        <f t="shared" si="66"/>
        <v>3.9301445740077532</v>
      </c>
      <c r="K824" s="49">
        <f t="shared" si="67"/>
        <v>0</v>
      </c>
      <c r="L824" s="49">
        <f t="shared" si="68"/>
        <v>0.33249691197377312</v>
      </c>
      <c r="T824" s="49">
        <f>(100*('GA Arroyo'!AO824-E824))/E824</f>
        <v>7.5957600018582898</v>
      </c>
      <c r="U824" s="49">
        <f>(100*('GA Arroyo'!AR824-E824))/E824</f>
        <v>6.5009175306424263</v>
      </c>
      <c r="V824" s="49">
        <f>(100*('GA Arroyo'!AU824-E824))/E824</f>
        <v>3.3604075849199773</v>
      </c>
      <c r="W824" s="49">
        <f>(100*('GA Arroyo'!AX824-E824))/E824</f>
        <v>0</v>
      </c>
    </row>
    <row r="825" spans="2:23" ht="15" customHeight="1">
      <c r="B825">
        <f>MIN('GA Arroyo'!B825,'GA Arroyo'!E825,'GA Arroyo'!H825,'GA Arroyo'!K825)</f>
        <v>1401600</v>
      </c>
      <c r="C825">
        <f>MIN('GA Arroyo'!O825, 'GA Arroyo'!R825, 'GA Arroyo'!U825, 'GA Arroyo'!X825)</f>
        <v>1515120</v>
      </c>
      <c r="D825">
        <f>MIN('GA Arroyo'!AB825, 'GA Arroyo'!AE825, 'GA Arroyo'!AH825, 'GA Arroyo'!AK825)</f>
        <v>1508940</v>
      </c>
      <c r="E825">
        <f>MIN('GA Arroyo'!AO825, 'GA Arroyo'!AR825, 'GA Arroyo'!AU825, 'GA Arroyo'!AX825)</f>
        <v>1477020</v>
      </c>
      <c r="G825" s="45">
        <f t="shared" si="64"/>
        <v>1401600</v>
      </c>
      <c r="I825" s="49">
        <f t="shared" si="65"/>
        <v>0</v>
      </c>
      <c r="J825" s="49">
        <f t="shared" si="66"/>
        <v>8.0993150684931514</v>
      </c>
      <c r="K825" s="49">
        <f t="shared" si="67"/>
        <v>7.658390410958904</v>
      </c>
      <c r="L825" s="49">
        <f t="shared" si="68"/>
        <v>5.3809931506849313</v>
      </c>
      <c r="T825" s="49">
        <f>(100*('GA Arroyo'!AO825-E825))/E825</f>
        <v>3.43800354768385</v>
      </c>
      <c r="U825" s="49">
        <f>(100*('GA Arroyo'!AR825-E825))/E825</f>
        <v>2.5314484570283406</v>
      </c>
      <c r="V825" s="49">
        <f>(100*('GA Arroyo'!AU825-E825))/E825</f>
        <v>2.4718690335946705</v>
      </c>
      <c r="W825" s="49">
        <f>(100*('GA Arroyo'!AX825-E825))/E825</f>
        <v>0</v>
      </c>
    </row>
    <row r="826" spans="2:23" ht="15" customHeight="1">
      <c r="B826">
        <f>MIN('GA Arroyo'!B826,'GA Arroyo'!E826,'GA Arroyo'!H826,'GA Arroyo'!K826)</f>
        <v>1363770</v>
      </c>
      <c r="C826">
        <f>MIN('GA Arroyo'!O826, 'GA Arroyo'!R826, 'GA Arroyo'!U826, 'GA Arroyo'!X826)</f>
        <v>1417610</v>
      </c>
      <c r="D826">
        <f>MIN('GA Arroyo'!AB826, 'GA Arroyo'!AE826, 'GA Arroyo'!AH826, 'GA Arroyo'!AK826)</f>
        <v>1349010</v>
      </c>
      <c r="E826">
        <f>MIN('GA Arroyo'!AO826, 'GA Arroyo'!AR826, 'GA Arroyo'!AU826, 'GA Arroyo'!AX826)</f>
        <v>1436210</v>
      </c>
      <c r="G826" s="45">
        <f t="shared" si="64"/>
        <v>1349010</v>
      </c>
      <c r="I826" s="49">
        <f t="shared" si="65"/>
        <v>1.0941356995129763</v>
      </c>
      <c r="J826" s="49">
        <f t="shared" si="66"/>
        <v>5.0852106359478428</v>
      </c>
      <c r="K826" s="49">
        <f t="shared" si="67"/>
        <v>0</v>
      </c>
      <c r="L826" s="49">
        <f t="shared" si="68"/>
        <v>6.463999525578016</v>
      </c>
      <c r="T826" s="49">
        <f>(100*('GA Arroyo'!AO826-E826))/E826</f>
        <v>2.2489747321074218</v>
      </c>
      <c r="U826" s="49">
        <f>(100*('GA Arroyo'!AR826-E826))/E826</f>
        <v>2.2023241726488467</v>
      </c>
      <c r="V826" s="49">
        <f>(100*('GA Arroyo'!AU826-E826))/E826</f>
        <v>1.632769581050125</v>
      </c>
      <c r="W826" s="49">
        <f>(100*('GA Arroyo'!AX826-E826))/E826</f>
        <v>0</v>
      </c>
    </row>
    <row r="827" spans="2:23" ht="15" customHeight="1">
      <c r="B827">
        <f>MIN('GA Arroyo'!B827,'GA Arroyo'!E827,'GA Arroyo'!H827,'GA Arroyo'!K827)</f>
        <v>1497030</v>
      </c>
      <c r="C827">
        <f>MIN('GA Arroyo'!O827, 'GA Arroyo'!R827, 'GA Arroyo'!U827, 'GA Arroyo'!X827)</f>
        <v>1502330</v>
      </c>
      <c r="D827">
        <f>MIN('GA Arroyo'!AB827, 'GA Arroyo'!AE827, 'GA Arroyo'!AH827, 'GA Arroyo'!AK827)</f>
        <v>1468540</v>
      </c>
      <c r="E827">
        <f>MIN('GA Arroyo'!AO827, 'GA Arroyo'!AR827, 'GA Arroyo'!AU827, 'GA Arroyo'!AX827)</f>
        <v>1472790</v>
      </c>
      <c r="G827" s="45">
        <f t="shared" si="64"/>
        <v>1468540</v>
      </c>
      <c r="I827" s="49">
        <f t="shared" si="65"/>
        <v>1.9400220627289688</v>
      </c>
      <c r="J827" s="49">
        <f t="shared" si="66"/>
        <v>2.300924727961104</v>
      </c>
      <c r="K827" s="49">
        <f t="shared" si="67"/>
        <v>0</v>
      </c>
      <c r="L827" s="49">
        <f t="shared" si="68"/>
        <v>0.28940308061067455</v>
      </c>
      <c r="T827" s="49">
        <f>(100*('GA Arroyo'!AO827-E827))/E827</f>
        <v>2.0104699244291449</v>
      </c>
      <c r="U827" s="49">
        <f>(100*('GA Arroyo'!AR827-E827))/E827</f>
        <v>5.2831700378193771</v>
      </c>
      <c r="V827" s="49">
        <f>(100*('GA Arroyo'!AU827-E827))/E827</f>
        <v>0</v>
      </c>
      <c r="W827" s="49">
        <f>(100*('GA Arroyo'!AX827-E827))/E827</f>
        <v>1.2506874707188398</v>
      </c>
    </row>
    <row r="828" spans="2:23" ht="15" customHeight="1">
      <c r="B828">
        <f>MIN('GA Arroyo'!B828,'GA Arroyo'!E828,'GA Arroyo'!H828,'GA Arroyo'!K828)</f>
        <v>1189060</v>
      </c>
      <c r="C828">
        <f>MIN('GA Arroyo'!O828, 'GA Arroyo'!R828, 'GA Arroyo'!U828, 'GA Arroyo'!X828)</f>
        <v>1212750</v>
      </c>
      <c r="D828">
        <f>MIN('GA Arroyo'!AB828, 'GA Arroyo'!AE828, 'GA Arroyo'!AH828, 'GA Arroyo'!AK828)</f>
        <v>1196220</v>
      </c>
      <c r="E828">
        <f>MIN('GA Arroyo'!AO828, 'GA Arroyo'!AR828, 'GA Arroyo'!AU828, 'GA Arroyo'!AX828)</f>
        <v>1162440</v>
      </c>
      <c r="G828" s="45">
        <f t="shared" si="64"/>
        <v>1162440</v>
      </c>
      <c r="I828" s="49">
        <f t="shared" si="65"/>
        <v>2.2900106672172327</v>
      </c>
      <c r="J828" s="49">
        <f t="shared" si="66"/>
        <v>4.3279653143388046</v>
      </c>
      <c r="K828" s="49">
        <f t="shared" si="67"/>
        <v>2.9059564364612367</v>
      </c>
      <c r="L828" s="49">
        <f t="shared" si="68"/>
        <v>0</v>
      </c>
      <c r="T828" s="49">
        <f>(100*('GA Arroyo'!AO828-E828))/E828</f>
        <v>0.11613502632393929</v>
      </c>
      <c r="U828" s="49">
        <f>(100*('GA Arroyo'!AR828-E828))/E828</f>
        <v>5.9607377585079657</v>
      </c>
      <c r="V828" s="49">
        <f>(100*('GA Arroyo'!AU828-E828))/E828</f>
        <v>0</v>
      </c>
      <c r="W828" s="49">
        <f>(100*('GA Arroyo'!AX828-E828))/E828</f>
        <v>8.7109872337496981</v>
      </c>
    </row>
    <row r="829" spans="2:23" ht="15" customHeight="1">
      <c r="B829">
        <f>MIN('GA Arroyo'!B829,'GA Arroyo'!E829,'GA Arroyo'!H829,'GA Arroyo'!K829)</f>
        <v>1205590</v>
      </c>
      <c r="C829">
        <f>MIN('GA Arroyo'!O829, 'GA Arroyo'!R829, 'GA Arroyo'!U829, 'GA Arroyo'!X829)</f>
        <v>1267930</v>
      </c>
      <c r="D829">
        <f>MIN('GA Arroyo'!AB829, 'GA Arroyo'!AE829, 'GA Arroyo'!AH829, 'GA Arroyo'!AK829)</f>
        <v>1178600</v>
      </c>
      <c r="E829">
        <f>MIN('GA Arroyo'!AO829, 'GA Arroyo'!AR829, 'GA Arroyo'!AU829, 'GA Arroyo'!AX829)</f>
        <v>1172110</v>
      </c>
      <c r="G829" s="45">
        <f t="shared" si="64"/>
        <v>1172110</v>
      </c>
      <c r="I829" s="49">
        <f t="shared" si="65"/>
        <v>2.8563871991536631</v>
      </c>
      <c r="J829" s="49">
        <f t="shared" si="66"/>
        <v>8.1750006398716852</v>
      </c>
      <c r="K829" s="49">
        <f t="shared" si="67"/>
        <v>0.55370229756592815</v>
      </c>
      <c r="L829" s="49">
        <f t="shared" si="68"/>
        <v>0</v>
      </c>
      <c r="T829" s="49">
        <f>(100*('GA Arroyo'!AO829-E829))/E829</f>
        <v>11.881137435906187</v>
      </c>
      <c r="U829" s="49">
        <f>(100*('GA Arroyo'!AR829-E829))/E829</f>
        <v>1.8394178020834222</v>
      </c>
      <c r="V829" s="49">
        <f>(100*('GA Arroyo'!AU829-E829))/E829</f>
        <v>4.8980044535069238</v>
      </c>
      <c r="W829" s="49">
        <f>(100*('GA Arroyo'!AX829-E829))/E829</f>
        <v>0</v>
      </c>
    </row>
    <row r="830" spans="2:23" ht="15" customHeight="1">
      <c r="B830">
        <f>MIN('GA Arroyo'!B830,'GA Arroyo'!E830,'GA Arroyo'!H830,'GA Arroyo'!K830)</f>
        <v>1184260</v>
      </c>
      <c r="C830">
        <f>MIN('GA Arroyo'!O830, 'GA Arroyo'!R830, 'GA Arroyo'!U830, 'GA Arroyo'!X830)</f>
        <v>1287110</v>
      </c>
      <c r="D830">
        <f>MIN('GA Arroyo'!AB830, 'GA Arroyo'!AE830, 'GA Arroyo'!AH830, 'GA Arroyo'!AK830)</f>
        <v>1217660</v>
      </c>
      <c r="E830">
        <f>MIN('GA Arroyo'!AO830, 'GA Arroyo'!AR830, 'GA Arroyo'!AU830, 'GA Arroyo'!AX830)</f>
        <v>1150500</v>
      </c>
      <c r="G830" s="45">
        <f t="shared" si="64"/>
        <v>1150500</v>
      </c>
      <c r="I830" s="49">
        <f t="shared" si="65"/>
        <v>2.9343763581051716</v>
      </c>
      <c r="J830" s="49">
        <f t="shared" si="66"/>
        <v>11.873967840069534</v>
      </c>
      <c r="K830" s="49">
        <f t="shared" si="67"/>
        <v>5.8374619730551931</v>
      </c>
      <c r="L830" s="49">
        <f t="shared" si="68"/>
        <v>0</v>
      </c>
      <c r="T830" s="49">
        <f>(100*('GA Arroyo'!AO830-E830))/E830</f>
        <v>16.041720990873532</v>
      </c>
      <c r="U830" s="49">
        <f>(100*('GA Arroyo'!AR830-E830))/E830</f>
        <v>6.6066927422859623</v>
      </c>
      <c r="V830" s="49">
        <f>(100*('GA Arroyo'!AU830-E830))/E830</f>
        <v>16.790091264667534</v>
      </c>
      <c r="W830" s="49">
        <f>(100*('GA Arroyo'!AX830-E830))/E830</f>
        <v>0</v>
      </c>
    </row>
    <row r="831" spans="2:23" ht="15" customHeight="1">
      <c r="B831">
        <f>MIN('GA Arroyo'!B831,'GA Arroyo'!E831,'GA Arroyo'!H831,'GA Arroyo'!K831)</f>
        <v>1104400</v>
      </c>
      <c r="C831">
        <f>MIN('GA Arroyo'!O831, 'GA Arroyo'!R831, 'GA Arroyo'!U831, 'GA Arroyo'!X831)</f>
        <v>1162960</v>
      </c>
      <c r="D831">
        <f>MIN('GA Arroyo'!AB831, 'GA Arroyo'!AE831, 'GA Arroyo'!AH831, 'GA Arroyo'!AK831)</f>
        <v>1130800</v>
      </c>
      <c r="E831">
        <f>MIN('GA Arroyo'!AO831, 'GA Arroyo'!AR831, 'GA Arroyo'!AU831, 'GA Arroyo'!AX831)</f>
        <v>1149020</v>
      </c>
      <c r="G831" s="45">
        <f t="shared" si="64"/>
        <v>1104400</v>
      </c>
      <c r="I831" s="49">
        <f t="shared" si="65"/>
        <v>0</v>
      </c>
      <c r="J831" s="49">
        <f t="shared" si="66"/>
        <v>5.30242665700833</v>
      </c>
      <c r="K831" s="49">
        <f t="shared" si="67"/>
        <v>2.3904382470119523</v>
      </c>
      <c r="L831" s="49">
        <f t="shared" si="68"/>
        <v>4.0402028250633828</v>
      </c>
      <c r="T831" s="49">
        <f>(100*('GA Arroyo'!AO831-E831))/E831</f>
        <v>3.052166193799934</v>
      </c>
      <c r="U831" s="49">
        <f>(100*('GA Arroyo'!AR831-E831))/E831</f>
        <v>3.4699134914971017</v>
      </c>
      <c r="V831" s="49">
        <f>(100*('GA Arroyo'!AU831-E831))/E831</f>
        <v>0.59267897860785712</v>
      </c>
      <c r="W831" s="49">
        <f>(100*('GA Arroyo'!AX831-E831))/E831</f>
        <v>0</v>
      </c>
    </row>
    <row r="832" spans="2:23" ht="15" customHeight="1">
      <c r="B832">
        <f>MIN('GA Arroyo'!B832,'GA Arroyo'!E832,'GA Arroyo'!H832,'GA Arroyo'!K832)</f>
        <v>1194530</v>
      </c>
      <c r="C832">
        <f>MIN('GA Arroyo'!O832, 'GA Arroyo'!R832, 'GA Arroyo'!U832, 'GA Arroyo'!X832)</f>
        <v>1263000</v>
      </c>
      <c r="D832">
        <f>MIN('GA Arroyo'!AB832, 'GA Arroyo'!AE832, 'GA Arroyo'!AH832, 'GA Arroyo'!AK832)</f>
        <v>1167130</v>
      </c>
      <c r="E832">
        <f>MIN('GA Arroyo'!AO832, 'GA Arroyo'!AR832, 'GA Arroyo'!AU832, 'GA Arroyo'!AX832)</f>
        <v>1245360</v>
      </c>
      <c r="G832" s="45">
        <f t="shared" si="64"/>
        <v>1167130</v>
      </c>
      <c r="I832" s="49">
        <f t="shared" si="65"/>
        <v>2.3476390804794667</v>
      </c>
      <c r="J832" s="49">
        <f t="shared" si="66"/>
        <v>8.2141663739257833</v>
      </c>
      <c r="K832" s="49">
        <f t="shared" si="67"/>
        <v>0</v>
      </c>
      <c r="L832" s="49">
        <f t="shared" si="68"/>
        <v>6.7027666155441121</v>
      </c>
      <c r="T832" s="49">
        <f>(100*('GA Arroyo'!AO832-E832))/E832</f>
        <v>0</v>
      </c>
      <c r="U832" s="49">
        <f>(100*('GA Arroyo'!AR832-E832))/E832</f>
        <v>4.0213271664418322</v>
      </c>
      <c r="V832" s="49">
        <f>(100*('GA Arroyo'!AU832-E832))/E832</f>
        <v>0.75239288237939228</v>
      </c>
      <c r="W832" s="49">
        <f>(100*('GA Arroyo'!AX832-E832))/E832</f>
        <v>0.21198689535555984</v>
      </c>
    </row>
    <row r="833" spans="2:23" ht="15" customHeight="1">
      <c r="B833">
        <f>MIN('GA Arroyo'!B833,'GA Arroyo'!E833,'GA Arroyo'!H833,'GA Arroyo'!K833)</f>
        <v>1145710</v>
      </c>
      <c r="C833">
        <f>MIN('GA Arroyo'!O833, 'GA Arroyo'!R833, 'GA Arroyo'!U833, 'GA Arroyo'!X833)</f>
        <v>1238230</v>
      </c>
      <c r="D833">
        <f>MIN('GA Arroyo'!AB833, 'GA Arroyo'!AE833, 'GA Arroyo'!AH833, 'GA Arroyo'!AK833)</f>
        <v>1113310</v>
      </c>
      <c r="E833">
        <f>MIN('GA Arroyo'!AO833, 'GA Arroyo'!AR833, 'GA Arroyo'!AU833, 'GA Arroyo'!AX833)</f>
        <v>1172180</v>
      </c>
      <c r="G833" s="45">
        <f t="shared" si="64"/>
        <v>1113310</v>
      </c>
      <c r="I833" s="49">
        <f t="shared" si="65"/>
        <v>2.9102406337857381</v>
      </c>
      <c r="J833" s="49">
        <f t="shared" si="66"/>
        <v>11.220594443596124</v>
      </c>
      <c r="K833" s="49">
        <f t="shared" si="67"/>
        <v>0</v>
      </c>
      <c r="L833" s="49">
        <f t="shared" si="68"/>
        <v>5.287835373795259</v>
      </c>
      <c r="T833" s="49">
        <f>(100*('GA Arroyo'!AO833-E833))/E833</f>
        <v>10.196386220546332</v>
      </c>
      <c r="U833" s="49">
        <f>(100*('GA Arroyo'!AR833-E833))/E833</f>
        <v>0</v>
      </c>
      <c r="V833" s="49">
        <f>(100*('GA Arroyo'!AU833-E833))/E833</f>
        <v>0.15526625603576241</v>
      </c>
      <c r="W833" s="49">
        <f>(100*('GA Arroyo'!AX833-E833))/E833</f>
        <v>1.4716169871521438</v>
      </c>
    </row>
    <row r="834" spans="2:23" ht="15" customHeight="1">
      <c r="B834">
        <f>MIN('GA Arroyo'!B834,'GA Arroyo'!E834,'GA Arroyo'!H834,'GA Arroyo'!K834)</f>
        <v>1267160</v>
      </c>
      <c r="C834">
        <f>MIN('GA Arroyo'!O834, 'GA Arroyo'!R834, 'GA Arroyo'!U834, 'GA Arroyo'!X834)</f>
        <v>1352150</v>
      </c>
      <c r="D834">
        <f>MIN('GA Arroyo'!AB834, 'GA Arroyo'!AE834, 'GA Arroyo'!AH834, 'GA Arroyo'!AK834)</f>
        <v>1280300</v>
      </c>
      <c r="E834">
        <f>MIN('GA Arroyo'!AO834, 'GA Arroyo'!AR834, 'GA Arroyo'!AU834, 'GA Arroyo'!AX834)</f>
        <v>1237300</v>
      </c>
      <c r="G834" s="45">
        <f t="shared" si="64"/>
        <v>1237300</v>
      </c>
      <c r="I834" s="49">
        <f t="shared" si="65"/>
        <v>2.4133193243352462</v>
      </c>
      <c r="J834" s="49">
        <f t="shared" si="66"/>
        <v>9.2823082518386801</v>
      </c>
      <c r="K834" s="49">
        <f t="shared" si="67"/>
        <v>3.4753091408712518</v>
      </c>
      <c r="L834" s="49">
        <f t="shared" si="68"/>
        <v>0</v>
      </c>
      <c r="T834" s="49">
        <f>(100*('GA Arroyo'!AO834-E834))/E834</f>
        <v>6.1076537622241975</v>
      </c>
      <c r="U834" s="49">
        <f>(100*('GA Arroyo'!AR834-E834))/E834</f>
        <v>0</v>
      </c>
      <c r="V834" s="49">
        <f>(100*('GA Arroyo'!AU834-E834))/E834</f>
        <v>11.921926776044613</v>
      </c>
      <c r="W834" s="49">
        <f>(100*('GA Arroyo'!AX834-E834))/E834</f>
        <v>1.3893154449203913</v>
      </c>
    </row>
    <row r="835" spans="2:23" ht="15" customHeight="1">
      <c r="B835">
        <f>MIN('GA Arroyo'!B835,'GA Arroyo'!E835,'GA Arroyo'!H835,'GA Arroyo'!K835)</f>
        <v>1295900</v>
      </c>
      <c r="C835">
        <f>MIN('GA Arroyo'!O835, 'GA Arroyo'!R835, 'GA Arroyo'!U835, 'GA Arroyo'!X835)</f>
        <v>1399070</v>
      </c>
      <c r="D835">
        <f>MIN('GA Arroyo'!AB835, 'GA Arroyo'!AE835, 'GA Arroyo'!AH835, 'GA Arroyo'!AK835)</f>
        <v>1282050</v>
      </c>
      <c r="E835">
        <f>MIN('GA Arroyo'!AO835, 'GA Arroyo'!AR835, 'GA Arroyo'!AU835, 'GA Arroyo'!AX835)</f>
        <v>1277690</v>
      </c>
      <c r="G835" s="45">
        <f t="shared" si="64"/>
        <v>1277690</v>
      </c>
      <c r="I835" s="49">
        <f t="shared" si="65"/>
        <v>1.4252283417730436</v>
      </c>
      <c r="J835" s="49">
        <f t="shared" si="66"/>
        <v>9.4999569535646362</v>
      </c>
      <c r="K835" s="49">
        <f t="shared" si="67"/>
        <v>0.34124083306592368</v>
      </c>
      <c r="L835" s="49">
        <f t="shared" si="68"/>
        <v>0</v>
      </c>
      <c r="T835" s="49">
        <f>(100*('GA Arroyo'!AO835-E835))/E835</f>
        <v>22.397451651026461</v>
      </c>
      <c r="U835" s="49">
        <f>(100*('GA Arroyo'!AR835-E835))/E835</f>
        <v>5.0012131268147986</v>
      </c>
      <c r="V835" s="49">
        <f>(100*('GA Arroyo'!AU835-E835))/E835</f>
        <v>4.0894113595629609</v>
      </c>
      <c r="W835" s="49">
        <f>(100*('GA Arroyo'!AX835-E835))/E835</f>
        <v>0</v>
      </c>
    </row>
    <row r="836" spans="2:23" ht="15" customHeight="1">
      <c r="B836">
        <f>MIN('GA Arroyo'!B836,'GA Arroyo'!E836,'GA Arroyo'!H836,'GA Arroyo'!K836)</f>
        <v>1198200</v>
      </c>
      <c r="C836">
        <f>MIN('GA Arroyo'!O836, 'GA Arroyo'!R836, 'GA Arroyo'!U836, 'GA Arroyo'!X836)</f>
        <v>1302690</v>
      </c>
      <c r="D836">
        <f>MIN('GA Arroyo'!AB836, 'GA Arroyo'!AE836, 'GA Arroyo'!AH836, 'GA Arroyo'!AK836)</f>
        <v>1152580</v>
      </c>
      <c r="E836">
        <f>MIN('GA Arroyo'!AO836, 'GA Arroyo'!AR836, 'GA Arroyo'!AU836, 'GA Arroyo'!AX836)</f>
        <v>1226930</v>
      </c>
      <c r="G836" s="45">
        <f t="shared" ref="G836:G899" si="69">MIN(B836,C836,D836,E836)</f>
        <v>1152580</v>
      </c>
      <c r="I836" s="49">
        <f t="shared" ref="I836:I899" si="70">(100*(B836-G836))/G836</f>
        <v>3.9580766627913029</v>
      </c>
      <c r="J836" s="49">
        <f t="shared" ref="J836:J899" si="71">(100*(C836-G836))/G836</f>
        <v>13.023824810425307</v>
      </c>
      <c r="K836" s="49">
        <f t="shared" ref="K836:K899" si="72">(100*(D836-G836))/G836</f>
        <v>0</v>
      </c>
      <c r="L836" s="49">
        <f t="shared" ref="L836:L899" si="73">(100*(E836-G836))/G836</f>
        <v>6.4507452844921831</v>
      </c>
      <c r="T836" s="49">
        <f>(100*('GA Arroyo'!AO836-E836))/E836</f>
        <v>4.4859934959614645</v>
      </c>
      <c r="U836" s="49">
        <f>(100*('GA Arroyo'!AR836-E836))/E836</f>
        <v>12.560618780207509</v>
      </c>
      <c r="V836" s="49">
        <f>(100*('GA Arroyo'!AU836-E836))/E836</f>
        <v>0</v>
      </c>
      <c r="W836" s="49">
        <f>(100*('GA Arroyo'!AX836-E836))/E836</f>
        <v>1.1777363011744761</v>
      </c>
    </row>
    <row r="837" spans="2:23" ht="15" customHeight="1">
      <c r="B837">
        <f>MIN('GA Arroyo'!B837,'GA Arroyo'!E837,'GA Arroyo'!H837,'GA Arroyo'!K837)</f>
        <v>1143700</v>
      </c>
      <c r="C837">
        <f>MIN('GA Arroyo'!O837, 'GA Arroyo'!R837, 'GA Arroyo'!U837, 'GA Arroyo'!X837)</f>
        <v>1294520</v>
      </c>
      <c r="D837">
        <f>MIN('GA Arroyo'!AB837, 'GA Arroyo'!AE837, 'GA Arroyo'!AH837, 'GA Arroyo'!AK837)</f>
        <v>1237800</v>
      </c>
      <c r="E837">
        <f>MIN('GA Arroyo'!AO837, 'GA Arroyo'!AR837, 'GA Arroyo'!AU837, 'GA Arroyo'!AX837)</f>
        <v>1197980</v>
      </c>
      <c r="G837" s="45">
        <f t="shared" si="69"/>
        <v>1143700</v>
      </c>
      <c r="I837" s="49">
        <f t="shared" si="70"/>
        <v>0</v>
      </c>
      <c r="J837" s="49">
        <f t="shared" si="71"/>
        <v>13.187024569380082</v>
      </c>
      <c r="K837" s="49">
        <f t="shared" si="72"/>
        <v>8.2276820844627085</v>
      </c>
      <c r="L837" s="49">
        <f t="shared" si="73"/>
        <v>4.7459998251289672</v>
      </c>
      <c r="T837" s="49">
        <f>(100*('GA Arroyo'!AO837-E837))/E837</f>
        <v>5.678725855189569</v>
      </c>
      <c r="U837" s="49">
        <f>(100*('GA Arroyo'!AR837-E837))/E837</f>
        <v>0.31052271323394381</v>
      </c>
      <c r="V837" s="49">
        <f>(100*('GA Arroyo'!AU837-E837))/E837</f>
        <v>0</v>
      </c>
      <c r="W837" s="49">
        <f>(100*('GA Arroyo'!AX837-E837))/E837</f>
        <v>3.0459607005125293</v>
      </c>
    </row>
    <row r="838" spans="2:23" ht="15" customHeight="1">
      <c r="B838">
        <f>MIN('GA Arroyo'!B838,'GA Arroyo'!E838,'GA Arroyo'!H838,'GA Arroyo'!K838)</f>
        <v>1148210</v>
      </c>
      <c r="C838">
        <f>MIN('GA Arroyo'!O838, 'GA Arroyo'!R838, 'GA Arroyo'!U838, 'GA Arroyo'!X838)</f>
        <v>1180980</v>
      </c>
      <c r="D838">
        <f>MIN('GA Arroyo'!AB838, 'GA Arroyo'!AE838, 'GA Arroyo'!AH838, 'GA Arroyo'!AK838)</f>
        <v>1087760</v>
      </c>
      <c r="E838">
        <f>MIN('GA Arroyo'!AO838, 'GA Arroyo'!AR838, 'GA Arroyo'!AU838, 'GA Arroyo'!AX838)</f>
        <v>1099280</v>
      </c>
      <c r="G838" s="45">
        <f t="shared" si="69"/>
        <v>1087760</v>
      </c>
      <c r="I838" s="49">
        <f t="shared" si="70"/>
        <v>5.5572920497168496</v>
      </c>
      <c r="J838" s="49">
        <f t="shared" si="71"/>
        <v>8.5699051261307648</v>
      </c>
      <c r="K838" s="49">
        <f t="shared" si="72"/>
        <v>0</v>
      </c>
      <c r="L838" s="49">
        <f t="shared" si="73"/>
        <v>1.0590571449584467</v>
      </c>
      <c r="T838" s="49">
        <f>(100*('GA Arroyo'!AO838-E838))/E838</f>
        <v>0</v>
      </c>
      <c r="U838" s="49">
        <f>(100*('GA Arroyo'!AR838-E838))/E838</f>
        <v>24.591550833272688</v>
      </c>
      <c r="V838" s="49">
        <f>(100*('GA Arroyo'!AU838-E838))/E838</f>
        <v>8.9458554690342762</v>
      </c>
      <c r="W838" s="49">
        <f>(100*('GA Arroyo'!AX838-E838))/E838</f>
        <v>6.0130267083909468</v>
      </c>
    </row>
    <row r="839" spans="2:23" ht="15" customHeight="1">
      <c r="B839">
        <f>MIN('GA Arroyo'!B839,'GA Arroyo'!E839,'GA Arroyo'!H839,'GA Arroyo'!K839)</f>
        <v>1268410</v>
      </c>
      <c r="C839">
        <f>MIN('GA Arroyo'!O839, 'GA Arroyo'!R839, 'GA Arroyo'!U839, 'GA Arroyo'!X839)</f>
        <v>1242770</v>
      </c>
      <c r="D839">
        <f>MIN('GA Arroyo'!AB839, 'GA Arroyo'!AE839, 'GA Arroyo'!AH839, 'GA Arroyo'!AK839)</f>
        <v>1222700</v>
      </c>
      <c r="E839">
        <f>MIN('GA Arroyo'!AO839, 'GA Arroyo'!AR839, 'GA Arroyo'!AU839, 'GA Arroyo'!AX839)</f>
        <v>1265550</v>
      </c>
      <c r="G839" s="45">
        <f t="shared" si="69"/>
        <v>1222700</v>
      </c>
      <c r="I839" s="49">
        <f t="shared" si="70"/>
        <v>3.7384476977181649</v>
      </c>
      <c r="J839" s="49">
        <f t="shared" si="71"/>
        <v>1.6414492516561707</v>
      </c>
      <c r="K839" s="49">
        <f t="shared" si="72"/>
        <v>0</v>
      </c>
      <c r="L839" s="49">
        <f t="shared" si="73"/>
        <v>3.504539134701889</v>
      </c>
      <c r="T839" s="49">
        <f>(100*('GA Arroyo'!AO839-E839))/E839</f>
        <v>14.055548970803208</v>
      </c>
      <c r="U839" s="49">
        <f>(100*('GA Arroyo'!AR839-E839))/E839</f>
        <v>0</v>
      </c>
      <c r="V839" s="49">
        <f>(100*('GA Arroyo'!AU839-E839))/E839</f>
        <v>1.4333688909960096</v>
      </c>
      <c r="W839" s="49">
        <f>(100*('GA Arroyo'!AX839-E839))/E839</f>
        <v>0.75619295958279009</v>
      </c>
    </row>
    <row r="840" spans="2:23" ht="15" customHeight="1">
      <c r="B840">
        <f>MIN('GA Arroyo'!B840,'GA Arroyo'!E840,'GA Arroyo'!H840,'GA Arroyo'!K840)</f>
        <v>1042960</v>
      </c>
      <c r="C840">
        <f>MIN('GA Arroyo'!O840, 'GA Arroyo'!R840, 'GA Arroyo'!U840, 'GA Arroyo'!X840)</f>
        <v>1131560</v>
      </c>
      <c r="D840">
        <f>MIN('GA Arroyo'!AB840, 'GA Arroyo'!AE840, 'GA Arroyo'!AH840, 'GA Arroyo'!AK840)</f>
        <v>1023540</v>
      </c>
      <c r="E840">
        <f>MIN('GA Arroyo'!AO840, 'GA Arroyo'!AR840, 'GA Arroyo'!AU840, 'GA Arroyo'!AX840)</f>
        <v>1081760</v>
      </c>
      <c r="G840" s="45">
        <f t="shared" si="69"/>
        <v>1023540</v>
      </c>
      <c r="I840" s="49">
        <f t="shared" si="70"/>
        <v>1.8973366942181058</v>
      </c>
      <c r="J840" s="49">
        <f t="shared" si="71"/>
        <v>10.55356898606796</v>
      </c>
      <c r="K840" s="49">
        <f t="shared" si="72"/>
        <v>0</v>
      </c>
      <c r="L840" s="49">
        <f t="shared" si="73"/>
        <v>5.6881020771049497</v>
      </c>
      <c r="T840" s="49">
        <f>(100*('GA Arroyo'!AO840-E840))/E840</f>
        <v>2.4330720307646798</v>
      </c>
      <c r="U840" s="49">
        <f>(100*('GA Arroyo'!AR840-E840))/E840</f>
        <v>4.4353645910368291</v>
      </c>
      <c r="V840" s="49">
        <f>(100*('GA Arroyo'!AU840-E840))/E840</f>
        <v>1.5539491199526698</v>
      </c>
      <c r="W840" s="49">
        <f>(100*('GA Arroyo'!AX840-E840))/E840</f>
        <v>0</v>
      </c>
    </row>
    <row r="841" spans="2:23" ht="15" customHeight="1">
      <c r="B841">
        <f>MIN('GA Arroyo'!B841,'GA Arroyo'!E841,'GA Arroyo'!H841,'GA Arroyo'!K841)</f>
        <v>1260130</v>
      </c>
      <c r="C841">
        <f>MIN('GA Arroyo'!O841, 'GA Arroyo'!R841, 'GA Arroyo'!U841, 'GA Arroyo'!X841)</f>
        <v>1354280</v>
      </c>
      <c r="D841">
        <f>MIN('GA Arroyo'!AB841, 'GA Arroyo'!AE841, 'GA Arroyo'!AH841, 'GA Arroyo'!AK841)</f>
        <v>1199520</v>
      </c>
      <c r="E841">
        <f>MIN('GA Arroyo'!AO841, 'GA Arroyo'!AR841, 'GA Arroyo'!AU841, 'GA Arroyo'!AX841)</f>
        <v>1218760</v>
      </c>
      <c r="G841" s="45">
        <f t="shared" si="69"/>
        <v>1199520</v>
      </c>
      <c r="I841" s="49">
        <f t="shared" si="70"/>
        <v>5.0528544751233824</v>
      </c>
      <c r="J841" s="49">
        <f t="shared" si="71"/>
        <v>12.901827397625716</v>
      </c>
      <c r="K841" s="49">
        <f t="shared" si="72"/>
        <v>0</v>
      </c>
      <c r="L841" s="49">
        <f t="shared" si="73"/>
        <v>1.6039749233026543</v>
      </c>
      <c r="T841" s="49">
        <f>(100*('GA Arroyo'!AO841-E841))/E841</f>
        <v>4.7597558173881653</v>
      </c>
      <c r="U841" s="49">
        <f>(100*('GA Arroyo'!AR841-E841))/E841</f>
        <v>0</v>
      </c>
      <c r="V841" s="49">
        <f>(100*('GA Arroyo'!AU841-E841))/E841</f>
        <v>5.805901079786012</v>
      </c>
      <c r="W841" s="49">
        <f>(100*('GA Arroyo'!AX841-E841))/E841</f>
        <v>8.6309035413042761</v>
      </c>
    </row>
    <row r="842" spans="2:23" ht="15" customHeight="1">
      <c r="B842">
        <f>MIN('GA Arroyo'!B842,'GA Arroyo'!E842,'GA Arroyo'!H842,'GA Arroyo'!K842)</f>
        <v>1179850</v>
      </c>
      <c r="C842">
        <f>MIN('GA Arroyo'!O842, 'GA Arroyo'!R842, 'GA Arroyo'!U842, 'GA Arroyo'!X842)</f>
        <v>1305560</v>
      </c>
      <c r="D842">
        <f>MIN('GA Arroyo'!AB842, 'GA Arroyo'!AE842, 'GA Arroyo'!AH842, 'GA Arroyo'!AK842)</f>
        <v>1218150</v>
      </c>
      <c r="E842">
        <f>MIN('GA Arroyo'!AO842, 'GA Arroyo'!AR842, 'GA Arroyo'!AU842, 'GA Arroyo'!AX842)</f>
        <v>1247450</v>
      </c>
      <c r="G842" s="45">
        <f t="shared" si="69"/>
        <v>1179850</v>
      </c>
      <c r="I842" s="49">
        <f t="shared" si="70"/>
        <v>0</v>
      </c>
      <c r="J842" s="49">
        <f t="shared" si="71"/>
        <v>10.654744247150061</v>
      </c>
      <c r="K842" s="49">
        <f t="shared" si="72"/>
        <v>3.2461753612747382</v>
      </c>
      <c r="L842" s="49">
        <f t="shared" si="73"/>
        <v>5.7295418909183367</v>
      </c>
      <c r="T842" s="49">
        <f>(100*('GA Arroyo'!AO842-E842))/E842</f>
        <v>4.0346306465188988</v>
      </c>
      <c r="U842" s="49">
        <f>(100*('GA Arroyo'!AR842-E842))/E842</f>
        <v>0</v>
      </c>
      <c r="V842" s="49">
        <f>(100*('GA Arroyo'!AU842-E842))/E842</f>
        <v>4.8242414525632293</v>
      </c>
      <c r="W842" s="49">
        <f>(100*('GA Arroyo'!AX842-E842))/E842</f>
        <v>0.26213475489999599</v>
      </c>
    </row>
    <row r="843" spans="2:23" ht="15" customHeight="1">
      <c r="B843">
        <f>MIN('GA Arroyo'!B843,'GA Arroyo'!E843,'GA Arroyo'!H843,'GA Arroyo'!K843)</f>
        <v>1197980</v>
      </c>
      <c r="C843">
        <f>MIN('GA Arroyo'!O843, 'GA Arroyo'!R843, 'GA Arroyo'!U843, 'GA Arroyo'!X843)</f>
        <v>1298160</v>
      </c>
      <c r="D843">
        <f>MIN('GA Arroyo'!AB843, 'GA Arroyo'!AE843, 'GA Arroyo'!AH843, 'GA Arroyo'!AK843)</f>
        <v>1241870</v>
      </c>
      <c r="E843">
        <f>MIN('GA Arroyo'!AO843, 'GA Arroyo'!AR843, 'GA Arroyo'!AU843, 'GA Arroyo'!AX843)</f>
        <v>1250020</v>
      </c>
      <c r="G843" s="45">
        <f t="shared" si="69"/>
        <v>1197980</v>
      </c>
      <c r="I843" s="49">
        <f t="shared" si="70"/>
        <v>0</v>
      </c>
      <c r="J843" s="49">
        <f t="shared" si="71"/>
        <v>8.3624100569291642</v>
      </c>
      <c r="K843" s="49">
        <f t="shared" si="72"/>
        <v>3.6636671730746757</v>
      </c>
      <c r="L843" s="49">
        <f t="shared" si="73"/>
        <v>4.3439790313694724</v>
      </c>
      <c r="T843" s="49">
        <f>(100*('GA Arroyo'!AO843-E843))/E843</f>
        <v>14.587766595734468</v>
      </c>
      <c r="U843" s="49">
        <f>(100*('GA Arroyo'!AR843-E843))/E843</f>
        <v>0</v>
      </c>
      <c r="V843" s="49">
        <f>(100*('GA Arroyo'!AU843-E843))/E843</f>
        <v>6.6790931345098477</v>
      </c>
      <c r="W843" s="49">
        <f>(100*('GA Arroyo'!AX843-E843))/E843</f>
        <v>8.5598630421913249E-2</v>
      </c>
    </row>
    <row r="844" spans="2:23" ht="15" customHeight="1">
      <c r="B844">
        <f>MIN('GA Arroyo'!B844,'GA Arroyo'!E844,'GA Arroyo'!H844,'GA Arroyo'!K844)</f>
        <v>1239230</v>
      </c>
      <c r="C844">
        <f>MIN('GA Arroyo'!O844, 'GA Arroyo'!R844, 'GA Arroyo'!U844, 'GA Arroyo'!X844)</f>
        <v>1250360</v>
      </c>
      <c r="D844">
        <f>MIN('GA Arroyo'!AB844, 'GA Arroyo'!AE844, 'GA Arroyo'!AH844, 'GA Arroyo'!AK844)</f>
        <v>1260610</v>
      </c>
      <c r="E844">
        <f>MIN('GA Arroyo'!AO844, 'GA Arroyo'!AR844, 'GA Arroyo'!AU844, 'GA Arroyo'!AX844)</f>
        <v>1224480</v>
      </c>
      <c r="G844" s="45">
        <f t="shared" si="69"/>
        <v>1224480</v>
      </c>
      <c r="I844" s="49">
        <f t="shared" si="70"/>
        <v>1.2045929700770939</v>
      </c>
      <c r="J844" s="49">
        <f t="shared" si="71"/>
        <v>2.1135502417352674</v>
      </c>
      <c r="K844" s="49">
        <f t="shared" si="72"/>
        <v>2.9506402717888411</v>
      </c>
      <c r="L844" s="49">
        <f t="shared" si="73"/>
        <v>0</v>
      </c>
      <c r="T844" s="49">
        <f>(100*('GA Arroyo'!AO844-E844))/E844</f>
        <v>4.8698222919116683</v>
      </c>
      <c r="U844" s="49">
        <f>(100*('GA Arroyo'!AR844-E844))/E844</f>
        <v>0</v>
      </c>
      <c r="V844" s="49">
        <f>(100*('GA Arroyo'!AU844-E844))/E844</f>
        <v>2.0580164641317129</v>
      </c>
      <c r="W844" s="49">
        <f>(100*('GA Arroyo'!AX844-E844))/E844</f>
        <v>3.0110740885927085</v>
      </c>
    </row>
    <row r="845" spans="2:23" ht="15" customHeight="1">
      <c r="B845">
        <f>MIN('GA Arroyo'!B845,'GA Arroyo'!E845,'GA Arroyo'!H845,'GA Arroyo'!K845)</f>
        <v>1353860</v>
      </c>
      <c r="C845">
        <f>MIN('GA Arroyo'!O845, 'GA Arroyo'!R845, 'GA Arroyo'!U845, 'GA Arroyo'!X845)</f>
        <v>1441020</v>
      </c>
      <c r="D845">
        <f>MIN('GA Arroyo'!AB845, 'GA Arroyo'!AE845, 'GA Arroyo'!AH845, 'GA Arroyo'!AK845)</f>
        <v>1350460</v>
      </c>
      <c r="E845">
        <f>MIN('GA Arroyo'!AO845, 'GA Arroyo'!AR845, 'GA Arroyo'!AU845, 'GA Arroyo'!AX845)</f>
        <v>1383850</v>
      </c>
      <c r="G845" s="45">
        <f t="shared" si="69"/>
        <v>1350460</v>
      </c>
      <c r="I845" s="49">
        <f t="shared" si="70"/>
        <v>0.25176606489640568</v>
      </c>
      <c r="J845" s="49">
        <f t="shared" si="71"/>
        <v>6.7058631873583812</v>
      </c>
      <c r="K845" s="49">
        <f t="shared" si="72"/>
        <v>0</v>
      </c>
      <c r="L845" s="49">
        <f t="shared" si="73"/>
        <v>2.472490854967937</v>
      </c>
      <c r="T845" s="49">
        <f>(100*('GA Arroyo'!AO845-E845))/E845</f>
        <v>5.4933699461646857</v>
      </c>
      <c r="U845" s="49">
        <f>(100*('GA Arroyo'!AR845-E845))/E845</f>
        <v>0</v>
      </c>
      <c r="V845" s="49">
        <f>(100*('GA Arroyo'!AU845-E845))/E845</f>
        <v>4.9723597210680346</v>
      </c>
      <c r="W845" s="49">
        <f>(100*('GA Arroyo'!AX845-E845))/E845</f>
        <v>3.2091628427936554</v>
      </c>
    </row>
    <row r="846" spans="2:23" ht="15" customHeight="1">
      <c r="B846">
        <f>MIN('GA Arroyo'!B846,'GA Arroyo'!E846,'GA Arroyo'!H846,'GA Arroyo'!K846)</f>
        <v>1283350</v>
      </c>
      <c r="C846">
        <f>MIN('GA Arroyo'!O846, 'GA Arroyo'!R846, 'GA Arroyo'!U846, 'GA Arroyo'!X846)</f>
        <v>1346640</v>
      </c>
      <c r="D846">
        <f>MIN('GA Arroyo'!AB846, 'GA Arroyo'!AE846, 'GA Arroyo'!AH846, 'GA Arroyo'!AK846)</f>
        <v>1288860</v>
      </c>
      <c r="E846">
        <f>MIN('GA Arroyo'!AO846, 'GA Arroyo'!AR846, 'GA Arroyo'!AU846, 'GA Arroyo'!AX846)</f>
        <v>1275350</v>
      </c>
      <c r="G846" s="45">
        <f t="shared" si="69"/>
        <v>1275350</v>
      </c>
      <c r="I846" s="49">
        <f t="shared" si="70"/>
        <v>0.62727878621554867</v>
      </c>
      <c r="J846" s="49">
        <f t="shared" si="71"/>
        <v>5.5898380836633077</v>
      </c>
      <c r="K846" s="49">
        <f t="shared" si="72"/>
        <v>1.0593170502215079</v>
      </c>
      <c r="L846" s="49">
        <f t="shared" si="73"/>
        <v>0</v>
      </c>
      <c r="T846" s="49">
        <f>(100*('GA Arroyo'!AO846-E846))/E846</f>
        <v>4.1204375269533857</v>
      </c>
      <c r="U846" s="49">
        <f>(100*('GA Arroyo'!AR846-E846))/E846</f>
        <v>2.5130356372760421</v>
      </c>
      <c r="V846" s="49">
        <f>(100*('GA Arroyo'!AU846-E846))/E846</f>
        <v>0</v>
      </c>
      <c r="W846" s="49">
        <f>(100*('GA Arroyo'!AX846-E846))/E846</f>
        <v>2.7662994472105695</v>
      </c>
    </row>
    <row r="847" spans="2:23" ht="15" customHeight="1">
      <c r="B847">
        <f>MIN('GA Arroyo'!B847,'GA Arroyo'!E847,'GA Arroyo'!H847,'GA Arroyo'!K847)</f>
        <v>1266640</v>
      </c>
      <c r="C847">
        <f>MIN('GA Arroyo'!O847, 'GA Arroyo'!R847, 'GA Arroyo'!U847, 'GA Arroyo'!X847)</f>
        <v>1344540</v>
      </c>
      <c r="D847">
        <f>MIN('GA Arroyo'!AB847, 'GA Arroyo'!AE847, 'GA Arroyo'!AH847, 'GA Arroyo'!AK847)</f>
        <v>1228520</v>
      </c>
      <c r="E847">
        <f>MIN('GA Arroyo'!AO847, 'GA Arroyo'!AR847, 'GA Arroyo'!AU847, 'GA Arroyo'!AX847)</f>
        <v>1294880</v>
      </c>
      <c r="G847" s="45">
        <f t="shared" si="69"/>
        <v>1228520</v>
      </c>
      <c r="I847" s="49">
        <f t="shared" si="70"/>
        <v>3.1029205873734251</v>
      </c>
      <c r="J847" s="49">
        <f t="shared" si="71"/>
        <v>9.4438836974571032</v>
      </c>
      <c r="K847" s="49">
        <f t="shared" si="72"/>
        <v>0</v>
      </c>
      <c r="L847" s="49">
        <f t="shared" si="73"/>
        <v>5.4016214632240418</v>
      </c>
      <c r="T847" s="49">
        <f>(100*('GA Arroyo'!AO847-E847))/E847</f>
        <v>14.663907080192759</v>
      </c>
      <c r="U847" s="49">
        <f>(100*('GA Arroyo'!AR847-E847))/E847</f>
        <v>0</v>
      </c>
      <c r="V847" s="49">
        <f>(100*('GA Arroyo'!AU847-E847))/E847</f>
        <v>4.1525083405412087</v>
      </c>
      <c r="W847" s="49">
        <f>(100*('GA Arroyo'!AX847-E847))/E847</f>
        <v>8.6888360311380204</v>
      </c>
    </row>
    <row r="848" spans="2:23" ht="15" customHeight="1">
      <c r="B848">
        <f>MIN('GA Arroyo'!B848,'GA Arroyo'!E848,'GA Arroyo'!H848,'GA Arroyo'!K848)</f>
        <v>1330390</v>
      </c>
      <c r="C848">
        <f>MIN('GA Arroyo'!O848, 'GA Arroyo'!R848, 'GA Arroyo'!U848, 'GA Arroyo'!X848)</f>
        <v>1438100</v>
      </c>
      <c r="D848">
        <f>MIN('GA Arroyo'!AB848, 'GA Arroyo'!AE848, 'GA Arroyo'!AH848, 'GA Arroyo'!AK848)</f>
        <v>1343520</v>
      </c>
      <c r="E848">
        <f>MIN('GA Arroyo'!AO848, 'GA Arroyo'!AR848, 'GA Arroyo'!AU848, 'GA Arroyo'!AX848)</f>
        <v>1299600</v>
      </c>
      <c r="G848" s="45">
        <f t="shared" si="69"/>
        <v>1299600</v>
      </c>
      <c r="I848" s="49">
        <f t="shared" si="70"/>
        <v>2.3691905201600494</v>
      </c>
      <c r="J848" s="49">
        <f t="shared" si="71"/>
        <v>10.657125269313635</v>
      </c>
      <c r="K848" s="49">
        <f t="shared" si="72"/>
        <v>3.3795013850415514</v>
      </c>
      <c r="L848" s="49">
        <f t="shared" si="73"/>
        <v>0</v>
      </c>
      <c r="T848" s="49">
        <f>(100*('GA Arroyo'!AO848-E848))/E848</f>
        <v>6.7143736534318252</v>
      </c>
      <c r="U848" s="49">
        <f>(100*('GA Arroyo'!AR848-E848))/E848</f>
        <v>0</v>
      </c>
      <c r="V848" s="49">
        <f>(100*('GA Arroyo'!AU848-E848))/E848</f>
        <v>3.2540781779008925</v>
      </c>
      <c r="W848" s="49">
        <f>(100*('GA Arroyo'!AX848-E848))/E848</f>
        <v>12.337642351492766</v>
      </c>
    </row>
    <row r="849" spans="2:23" ht="15" customHeight="1">
      <c r="B849">
        <f>MIN('GA Arroyo'!B849,'GA Arroyo'!E849,'GA Arroyo'!H849,'GA Arroyo'!K849)</f>
        <v>1265260</v>
      </c>
      <c r="C849">
        <f>MIN('GA Arroyo'!O849, 'GA Arroyo'!R849, 'GA Arroyo'!U849, 'GA Arroyo'!X849)</f>
        <v>1345850</v>
      </c>
      <c r="D849">
        <f>MIN('GA Arroyo'!AB849, 'GA Arroyo'!AE849, 'GA Arroyo'!AH849, 'GA Arroyo'!AK849)</f>
        <v>1293730</v>
      </c>
      <c r="E849">
        <f>MIN('GA Arroyo'!AO849, 'GA Arroyo'!AR849, 'GA Arroyo'!AU849, 'GA Arroyo'!AX849)</f>
        <v>1250310</v>
      </c>
      <c r="G849" s="45">
        <f t="shared" si="69"/>
        <v>1250310</v>
      </c>
      <c r="I849" s="49">
        <f t="shared" si="70"/>
        <v>1.1957034655405459</v>
      </c>
      <c r="J849" s="49">
        <f t="shared" si="71"/>
        <v>7.6413049563708197</v>
      </c>
      <c r="K849" s="49">
        <f t="shared" si="72"/>
        <v>3.4727387607873248</v>
      </c>
      <c r="L849" s="49">
        <f t="shared" si="73"/>
        <v>0</v>
      </c>
      <c r="T849" s="49">
        <f>(100*('GA Arroyo'!AO849-E849))/E849</f>
        <v>4.2157544928857646</v>
      </c>
      <c r="U849" s="49">
        <f>(100*('GA Arroyo'!AR849-E849))/E849</f>
        <v>10.042309507242203</v>
      </c>
      <c r="V849" s="49">
        <f>(100*('GA Arroyo'!AU849-E849))/E849</f>
        <v>3.7518695363549841</v>
      </c>
      <c r="W849" s="49">
        <f>(100*('GA Arroyo'!AX849-E849))/E849</f>
        <v>0</v>
      </c>
    </row>
    <row r="850" spans="2:23" ht="15" customHeight="1">
      <c r="B850">
        <f>MIN('GA Arroyo'!B850,'GA Arroyo'!E850,'GA Arroyo'!H850,'GA Arroyo'!K850)</f>
        <v>1313930</v>
      </c>
      <c r="C850">
        <f>MIN('GA Arroyo'!O850, 'GA Arroyo'!R850, 'GA Arroyo'!U850, 'GA Arroyo'!X850)</f>
        <v>1428700</v>
      </c>
      <c r="D850">
        <f>MIN('GA Arroyo'!AB850, 'GA Arroyo'!AE850, 'GA Arroyo'!AH850, 'GA Arroyo'!AK850)</f>
        <v>1340910</v>
      </c>
      <c r="E850">
        <f>MIN('GA Arroyo'!AO850, 'GA Arroyo'!AR850, 'GA Arroyo'!AU850, 'GA Arroyo'!AX850)</f>
        <v>1333590</v>
      </c>
      <c r="G850" s="45">
        <f t="shared" si="69"/>
        <v>1313930</v>
      </c>
      <c r="I850" s="49">
        <f t="shared" si="70"/>
        <v>0</v>
      </c>
      <c r="J850" s="49">
        <f t="shared" si="71"/>
        <v>8.7348641099601956</v>
      </c>
      <c r="K850" s="49">
        <f t="shared" si="72"/>
        <v>2.053381839215179</v>
      </c>
      <c r="L850" s="49">
        <f t="shared" si="73"/>
        <v>1.4962745351731066</v>
      </c>
      <c r="T850" s="49">
        <f>(100*('GA Arroyo'!AO850-E850))/E850</f>
        <v>11.292076275317001</v>
      </c>
      <c r="U850" s="49">
        <f>(100*('GA Arroyo'!AR850-E850))/E850</f>
        <v>0</v>
      </c>
      <c r="V850" s="49">
        <f>(100*('GA Arroyo'!AU850-E850))/E850</f>
        <v>4.0844637407299098</v>
      </c>
      <c r="W850" s="49">
        <f>(100*('GA Arroyo'!AX850-E850))/E850</f>
        <v>2.2428182574854341</v>
      </c>
    </row>
    <row r="851" spans="2:23" ht="15" customHeight="1">
      <c r="B851">
        <f>MIN('GA Arroyo'!B851,'GA Arroyo'!E851,'GA Arroyo'!H851,'GA Arroyo'!K851)</f>
        <v>1188670</v>
      </c>
      <c r="C851">
        <f>MIN('GA Arroyo'!O851, 'GA Arroyo'!R851, 'GA Arroyo'!U851, 'GA Arroyo'!X851)</f>
        <v>1256030</v>
      </c>
      <c r="D851">
        <f>MIN('GA Arroyo'!AB851, 'GA Arroyo'!AE851, 'GA Arroyo'!AH851, 'GA Arroyo'!AK851)</f>
        <v>1225630</v>
      </c>
      <c r="E851">
        <f>MIN('GA Arroyo'!AO851, 'GA Arroyo'!AR851, 'GA Arroyo'!AU851, 'GA Arroyo'!AX851)</f>
        <v>1228350</v>
      </c>
      <c r="G851" s="45">
        <f t="shared" si="69"/>
        <v>1188670</v>
      </c>
      <c r="I851" s="49">
        <f t="shared" si="70"/>
        <v>0</v>
      </c>
      <c r="J851" s="49">
        <f t="shared" si="71"/>
        <v>5.6668377261981879</v>
      </c>
      <c r="K851" s="49">
        <f t="shared" si="72"/>
        <v>3.109357517225134</v>
      </c>
      <c r="L851" s="49">
        <f t="shared" si="73"/>
        <v>3.33818469381746</v>
      </c>
      <c r="T851" s="49">
        <f>(100*('GA Arroyo'!AO851-E851))/E851</f>
        <v>8.2012455733300769</v>
      </c>
      <c r="U851" s="49">
        <f>(100*('GA Arroyo'!AR851-E851))/E851</f>
        <v>0</v>
      </c>
      <c r="V851" s="49">
        <f>(100*('GA Arroyo'!AU851-E851))/E851</f>
        <v>0.89958073838889563</v>
      </c>
      <c r="W851" s="49">
        <f>(100*('GA Arroyo'!AX851-E851))/E851</f>
        <v>7.0102169577074935</v>
      </c>
    </row>
    <row r="852" spans="2:23" ht="15" customHeight="1">
      <c r="B852">
        <f>MIN('GA Arroyo'!B852,'GA Arroyo'!E852,'GA Arroyo'!H852,'GA Arroyo'!K852)</f>
        <v>1322330</v>
      </c>
      <c r="C852">
        <f>MIN('GA Arroyo'!O852, 'GA Arroyo'!R852, 'GA Arroyo'!U852, 'GA Arroyo'!X852)</f>
        <v>1428230</v>
      </c>
      <c r="D852">
        <f>MIN('GA Arroyo'!AB852, 'GA Arroyo'!AE852, 'GA Arroyo'!AH852, 'GA Arroyo'!AK852)</f>
        <v>1352970</v>
      </c>
      <c r="E852">
        <f>MIN('GA Arroyo'!AO852, 'GA Arroyo'!AR852, 'GA Arroyo'!AU852, 'GA Arroyo'!AX852)</f>
        <v>1354610</v>
      </c>
      <c r="G852" s="45">
        <f t="shared" si="69"/>
        <v>1322330</v>
      </c>
      <c r="I852" s="49">
        <f t="shared" si="70"/>
        <v>0</v>
      </c>
      <c r="J852" s="49">
        <f t="shared" si="71"/>
        <v>8.0085908963723131</v>
      </c>
      <c r="K852" s="49">
        <f t="shared" si="72"/>
        <v>2.3171220497152754</v>
      </c>
      <c r="L852" s="49">
        <f t="shared" si="73"/>
        <v>2.4411455536817588</v>
      </c>
      <c r="T852" s="49">
        <f>(100*('GA Arroyo'!AO852-E852))/E852</f>
        <v>4.1820154878525919</v>
      </c>
      <c r="U852" s="49">
        <f>(100*('GA Arroyo'!AR852-E852))/E852</f>
        <v>9.0963450734897862</v>
      </c>
      <c r="V852" s="49">
        <f>(100*('GA Arroyo'!AU852-E852))/E852</f>
        <v>5.8149578107351934</v>
      </c>
      <c r="W852" s="49">
        <f>(100*('GA Arroyo'!AX852-E852))/E852</f>
        <v>0</v>
      </c>
    </row>
    <row r="853" spans="2:23" ht="15" customHeight="1">
      <c r="B853">
        <f>MIN('GA Arroyo'!B853,'GA Arroyo'!E853,'GA Arroyo'!H853,'GA Arroyo'!K853)</f>
        <v>1214920</v>
      </c>
      <c r="C853">
        <f>MIN('GA Arroyo'!O853, 'GA Arroyo'!R853, 'GA Arroyo'!U853, 'GA Arroyo'!X853)</f>
        <v>1319050</v>
      </c>
      <c r="D853">
        <f>MIN('GA Arroyo'!AB853, 'GA Arroyo'!AE853, 'GA Arroyo'!AH853, 'GA Arroyo'!AK853)</f>
        <v>1185880</v>
      </c>
      <c r="E853">
        <f>MIN('GA Arroyo'!AO853, 'GA Arroyo'!AR853, 'GA Arroyo'!AU853, 'GA Arroyo'!AX853)</f>
        <v>1222580</v>
      </c>
      <c r="G853" s="45">
        <f t="shared" si="69"/>
        <v>1185880</v>
      </c>
      <c r="I853" s="49">
        <f t="shared" si="70"/>
        <v>2.4488143825682194</v>
      </c>
      <c r="J853" s="49">
        <f t="shared" si="71"/>
        <v>11.229635376260667</v>
      </c>
      <c r="K853" s="49">
        <f t="shared" si="72"/>
        <v>0</v>
      </c>
      <c r="L853" s="49">
        <f t="shared" si="73"/>
        <v>3.0947482038654837</v>
      </c>
      <c r="T853" s="49">
        <f>(100*('GA Arroyo'!AO853-E853))/E853</f>
        <v>14.721327029724026</v>
      </c>
      <c r="U853" s="49">
        <f>(100*('GA Arroyo'!AR853-E853))/E853</f>
        <v>3.531875214709876</v>
      </c>
      <c r="V853" s="49">
        <f>(100*('GA Arroyo'!AU853-E853))/E853</f>
        <v>0</v>
      </c>
      <c r="W853" s="49">
        <f>(100*('GA Arroyo'!AX853-E853))/E853</f>
        <v>5.743591421420275</v>
      </c>
    </row>
    <row r="854" spans="2:23" ht="15" customHeight="1">
      <c r="B854">
        <f>MIN('GA Arroyo'!B854,'GA Arroyo'!E854,'GA Arroyo'!H854,'GA Arroyo'!K854)</f>
        <v>1350030</v>
      </c>
      <c r="C854">
        <f>MIN('GA Arroyo'!O854, 'GA Arroyo'!R854, 'GA Arroyo'!U854, 'GA Arroyo'!X854)</f>
        <v>1432600</v>
      </c>
      <c r="D854">
        <f>MIN('GA Arroyo'!AB854, 'GA Arroyo'!AE854, 'GA Arroyo'!AH854, 'GA Arroyo'!AK854)</f>
        <v>1402720</v>
      </c>
      <c r="E854">
        <f>MIN('GA Arroyo'!AO854, 'GA Arroyo'!AR854, 'GA Arroyo'!AU854, 'GA Arroyo'!AX854)</f>
        <v>1350910</v>
      </c>
      <c r="G854" s="45">
        <f t="shared" si="69"/>
        <v>1350030</v>
      </c>
      <c r="I854" s="49">
        <f t="shared" si="70"/>
        <v>0</v>
      </c>
      <c r="J854" s="49">
        <f t="shared" si="71"/>
        <v>6.1161603816211487</v>
      </c>
      <c r="K854" s="49">
        <f t="shared" si="72"/>
        <v>3.902876232380021</v>
      </c>
      <c r="L854" s="49">
        <f t="shared" si="73"/>
        <v>6.5183736657703897E-2</v>
      </c>
      <c r="T854" s="49">
        <f>(100*('GA Arroyo'!AO854-E854))/E854</f>
        <v>0</v>
      </c>
      <c r="U854" s="49">
        <f>(100*('GA Arroyo'!AR854-E854))/E854</f>
        <v>6.4593496235870633</v>
      </c>
      <c r="V854" s="49">
        <f>(100*('GA Arroyo'!AU854-E854))/E854</f>
        <v>5.2150032200516687</v>
      </c>
      <c r="W854" s="49">
        <f>(100*('GA Arroyo'!AX854-E854))/E854</f>
        <v>1.6092855926745675</v>
      </c>
    </row>
    <row r="855" spans="2:23" ht="15" customHeight="1">
      <c r="B855">
        <f>MIN('GA Arroyo'!B855,'GA Arroyo'!E855,'GA Arroyo'!H855,'GA Arroyo'!K855)</f>
        <v>1370290</v>
      </c>
      <c r="C855">
        <f>MIN('GA Arroyo'!O855, 'GA Arroyo'!R855, 'GA Arroyo'!U855, 'GA Arroyo'!X855)</f>
        <v>1412650</v>
      </c>
      <c r="D855">
        <f>MIN('GA Arroyo'!AB855, 'GA Arroyo'!AE855, 'GA Arroyo'!AH855, 'GA Arroyo'!AK855)</f>
        <v>1336180</v>
      </c>
      <c r="E855">
        <f>MIN('GA Arroyo'!AO855, 'GA Arroyo'!AR855, 'GA Arroyo'!AU855, 'GA Arroyo'!AX855)</f>
        <v>1366750</v>
      </c>
      <c r="G855" s="45">
        <f t="shared" si="69"/>
        <v>1336180</v>
      </c>
      <c r="I855" s="49">
        <f t="shared" si="70"/>
        <v>2.5527997724857427</v>
      </c>
      <c r="J855" s="49">
        <f t="shared" si="71"/>
        <v>5.7230313281144758</v>
      </c>
      <c r="K855" s="49">
        <f t="shared" si="72"/>
        <v>0</v>
      </c>
      <c r="L855" s="49">
        <f t="shared" si="73"/>
        <v>2.2878654073552966</v>
      </c>
      <c r="T855" s="49">
        <f>(100*('GA Arroyo'!AO855-E855))/E855</f>
        <v>2.4086336199012255</v>
      </c>
      <c r="U855" s="49">
        <f>(100*('GA Arroyo'!AR855-E855))/E855</f>
        <v>2.9193341869398206</v>
      </c>
      <c r="V855" s="49">
        <f>(100*('GA Arroyo'!AU855-E855))/E855</f>
        <v>1.6484360709712822</v>
      </c>
      <c r="W855" s="49">
        <f>(100*('GA Arroyo'!AX855-E855))/E855</f>
        <v>0</v>
      </c>
    </row>
    <row r="856" spans="2:23" ht="15" customHeight="1">
      <c r="B856">
        <f>MIN('GA Arroyo'!B856,'GA Arroyo'!E856,'GA Arroyo'!H856,'GA Arroyo'!K856)</f>
        <v>1409020</v>
      </c>
      <c r="C856">
        <f>MIN('GA Arroyo'!O856, 'GA Arroyo'!R856, 'GA Arroyo'!U856, 'GA Arroyo'!X856)</f>
        <v>1432980</v>
      </c>
      <c r="D856">
        <f>MIN('GA Arroyo'!AB856, 'GA Arroyo'!AE856, 'GA Arroyo'!AH856, 'GA Arroyo'!AK856)</f>
        <v>1368950</v>
      </c>
      <c r="E856">
        <f>MIN('GA Arroyo'!AO856, 'GA Arroyo'!AR856, 'GA Arroyo'!AU856, 'GA Arroyo'!AX856)</f>
        <v>1384740</v>
      </c>
      <c r="G856" s="45">
        <f t="shared" si="69"/>
        <v>1368950</v>
      </c>
      <c r="I856" s="49">
        <f t="shared" si="70"/>
        <v>2.9270608860805729</v>
      </c>
      <c r="J856" s="49">
        <f t="shared" si="71"/>
        <v>4.6773074253990288</v>
      </c>
      <c r="K856" s="49">
        <f t="shared" si="72"/>
        <v>0</v>
      </c>
      <c r="L856" s="49">
        <f t="shared" si="73"/>
        <v>1.1534387669381643</v>
      </c>
      <c r="T856" s="49">
        <f>(100*('GA Arroyo'!AO856-E856))/E856</f>
        <v>13.465343674624838</v>
      </c>
      <c r="U856" s="49">
        <f>(100*('GA Arroyo'!AR856-E856))/E856</f>
        <v>0</v>
      </c>
      <c r="V856" s="49">
        <f>(100*('GA Arroyo'!AU856-E856))/E856</f>
        <v>2.0213180813726765</v>
      </c>
      <c r="W856" s="49">
        <f>(100*('GA Arroyo'!AX856-E856))/E856</f>
        <v>2.5492150150930861</v>
      </c>
    </row>
    <row r="857" spans="2:23" ht="15" customHeight="1">
      <c r="B857">
        <f>MIN('GA Arroyo'!B857,'GA Arroyo'!E857,'GA Arroyo'!H857,'GA Arroyo'!K857)</f>
        <v>1239530</v>
      </c>
      <c r="C857">
        <f>MIN('GA Arroyo'!O857, 'GA Arroyo'!R857, 'GA Arroyo'!U857, 'GA Arroyo'!X857)</f>
        <v>1340550</v>
      </c>
      <c r="D857">
        <f>MIN('GA Arroyo'!AB857, 'GA Arroyo'!AE857, 'GA Arroyo'!AH857, 'GA Arroyo'!AK857)</f>
        <v>1249820</v>
      </c>
      <c r="E857">
        <f>MIN('GA Arroyo'!AO857, 'GA Arroyo'!AR857, 'GA Arroyo'!AU857, 'GA Arroyo'!AX857)</f>
        <v>1267170</v>
      </c>
      <c r="G857" s="45">
        <f t="shared" si="69"/>
        <v>1239530</v>
      </c>
      <c r="I857" s="49">
        <f t="shared" si="70"/>
        <v>0</v>
      </c>
      <c r="J857" s="49">
        <f t="shared" si="71"/>
        <v>8.149863254620703</v>
      </c>
      <c r="K857" s="49">
        <f t="shared" si="72"/>
        <v>0.83015336458173661</v>
      </c>
      <c r="L857" s="49">
        <f t="shared" si="73"/>
        <v>2.2298774535509427</v>
      </c>
      <c r="T857" s="49">
        <f>(100*('GA Arroyo'!AO857-E857))/E857</f>
        <v>3.2363455574232343</v>
      </c>
      <c r="U857" s="49">
        <f>(100*('GA Arroyo'!AR857-E857))/E857</f>
        <v>0</v>
      </c>
      <c r="V857" s="49">
        <f>(100*('GA Arroyo'!AU857-E857))/E857</f>
        <v>0.91463655231736862</v>
      </c>
      <c r="W857" s="49">
        <f>(100*('GA Arroyo'!AX857-E857))/E857</f>
        <v>11.539098937001349</v>
      </c>
    </row>
    <row r="858" spans="2:23" ht="15" customHeight="1">
      <c r="B858">
        <f>MIN('GA Arroyo'!B858,'GA Arroyo'!E858,'GA Arroyo'!H858,'GA Arroyo'!K858)</f>
        <v>1395880</v>
      </c>
      <c r="C858">
        <f>MIN('GA Arroyo'!O858, 'GA Arroyo'!R858, 'GA Arroyo'!U858, 'GA Arroyo'!X858)</f>
        <v>1449430</v>
      </c>
      <c r="D858">
        <f>MIN('GA Arroyo'!AB858, 'GA Arroyo'!AE858, 'GA Arroyo'!AH858, 'GA Arroyo'!AK858)</f>
        <v>1390680</v>
      </c>
      <c r="E858">
        <f>MIN('GA Arroyo'!AO858, 'GA Arroyo'!AR858, 'GA Arroyo'!AU858, 'GA Arroyo'!AX858)</f>
        <v>1380430</v>
      </c>
      <c r="G858" s="45">
        <f t="shared" si="69"/>
        <v>1380430</v>
      </c>
      <c r="I858" s="49">
        <f t="shared" si="70"/>
        <v>1.1192164760255863</v>
      </c>
      <c r="J858" s="49">
        <f t="shared" si="71"/>
        <v>4.9984425142890263</v>
      </c>
      <c r="K858" s="49">
        <f t="shared" si="72"/>
        <v>0.74252225755742773</v>
      </c>
      <c r="L858" s="49">
        <f t="shared" si="73"/>
        <v>0</v>
      </c>
      <c r="T858" s="49">
        <f>(100*('GA Arroyo'!AO858-E858))/E858</f>
        <v>3.4011141455923153</v>
      </c>
      <c r="U858" s="49">
        <f>(100*('GA Arroyo'!AR858-E858))/E858</f>
        <v>5.2367740486659953</v>
      </c>
      <c r="V858" s="49">
        <f>(100*('GA Arroyo'!AU858-E858))/E858</f>
        <v>0.41871011206652997</v>
      </c>
      <c r="W858" s="49">
        <f>(100*('GA Arroyo'!AX858-E858))/E858</f>
        <v>0</v>
      </c>
    </row>
    <row r="859" spans="2:23" ht="15" customHeight="1">
      <c r="B859">
        <f>MIN('GA Arroyo'!B859,'GA Arroyo'!E859,'GA Arroyo'!H859,'GA Arroyo'!K859)</f>
        <v>1233780</v>
      </c>
      <c r="C859">
        <f>MIN('GA Arroyo'!O859, 'GA Arroyo'!R859, 'GA Arroyo'!U859, 'GA Arroyo'!X859)</f>
        <v>1335570</v>
      </c>
      <c r="D859">
        <f>MIN('GA Arroyo'!AB859, 'GA Arroyo'!AE859, 'GA Arroyo'!AH859, 'GA Arroyo'!AK859)</f>
        <v>1260950</v>
      </c>
      <c r="E859">
        <f>MIN('GA Arroyo'!AO859, 'GA Arroyo'!AR859, 'GA Arroyo'!AU859, 'GA Arroyo'!AX859)</f>
        <v>1287090</v>
      </c>
      <c r="G859" s="45">
        <f t="shared" si="69"/>
        <v>1233780</v>
      </c>
      <c r="I859" s="49">
        <f t="shared" si="70"/>
        <v>0</v>
      </c>
      <c r="J859" s="49">
        <f t="shared" si="71"/>
        <v>8.2502553129407179</v>
      </c>
      <c r="K859" s="49">
        <f t="shared" si="72"/>
        <v>2.2021754283583781</v>
      </c>
      <c r="L859" s="49">
        <f t="shared" si="73"/>
        <v>4.3208675776880803</v>
      </c>
      <c r="T859" s="49">
        <f>(100*('GA Arroyo'!AO859-E859))/E859</f>
        <v>1.2345679012345678</v>
      </c>
      <c r="U859" s="49">
        <f>(100*('GA Arroyo'!AR859-E859))/E859</f>
        <v>2.5926702872371008</v>
      </c>
      <c r="V859" s="49">
        <f>(100*('GA Arroyo'!AU859-E859))/E859</f>
        <v>1.7496833943236292</v>
      </c>
      <c r="W859" s="49">
        <f>(100*('GA Arroyo'!AX859-E859))/E859</f>
        <v>0</v>
      </c>
    </row>
    <row r="860" spans="2:23" ht="15" customHeight="1">
      <c r="B860">
        <f>MIN('GA Arroyo'!B860,'GA Arroyo'!E860,'GA Arroyo'!H860,'GA Arroyo'!K860)</f>
        <v>1218500</v>
      </c>
      <c r="C860">
        <f>MIN('GA Arroyo'!O860, 'GA Arroyo'!R860, 'GA Arroyo'!U860, 'GA Arroyo'!X860)</f>
        <v>1283650</v>
      </c>
      <c r="D860">
        <f>MIN('GA Arroyo'!AB860, 'GA Arroyo'!AE860, 'GA Arroyo'!AH860, 'GA Arroyo'!AK860)</f>
        <v>1164660</v>
      </c>
      <c r="E860">
        <f>MIN('GA Arroyo'!AO860, 'GA Arroyo'!AR860, 'GA Arroyo'!AU860, 'GA Arroyo'!AX860)</f>
        <v>1207890</v>
      </c>
      <c r="G860" s="45">
        <f t="shared" si="69"/>
        <v>1164660</v>
      </c>
      <c r="I860" s="49">
        <f t="shared" si="70"/>
        <v>4.622808373259149</v>
      </c>
      <c r="J860" s="49">
        <f t="shared" si="71"/>
        <v>10.216715607988597</v>
      </c>
      <c r="K860" s="49">
        <f t="shared" si="72"/>
        <v>0</v>
      </c>
      <c r="L860" s="49">
        <f t="shared" si="73"/>
        <v>3.7118128895986811</v>
      </c>
      <c r="T860" s="49">
        <f>(100*('GA Arroyo'!AO860-E860))/E860</f>
        <v>3.634436910645837</v>
      </c>
      <c r="U860" s="49">
        <f>(100*('GA Arroyo'!AR860-E860))/E860</f>
        <v>5.2215019579597479</v>
      </c>
      <c r="V860" s="49">
        <f>(100*('GA Arroyo'!AU860-E860))/E860</f>
        <v>5.3349228820505177</v>
      </c>
      <c r="W860" s="49">
        <f>(100*('GA Arroyo'!AX860-E860))/E860</f>
        <v>0</v>
      </c>
    </row>
    <row r="861" spans="2:23" ht="15" customHeight="1">
      <c r="B861">
        <f>MIN('GA Arroyo'!B861,'GA Arroyo'!E861,'GA Arroyo'!H861,'GA Arroyo'!K861)</f>
        <v>1360380</v>
      </c>
      <c r="C861">
        <f>MIN('GA Arroyo'!O861, 'GA Arroyo'!R861, 'GA Arroyo'!U861, 'GA Arroyo'!X861)</f>
        <v>1471450</v>
      </c>
      <c r="D861">
        <f>MIN('GA Arroyo'!AB861, 'GA Arroyo'!AE861, 'GA Arroyo'!AH861, 'GA Arroyo'!AK861)</f>
        <v>1392570</v>
      </c>
      <c r="E861">
        <f>MIN('GA Arroyo'!AO861, 'GA Arroyo'!AR861, 'GA Arroyo'!AU861, 'GA Arroyo'!AX861)</f>
        <v>1374600</v>
      </c>
      <c r="G861" s="45">
        <f t="shared" si="69"/>
        <v>1360380</v>
      </c>
      <c r="I861" s="49">
        <f t="shared" si="70"/>
        <v>0</v>
      </c>
      <c r="J861" s="49">
        <f t="shared" si="71"/>
        <v>8.164630470897837</v>
      </c>
      <c r="K861" s="49">
        <f t="shared" si="72"/>
        <v>2.3662506064481983</v>
      </c>
      <c r="L861" s="49">
        <f t="shared" si="73"/>
        <v>1.0452961672473868</v>
      </c>
      <c r="T861" s="49">
        <f>(100*('GA Arroyo'!AO861-E861))/E861</f>
        <v>3.3202386148697802</v>
      </c>
      <c r="U861" s="49">
        <f>(100*('GA Arroyo'!AR861-E861))/E861</f>
        <v>0</v>
      </c>
      <c r="V861" s="49">
        <f>(100*('GA Arroyo'!AU861-E861))/E861</f>
        <v>3.2729521315291721</v>
      </c>
      <c r="W861" s="49">
        <f>(100*('GA Arroyo'!AX861-E861))/E861</f>
        <v>6.0679470391386587</v>
      </c>
    </row>
    <row r="862" spans="2:23" ht="15" customHeight="1">
      <c r="B862">
        <f>MIN('GA Arroyo'!B862,'GA Arroyo'!E862,'GA Arroyo'!H862,'GA Arroyo'!K862)</f>
        <v>1392330</v>
      </c>
      <c r="C862">
        <f>MIN('GA Arroyo'!O862, 'GA Arroyo'!R862, 'GA Arroyo'!U862, 'GA Arroyo'!X862)</f>
        <v>1426840</v>
      </c>
      <c r="D862">
        <f>MIN('GA Arroyo'!AB862, 'GA Arroyo'!AE862, 'GA Arroyo'!AH862, 'GA Arroyo'!AK862)</f>
        <v>1386630</v>
      </c>
      <c r="E862">
        <f>MIN('GA Arroyo'!AO862, 'GA Arroyo'!AR862, 'GA Arroyo'!AU862, 'GA Arroyo'!AX862)</f>
        <v>1357490</v>
      </c>
      <c r="G862" s="45">
        <f t="shared" si="69"/>
        <v>1357490</v>
      </c>
      <c r="I862" s="49">
        <f t="shared" si="70"/>
        <v>2.5665014106917914</v>
      </c>
      <c r="J862" s="49">
        <f t="shared" si="71"/>
        <v>5.1086932500423572</v>
      </c>
      <c r="K862" s="49">
        <f t="shared" si="72"/>
        <v>2.146608814797899</v>
      </c>
      <c r="L862" s="49">
        <f t="shared" si="73"/>
        <v>0</v>
      </c>
      <c r="T862" s="49">
        <f>(100*('GA Arroyo'!AO862-E862))/E862</f>
        <v>18.378035933966366</v>
      </c>
      <c r="U862" s="49">
        <f>(100*('GA Arroyo'!AR862-E862))/E862</f>
        <v>8.2284215721662779</v>
      </c>
      <c r="V862" s="49">
        <f>(100*('GA Arroyo'!AU862-E862))/E862</f>
        <v>0</v>
      </c>
      <c r="W862" s="49">
        <f>(100*('GA Arroyo'!AX862-E862))/E862</f>
        <v>1.5344496092052244</v>
      </c>
    </row>
    <row r="863" spans="2:23" ht="15" customHeight="1">
      <c r="B863">
        <f>MIN('GA Arroyo'!B863,'GA Arroyo'!E863,'GA Arroyo'!H863,'GA Arroyo'!K863)</f>
        <v>1154280</v>
      </c>
      <c r="C863">
        <f>MIN('GA Arroyo'!O863, 'GA Arroyo'!R863, 'GA Arroyo'!U863, 'GA Arroyo'!X863)</f>
        <v>1265640</v>
      </c>
      <c r="D863">
        <f>MIN('GA Arroyo'!AB863, 'GA Arroyo'!AE863, 'GA Arroyo'!AH863, 'GA Arroyo'!AK863)</f>
        <v>1214150</v>
      </c>
      <c r="E863">
        <f>MIN('GA Arroyo'!AO863, 'GA Arroyo'!AR863, 'GA Arroyo'!AU863, 'GA Arroyo'!AX863)</f>
        <v>1219560</v>
      </c>
      <c r="G863" s="45">
        <f t="shared" si="69"/>
        <v>1154280</v>
      </c>
      <c r="I863" s="49">
        <f t="shared" si="70"/>
        <v>0</v>
      </c>
      <c r="J863" s="49">
        <f t="shared" si="71"/>
        <v>9.647572512735211</v>
      </c>
      <c r="K863" s="49">
        <f t="shared" si="72"/>
        <v>5.1867831028866478</v>
      </c>
      <c r="L863" s="49">
        <f t="shared" si="73"/>
        <v>5.6554735419482274</v>
      </c>
      <c r="T863" s="49">
        <f>(100*('GA Arroyo'!AO863-E863))/E863</f>
        <v>0</v>
      </c>
      <c r="U863" s="49">
        <f>(100*('GA Arroyo'!AR863-E863))/E863</f>
        <v>5.5807012365115289</v>
      </c>
      <c r="V863" s="49">
        <f>(100*('GA Arroyo'!AU863-E863))/E863</f>
        <v>3.947325264849618</v>
      </c>
      <c r="W863" s="49">
        <f>(100*('GA Arroyo'!AX863-E863))/E863</f>
        <v>2.6353766932336251</v>
      </c>
    </row>
    <row r="864" spans="2:23" ht="15" customHeight="1">
      <c r="B864">
        <f>MIN('GA Arroyo'!B864,'GA Arroyo'!E864,'GA Arroyo'!H864,'GA Arroyo'!K864)</f>
        <v>1317960</v>
      </c>
      <c r="C864">
        <f>MIN('GA Arroyo'!O864, 'GA Arroyo'!R864, 'GA Arroyo'!U864, 'GA Arroyo'!X864)</f>
        <v>1407300</v>
      </c>
      <c r="D864">
        <f>MIN('GA Arroyo'!AB864, 'GA Arroyo'!AE864, 'GA Arroyo'!AH864, 'GA Arroyo'!AK864)</f>
        <v>1316470</v>
      </c>
      <c r="E864">
        <f>MIN('GA Arroyo'!AO864, 'GA Arroyo'!AR864, 'GA Arroyo'!AU864, 'GA Arroyo'!AX864)</f>
        <v>1280080</v>
      </c>
      <c r="G864" s="45">
        <f t="shared" si="69"/>
        <v>1280080</v>
      </c>
      <c r="I864" s="49">
        <f t="shared" si="70"/>
        <v>2.959190050621836</v>
      </c>
      <c r="J864" s="49">
        <f t="shared" si="71"/>
        <v>9.938441347415786</v>
      </c>
      <c r="K864" s="49">
        <f t="shared" si="72"/>
        <v>2.8427910755577774</v>
      </c>
      <c r="L864" s="49">
        <f t="shared" si="73"/>
        <v>0</v>
      </c>
      <c r="T864" s="49">
        <f>(100*('GA Arroyo'!AO864-E864))/E864</f>
        <v>5.6246484594712834E-2</v>
      </c>
      <c r="U864" s="49">
        <f>(100*('GA Arroyo'!AR864-E864))/E864</f>
        <v>9.5954940316230228</v>
      </c>
      <c r="V864" s="49">
        <f>(100*('GA Arroyo'!AU864-E864))/E864</f>
        <v>4.4762827323292296</v>
      </c>
      <c r="W864" s="49">
        <f>(100*('GA Arroyo'!AX864-E864))/E864</f>
        <v>0</v>
      </c>
    </row>
    <row r="865" spans="2:23" ht="15" customHeight="1">
      <c r="B865">
        <f>MIN('GA Arroyo'!B865,'GA Arroyo'!E865,'GA Arroyo'!H865,'GA Arroyo'!K865)</f>
        <v>1338480</v>
      </c>
      <c r="C865">
        <f>MIN('GA Arroyo'!O865, 'GA Arroyo'!R865, 'GA Arroyo'!U865, 'GA Arroyo'!X865)</f>
        <v>1450790</v>
      </c>
      <c r="D865">
        <f>MIN('GA Arroyo'!AB865, 'GA Arroyo'!AE865, 'GA Arroyo'!AH865, 'GA Arroyo'!AK865)</f>
        <v>1347560</v>
      </c>
      <c r="E865">
        <f>MIN('GA Arroyo'!AO865, 'GA Arroyo'!AR865, 'GA Arroyo'!AU865, 'GA Arroyo'!AX865)</f>
        <v>1362480</v>
      </c>
      <c r="G865" s="45">
        <f t="shared" si="69"/>
        <v>1338480</v>
      </c>
      <c r="I865" s="49">
        <f t="shared" si="70"/>
        <v>0</v>
      </c>
      <c r="J865" s="49">
        <f t="shared" si="71"/>
        <v>8.3908612754766594</v>
      </c>
      <c r="K865" s="49">
        <f t="shared" si="72"/>
        <v>0.67838144761221686</v>
      </c>
      <c r="L865" s="49">
        <f t="shared" si="73"/>
        <v>1.7930787161556392</v>
      </c>
      <c r="T865" s="49">
        <f>(100*('GA Arroyo'!AO865-E865))/E865</f>
        <v>1.3284598673008043</v>
      </c>
      <c r="U865" s="49">
        <f>(100*('GA Arroyo'!AR865-E865))/E865</f>
        <v>0</v>
      </c>
      <c r="V865" s="49">
        <f>(100*('GA Arroyo'!AU865-E865))/E865</f>
        <v>4.389789207914979</v>
      </c>
      <c r="W865" s="49">
        <f>(100*('GA Arroyo'!AX865-E865))/E865</f>
        <v>3.4906934413716164</v>
      </c>
    </row>
    <row r="866" spans="2:23" ht="15" customHeight="1">
      <c r="B866">
        <f>MIN('GA Arroyo'!B866,'GA Arroyo'!E866,'GA Arroyo'!H866,'GA Arroyo'!K866)</f>
        <v>1322000</v>
      </c>
      <c r="C866">
        <f>MIN('GA Arroyo'!O866, 'GA Arroyo'!R866, 'GA Arroyo'!U866, 'GA Arroyo'!X866)</f>
        <v>1435530</v>
      </c>
      <c r="D866">
        <f>MIN('GA Arroyo'!AB866, 'GA Arroyo'!AE866, 'GA Arroyo'!AH866, 'GA Arroyo'!AK866)</f>
        <v>1320410</v>
      </c>
      <c r="E866">
        <f>MIN('GA Arroyo'!AO866, 'GA Arroyo'!AR866, 'GA Arroyo'!AU866, 'GA Arroyo'!AX866)</f>
        <v>1335010</v>
      </c>
      <c r="G866" s="45">
        <f t="shared" si="69"/>
        <v>1320410</v>
      </c>
      <c r="I866" s="49">
        <f t="shared" si="70"/>
        <v>0.12041714316007907</v>
      </c>
      <c r="J866" s="49">
        <f t="shared" si="71"/>
        <v>8.718504100998933</v>
      </c>
      <c r="K866" s="49">
        <f t="shared" si="72"/>
        <v>0</v>
      </c>
      <c r="L866" s="49">
        <f t="shared" si="73"/>
        <v>1.1057171636082732</v>
      </c>
      <c r="T866" s="49">
        <f>(100*('GA Arroyo'!AO866-E866))/E866</f>
        <v>0</v>
      </c>
      <c r="U866" s="49">
        <f>(100*('GA Arroyo'!AR866-E866))/E866</f>
        <v>0.31385532692639007</v>
      </c>
      <c r="V866" s="49">
        <f>(100*('GA Arroyo'!AU866-E866))/E866</f>
        <v>0.32434213975925275</v>
      </c>
      <c r="W866" s="49">
        <f>(100*('GA Arroyo'!AX866-E866))/E866</f>
        <v>3.2216987138673119</v>
      </c>
    </row>
    <row r="867" spans="2:23" ht="15" customHeight="1">
      <c r="B867">
        <f>MIN('GA Arroyo'!B867,'GA Arroyo'!E867,'GA Arroyo'!H867,'GA Arroyo'!K867)</f>
        <v>1236540</v>
      </c>
      <c r="C867">
        <f>MIN('GA Arroyo'!O867, 'GA Arroyo'!R867, 'GA Arroyo'!U867, 'GA Arroyo'!X867)</f>
        <v>1312630</v>
      </c>
      <c r="D867">
        <f>MIN('GA Arroyo'!AB867, 'GA Arroyo'!AE867, 'GA Arroyo'!AH867, 'GA Arroyo'!AK867)</f>
        <v>1264380</v>
      </c>
      <c r="E867">
        <f>MIN('GA Arroyo'!AO867, 'GA Arroyo'!AR867, 'GA Arroyo'!AU867, 'GA Arroyo'!AX867)</f>
        <v>1234510</v>
      </c>
      <c r="G867" s="45">
        <f t="shared" si="69"/>
        <v>1234510</v>
      </c>
      <c r="I867" s="49">
        <f t="shared" si="70"/>
        <v>0.16443771212869884</v>
      </c>
      <c r="J867" s="49">
        <f t="shared" si="71"/>
        <v>6.3280167839871693</v>
      </c>
      <c r="K867" s="49">
        <f t="shared" si="72"/>
        <v>2.4195834784651402</v>
      </c>
      <c r="L867" s="49">
        <f t="shared" si="73"/>
        <v>0</v>
      </c>
      <c r="T867" s="49">
        <f>(100*('GA Arroyo'!AO867-E867))/E867</f>
        <v>9.6402621282938163</v>
      </c>
      <c r="U867" s="49">
        <f>(100*('GA Arroyo'!AR867-E867))/E867</f>
        <v>8.8334642894751756</v>
      </c>
      <c r="V867" s="49">
        <f>(100*('GA Arroyo'!AU867-E867))/E867</f>
        <v>0</v>
      </c>
      <c r="W867" s="49">
        <f>(100*('GA Arroyo'!AX867-E867))/E867</f>
        <v>5.1631821532429871</v>
      </c>
    </row>
    <row r="868" spans="2:23" ht="15" customHeight="1">
      <c r="B868">
        <f>MIN('GA Arroyo'!B868,'GA Arroyo'!E868,'GA Arroyo'!H868,'GA Arroyo'!K868)</f>
        <v>1178090</v>
      </c>
      <c r="C868">
        <f>MIN('GA Arroyo'!O868, 'GA Arroyo'!R868, 'GA Arroyo'!U868, 'GA Arroyo'!X868)</f>
        <v>1261390</v>
      </c>
      <c r="D868">
        <f>MIN('GA Arroyo'!AB868, 'GA Arroyo'!AE868, 'GA Arroyo'!AH868, 'GA Arroyo'!AK868)</f>
        <v>1198960</v>
      </c>
      <c r="E868">
        <f>MIN('GA Arroyo'!AO868, 'GA Arroyo'!AR868, 'GA Arroyo'!AU868, 'GA Arroyo'!AX868)</f>
        <v>1202040</v>
      </c>
      <c r="G868" s="45">
        <f t="shared" si="69"/>
        <v>1178090</v>
      </c>
      <c r="I868" s="49">
        <f t="shared" si="70"/>
        <v>0</v>
      </c>
      <c r="J868" s="49">
        <f t="shared" si="71"/>
        <v>7.0707670891018513</v>
      </c>
      <c r="K868" s="49">
        <f t="shared" si="72"/>
        <v>1.7715115144004279</v>
      </c>
      <c r="L868" s="49">
        <f t="shared" si="73"/>
        <v>2.032951642064698</v>
      </c>
      <c r="T868" s="49">
        <f>(100*('GA Arroyo'!AO868-E868))/E868</f>
        <v>5.5830088848956771</v>
      </c>
      <c r="U868" s="49">
        <f>(100*('GA Arroyo'!AR868-E868))/E868</f>
        <v>8.1311769991015268</v>
      </c>
      <c r="V868" s="49">
        <f>(100*('GA Arroyo'!AU868-E868))/E868</f>
        <v>0</v>
      </c>
      <c r="W868" s="49">
        <f>(100*('GA Arroyo'!AX868-E868))/E868</f>
        <v>0.12894745599148114</v>
      </c>
    </row>
    <row r="869" spans="2:23" ht="15" customHeight="1">
      <c r="B869">
        <f>MIN('GA Arroyo'!B869,'GA Arroyo'!E869,'GA Arroyo'!H869,'GA Arroyo'!K869)</f>
        <v>1181210</v>
      </c>
      <c r="C869">
        <f>MIN('GA Arroyo'!O869, 'GA Arroyo'!R869, 'GA Arroyo'!U869, 'GA Arroyo'!X869)</f>
        <v>1248710</v>
      </c>
      <c r="D869">
        <f>MIN('GA Arroyo'!AB869, 'GA Arroyo'!AE869, 'GA Arroyo'!AH869, 'GA Arroyo'!AK869)</f>
        <v>1160630</v>
      </c>
      <c r="E869">
        <f>MIN('GA Arroyo'!AO869, 'GA Arroyo'!AR869, 'GA Arroyo'!AU869, 'GA Arroyo'!AX869)</f>
        <v>1139270</v>
      </c>
      <c r="G869" s="45">
        <f t="shared" si="69"/>
        <v>1139270</v>
      </c>
      <c r="I869" s="49">
        <f t="shared" si="70"/>
        <v>3.6813046951117823</v>
      </c>
      <c r="J869" s="49">
        <f t="shared" si="71"/>
        <v>9.6061513074161518</v>
      </c>
      <c r="K869" s="49">
        <f t="shared" si="72"/>
        <v>1.8748847946492051</v>
      </c>
      <c r="L869" s="49">
        <f t="shared" si="73"/>
        <v>0</v>
      </c>
      <c r="T869" s="49">
        <f>(100*('GA Arroyo'!AO869-E869))/E869</f>
        <v>0</v>
      </c>
      <c r="U869" s="49">
        <f>(100*('GA Arroyo'!AR869-E869))/E869</f>
        <v>13.321688449621249</v>
      </c>
      <c r="V869" s="49">
        <f>(100*('GA Arroyo'!AU869-E869))/E869</f>
        <v>9.1365523537001767</v>
      </c>
      <c r="W869" s="49">
        <f>(100*('GA Arroyo'!AX869-E869))/E869</f>
        <v>8.6116548316026922</v>
      </c>
    </row>
    <row r="870" spans="2:23" ht="15" customHeight="1">
      <c r="B870">
        <f>MIN('GA Arroyo'!B870,'GA Arroyo'!E870,'GA Arroyo'!H870,'GA Arroyo'!K870)</f>
        <v>1238100</v>
      </c>
      <c r="C870">
        <f>MIN('GA Arroyo'!O870, 'GA Arroyo'!R870, 'GA Arroyo'!U870, 'GA Arroyo'!X870)</f>
        <v>1330220</v>
      </c>
      <c r="D870">
        <f>MIN('GA Arroyo'!AB870, 'GA Arroyo'!AE870, 'GA Arroyo'!AH870, 'GA Arroyo'!AK870)</f>
        <v>1281570</v>
      </c>
      <c r="E870">
        <f>MIN('GA Arroyo'!AO870, 'GA Arroyo'!AR870, 'GA Arroyo'!AU870, 'GA Arroyo'!AX870)</f>
        <v>1254400</v>
      </c>
      <c r="G870" s="45">
        <f t="shared" si="69"/>
        <v>1238100</v>
      </c>
      <c r="I870" s="49">
        <f t="shared" si="70"/>
        <v>0</v>
      </c>
      <c r="J870" s="49">
        <f t="shared" si="71"/>
        <v>7.4404329214118405</v>
      </c>
      <c r="K870" s="49">
        <f t="shared" si="72"/>
        <v>3.5110249575963168</v>
      </c>
      <c r="L870" s="49">
        <f t="shared" si="73"/>
        <v>1.3165333979484695</v>
      </c>
      <c r="T870" s="49">
        <f>(100*('GA Arroyo'!AO870-E870))/E870</f>
        <v>8.8616071428571423</v>
      </c>
      <c r="U870" s="49">
        <f>(100*('GA Arroyo'!AR870-E870))/E870</f>
        <v>6.1439732142857144</v>
      </c>
      <c r="V870" s="49">
        <f>(100*('GA Arroyo'!AU870-E870))/E870</f>
        <v>4.4284119897959187</v>
      </c>
      <c r="W870" s="49">
        <f>(100*('GA Arroyo'!AX870-E870))/E870</f>
        <v>0</v>
      </c>
    </row>
    <row r="871" spans="2:23" ht="15" customHeight="1">
      <c r="B871">
        <f>MIN('GA Arroyo'!B871,'GA Arroyo'!E871,'GA Arroyo'!H871,'GA Arroyo'!K871)</f>
        <v>1247970</v>
      </c>
      <c r="C871">
        <f>MIN('GA Arroyo'!O871, 'GA Arroyo'!R871, 'GA Arroyo'!U871, 'GA Arroyo'!X871)</f>
        <v>1344070</v>
      </c>
      <c r="D871">
        <f>MIN('GA Arroyo'!AB871, 'GA Arroyo'!AE871, 'GA Arroyo'!AH871, 'GA Arroyo'!AK871)</f>
        <v>1268710</v>
      </c>
      <c r="E871">
        <f>MIN('GA Arroyo'!AO871, 'GA Arroyo'!AR871, 'GA Arroyo'!AU871, 'GA Arroyo'!AX871)</f>
        <v>1249410</v>
      </c>
      <c r="G871" s="45">
        <f t="shared" si="69"/>
        <v>1247970</v>
      </c>
      <c r="I871" s="49">
        <f t="shared" si="70"/>
        <v>0</v>
      </c>
      <c r="J871" s="49">
        <f t="shared" si="71"/>
        <v>7.7005056211287126</v>
      </c>
      <c r="K871" s="49">
        <f t="shared" si="72"/>
        <v>1.6618989238523363</v>
      </c>
      <c r="L871" s="49">
        <f t="shared" si="73"/>
        <v>0.11538738911993077</v>
      </c>
      <c r="T871" s="49">
        <f>(100*('GA Arroyo'!AO871-E871))/E871</f>
        <v>0</v>
      </c>
      <c r="U871" s="49">
        <f>(100*('GA Arroyo'!AR871-E871))/E871</f>
        <v>7.0961493825085444</v>
      </c>
      <c r="V871" s="49">
        <f>(100*('GA Arroyo'!AU871-E871))/E871</f>
        <v>4.6093756252951392</v>
      </c>
      <c r="W871" s="49">
        <f>(100*('GA Arroyo'!AX871-E871))/E871</f>
        <v>1.1237304007491535</v>
      </c>
    </row>
    <row r="872" spans="2:23" ht="15" customHeight="1">
      <c r="B872">
        <f>MIN('GA Arroyo'!B872,'GA Arroyo'!E872,'GA Arroyo'!H872,'GA Arroyo'!K872)</f>
        <v>1298490</v>
      </c>
      <c r="C872">
        <f>MIN('GA Arroyo'!O872, 'GA Arroyo'!R872, 'GA Arroyo'!U872, 'GA Arroyo'!X872)</f>
        <v>1391360</v>
      </c>
      <c r="D872">
        <f>MIN('GA Arroyo'!AB872, 'GA Arroyo'!AE872, 'GA Arroyo'!AH872, 'GA Arroyo'!AK872)</f>
        <v>1277850</v>
      </c>
      <c r="E872">
        <f>MIN('GA Arroyo'!AO872, 'GA Arroyo'!AR872, 'GA Arroyo'!AU872, 'GA Arroyo'!AX872)</f>
        <v>1295950</v>
      </c>
      <c r="G872" s="45">
        <f t="shared" si="69"/>
        <v>1277850</v>
      </c>
      <c r="I872" s="49">
        <f t="shared" si="70"/>
        <v>1.6152130531752553</v>
      </c>
      <c r="J872" s="49">
        <f t="shared" si="71"/>
        <v>8.8828892280001561</v>
      </c>
      <c r="K872" s="49">
        <f t="shared" si="72"/>
        <v>0</v>
      </c>
      <c r="L872" s="49">
        <f t="shared" si="73"/>
        <v>1.4164416793833392</v>
      </c>
      <c r="T872" s="49">
        <f>(100*('GA Arroyo'!AO872-E872))/E872</f>
        <v>4.9037385701608862</v>
      </c>
      <c r="U872" s="49">
        <f>(100*('GA Arroyo'!AR872-E872))/E872</f>
        <v>10.282032485821212</v>
      </c>
      <c r="V872" s="49">
        <f>(100*('GA Arroyo'!AU872-E872))/E872</f>
        <v>0</v>
      </c>
      <c r="W872" s="49">
        <f>(100*('GA Arroyo'!AX872-E872))/E872</f>
        <v>2.6551950306724796</v>
      </c>
    </row>
    <row r="873" spans="2:23" ht="15" customHeight="1">
      <c r="B873">
        <f>MIN('GA Arroyo'!B873,'GA Arroyo'!E873,'GA Arroyo'!H873,'GA Arroyo'!K873)</f>
        <v>1073660</v>
      </c>
      <c r="C873">
        <f>MIN('GA Arroyo'!O873, 'GA Arroyo'!R873, 'GA Arroyo'!U873, 'GA Arroyo'!X873)</f>
        <v>1176650</v>
      </c>
      <c r="D873">
        <f>MIN('GA Arroyo'!AB873, 'GA Arroyo'!AE873, 'GA Arroyo'!AH873, 'GA Arroyo'!AK873)</f>
        <v>1067300</v>
      </c>
      <c r="E873">
        <f>MIN('GA Arroyo'!AO873, 'GA Arroyo'!AR873, 'GA Arroyo'!AU873, 'GA Arroyo'!AX873)</f>
        <v>1043870</v>
      </c>
      <c r="G873" s="45">
        <f t="shared" si="69"/>
        <v>1043870</v>
      </c>
      <c r="I873" s="49">
        <f t="shared" si="70"/>
        <v>2.8538036345521953</v>
      </c>
      <c r="J873" s="49">
        <f t="shared" si="71"/>
        <v>12.719974709494478</v>
      </c>
      <c r="K873" s="49">
        <f t="shared" si="72"/>
        <v>2.2445323651412532</v>
      </c>
      <c r="L873" s="49">
        <f t="shared" si="73"/>
        <v>0</v>
      </c>
      <c r="T873" s="49">
        <f>(100*('GA Arroyo'!AO873-E873))/E873</f>
        <v>16.422543036968204</v>
      </c>
      <c r="U873" s="49">
        <f>(100*('GA Arroyo'!AR873-E873))/E873</f>
        <v>8.8363493538467441</v>
      </c>
      <c r="V873" s="49">
        <f>(100*('GA Arroyo'!AU873-E873))/E873</f>
        <v>0</v>
      </c>
      <c r="W873" s="49">
        <f>(100*('GA Arroyo'!AX873-E873))/E873</f>
        <v>6.5975648308697439</v>
      </c>
    </row>
    <row r="874" spans="2:23" ht="15" customHeight="1">
      <c r="B874">
        <f>MIN('GA Arroyo'!B874,'GA Arroyo'!E874,'GA Arroyo'!H874,'GA Arroyo'!K874)</f>
        <v>1154610</v>
      </c>
      <c r="C874">
        <f>MIN('GA Arroyo'!O874, 'GA Arroyo'!R874, 'GA Arroyo'!U874, 'GA Arroyo'!X874)</f>
        <v>1242650</v>
      </c>
      <c r="D874">
        <f>MIN('GA Arroyo'!AB874, 'GA Arroyo'!AE874, 'GA Arroyo'!AH874, 'GA Arroyo'!AK874)</f>
        <v>1128910</v>
      </c>
      <c r="E874">
        <f>MIN('GA Arroyo'!AO874, 'GA Arroyo'!AR874, 'GA Arroyo'!AU874, 'GA Arroyo'!AX874)</f>
        <v>1120060</v>
      </c>
      <c r="G874" s="45">
        <f t="shared" si="69"/>
        <v>1120060</v>
      </c>
      <c r="I874" s="49">
        <f t="shared" si="70"/>
        <v>3.0846561791332605</v>
      </c>
      <c r="J874" s="49">
        <f t="shared" si="71"/>
        <v>10.944949377711909</v>
      </c>
      <c r="K874" s="49">
        <f t="shared" si="72"/>
        <v>0.79013624270128391</v>
      </c>
      <c r="L874" s="49">
        <f t="shared" si="73"/>
        <v>0</v>
      </c>
      <c r="T874" s="49">
        <f>(100*('GA Arroyo'!AO874-E874))/E874</f>
        <v>11.759191471885435</v>
      </c>
      <c r="U874" s="49">
        <f>(100*('GA Arroyo'!AR874-E874))/E874</f>
        <v>5.9157545131510814</v>
      </c>
      <c r="V874" s="49">
        <f>(100*('GA Arroyo'!AU874-E874))/E874</f>
        <v>0</v>
      </c>
      <c r="W874" s="49">
        <f>(100*('GA Arroyo'!AX874-E874))/E874</f>
        <v>6.9933753548917021</v>
      </c>
    </row>
    <row r="875" spans="2:23" ht="15" customHeight="1">
      <c r="B875">
        <f>MIN('GA Arroyo'!B875,'GA Arroyo'!E875,'GA Arroyo'!H875,'GA Arroyo'!K875)</f>
        <v>1170050</v>
      </c>
      <c r="C875">
        <f>MIN('GA Arroyo'!O875, 'GA Arroyo'!R875, 'GA Arroyo'!U875, 'GA Arroyo'!X875)</f>
        <v>1298520</v>
      </c>
      <c r="D875">
        <f>MIN('GA Arroyo'!AB875, 'GA Arroyo'!AE875, 'GA Arroyo'!AH875, 'GA Arroyo'!AK875)</f>
        <v>1155210</v>
      </c>
      <c r="E875">
        <f>MIN('GA Arroyo'!AO875, 'GA Arroyo'!AR875, 'GA Arroyo'!AU875, 'GA Arroyo'!AX875)</f>
        <v>1209300</v>
      </c>
      <c r="G875" s="45">
        <f t="shared" si="69"/>
        <v>1155210</v>
      </c>
      <c r="I875" s="49">
        <f t="shared" si="70"/>
        <v>1.2846149184996667</v>
      </c>
      <c r="J875" s="49">
        <f t="shared" si="71"/>
        <v>12.405536655672995</v>
      </c>
      <c r="K875" s="49">
        <f t="shared" si="72"/>
        <v>0</v>
      </c>
      <c r="L875" s="49">
        <f t="shared" si="73"/>
        <v>4.6822655621055915</v>
      </c>
      <c r="T875" s="49">
        <f>(100*('GA Arroyo'!AO875-E875))/E875</f>
        <v>4.8002976928801786</v>
      </c>
      <c r="U875" s="49">
        <f>(100*('GA Arroyo'!AR875-E875))/E875</f>
        <v>3.9551806830397749</v>
      </c>
      <c r="V875" s="49">
        <f>(100*('GA Arroyo'!AU875-E875))/E875</f>
        <v>3.7897957496072108</v>
      </c>
      <c r="W875" s="49">
        <f>(100*('GA Arroyo'!AX875-E875))/E875</f>
        <v>0</v>
      </c>
    </row>
    <row r="876" spans="2:23" ht="15" customHeight="1">
      <c r="B876">
        <f>MIN('GA Arroyo'!B876,'GA Arroyo'!E876,'GA Arroyo'!H876,'GA Arroyo'!K876)</f>
        <v>1102760</v>
      </c>
      <c r="C876">
        <f>MIN('GA Arroyo'!O876, 'GA Arroyo'!R876, 'GA Arroyo'!U876, 'GA Arroyo'!X876)</f>
        <v>1149860</v>
      </c>
      <c r="D876">
        <f>MIN('GA Arroyo'!AB876, 'GA Arroyo'!AE876, 'GA Arroyo'!AH876, 'GA Arroyo'!AK876)</f>
        <v>1087380</v>
      </c>
      <c r="E876">
        <f>MIN('GA Arroyo'!AO876, 'GA Arroyo'!AR876, 'GA Arroyo'!AU876, 'GA Arroyo'!AX876)</f>
        <v>1093910</v>
      </c>
      <c r="G876" s="45">
        <f t="shared" si="69"/>
        <v>1087380</v>
      </c>
      <c r="I876" s="49">
        <f t="shared" si="70"/>
        <v>1.4144089462745315</v>
      </c>
      <c r="J876" s="49">
        <f t="shared" si="71"/>
        <v>5.7459213890268348</v>
      </c>
      <c r="K876" s="49">
        <f t="shared" si="72"/>
        <v>0</v>
      </c>
      <c r="L876" s="49">
        <f t="shared" si="73"/>
        <v>0.60052603505674185</v>
      </c>
      <c r="T876" s="49">
        <f>(100*('GA Arroyo'!AO876-E876))/E876</f>
        <v>5.5717563602124489</v>
      </c>
      <c r="U876" s="49">
        <f>(100*('GA Arroyo'!AR876-E876))/E876</f>
        <v>0</v>
      </c>
      <c r="V876" s="49">
        <f>(100*('GA Arroyo'!AU876-E876))/E876</f>
        <v>1.5293762740993317</v>
      </c>
      <c r="W876" s="49">
        <f>(100*('GA Arroyo'!AX876-E876))/E876</f>
        <v>14.869596219067382</v>
      </c>
    </row>
    <row r="877" spans="2:23" ht="15" customHeight="1">
      <c r="B877">
        <f>MIN('GA Arroyo'!B877,'GA Arroyo'!E877,'GA Arroyo'!H877,'GA Arroyo'!K877)</f>
        <v>1084060</v>
      </c>
      <c r="C877">
        <f>MIN('GA Arroyo'!O877, 'GA Arroyo'!R877, 'GA Arroyo'!U877, 'GA Arroyo'!X877)</f>
        <v>1213000</v>
      </c>
      <c r="D877">
        <f>MIN('GA Arroyo'!AB877, 'GA Arroyo'!AE877, 'GA Arroyo'!AH877, 'GA Arroyo'!AK877)</f>
        <v>1146710</v>
      </c>
      <c r="E877">
        <f>MIN('GA Arroyo'!AO877, 'GA Arroyo'!AR877, 'GA Arroyo'!AU877, 'GA Arroyo'!AX877)</f>
        <v>1172400</v>
      </c>
      <c r="G877" s="45">
        <f t="shared" si="69"/>
        <v>1084060</v>
      </c>
      <c r="I877" s="49">
        <f t="shared" si="70"/>
        <v>0</v>
      </c>
      <c r="J877" s="49">
        <f t="shared" si="71"/>
        <v>11.894175599136579</v>
      </c>
      <c r="K877" s="49">
        <f t="shared" si="72"/>
        <v>5.7792004132612584</v>
      </c>
      <c r="L877" s="49">
        <f t="shared" si="73"/>
        <v>8.1489954430566574</v>
      </c>
      <c r="T877" s="49">
        <f>(100*('GA Arroyo'!AO877-E877))/E877</f>
        <v>4.0284885704537698</v>
      </c>
      <c r="U877" s="49">
        <f>(100*('GA Arroyo'!AR877-E877))/E877</f>
        <v>3.4953940634595702</v>
      </c>
      <c r="V877" s="49">
        <f>(100*('GA Arroyo'!AU877-E877))/E877</f>
        <v>5.9945411122483794</v>
      </c>
      <c r="W877" s="49">
        <f>(100*('GA Arroyo'!AX877-E877))/E877</f>
        <v>0</v>
      </c>
    </row>
    <row r="878" spans="2:23" ht="15" customHeight="1">
      <c r="B878">
        <f>MIN('GA Arroyo'!B878,'GA Arroyo'!E878,'GA Arroyo'!H878,'GA Arroyo'!K878)</f>
        <v>1178090</v>
      </c>
      <c r="C878">
        <f>MIN('GA Arroyo'!O878, 'GA Arroyo'!R878, 'GA Arroyo'!U878, 'GA Arroyo'!X878)</f>
        <v>1302810</v>
      </c>
      <c r="D878">
        <f>MIN('GA Arroyo'!AB878, 'GA Arroyo'!AE878, 'GA Arroyo'!AH878, 'GA Arroyo'!AK878)</f>
        <v>1191340</v>
      </c>
      <c r="E878">
        <f>MIN('GA Arroyo'!AO878, 'GA Arroyo'!AR878, 'GA Arroyo'!AU878, 'GA Arroyo'!AX878)</f>
        <v>1239320</v>
      </c>
      <c r="G878" s="45">
        <f t="shared" si="69"/>
        <v>1178090</v>
      </c>
      <c r="I878" s="49">
        <f t="shared" si="70"/>
        <v>0</v>
      </c>
      <c r="J878" s="49">
        <f t="shared" si="71"/>
        <v>10.586627507236289</v>
      </c>
      <c r="K878" s="49">
        <f t="shared" si="72"/>
        <v>1.1247018479063569</v>
      </c>
      <c r="L878" s="49">
        <f t="shared" si="73"/>
        <v>5.1973957847023575</v>
      </c>
      <c r="T878" s="49">
        <f>(100*('GA Arroyo'!AO878-E878))/E878</f>
        <v>4.3007455701513733</v>
      </c>
      <c r="U878" s="49">
        <f>(100*('GA Arroyo'!AR878-E878))/E878</f>
        <v>9.1106413194332383</v>
      </c>
      <c r="V878" s="49">
        <f>(100*('GA Arroyo'!AU878-E878))/E878</f>
        <v>4.2257044185521089</v>
      </c>
      <c r="W878" s="49">
        <f>(100*('GA Arroyo'!AX878-E878))/E878</f>
        <v>0</v>
      </c>
    </row>
    <row r="879" spans="2:23" ht="15" customHeight="1">
      <c r="B879">
        <f>MIN('GA Arroyo'!B879,'GA Arroyo'!E879,'GA Arroyo'!H879,'GA Arroyo'!K879)</f>
        <v>1093420</v>
      </c>
      <c r="C879">
        <f>MIN('GA Arroyo'!O879, 'GA Arroyo'!R879, 'GA Arroyo'!U879, 'GA Arroyo'!X879)</f>
        <v>1164670</v>
      </c>
      <c r="D879">
        <f>MIN('GA Arroyo'!AB879, 'GA Arroyo'!AE879, 'GA Arroyo'!AH879, 'GA Arroyo'!AK879)</f>
        <v>1114290</v>
      </c>
      <c r="E879">
        <f>MIN('GA Arroyo'!AO879, 'GA Arroyo'!AR879, 'GA Arroyo'!AU879, 'GA Arroyo'!AX879)</f>
        <v>1113380</v>
      </c>
      <c r="G879" s="45">
        <f t="shared" si="69"/>
        <v>1093420</v>
      </c>
      <c r="I879" s="49">
        <f t="shared" si="70"/>
        <v>0</v>
      </c>
      <c r="J879" s="49">
        <f t="shared" si="71"/>
        <v>6.5162517605311772</v>
      </c>
      <c r="K879" s="49">
        <f t="shared" si="72"/>
        <v>1.9086901648040095</v>
      </c>
      <c r="L879" s="49">
        <f t="shared" si="73"/>
        <v>1.8254650545993305</v>
      </c>
      <c r="T879" s="49">
        <f>(100*('GA Arroyo'!AO879-E879))/E879</f>
        <v>0</v>
      </c>
      <c r="U879" s="49">
        <f>(100*('GA Arroyo'!AR879-E879))/E879</f>
        <v>5.1464908656523383</v>
      </c>
      <c r="V879" s="49">
        <f>(100*('GA Arroyo'!AU879-E879))/E879</f>
        <v>1.1631248989563312</v>
      </c>
      <c r="W879" s="49">
        <f>(100*('GA Arroyo'!AX879-E879))/E879</f>
        <v>2.5139664804469275</v>
      </c>
    </row>
    <row r="880" spans="2:23" ht="15" customHeight="1">
      <c r="B880">
        <f>MIN('GA Arroyo'!B880,'GA Arroyo'!E880,'GA Arroyo'!H880,'GA Arroyo'!K880)</f>
        <v>1007550</v>
      </c>
      <c r="C880">
        <f>MIN('GA Arroyo'!O880, 'GA Arroyo'!R880, 'GA Arroyo'!U880, 'GA Arroyo'!X880)</f>
        <v>1123680</v>
      </c>
      <c r="D880">
        <f>MIN('GA Arroyo'!AB880, 'GA Arroyo'!AE880, 'GA Arroyo'!AH880, 'GA Arroyo'!AK880)</f>
        <v>1040340</v>
      </c>
      <c r="E880">
        <f>MIN('GA Arroyo'!AO880, 'GA Arroyo'!AR880, 'GA Arroyo'!AU880, 'GA Arroyo'!AX880)</f>
        <v>1016210</v>
      </c>
      <c r="G880" s="45">
        <f t="shared" si="69"/>
        <v>1007550</v>
      </c>
      <c r="I880" s="49">
        <f t="shared" si="70"/>
        <v>0</v>
      </c>
      <c r="J880" s="49">
        <f t="shared" si="71"/>
        <v>11.525978859609944</v>
      </c>
      <c r="K880" s="49">
        <f t="shared" si="72"/>
        <v>3.2544290605925266</v>
      </c>
      <c r="L880" s="49">
        <f t="shared" si="73"/>
        <v>0.85951069425834947</v>
      </c>
      <c r="T880" s="49">
        <f>(100*('GA Arroyo'!AO880-E880))/E880</f>
        <v>0</v>
      </c>
      <c r="U880" s="49">
        <f>(100*('GA Arroyo'!AR880-E880))/E880</f>
        <v>11.576347408508084</v>
      </c>
      <c r="V880" s="49">
        <f>(100*('GA Arroyo'!AU880-E880))/E880</f>
        <v>9.8591826492555672</v>
      </c>
      <c r="W880" s="49">
        <f>(100*('GA Arroyo'!AX880-E880))/E880</f>
        <v>8.9981401481977148</v>
      </c>
    </row>
    <row r="881" spans="2:23" ht="15" customHeight="1">
      <c r="B881">
        <f>MIN('GA Arroyo'!B881,'GA Arroyo'!E881,'GA Arroyo'!H881,'GA Arroyo'!K881)</f>
        <v>1197950</v>
      </c>
      <c r="C881">
        <f>MIN('GA Arroyo'!O881, 'GA Arroyo'!R881, 'GA Arroyo'!U881, 'GA Arroyo'!X881)</f>
        <v>1277210</v>
      </c>
      <c r="D881">
        <f>MIN('GA Arroyo'!AB881, 'GA Arroyo'!AE881, 'GA Arroyo'!AH881, 'GA Arroyo'!AK881)</f>
        <v>1221420</v>
      </c>
      <c r="E881">
        <f>MIN('GA Arroyo'!AO881, 'GA Arroyo'!AR881, 'GA Arroyo'!AU881, 'GA Arroyo'!AX881)</f>
        <v>1280320</v>
      </c>
      <c r="G881" s="45">
        <f t="shared" si="69"/>
        <v>1197950</v>
      </c>
      <c r="I881" s="49">
        <f t="shared" si="70"/>
        <v>0</v>
      </c>
      <c r="J881" s="49">
        <f t="shared" si="71"/>
        <v>6.6163028507032848</v>
      </c>
      <c r="K881" s="49">
        <f t="shared" si="72"/>
        <v>1.9591802662882425</v>
      </c>
      <c r="L881" s="49">
        <f t="shared" si="73"/>
        <v>6.8759130180725405</v>
      </c>
      <c r="T881" s="49">
        <f>(100*('GA Arroyo'!AO881-E881))/E881</f>
        <v>3.2858972756810796</v>
      </c>
      <c r="U881" s="49">
        <f>(100*('GA Arroyo'!AR881-E881))/E881</f>
        <v>1.6425581104723819</v>
      </c>
      <c r="V881" s="49">
        <f>(100*('GA Arroyo'!AU881-E881))/E881</f>
        <v>0</v>
      </c>
      <c r="W881" s="49">
        <f>(100*('GA Arroyo'!AX881-E881))/E881</f>
        <v>6.1476818295426146</v>
      </c>
    </row>
    <row r="882" spans="2:23" ht="15" customHeight="1">
      <c r="B882">
        <f>MIN('GA Arroyo'!B882,'GA Arroyo'!E882,'GA Arroyo'!H882,'GA Arroyo'!K882)</f>
        <v>1274180</v>
      </c>
      <c r="C882">
        <f>MIN('GA Arroyo'!O882, 'GA Arroyo'!R882, 'GA Arroyo'!U882, 'GA Arroyo'!X882)</f>
        <v>1273660</v>
      </c>
      <c r="D882">
        <f>MIN('GA Arroyo'!AB882, 'GA Arroyo'!AE882, 'GA Arroyo'!AH882, 'GA Arroyo'!AK882)</f>
        <v>1246810</v>
      </c>
      <c r="E882">
        <f>MIN('GA Arroyo'!AO882, 'GA Arroyo'!AR882, 'GA Arroyo'!AU882, 'GA Arroyo'!AX882)</f>
        <v>1289000</v>
      </c>
      <c r="G882" s="45">
        <f t="shared" si="69"/>
        <v>1246810</v>
      </c>
      <c r="I882" s="49">
        <f t="shared" si="70"/>
        <v>2.1952021559018617</v>
      </c>
      <c r="J882" s="49">
        <f t="shared" si="71"/>
        <v>2.1534957210801968</v>
      </c>
      <c r="K882" s="49">
        <f t="shared" si="72"/>
        <v>0</v>
      </c>
      <c r="L882" s="49">
        <f t="shared" si="73"/>
        <v>3.3838355483193108</v>
      </c>
      <c r="T882" s="49">
        <f>(100*('GA Arroyo'!AO882-E882))/E882</f>
        <v>0</v>
      </c>
      <c r="U882" s="49">
        <f>(100*('GA Arroyo'!AR882-E882))/E882</f>
        <v>0.97672614429790539</v>
      </c>
      <c r="V882" s="49">
        <f>(100*('GA Arroyo'!AU882-E882))/E882</f>
        <v>2.4654771140418927</v>
      </c>
      <c r="W882" s="49">
        <f>(100*('GA Arroyo'!AX882-E882))/E882</f>
        <v>5.4321179208688903</v>
      </c>
    </row>
    <row r="883" spans="2:23" ht="15" customHeight="1">
      <c r="B883">
        <f>MIN('GA Arroyo'!B883,'GA Arroyo'!E883,'GA Arroyo'!H883,'GA Arroyo'!K883)</f>
        <v>1040890</v>
      </c>
      <c r="C883">
        <f>MIN('GA Arroyo'!O883, 'GA Arroyo'!R883, 'GA Arroyo'!U883, 'GA Arroyo'!X883)</f>
        <v>1146890</v>
      </c>
      <c r="D883">
        <f>MIN('GA Arroyo'!AB883, 'GA Arroyo'!AE883, 'GA Arroyo'!AH883, 'GA Arroyo'!AK883)</f>
        <v>1054010</v>
      </c>
      <c r="E883">
        <f>MIN('GA Arroyo'!AO883, 'GA Arroyo'!AR883, 'GA Arroyo'!AU883, 'GA Arroyo'!AX883)</f>
        <v>1031970</v>
      </c>
      <c r="G883" s="45">
        <f t="shared" si="69"/>
        <v>1031970</v>
      </c>
      <c r="I883" s="49">
        <f t="shared" si="70"/>
        <v>0.864366212196091</v>
      </c>
      <c r="J883" s="49">
        <f t="shared" si="71"/>
        <v>11.135982635154123</v>
      </c>
      <c r="K883" s="49">
        <f t="shared" si="72"/>
        <v>2.1357209996414626</v>
      </c>
      <c r="L883" s="49">
        <f t="shared" si="73"/>
        <v>0</v>
      </c>
      <c r="T883" s="49">
        <f>(100*('GA Arroyo'!AO883-E883))/E883</f>
        <v>3.2064885607139741</v>
      </c>
      <c r="U883" s="49">
        <f>(100*('GA Arroyo'!AR883-E883))/E883</f>
        <v>6.0282760157756528</v>
      </c>
      <c r="V883" s="49">
        <f>(100*('GA Arroyo'!AU883-E883))/E883</f>
        <v>7.2618390069478762</v>
      </c>
      <c r="W883" s="49">
        <f>(100*('GA Arroyo'!AX883-E883))/E883</f>
        <v>0</v>
      </c>
    </row>
    <row r="884" spans="2:23" ht="15" customHeight="1">
      <c r="B884">
        <f>MIN('GA Arroyo'!B884,'GA Arroyo'!E884,'GA Arroyo'!H884,'GA Arroyo'!K884)</f>
        <v>1190140</v>
      </c>
      <c r="C884">
        <f>MIN('GA Arroyo'!O884, 'GA Arroyo'!R884, 'GA Arroyo'!U884, 'GA Arroyo'!X884)</f>
        <v>1287060</v>
      </c>
      <c r="D884">
        <f>MIN('GA Arroyo'!AB884, 'GA Arroyo'!AE884, 'GA Arroyo'!AH884, 'GA Arroyo'!AK884)</f>
        <v>1208220</v>
      </c>
      <c r="E884">
        <f>MIN('GA Arroyo'!AO884, 'GA Arroyo'!AR884, 'GA Arroyo'!AU884, 'GA Arroyo'!AX884)</f>
        <v>1228340</v>
      </c>
      <c r="G884" s="45">
        <f t="shared" si="69"/>
        <v>1190140</v>
      </c>
      <c r="I884" s="49">
        <f t="shared" si="70"/>
        <v>0</v>
      </c>
      <c r="J884" s="49">
        <f t="shared" si="71"/>
        <v>8.1435797469205298</v>
      </c>
      <c r="K884" s="49">
        <f t="shared" si="72"/>
        <v>1.5191490076797687</v>
      </c>
      <c r="L884" s="49">
        <f t="shared" si="73"/>
        <v>3.2097064210933168</v>
      </c>
      <c r="T884" s="49">
        <f>(100*('GA Arroyo'!AO884-E884))/E884</f>
        <v>1.2048781282055456</v>
      </c>
      <c r="U884" s="49">
        <f>(100*('GA Arroyo'!AR884-E884))/E884</f>
        <v>0.78805542439389742</v>
      </c>
      <c r="V884" s="49">
        <f>(100*('GA Arroyo'!AU884-E884))/E884</f>
        <v>0</v>
      </c>
      <c r="W884" s="49">
        <f>(100*('GA Arroyo'!AX884-E884))/E884</f>
        <v>1.7177654395362847</v>
      </c>
    </row>
    <row r="885" spans="2:23" ht="15" customHeight="1">
      <c r="B885">
        <f>MIN('GA Arroyo'!B885,'GA Arroyo'!E885,'GA Arroyo'!H885,'GA Arroyo'!K885)</f>
        <v>1169180</v>
      </c>
      <c r="C885">
        <f>MIN('GA Arroyo'!O885, 'GA Arroyo'!R885, 'GA Arroyo'!U885, 'GA Arroyo'!X885)</f>
        <v>1240970</v>
      </c>
      <c r="D885">
        <f>MIN('GA Arroyo'!AB885, 'GA Arroyo'!AE885, 'GA Arroyo'!AH885, 'GA Arroyo'!AK885)</f>
        <v>1176230</v>
      </c>
      <c r="E885">
        <f>MIN('GA Arroyo'!AO885, 'GA Arroyo'!AR885, 'GA Arroyo'!AU885, 'GA Arroyo'!AX885)</f>
        <v>1164360</v>
      </c>
      <c r="G885" s="45">
        <f t="shared" si="69"/>
        <v>1164360</v>
      </c>
      <c r="I885" s="49">
        <f t="shared" si="70"/>
        <v>0.41396131780548973</v>
      </c>
      <c r="J885" s="49">
        <f t="shared" si="71"/>
        <v>6.5795801985640177</v>
      </c>
      <c r="K885" s="49">
        <f t="shared" si="72"/>
        <v>1.0194441581641416</v>
      </c>
      <c r="L885" s="49">
        <f t="shared" si="73"/>
        <v>0</v>
      </c>
      <c r="T885" s="49">
        <f>(100*('GA Arroyo'!AO885-E885))/E885</f>
        <v>0</v>
      </c>
      <c r="U885" s="49">
        <f>(100*('GA Arroyo'!AR885-E885))/E885</f>
        <v>3.6921570648253117</v>
      </c>
      <c r="V885" s="49">
        <f>(100*('GA Arroyo'!AU885-E885))/E885</f>
        <v>4.5655982685767285</v>
      </c>
      <c r="W885" s="49">
        <f>(100*('GA Arroyo'!AX885-E885))/E885</f>
        <v>6.3013157442715313</v>
      </c>
    </row>
    <row r="886" spans="2:23" ht="15" customHeight="1">
      <c r="B886">
        <f>MIN('GA Arroyo'!B886,'GA Arroyo'!E886,'GA Arroyo'!H886,'GA Arroyo'!K886)</f>
        <v>1118100</v>
      </c>
      <c r="C886">
        <f>MIN('GA Arroyo'!O886, 'GA Arroyo'!R886, 'GA Arroyo'!U886, 'GA Arroyo'!X886)</f>
        <v>1233920</v>
      </c>
      <c r="D886">
        <f>MIN('GA Arroyo'!AB886, 'GA Arroyo'!AE886, 'GA Arroyo'!AH886, 'GA Arroyo'!AK886)</f>
        <v>1115650</v>
      </c>
      <c r="E886">
        <f>MIN('GA Arroyo'!AO886, 'GA Arroyo'!AR886, 'GA Arroyo'!AU886, 'GA Arroyo'!AX886)</f>
        <v>1199350</v>
      </c>
      <c r="G886" s="45">
        <f t="shared" si="69"/>
        <v>1115650</v>
      </c>
      <c r="I886" s="49">
        <f t="shared" si="70"/>
        <v>0.21960292206337112</v>
      </c>
      <c r="J886" s="49">
        <f t="shared" si="71"/>
        <v>10.600994935687716</v>
      </c>
      <c r="K886" s="49">
        <f t="shared" si="72"/>
        <v>0</v>
      </c>
      <c r="L886" s="49">
        <f t="shared" si="73"/>
        <v>7.5023528884506794</v>
      </c>
      <c r="T886" s="49">
        <f>(100*('GA Arroyo'!AO886-E886))/E886</f>
        <v>3.5794388627173053</v>
      </c>
      <c r="U886" s="49">
        <f>(100*('GA Arroyo'!AR886-E886))/E886</f>
        <v>2.6514361946054112</v>
      </c>
      <c r="V886" s="49">
        <f>(100*('GA Arroyo'!AU886-E886))/E886</f>
        <v>0</v>
      </c>
      <c r="W886" s="49">
        <f>(100*('GA Arroyo'!AX886-E886))/E886</f>
        <v>2.2770667444865968</v>
      </c>
    </row>
    <row r="887" spans="2:23" ht="15" customHeight="1">
      <c r="B887">
        <f>MIN('GA Arroyo'!B887,'GA Arroyo'!E887,'GA Arroyo'!H887,'GA Arroyo'!K887)</f>
        <v>1098560</v>
      </c>
      <c r="C887">
        <f>MIN('GA Arroyo'!O887, 'GA Arroyo'!R887, 'GA Arroyo'!U887, 'GA Arroyo'!X887)</f>
        <v>1162010</v>
      </c>
      <c r="D887">
        <f>MIN('GA Arroyo'!AB887, 'GA Arroyo'!AE887, 'GA Arroyo'!AH887, 'GA Arroyo'!AK887)</f>
        <v>1099620</v>
      </c>
      <c r="E887">
        <f>MIN('GA Arroyo'!AO887, 'GA Arroyo'!AR887, 'GA Arroyo'!AU887, 'GA Arroyo'!AX887)</f>
        <v>1066970</v>
      </c>
      <c r="G887" s="45">
        <f t="shared" si="69"/>
        <v>1066970</v>
      </c>
      <c r="I887" s="49">
        <f t="shared" si="70"/>
        <v>2.9607205450949885</v>
      </c>
      <c r="J887" s="49">
        <f t="shared" si="71"/>
        <v>8.907466939089197</v>
      </c>
      <c r="K887" s="49">
        <f t="shared" si="72"/>
        <v>3.0600672933634496</v>
      </c>
      <c r="L887" s="49">
        <f t="shared" si="73"/>
        <v>0</v>
      </c>
      <c r="T887" s="49">
        <f>(100*('GA Arroyo'!AO887-E887))/E887</f>
        <v>2.7076675070526819</v>
      </c>
      <c r="U887" s="49">
        <f>(100*('GA Arroyo'!AR887-E887))/E887</f>
        <v>2.7564036477126819</v>
      </c>
      <c r="V887" s="49">
        <f>(100*('GA Arroyo'!AU887-E887))/E887</f>
        <v>7.0798616643392034</v>
      </c>
      <c r="W887" s="49">
        <f>(100*('GA Arroyo'!AX887-E887))/E887</f>
        <v>0</v>
      </c>
    </row>
    <row r="888" spans="2:23" ht="15" customHeight="1">
      <c r="B888">
        <f>MIN('GA Arroyo'!B888,'GA Arroyo'!E888,'GA Arroyo'!H888,'GA Arroyo'!K888)</f>
        <v>1103050</v>
      </c>
      <c r="C888">
        <f>MIN('GA Arroyo'!O888, 'GA Arroyo'!R888, 'GA Arroyo'!U888, 'GA Arroyo'!X888)</f>
        <v>1222490</v>
      </c>
      <c r="D888">
        <f>MIN('GA Arroyo'!AB888, 'GA Arroyo'!AE888, 'GA Arroyo'!AH888, 'GA Arroyo'!AK888)</f>
        <v>1152500</v>
      </c>
      <c r="E888">
        <f>MIN('GA Arroyo'!AO888, 'GA Arroyo'!AR888, 'GA Arroyo'!AU888, 'GA Arroyo'!AX888)</f>
        <v>1173870</v>
      </c>
      <c r="G888" s="45">
        <f t="shared" si="69"/>
        <v>1103050</v>
      </c>
      <c r="I888" s="49">
        <f t="shared" si="70"/>
        <v>0</v>
      </c>
      <c r="J888" s="49">
        <f t="shared" si="71"/>
        <v>10.828158288382213</v>
      </c>
      <c r="K888" s="49">
        <f t="shared" si="72"/>
        <v>4.4830243415982958</v>
      </c>
      <c r="L888" s="49">
        <f t="shared" si="73"/>
        <v>6.4203798558542227</v>
      </c>
      <c r="T888" s="49">
        <f>(100*('GA Arroyo'!AO888-E888))/E888</f>
        <v>4.0950020019252555</v>
      </c>
      <c r="U888" s="49">
        <f>(100*('GA Arroyo'!AR888-E888))/E888</f>
        <v>0</v>
      </c>
      <c r="V888" s="49">
        <f>(100*('GA Arroyo'!AU888-E888))/E888</f>
        <v>5.6190208455791524</v>
      </c>
      <c r="W888" s="49">
        <f>(100*('GA Arroyo'!AX888-E888))/E888</f>
        <v>1.5708724134699754</v>
      </c>
    </row>
    <row r="889" spans="2:23" ht="15" customHeight="1">
      <c r="B889">
        <f>MIN('GA Arroyo'!B889,'GA Arroyo'!E889,'GA Arroyo'!H889,'GA Arroyo'!K889)</f>
        <v>1371380</v>
      </c>
      <c r="C889">
        <f>MIN('GA Arroyo'!O889, 'GA Arroyo'!R889, 'GA Arroyo'!U889, 'GA Arroyo'!X889)</f>
        <v>1464170</v>
      </c>
      <c r="D889">
        <f>MIN('GA Arroyo'!AB889, 'GA Arroyo'!AE889, 'GA Arroyo'!AH889, 'GA Arroyo'!AK889)</f>
        <v>1335700</v>
      </c>
      <c r="E889">
        <f>MIN('GA Arroyo'!AO889, 'GA Arroyo'!AR889, 'GA Arroyo'!AU889, 'GA Arroyo'!AX889)</f>
        <v>1376690</v>
      </c>
      <c r="G889" s="45">
        <f t="shared" si="69"/>
        <v>1335700</v>
      </c>
      <c r="I889" s="49">
        <f t="shared" si="70"/>
        <v>2.6712585161338622</v>
      </c>
      <c r="J889" s="49">
        <f t="shared" si="71"/>
        <v>9.6181777345212254</v>
      </c>
      <c r="K889" s="49">
        <f t="shared" si="72"/>
        <v>0</v>
      </c>
      <c r="L889" s="49">
        <f t="shared" si="73"/>
        <v>3.0688028748970577</v>
      </c>
      <c r="T889" s="49">
        <f>(100*('GA Arroyo'!AO889-E889))/E889</f>
        <v>0</v>
      </c>
      <c r="U889" s="49">
        <f>(100*('GA Arroyo'!AR889-E889))/E889</f>
        <v>2.0251472735328941</v>
      </c>
      <c r="V889" s="49">
        <f>(100*('GA Arroyo'!AU889-E889))/E889</f>
        <v>4.4229274564353629</v>
      </c>
      <c r="W889" s="49">
        <f>(100*('GA Arroyo'!AX889-E889))/E889</f>
        <v>3.4139857193703736E-2</v>
      </c>
    </row>
    <row r="890" spans="2:23" ht="15" customHeight="1">
      <c r="B890">
        <f>MIN('GA Arroyo'!B890,'GA Arroyo'!E890,'GA Arroyo'!H890,'GA Arroyo'!K890)</f>
        <v>1215460</v>
      </c>
      <c r="C890">
        <f>MIN('GA Arroyo'!O890, 'GA Arroyo'!R890, 'GA Arroyo'!U890, 'GA Arroyo'!X890)</f>
        <v>1311460</v>
      </c>
      <c r="D890">
        <f>MIN('GA Arroyo'!AB890, 'GA Arroyo'!AE890, 'GA Arroyo'!AH890, 'GA Arroyo'!AK890)</f>
        <v>1233670</v>
      </c>
      <c r="E890">
        <f>MIN('GA Arroyo'!AO890, 'GA Arroyo'!AR890, 'GA Arroyo'!AU890, 'GA Arroyo'!AX890)</f>
        <v>1249030</v>
      </c>
      <c r="G890" s="45">
        <f t="shared" si="69"/>
        <v>1215460</v>
      </c>
      <c r="I890" s="49">
        <f t="shared" si="70"/>
        <v>0</v>
      </c>
      <c r="J890" s="49">
        <f t="shared" si="71"/>
        <v>7.8982442861138988</v>
      </c>
      <c r="K890" s="49">
        <f t="shared" si="72"/>
        <v>1.4981982130222302</v>
      </c>
      <c r="L890" s="49">
        <f t="shared" si="73"/>
        <v>2.7619172988004541</v>
      </c>
      <c r="T890" s="49">
        <f>(100*('GA Arroyo'!AO890-E890))/E890</f>
        <v>9.4089013074145544</v>
      </c>
      <c r="U890" s="49">
        <f>(100*('GA Arroyo'!AR890-E890))/E890</f>
        <v>1.5884326237160036</v>
      </c>
      <c r="V890" s="49">
        <f>(100*('GA Arroyo'!AU890-E890))/E890</f>
        <v>0</v>
      </c>
      <c r="W890" s="49">
        <f>(100*('GA Arroyo'!AX890-E890))/E890</f>
        <v>3.3145721079557737</v>
      </c>
    </row>
    <row r="891" spans="2:23" ht="15" customHeight="1">
      <c r="B891">
        <f>MIN('GA Arroyo'!B891,'GA Arroyo'!E891,'GA Arroyo'!H891,'GA Arroyo'!K891)</f>
        <v>1204600</v>
      </c>
      <c r="C891">
        <f>MIN('GA Arroyo'!O891, 'GA Arroyo'!R891, 'GA Arroyo'!U891, 'GA Arroyo'!X891)</f>
        <v>1301400</v>
      </c>
      <c r="D891">
        <f>MIN('GA Arroyo'!AB891, 'GA Arroyo'!AE891, 'GA Arroyo'!AH891, 'GA Arroyo'!AK891)</f>
        <v>1174680</v>
      </c>
      <c r="E891">
        <f>MIN('GA Arroyo'!AO891, 'GA Arroyo'!AR891, 'GA Arroyo'!AU891, 'GA Arroyo'!AX891)</f>
        <v>1226440</v>
      </c>
      <c r="G891" s="45">
        <f t="shared" si="69"/>
        <v>1174680</v>
      </c>
      <c r="I891" s="49">
        <f t="shared" si="70"/>
        <v>2.5470766506623082</v>
      </c>
      <c r="J891" s="49">
        <f t="shared" si="71"/>
        <v>10.787618755746246</v>
      </c>
      <c r="K891" s="49">
        <f t="shared" si="72"/>
        <v>0</v>
      </c>
      <c r="L891" s="49">
        <f t="shared" si="73"/>
        <v>4.4063063983382706</v>
      </c>
      <c r="T891" s="49">
        <f>(100*('GA Arroyo'!AO891-E891))/E891</f>
        <v>2.383320831023124</v>
      </c>
      <c r="U891" s="49">
        <f>(100*('GA Arroyo'!AR891-E891))/E891</f>
        <v>10.495417631518867</v>
      </c>
      <c r="V891" s="49">
        <f>(100*('GA Arroyo'!AU891-E891))/E891</f>
        <v>0</v>
      </c>
      <c r="W891" s="49">
        <f>(100*('GA Arroyo'!AX891-E891))/E891</f>
        <v>1.2230520857114902</v>
      </c>
    </row>
    <row r="892" spans="2:23" ht="15" customHeight="1">
      <c r="B892">
        <f>MIN('GA Arroyo'!B892,'GA Arroyo'!E892,'GA Arroyo'!H892,'GA Arroyo'!K892)</f>
        <v>1227040</v>
      </c>
      <c r="C892">
        <f>MIN('GA Arroyo'!O892, 'GA Arroyo'!R892, 'GA Arroyo'!U892, 'GA Arroyo'!X892)</f>
        <v>1347590</v>
      </c>
      <c r="D892">
        <f>MIN('GA Arroyo'!AB892, 'GA Arroyo'!AE892, 'GA Arroyo'!AH892, 'GA Arroyo'!AK892)</f>
        <v>1244660</v>
      </c>
      <c r="E892">
        <f>MIN('GA Arroyo'!AO892, 'GA Arroyo'!AR892, 'GA Arroyo'!AU892, 'GA Arroyo'!AX892)</f>
        <v>1265040</v>
      </c>
      <c r="G892" s="45">
        <f t="shared" si="69"/>
        <v>1227040</v>
      </c>
      <c r="I892" s="49">
        <f t="shared" si="70"/>
        <v>0</v>
      </c>
      <c r="J892" s="49">
        <f t="shared" si="71"/>
        <v>9.8244556004694221</v>
      </c>
      <c r="K892" s="49">
        <f t="shared" si="72"/>
        <v>1.4359760073021255</v>
      </c>
      <c r="L892" s="49">
        <f t="shared" si="73"/>
        <v>3.0968835571782503</v>
      </c>
      <c r="T892" s="49">
        <f>(100*('GA Arroyo'!AO892-E892))/E892</f>
        <v>3.9872257003731106</v>
      </c>
      <c r="U892" s="49">
        <f>(100*('GA Arroyo'!AR892-E892))/E892</f>
        <v>0</v>
      </c>
      <c r="V892" s="49">
        <f>(100*('GA Arroyo'!AU892-E892))/E892</f>
        <v>0.78100297223803195</v>
      </c>
      <c r="W892" s="49">
        <f>(100*('GA Arroyo'!AX892-E892))/E892</f>
        <v>0.81894643647631693</v>
      </c>
    </row>
    <row r="893" spans="2:23" ht="15" customHeight="1">
      <c r="B893">
        <f>MIN('GA Arroyo'!B893,'GA Arroyo'!E893,'GA Arroyo'!H893,'GA Arroyo'!K893)</f>
        <v>1358790</v>
      </c>
      <c r="C893">
        <f>MIN('GA Arroyo'!O893, 'GA Arroyo'!R893, 'GA Arroyo'!U893, 'GA Arroyo'!X893)</f>
        <v>1457720</v>
      </c>
      <c r="D893">
        <f>MIN('GA Arroyo'!AB893, 'GA Arroyo'!AE893, 'GA Arroyo'!AH893, 'GA Arroyo'!AK893)</f>
        <v>1380110</v>
      </c>
      <c r="E893">
        <f>MIN('GA Arroyo'!AO893, 'GA Arroyo'!AR893, 'GA Arroyo'!AU893, 'GA Arroyo'!AX893)</f>
        <v>1399310</v>
      </c>
      <c r="G893" s="45">
        <f t="shared" si="69"/>
        <v>1358790</v>
      </c>
      <c r="I893" s="49">
        <f t="shared" si="70"/>
        <v>0</v>
      </c>
      <c r="J893" s="49">
        <f t="shared" si="71"/>
        <v>7.2807424252459914</v>
      </c>
      <c r="K893" s="49">
        <f t="shared" si="72"/>
        <v>1.5690430456509099</v>
      </c>
      <c r="L893" s="49">
        <f t="shared" si="73"/>
        <v>2.9820649254115796</v>
      </c>
      <c r="T893" s="49">
        <f>(100*('GA Arroyo'!AO893-E893))/E893</f>
        <v>2.0888866655708886</v>
      </c>
      <c r="U893" s="49">
        <f>(100*('GA Arroyo'!AR893-E893))/E893</f>
        <v>0</v>
      </c>
      <c r="V893" s="49">
        <f>(100*('GA Arroyo'!AU893-E893))/E893</f>
        <v>3.1115335415311831</v>
      </c>
      <c r="W893" s="49">
        <f>(100*('GA Arroyo'!AX893-E893))/E893</f>
        <v>0.19581079246199912</v>
      </c>
    </row>
    <row r="894" spans="2:23" ht="15" customHeight="1">
      <c r="B894">
        <f>MIN('GA Arroyo'!B894,'GA Arroyo'!E894,'GA Arroyo'!H894,'GA Arroyo'!K894)</f>
        <v>1338420</v>
      </c>
      <c r="C894">
        <f>MIN('GA Arroyo'!O894, 'GA Arroyo'!R894, 'GA Arroyo'!U894, 'GA Arroyo'!X894)</f>
        <v>1469290</v>
      </c>
      <c r="D894">
        <f>MIN('GA Arroyo'!AB894, 'GA Arroyo'!AE894, 'GA Arroyo'!AH894, 'GA Arroyo'!AK894)</f>
        <v>1359770</v>
      </c>
      <c r="E894">
        <f>MIN('GA Arroyo'!AO894, 'GA Arroyo'!AR894, 'GA Arroyo'!AU894, 'GA Arroyo'!AX894)</f>
        <v>1374140</v>
      </c>
      <c r="G894" s="45">
        <f t="shared" si="69"/>
        <v>1338420</v>
      </c>
      <c r="I894" s="49">
        <f t="shared" si="70"/>
        <v>0</v>
      </c>
      <c r="J894" s="49">
        <f t="shared" si="71"/>
        <v>9.7779471316925921</v>
      </c>
      <c r="K894" s="49">
        <f t="shared" si="72"/>
        <v>1.5951644476322828</v>
      </c>
      <c r="L894" s="49">
        <f t="shared" si="73"/>
        <v>2.6688184575843157</v>
      </c>
      <c r="T894" s="49">
        <f>(100*('GA Arroyo'!AO894-E894))/E894</f>
        <v>3.581876664677544</v>
      </c>
      <c r="U894" s="49">
        <f>(100*('GA Arroyo'!AR894-E894))/E894</f>
        <v>1.9663207533439095</v>
      </c>
      <c r="V894" s="49">
        <f>(100*('GA Arroyo'!AU894-E894))/E894</f>
        <v>0.95768990059237047</v>
      </c>
      <c r="W894" s="49">
        <f>(100*('GA Arroyo'!AX894-E894))/E894</f>
        <v>0</v>
      </c>
    </row>
    <row r="895" spans="2:23" ht="15" customHeight="1">
      <c r="B895">
        <f>MIN('GA Arroyo'!B895,'GA Arroyo'!E895,'GA Arroyo'!H895,'GA Arroyo'!K895)</f>
        <v>1159920</v>
      </c>
      <c r="C895">
        <f>MIN('GA Arroyo'!O895, 'GA Arroyo'!R895, 'GA Arroyo'!U895, 'GA Arroyo'!X895)</f>
        <v>1255210</v>
      </c>
      <c r="D895">
        <f>MIN('GA Arroyo'!AB895, 'GA Arroyo'!AE895, 'GA Arroyo'!AH895, 'GA Arroyo'!AK895)</f>
        <v>1173030</v>
      </c>
      <c r="E895">
        <f>MIN('GA Arroyo'!AO895, 'GA Arroyo'!AR895, 'GA Arroyo'!AU895, 'GA Arroyo'!AX895)</f>
        <v>1167820</v>
      </c>
      <c r="G895" s="45">
        <f t="shared" si="69"/>
        <v>1159920</v>
      </c>
      <c r="I895" s="49">
        <f t="shared" si="70"/>
        <v>0</v>
      </c>
      <c r="J895" s="49">
        <f t="shared" si="71"/>
        <v>8.2152217394303051</v>
      </c>
      <c r="K895" s="49">
        <f t="shared" si="72"/>
        <v>1.1302503620939375</v>
      </c>
      <c r="L895" s="49">
        <f t="shared" si="73"/>
        <v>0.68108145389337194</v>
      </c>
      <c r="T895" s="49">
        <f>(100*('GA Arroyo'!AO895-E895))/E895</f>
        <v>13.25032967409361</v>
      </c>
      <c r="U895" s="49">
        <f>(100*('GA Arroyo'!AR895-E895))/E895</f>
        <v>4.7764210237879121</v>
      </c>
      <c r="V895" s="49">
        <f>(100*('GA Arroyo'!AU895-E895))/E895</f>
        <v>4.3799558151084925</v>
      </c>
      <c r="W895" s="49">
        <f>(100*('GA Arroyo'!AX895-E895))/E895</f>
        <v>0</v>
      </c>
    </row>
    <row r="896" spans="2:23" ht="15" customHeight="1">
      <c r="B896">
        <f>MIN('GA Arroyo'!B896,'GA Arroyo'!E896,'GA Arroyo'!H896,'GA Arroyo'!K896)</f>
        <v>1160380</v>
      </c>
      <c r="C896">
        <f>MIN('GA Arroyo'!O896, 'GA Arroyo'!R896, 'GA Arroyo'!U896, 'GA Arroyo'!X896)</f>
        <v>1272840</v>
      </c>
      <c r="D896">
        <f>MIN('GA Arroyo'!AB896, 'GA Arroyo'!AE896, 'GA Arroyo'!AH896, 'GA Arroyo'!AK896)</f>
        <v>1156520</v>
      </c>
      <c r="E896">
        <f>MIN('GA Arroyo'!AO896, 'GA Arroyo'!AR896, 'GA Arroyo'!AU896, 'GA Arroyo'!AX896)</f>
        <v>1193410</v>
      </c>
      <c r="G896" s="45">
        <f t="shared" si="69"/>
        <v>1156520</v>
      </c>
      <c r="I896" s="49">
        <f t="shared" si="70"/>
        <v>0.33375990039082765</v>
      </c>
      <c r="J896" s="49">
        <f t="shared" si="71"/>
        <v>10.05775948535261</v>
      </c>
      <c r="K896" s="49">
        <f t="shared" si="72"/>
        <v>0</v>
      </c>
      <c r="L896" s="49">
        <f t="shared" si="73"/>
        <v>3.189741638709231</v>
      </c>
      <c r="T896" s="49">
        <f>(100*('GA Arroyo'!AO896-E896))/E896</f>
        <v>4.8382366496007236</v>
      </c>
      <c r="U896" s="49">
        <f>(100*('GA Arroyo'!AR896-E896))/E896</f>
        <v>4.4410554629171868</v>
      </c>
      <c r="V896" s="49">
        <f>(100*('GA Arroyo'!AU896-E896))/E896</f>
        <v>4.4259726330431288</v>
      </c>
      <c r="W896" s="49">
        <f>(100*('GA Arroyo'!AX896-E896))/E896</f>
        <v>0</v>
      </c>
    </row>
    <row r="897" spans="2:23" ht="15" customHeight="1">
      <c r="B897">
        <f>MIN('GA Arroyo'!B897,'GA Arroyo'!E897,'GA Arroyo'!H897,'GA Arroyo'!K897)</f>
        <v>1195690</v>
      </c>
      <c r="C897">
        <f>MIN('GA Arroyo'!O897, 'GA Arroyo'!R897, 'GA Arroyo'!U897, 'GA Arroyo'!X897)</f>
        <v>1277820</v>
      </c>
      <c r="D897">
        <f>MIN('GA Arroyo'!AB897, 'GA Arroyo'!AE897, 'GA Arroyo'!AH897, 'GA Arroyo'!AK897)</f>
        <v>1232110</v>
      </c>
      <c r="E897">
        <f>MIN('GA Arroyo'!AO897, 'GA Arroyo'!AR897, 'GA Arroyo'!AU897, 'GA Arroyo'!AX897)</f>
        <v>1200850</v>
      </c>
      <c r="G897" s="45">
        <f t="shared" si="69"/>
        <v>1195690</v>
      </c>
      <c r="I897" s="49">
        <f t="shared" si="70"/>
        <v>0</v>
      </c>
      <c r="J897" s="49">
        <f t="shared" si="71"/>
        <v>6.8688372404218487</v>
      </c>
      <c r="K897" s="49">
        <f t="shared" si="72"/>
        <v>3.0459400011708722</v>
      </c>
      <c r="L897" s="49">
        <f t="shared" si="73"/>
        <v>0.43154998369142505</v>
      </c>
      <c r="T897" s="49">
        <f>(100*('GA Arroyo'!AO897-E897))/E897</f>
        <v>6.9800557938127161</v>
      </c>
      <c r="U897" s="49">
        <f>(100*('GA Arroyo'!AR897-E897))/E897</f>
        <v>1.5006037390181954</v>
      </c>
      <c r="V897" s="49">
        <f>(100*('GA Arroyo'!AU897-E897))/E897</f>
        <v>0</v>
      </c>
      <c r="W897" s="49">
        <f>(100*('GA Arroyo'!AX897-E897))/E897</f>
        <v>4.3061165008119247</v>
      </c>
    </row>
    <row r="898" spans="2:23" ht="15" customHeight="1">
      <c r="B898">
        <f>MIN('GA Arroyo'!B898,'GA Arroyo'!E898,'GA Arroyo'!H898,'GA Arroyo'!K898)</f>
        <v>1214010</v>
      </c>
      <c r="C898">
        <f>MIN('GA Arroyo'!O898, 'GA Arroyo'!R898, 'GA Arroyo'!U898, 'GA Arroyo'!X898)</f>
        <v>1280660</v>
      </c>
      <c r="D898">
        <f>MIN('GA Arroyo'!AB898, 'GA Arroyo'!AE898, 'GA Arroyo'!AH898, 'GA Arroyo'!AK898)</f>
        <v>1228990</v>
      </c>
      <c r="E898">
        <f>MIN('GA Arroyo'!AO898, 'GA Arroyo'!AR898, 'GA Arroyo'!AU898, 'GA Arroyo'!AX898)</f>
        <v>1211870</v>
      </c>
      <c r="G898" s="45">
        <f t="shared" si="69"/>
        <v>1211870</v>
      </c>
      <c r="I898" s="49">
        <f t="shared" si="70"/>
        <v>0.17658659757234688</v>
      </c>
      <c r="J898" s="49">
        <f t="shared" si="71"/>
        <v>5.6763514238325889</v>
      </c>
      <c r="K898" s="49">
        <f t="shared" si="72"/>
        <v>1.412692780578775</v>
      </c>
      <c r="L898" s="49">
        <f t="shared" si="73"/>
        <v>0</v>
      </c>
      <c r="T898" s="49">
        <f>(100*('GA Arroyo'!AO898-E898))/E898</f>
        <v>4.5541188411298243</v>
      </c>
      <c r="U898" s="49">
        <f>(100*('GA Arroyo'!AR898-E898))/E898</f>
        <v>3.9302895525097576</v>
      </c>
      <c r="V898" s="49">
        <f>(100*('GA Arroyo'!AU898-E898))/E898</f>
        <v>2.8460148365748803</v>
      </c>
      <c r="W898" s="49">
        <f>(100*('GA Arroyo'!AX898-E898))/E898</f>
        <v>0</v>
      </c>
    </row>
    <row r="899" spans="2:23" ht="15" customHeight="1">
      <c r="B899">
        <f>MIN('GA Arroyo'!B899,'GA Arroyo'!E899,'GA Arroyo'!H899,'GA Arroyo'!K899)</f>
        <v>1195330</v>
      </c>
      <c r="C899">
        <f>MIN('GA Arroyo'!O899, 'GA Arroyo'!R899, 'GA Arroyo'!U899, 'GA Arroyo'!X899)</f>
        <v>1340330</v>
      </c>
      <c r="D899">
        <f>MIN('GA Arroyo'!AB899, 'GA Arroyo'!AE899, 'GA Arroyo'!AH899, 'GA Arroyo'!AK899)</f>
        <v>1238240</v>
      </c>
      <c r="E899">
        <f>MIN('GA Arroyo'!AO899, 'GA Arroyo'!AR899, 'GA Arroyo'!AU899, 'GA Arroyo'!AX899)</f>
        <v>1245990</v>
      </c>
      <c r="G899" s="45">
        <f t="shared" si="69"/>
        <v>1195330</v>
      </c>
      <c r="I899" s="49">
        <f t="shared" si="70"/>
        <v>0</v>
      </c>
      <c r="J899" s="49">
        <f t="shared" si="71"/>
        <v>12.130541356780135</v>
      </c>
      <c r="K899" s="49">
        <f t="shared" si="72"/>
        <v>3.5898036525478321</v>
      </c>
      <c r="L899" s="49">
        <f t="shared" si="73"/>
        <v>4.2381601733412531</v>
      </c>
      <c r="T899" s="49">
        <f>(100*('GA Arroyo'!AO899-E899))/E899</f>
        <v>0</v>
      </c>
      <c r="U899" s="49">
        <f>(100*('GA Arroyo'!AR899-E899))/E899</f>
        <v>3.4807662982848981</v>
      </c>
      <c r="V899" s="49">
        <f>(100*('GA Arroyo'!AU899-E899))/E899</f>
        <v>1.6854067849661716E-2</v>
      </c>
      <c r="W899" s="49">
        <f>(100*('GA Arroyo'!AX899-E899))/E899</f>
        <v>6.8307129270700404</v>
      </c>
    </row>
    <row r="900" spans="2:23" ht="15" customHeight="1">
      <c r="B900">
        <f>MIN('GA Arroyo'!B900,'GA Arroyo'!E900,'GA Arroyo'!H900,'GA Arroyo'!K900)</f>
        <v>1149140</v>
      </c>
      <c r="C900">
        <f>MIN('GA Arroyo'!O900, 'GA Arroyo'!R900, 'GA Arroyo'!U900, 'GA Arroyo'!X900)</f>
        <v>1232220</v>
      </c>
      <c r="D900">
        <f>MIN('GA Arroyo'!AB900, 'GA Arroyo'!AE900, 'GA Arroyo'!AH900, 'GA Arroyo'!AK900)</f>
        <v>1111950</v>
      </c>
      <c r="E900">
        <f>MIN('GA Arroyo'!AO900, 'GA Arroyo'!AR900, 'GA Arroyo'!AU900, 'GA Arroyo'!AX900)</f>
        <v>1119370</v>
      </c>
      <c r="G900" s="45">
        <f t="shared" ref="G900:G962" si="74">MIN(B900,C900,D900,E900)</f>
        <v>1111950</v>
      </c>
      <c r="I900" s="49">
        <f t="shared" ref="I900:I962" si="75">(100*(B900-G900))/G900</f>
        <v>3.3445748459912767</v>
      </c>
      <c r="J900" s="49">
        <f t="shared" ref="J900:J962" si="76">(100*(C900-G900))/G900</f>
        <v>10.81613381896668</v>
      </c>
      <c r="K900" s="49">
        <f t="shared" ref="K900:K962" si="77">(100*(D900-G900))/G900</f>
        <v>0</v>
      </c>
      <c r="L900" s="49">
        <f t="shared" ref="L900:L962" si="78">(100*(E900-G900))/G900</f>
        <v>0.66729619137551144</v>
      </c>
      <c r="T900" s="49">
        <f>(100*('GA Arroyo'!AO900-E900))/E900</f>
        <v>0</v>
      </c>
      <c r="U900" s="49">
        <f>(100*('GA Arroyo'!AR900-E900))/E900</f>
        <v>11.57079428607163</v>
      </c>
      <c r="V900" s="49">
        <f>(100*('GA Arroyo'!AU900-E900))/E900</f>
        <v>7.0843420852801131</v>
      </c>
      <c r="W900" s="49">
        <f>(100*('GA Arroyo'!AX900-E900))/E900</f>
        <v>3.8468066859036778</v>
      </c>
    </row>
    <row r="901" spans="2:23" ht="15" customHeight="1">
      <c r="B901">
        <f>MIN('GA Arroyo'!B901,'GA Arroyo'!E901,'GA Arroyo'!H901,'GA Arroyo'!K901)</f>
        <v>1194840</v>
      </c>
      <c r="C901">
        <f>MIN('GA Arroyo'!O901, 'GA Arroyo'!R901, 'GA Arroyo'!U901, 'GA Arroyo'!X901)</f>
        <v>1292760</v>
      </c>
      <c r="D901">
        <f>MIN('GA Arroyo'!AB901, 'GA Arroyo'!AE901, 'GA Arroyo'!AH901, 'GA Arroyo'!AK901)</f>
        <v>1183960</v>
      </c>
      <c r="E901">
        <f>MIN('GA Arroyo'!AO901, 'GA Arroyo'!AR901, 'GA Arroyo'!AU901, 'GA Arroyo'!AX901)</f>
        <v>1195940</v>
      </c>
      <c r="G901" s="45">
        <f t="shared" si="74"/>
        <v>1183960</v>
      </c>
      <c r="I901" s="49">
        <f t="shared" si="75"/>
        <v>0.91894996452582856</v>
      </c>
      <c r="J901" s="49">
        <f t="shared" si="76"/>
        <v>9.1894996452582856</v>
      </c>
      <c r="K901" s="49">
        <f t="shared" si="77"/>
        <v>0</v>
      </c>
      <c r="L901" s="49">
        <f t="shared" si="78"/>
        <v>1.0118585087334031</v>
      </c>
      <c r="T901" s="49">
        <f>(100*('GA Arroyo'!AO901-E901))/E901</f>
        <v>2.7777313243139288</v>
      </c>
      <c r="U901" s="49">
        <f>(100*('GA Arroyo'!AR901-E901))/E901</f>
        <v>0</v>
      </c>
      <c r="V901" s="49">
        <f>(100*('GA Arroyo'!AU901-E901))/E901</f>
        <v>1.7969128886064518</v>
      </c>
      <c r="W901" s="49">
        <f>(100*('GA Arroyo'!AX901-E901))/E901</f>
        <v>2.7250530963091792</v>
      </c>
    </row>
    <row r="902" spans="2:23" ht="15" customHeight="1">
      <c r="B902">
        <f>MIN('GA Arroyo'!B902,'GA Arroyo'!E902,'GA Arroyo'!H902,'GA Arroyo'!K902)</f>
        <v>1181840</v>
      </c>
      <c r="C902">
        <f>MIN('GA Arroyo'!O902, 'GA Arroyo'!R902, 'GA Arroyo'!U902, 'GA Arroyo'!X902)</f>
        <v>1294530</v>
      </c>
      <c r="D902">
        <f>MIN('GA Arroyo'!AB902, 'GA Arroyo'!AE902, 'GA Arroyo'!AH902, 'GA Arroyo'!AK902)</f>
        <v>1237510</v>
      </c>
      <c r="E902">
        <f>MIN('GA Arroyo'!AO902, 'GA Arroyo'!AR902, 'GA Arroyo'!AU902, 'GA Arroyo'!AX902)</f>
        <v>1238060</v>
      </c>
      <c r="G902" s="45">
        <f t="shared" si="74"/>
        <v>1181840</v>
      </c>
      <c r="I902" s="49">
        <f t="shared" si="75"/>
        <v>0</v>
      </c>
      <c r="J902" s="49">
        <f t="shared" si="76"/>
        <v>9.5351316591078312</v>
      </c>
      <c r="K902" s="49">
        <f t="shared" si="77"/>
        <v>4.7104514993569353</v>
      </c>
      <c r="L902" s="49">
        <f t="shared" si="78"/>
        <v>4.7569891017396602</v>
      </c>
      <c r="T902" s="49">
        <f>(100*('GA Arroyo'!AO902-E902))/E902</f>
        <v>0.8279081789250925</v>
      </c>
      <c r="U902" s="49">
        <f>(100*('GA Arroyo'!AR902-E902))/E902</f>
        <v>1.7188181509781433</v>
      </c>
      <c r="V902" s="49">
        <f>(100*('GA Arroyo'!AU902-E902))/E902</f>
        <v>0</v>
      </c>
      <c r="W902" s="49">
        <f>(100*('GA Arroyo'!AX902-E902))/E902</f>
        <v>0.43616626011663406</v>
      </c>
    </row>
    <row r="903" spans="2:23" ht="15" customHeight="1">
      <c r="B903">
        <f>MIN('GA Arroyo'!B903,'GA Arroyo'!E903,'GA Arroyo'!H903,'GA Arroyo'!K903)</f>
        <v>1240140</v>
      </c>
      <c r="C903">
        <f>MIN('GA Arroyo'!O903, 'GA Arroyo'!R903, 'GA Arroyo'!U903, 'GA Arroyo'!X903)</f>
        <v>1277600</v>
      </c>
      <c r="D903">
        <f>MIN('GA Arroyo'!AB903, 'GA Arroyo'!AE903, 'GA Arroyo'!AH903, 'GA Arroyo'!AK903)</f>
        <v>1229200</v>
      </c>
      <c r="E903">
        <f>MIN('GA Arroyo'!AO903, 'GA Arroyo'!AR903, 'GA Arroyo'!AU903, 'GA Arroyo'!AX903)</f>
        <v>1227540</v>
      </c>
      <c r="G903" s="45">
        <f t="shared" si="74"/>
        <v>1227540</v>
      </c>
      <c r="I903" s="49">
        <f t="shared" si="75"/>
        <v>1.0264431301627646</v>
      </c>
      <c r="J903" s="49">
        <f t="shared" si="76"/>
        <v>4.0780748488847616</v>
      </c>
      <c r="K903" s="49">
        <f t="shared" si="77"/>
        <v>0.13522980921191977</v>
      </c>
      <c r="L903" s="49">
        <f t="shared" si="78"/>
        <v>0</v>
      </c>
      <c r="T903" s="49">
        <f>(100*('GA Arroyo'!AO903-E903))/E903</f>
        <v>13.062710787428516</v>
      </c>
      <c r="U903" s="49">
        <f>(100*('GA Arroyo'!AR903-E903))/E903</f>
        <v>2.2182576535184189</v>
      </c>
      <c r="V903" s="49">
        <f>(100*('GA Arroyo'!AU903-E903))/E903</f>
        <v>0</v>
      </c>
      <c r="W903" s="49">
        <f>(100*('GA Arroyo'!AX903-E903))/E903</f>
        <v>0.64845137429330202</v>
      </c>
    </row>
    <row r="904" spans="2:23" ht="15" customHeight="1">
      <c r="B904">
        <f>MIN('GA Arroyo'!B904,'GA Arroyo'!E904,'GA Arroyo'!H904,'GA Arroyo'!K904)</f>
        <v>1375710</v>
      </c>
      <c r="C904">
        <f>MIN('GA Arroyo'!O904, 'GA Arroyo'!R904, 'GA Arroyo'!U904, 'GA Arroyo'!X904)</f>
        <v>1454420</v>
      </c>
      <c r="D904">
        <f>MIN('GA Arroyo'!AB904, 'GA Arroyo'!AE904, 'GA Arroyo'!AH904, 'GA Arroyo'!AK904)</f>
        <v>1356650</v>
      </c>
      <c r="E904">
        <f>MIN('GA Arroyo'!AO904, 'GA Arroyo'!AR904, 'GA Arroyo'!AU904, 'GA Arroyo'!AX904)</f>
        <v>1369900</v>
      </c>
      <c r="G904" s="45">
        <f t="shared" si="74"/>
        <v>1356650</v>
      </c>
      <c r="I904" s="49">
        <f t="shared" si="75"/>
        <v>1.404931264511849</v>
      </c>
      <c r="J904" s="49">
        <f t="shared" si="76"/>
        <v>7.2067224413076332</v>
      </c>
      <c r="K904" s="49">
        <f t="shared" si="77"/>
        <v>0</v>
      </c>
      <c r="L904" s="49">
        <f t="shared" si="78"/>
        <v>0.97667047506726123</v>
      </c>
      <c r="T904" s="49">
        <f>(100*('GA Arroyo'!AO904-E904))/E904</f>
        <v>6.0997153076866928</v>
      </c>
      <c r="U904" s="49">
        <f>(100*('GA Arroyo'!AR904-E904))/E904</f>
        <v>4.3448426892473906</v>
      </c>
      <c r="V904" s="49">
        <f>(100*('GA Arroyo'!AU904-E904))/E904</f>
        <v>5.4339732827213663</v>
      </c>
      <c r="W904" s="49">
        <f>(100*('GA Arroyo'!AX904-E904))/E904</f>
        <v>0</v>
      </c>
    </row>
    <row r="905" spans="2:23" ht="15" customHeight="1">
      <c r="B905">
        <f>MIN('GA Arroyo'!B905,'GA Arroyo'!E905,'GA Arroyo'!H905,'GA Arroyo'!K905)</f>
        <v>1200920</v>
      </c>
      <c r="C905">
        <f>MIN('GA Arroyo'!O905, 'GA Arroyo'!R905, 'GA Arroyo'!U905, 'GA Arroyo'!X905)</f>
        <v>1272840</v>
      </c>
      <c r="D905">
        <f>MIN('GA Arroyo'!AB905, 'GA Arroyo'!AE905, 'GA Arroyo'!AH905, 'GA Arroyo'!AK905)</f>
        <v>1219080</v>
      </c>
      <c r="E905">
        <f>MIN('GA Arroyo'!AO905, 'GA Arroyo'!AR905, 'GA Arroyo'!AU905, 'GA Arroyo'!AX905)</f>
        <v>1225730</v>
      </c>
      <c r="G905" s="45">
        <f t="shared" si="74"/>
        <v>1200920</v>
      </c>
      <c r="I905" s="49">
        <f t="shared" si="75"/>
        <v>0</v>
      </c>
      <c r="J905" s="49">
        <f t="shared" si="76"/>
        <v>5.9887419644938884</v>
      </c>
      <c r="K905" s="49">
        <f t="shared" si="77"/>
        <v>1.5121739999333843</v>
      </c>
      <c r="L905" s="49">
        <f t="shared" si="78"/>
        <v>2.0659161309662593</v>
      </c>
      <c r="T905" s="49">
        <f>(100*('GA Arroyo'!AO905-E905))/E905</f>
        <v>0.8231829195662993</v>
      </c>
      <c r="U905" s="49">
        <f>(100*('GA Arroyo'!AR905-E905))/E905</f>
        <v>1.3836652443849788</v>
      </c>
      <c r="V905" s="49">
        <f>(100*('GA Arroyo'!AU905-E905))/E905</f>
        <v>0</v>
      </c>
      <c r="W905" s="49">
        <f>(100*('GA Arroyo'!AX905-E905))/E905</f>
        <v>0.78402258246106404</v>
      </c>
    </row>
    <row r="906" spans="2:23" ht="15" customHeight="1">
      <c r="B906">
        <f>MIN('GA Arroyo'!B906,'GA Arroyo'!E906,'GA Arroyo'!H906,'GA Arroyo'!K906)</f>
        <v>1322910</v>
      </c>
      <c r="C906">
        <f>MIN('GA Arroyo'!O906, 'GA Arroyo'!R906, 'GA Arroyo'!U906, 'GA Arroyo'!X906)</f>
        <v>1472780</v>
      </c>
      <c r="D906">
        <f>MIN('GA Arroyo'!AB906, 'GA Arroyo'!AE906, 'GA Arroyo'!AH906, 'GA Arroyo'!AK906)</f>
        <v>1374640</v>
      </c>
      <c r="E906">
        <f>MIN('GA Arroyo'!AO906, 'GA Arroyo'!AR906, 'GA Arroyo'!AU906, 'GA Arroyo'!AX906)</f>
        <v>1378660</v>
      </c>
      <c r="G906" s="45">
        <f t="shared" si="74"/>
        <v>1322910</v>
      </c>
      <c r="I906" s="49">
        <f t="shared" si="75"/>
        <v>0</v>
      </c>
      <c r="J906" s="49">
        <f t="shared" si="76"/>
        <v>11.328812995593049</v>
      </c>
      <c r="K906" s="49">
        <f t="shared" si="77"/>
        <v>3.9103189181425795</v>
      </c>
      <c r="L906" s="49">
        <f t="shared" si="78"/>
        <v>4.2141944652319507</v>
      </c>
      <c r="T906" s="49">
        <f>(100*('GA Arroyo'!AO906-E906))/E906</f>
        <v>1.7778132389421613</v>
      </c>
      <c r="U906" s="49">
        <f>(100*('GA Arroyo'!AR906-E906))/E906</f>
        <v>2.0897102984056981</v>
      </c>
      <c r="V906" s="49">
        <f>(100*('GA Arroyo'!AU906-E906))/E906</f>
        <v>1.3375306456994474</v>
      </c>
      <c r="W906" s="49">
        <f>(100*('GA Arroyo'!AX906-E906))/E906</f>
        <v>0</v>
      </c>
    </row>
    <row r="907" spans="2:23" ht="15" customHeight="1">
      <c r="B907">
        <f>MIN('GA Arroyo'!B907,'GA Arroyo'!E907,'GA Arroyo'!H907,'GA Arroyo'!K907)</f>
        <v>1312550</v>
      </c>
      <c r="C907">
        <f>MIN('GA Arroyo'!O907, 'GA Arroyo'!R907, 'GA Arroyo'!U907, 'GA Arroyo'!X907)</f>
        <v>1429720</v>
      </c>
      <c r="D907">
        <f>MIN('GA Arroyo'!AB907, 'GA Arroyo'!AE907, 'GA Arroyo'!AH907, 'GA Arroyo'!AK907)</f>
        <v>1331060</v>
      </c>
      <c r="E907">
        <f>MIN('GA Arroyo'!AO907, 'GA Arroyo'!AR907, 'GA Arroyo'!AU907, 'GA Arroyo'!AX907)</f>
        <v>1326530</v>
      </c>
      <c r="G907" s="45">
        <f t="shared" si="74"/>
        <v>1312550</v>
      </c>
      <c r="I907" s="49">
        <f t="shared" si="75"/>
        <v>0</v>
      </c>
      <c r="J907" s="49">
        <f t="shared" si="76"/>
        <v>8.926898022932459</v>
      </c>
      <c r="K907" s="49">
        <f t="shared" si="77"/>
        <v>1.4102319911622414</v>
      </c>
      <c r="L907" s="49">
        <f t="shared" si="78"/>
        <v>1.0651022818178355</v>
      </c>
      <c r="T907" s="49">
        <f>(100*('GA Arroyo'!AO907-E907))/E907</f>
        <v>0</v>
      </c>
      <c r="U907" s="49">
        <f>(100*('GA Arroyo'!AR907-E907))/E907</f>
        <v>3.15258607042434</v>
      </c>
      <c r="V907" s="49">
        <f>(100*('GA Arroyo'!AU907-E907))/E907</f>
        <v>6.1302797524368087</v>
      </c>
      <c r="W907" s="49">
        <f>(100*('GA Arroyo'!AX907-E907))/E907</f>
        <v>4.2637558140411453</v>
      </c>
    </row>
    <row r="908" spans="2:23" ht="15" customHeight="1">
      <c r="B908">
        <f>MIN('GA Arroyo'!B908,'GA Arroyo'!E908,'GA Arroyo'!H908,'GA Arroyo'!K908)</f>
        <v>1281290</v>
      </c>
      <c r="C908">
        <f>MIN('GA Arroyo'!O908, 'GA Arroyo'!R908, 'GA Arroyo'!U908, 'GA Arroyo'!X908)</f>
        <v>1361910</v>
      </c>
      <c r="D908">
        <f>MIN('GA Arroyo'!AB908, 'GA Arroyo'!AE908, 'GA Arroyo'!AH908, 'GA Arroyo'!AK908)</f>
        <v>1282560</v>
      </c>
      <c r="E908">
        <f>MIN('GA Arroyo'!AO908, 'GA Arroyo'!AR908, 'GA Arroyo'!AU908, 'GA Arroyo'!AX908)</f>
        <v>1270290</v>
      </c>
      <c r="G908" s="45">
        <f t="shared" si="74"/>
        <v>1270290</v>
      </c>
      <c r="I908" s="49">
        <f t="shared" si="75"/>
        <v>0.86594399704004599</v>
      </c>
      <c r="J908" s="49">
        <f t="shared" si="76"/>
        <v>7.2125262735280922</v>
      </c>
      <c r="K908" s="49">
        <f t="shared" si="77"/>
        <v>0.96592116760739677</v>
      </c>
      <c r="L908" s="49">
        <f t="shared" si="78"/>
        <v>0</v>
      </c>
      <c r="T908" s="49">
        <f>(100*('GA Arroyo'!AO908-E908))/E908</f>
        <v>7.7108376827338638</v>
      </c>
      <c r="U908" s="49">
        <f>(100*('GA Arroyo'!AR908-E908))/E908</f>
        <v>2.0270961748891985</v>
      </c>
      <c r="V908" s="49">
        <f>(100*('GA Arroyo'!AU908-E908))/E908</f>
        <v>0</v>
      </c>
      <c r="W908" s="49">
        <f>(100*('GA Arroyo'!AX908-E908))/E908</f>
        <v>2.2577521668280474</v>
      </c>
    </row>
    <row r="909" spans="2:23" ht="15" customHeight="1">
      <c r="B909">
        <f>MIN('GA Arroyo'!B909,'GA Arroyo'!E909,'GA Arroyo'!H909,'GA Arroyo'!K909)</f>
        <v>1243280</v>
      </c>
      <c r="C909">
        <f>MIN('GA Arroyo'!O909, 'GA Arroyo'!R909, 'GA Arroyo'!U909, 'GA Arroyo'!X909)</f>
        <v>1363000</v>
      </c>
      <c r="D909">
        <f>MIN('GA Arroyo'!AB909, 'GA Arroyo'!AE909, 'GA Arroyo'!AH909, 'GA Arroyo'!AK909)</f>
        <v>1222300</v>
      </c>
      <c r="E909">
        <f>MIN('GA Arroyo'!AO909, 'GA Arroyo'!AR909, 'GA Arroyo'!AU909, 'GA Arroyo'!AX909)</f>
        <v>1224970</v>
      </c>
      <c r="G909" s="45">
        <f t="shared" si="74"/>
        <v>1222300</v>
      </c>
      <c r="I909" s="49">
        <f t="shared" si="75"/>
        <v>1.7164362267855682</v>
      </c>
      <c r="J909" s="49">
        <f t="shared" si="76"/>
        <v>11.511085658185388</v>
      </c>
      <c r="K909" s="49">
        <f t="shared" si="77"/>
        <v>0</v>
      </c>
      <c r="L909" s="49">
        <f t="shared" si="78"/>
        <v>0.21844064468624724</v>
      </c>
      <c r="T909" s="49">
        <f>(100*('GA Arroyo'!AO909-E909))/E909</f>
        <v>6.7699617133480823</v>
      </c>
      <c r="U909" s="49">
        <f>(100*('GA Arroyo'!AR909-E909))/E909</f>
        <v>4.8784868200853895</v>
      </c>
      <c r="V909" s="49">
        <f>(100*('GA Arroyo'!AU909-E909))/E909</f>
        <v>6.188722989134428</v>
      </c>
      <c r="W909" s="49">
        <f>(100*('GA Arroyo'!AX909-E909))/E909</f>
        <v>0</v>
      </c>
    </row>
    <row r="910" spans="2:23" ht="15" customHeight="1">
      <c r="B910">
        <f>MIN('GA Arroyo'!B910,'GA Arroyo'!E910,'GA Arroyo'!H910,'GA Arroyo'!K910)</f>
        <v>1203520</v>
      </c>
      <c r="C910">
        <f>MIN('GA Arroyo'!O910, 'GA Arroyo'!R910, 'GA Arroyo'!U910, 'GA Arroyo'!X910)</f>
        <v>1352560</v>
      </c>
      <c r="D910">
        <f>MIN('GA Arroyo'!AB910, 'GA Arroyo'!AE910, 'GA Arroyo'!AH910, 'GA Arroyo'!AK910)</f>
        <v>1225580</v>
      </c>
      <c r="E910">
        <f>MIN('GA Arroyo'!AO910, 'GA Arroyo'!AR910, 'GA Arroyo'!AU910, 'GA Arroyo'!AX910)</f>
        <v>1248890</v>
      </c>
      <c r="G910" s="45">
        <f t="shared" si="74"/>
        <v>1203520</v>
      </c>
      <c r="I910" s="49">
        <f t="shared" si="75"/>
        <v>0</v>
      </c>
      <c r="J910" s="49">
        <f t="shared" si="76"/>
        <v>12.383674554639724</v>
      </c>
      <c r="K910" s="49">
        <f t="shared" si="77"/>
        <v>1.8329566604626428</v>
      </c>
      <c r="L910" s="49">
        <f t="shared" si="78"/>
        <v>3.769775325711247</v>
      </c>
      <c r="T910" s="49">
        <f>(100*('GA Arroyo'!AO910-E910))/E910</f>
        <v>1.0969741130123549</v>
      </c>
      <c r="U910" s="49">
        <f>(100*('GA Arroyo'!AR910-E910))/E910</f>
        <v>0</v>
      </c>
      <c r="V910" s="49">
        <f>(100*('GA Arroyo'!AU910-E910))/E910</f>
        <v>3.3213493582301084</v>
      </c>
      <c r="W910" s="49">
        <f>(100*('GA Arroyo'!AX910-E910))/E910</f>
        <v>0.94003475085876254</v>
      </c>
    </row>
    <row r="911" spans="2:23" ht="15" customHeight="1">
      <c r="B911">
        <f>MIN('GA Arroyo'!B911,'GA Arroyo'!E911,'GA Arroyo'!H911,'GA Arroyo'!K911)</f>
        <v>1352780</v>
      </c>
      <c r="C911">
        <f>MIN('GA Arroyo'!O911, 'GA Arroyo'!R911, 'GA Arroyo'!U911, 'GA Arroyo'!X911)</f>
        <v>1452970</v>
      </c>
      <c r="D911">
        <f>MIN('GA Arroyo'!AB911, 'GA Arroyo'!AE911, 'GA Arroyo'!AH911, 'GA Arroyo'!AK911)</f>
        <v>1381640</v>
      </c>
      <c r="E911">
        <f>MIN('GA Arroyo'!AO911, 'GA Arroyo'!AR911, 'GA Arroyo'!AU911, 'GA Arroyo'!AX911)</f>
        <v>1299950</v>
      </c>
      <c r="G911" s="45">
        <f t="shared" si="74"/>
        <v>1299950</v>
      </c>
      <c r="I911" s="49">
        <f t="shared" si="75"/>
        <v>4.0640024616331401</v>
      </c>
      <c r="J911" s="49">
        <f t="shared" si="76"/>
        <v>11.771221970075771</v>
      </c>
      <c r="K911" s="49">
        <f t="shared" si="77"/>
        <v>6.284087849532674</v>
      </c>
      <c r="L911" s="49">
        <f t="shared" si="78"/>
        <v>0</v>
      </c>
      <c r="T911" s="49">
        <f>(100*('GA Arroyo'!AO911-E911))/E911</f>
        <v>7.8349167275664451</v>
      </c>
      <c r="U911" s="49">
        <f>(100*('GA Arroyo'!AR911-E911))/E911</f>
        <v>0</v>
      </c>
      <c r="V911" s="49">
        <f>(100*('GA Arroyo'!AU911-E911))/E911</f>
        <v>17.649140351551981</v>
      </c>
      <c r="W911" s="49">
        <f>(100*('GA Arroyo'!AX911-E911))/E911</f>
        <v>7.0987345667141044</v>
      </c>
    </row>
    <row r="912" spans="2:23" ht="15" customHeight="1">
      <c r="B912">
        <f>MIN('GA Arroyo'!B912,'GA Arroyo'!E912,'GA Arroyo'!H912,'GA Arroyo'!K912)</f>
        <v>1301510</v>
      </c>
      <c r="C912">
        <f>MIN('GA Arroyo'!O912, 'GA Arroyo'!R912, 'GA Arroyo'!U912, 'GA Arroyo'!X912)</f>
        <v>1380020</v>
      </c>
      <c r="D912">
        <f>MIN('GA Arroyo'!AB912, 'GA Arroyo'!AE912, 'GA Arroyo'!AH912, 'GA Arroyo'!AK912)</f>
        <v>1263180</v>
      </c>
      <c r="E912">
        <f>MIN('GA Arroyo'!AO912, 'GA Arroyo'!AR912, 'GA Arroyo'!AU912, 'GA Arroyo'!AX912)</f>
        <v>1252680</v>
      </c>
      <c r="G912" s="45">
        <f t="shared" si="74"/>
        <v>1252680</v>
      </c>
      <c r="I912" s="49">
        <f t="shared" si="75"/>
        <v>3.8980425966727337</v>
      </c>
      <c r="J912" s="49">
        <f t="shared" si="76"/>
        <v>10.165405370884823</v>
      </c>
      <c r="K912" s="49">
        <f t="shared" si="77"/>
        <v>0.83820289299741357</v>
      </c>
      <c r="L912" s="49">
        <f t="shared" si="78"/>
        <v>0</v>
      </c>
      <c r="T912" s="49">
        <f>(100*('GA Arroyo'!AO912-E912))/E912</f>
        <v>8.2359421400517299</v>
      </c>
      <c r="U912" s="49">
        <f>(100*('GA Arroyo'!AR912-E912))/E912</f>
        <v>7.7178529233323756</v>
      </c>
      <c r="V912" s="49">
        <f>(100*('GA Arroyo'!AU912-E912))/E912</f>
        <v>0</v>
      </c>
      <c r="W912" s="49">
        <f>(100*('GA Arroyo'!AX912-E912))/E912</f>
        <v>6.1077050803078201</v>
      </c>
    </row>
    <row r="913" spans="2:23" ht="15" customHeight="1">
      <c r="B913">
        <f>MIN('GA Arroyo'!B913,'GA Arroyo'!E913,'GA Arroyo'!H913,'GA Arroyo'!K913)</f>
        <v>1492190</v>
      </c>
      <c r="C913">
        <f>MIN('GA Arroyo'!O913, 'GA Arroyo'!R913, 'GA Arroyo'!U913, 'GA Arroyo'!X913)</f>
        <v>1573510</v>
      </c>
      <c r="D913">
        <f>MIN('GA Arroyo'!AB913, 'GA Arroyo'!AE913, 'GA Arroyo'!AH913, 'GA Arroyo'!AK913)</f>
        <v>1520470</v>
      </c>
      <c r="E913">
        <f>MIN('GA Arroyo'!AO913, 'GA Arroyo'!AR913, 'GA Arroyo'!AU913, 'GA Arroyo'!AX913)</f>
        <v>1528690</v>
      </c>
      <c r="G913" s="45">
        <f t="shared" si="74"/>
        <v>1492190</v>
      </c>
      <c r="I913" s="49">
        <f t="shared" si="75"/>
        <v>0</v>
      </c>
      <c r="J913" s="49">
        <f t="shared" si="76"/>
        <v>5.4497081470858273</v>
      </c>
      <c r="K913" s="49">
        <f t="shared" si="77"/>
        <v>1.8952010132757893</v>
      </c>
      <c r="L913" s="49">
        <f t="shared" si="78"/>
        <v>2.4460692003029103</v>
      </c>
      <c r="T913" s="49">
        <f>(100*('GA Arroyo'!AO913-E913))/E913</f>
        <v>0</v>
      </c>
      <c r="U913" s="49">
        <f>(100*('GA Arroyo'!AR913-E913))/E913</f>
        <v>0.48014967063302566</v>
      </c>
      <c r="V913" s="49">
        <f>(100*('GA Arroyo'!AU913-E913))/E913</f>
        <v>0.61163479842217849</v>
      </c>
      <c r="W913" s="49">
        <f>(100*('GA Arroyo'!AX913-E913))/E913</f>
        <v>0.53706114385519632</v>
      </c>
    </row>
    <row r="914" spans="2:23" ht="15" customHeight="1">
      <c r="B914">
        <f>MIN('GA Arroyo'!B914,'GA Arroyo'!E914,'GA Arroyo'!H914,'GA Arroyo'!K914)</f>
        <v>1230890</v>
      </c>
      <c r="C914">
        <f>MIN('GA Arroyo'!O914, 'GA Arroyo'!R914, 'GA Arroyo'!U914, 'GA Arroyo'!X914)</f>
        <v>1301170</v>
      </c>
      <c r="D914">
        <f>MIN('GA Arroyo'!AB914, 'GA Arroyo'!AE914, 'GA Arroyo'!AH914, 'GA Arroyo'!AK914)</f>
        <v>1217960</v>
      </c>
      <c r="E914">
        <f>MIN('GA Arroyo'!AO914, 'GA Arroyo'!AR914, 'GA Arroyo'!AU914, 'GA Arroyo'!AX914)</f>
        <v>1233340</v>
      </c>
      <c r="G914" s="45">
        <f t="shared" si="74"/>
        <v>1217960</v>
      </c>
      <c r="I914" s="49">
        <f t="shared" si="75"/>
        <v>1.0616112187592368</v>
      </c>
      <c r="J914" s="49">
        <f t="shared" si="76"/>
        <v>6.831915662254918</v>
      </c>
      <c r="K914" s="49">
        <f t="shared" si="77"/>
        <v>0</v>
      </c>
      <c r="L914" s="49">
        <f t="shared" si="78"/>
        <v>1.2627672501559986</v>
      </c>
      <c r="T914" s="49">
        <f>(100*('GA Arroyo'!AO914-E914))/E914</f>
        <v>6.3129388489791944</v>
      </c>
      <c r="U914" s="49">
        <f>(100*('GA Arroyo'!AR914-E914))/E914</f>
        <v>0</v>
      </c>
      <c r="V914" s="49">
        <f>(100*('GA Arroyo'!AU914-E914))/E914</f>
        <v>0.4499975675807158</v>
      </c>
      <c r="W914" s="49">
        <f>(100*('GA Arroyo'!AX914-E914))/E914</f>
        <v>7.2437446284074136</v>
      </c>
    </row>
    <row r="915" spans="2:23" ht="15" customHeight="1">
      <c r="B915">
        <f>MIN('GA Arroyo'!B915,'GA Arroyo'!E915,'GA Arroyo'!H915,'GA Arroyo'!K915)</f>
        <v>1236040</v>
      </c>
      <c r="C915">
        <f>MIN('GA Arroyo'!O915, 'GA Arroyo'!R915, 'GA Arroyo'!U915, 'GA Arroyo'!X915)</f>
        <v>1344920</v>
      </c>
      <c r="D915">
        <f>MIN('GA Arroyo'!AB915, 'GA Arroyo'!AE915, 'GA Arroyo'!AH915, 'GA Arroyo'!AK915)</f>
        <v>1227000</v>
      </c>
      <c r="E915">
        <f>MIN('GA Arroyo'!AO915, 'GA Arroyo'!AR915, 'GA Arroyo'!AU915, 'GA Arroyo'!AX915)</f>
        <v>1232950</v>
      </c>
      <c r="G915" s="45">
        <f t="shared" si="74"/>
        <v>1227000</v>
      </c>
      <c r="I915" s="49">
        <f t="shared" si="75"/>
        <v>0.73675631621841886</v>
      </c>
      <c r="J915" s="49">
        <f t="shared" si="76"/>
        <v>9.6104319478402616</v>
      </c>
      <c r="K915" s="49">
        <f t="shared" si="77"/>
        <v>0</v>
      </c>
      <c r="L915" s="49">
        <f t="shared" si="78"/>
        <v>0.48492257538712308</v>
      </c>
      <c r="T915" s="49">
        <f>(100*('GA Arroyo'!AO915-E915))/E915</f>
        <v>3.7714424753639646</v>
      </c>
      <c r="U915" s="49">
        <f>(100*('GA Arroyo'!AR915-E915))/E915</f>
        <v>4.7244413804290524</v>
      </c>
      <c r="V915" s="49">
        <f>(100*('GA Arroyo'!AU915-E915))/E915</f>
        <v>0</v>
      </c>
      <c r="W915" s="49">
        <f>(100*('GA Arroyo'!AX915-E915))/E915</f>
        <v>6.3644105600389311</v>
      </c>
    </row>
    <row r="916" spans="2:23" ht="15" customHeight="1">
      <c r="B916">
        <f>MIN('GA Arroyo'!B916,'GA Arroyo'!E916,'GA Arroyo'!H916,'GA Arroyo'!K916)</f>
        <v>1196910</v>
      </c>
      <c r="C916">
        <f>MIN('GA Arroyo'!O916, 'GA Arroyo'!R916, 'GA Arroyo'!U916, 'GA Arroyo'!X916)</f>
        <v>1239030</v>
      </c>
      <c r="D916">
        <f>MIN('GA Arroyo'!AB916, 'GA Arroyo'!AE916, 'GA Arroyo'!AH916, 'GA Arroyo'!AK916)</f>
        <v>1176920</v>
      </c>
      <c r="E916">
        <f>MIN('GA Arroyo'!AO916, 'GA Arroyo'!AR916, 'GA Arroyo'!AU916, 'GA Arroyo'!AX916)</f>
        <v>1162450</v>
      </c>
      <c r="G916" s="45">
        <f t="shared" si="74"/>
        <v>1162450</v>
      </c>
      <c r="I916" s="49">
        <f t="shared" si="75"/>
        <v>2.9644285775732291</v>
      </c>
      <c r="J916" s="49">
        <f t="shared" si="76"/>
        <v>6.5878102283969202</v>
      </c>
      <c r="K916" s="49">
        <f t="shared" si="77"/>
        <v>1.2447847219235235</v>
      </c>
      <c r="L916" s="49">
        <f t="shared" si="78"/>
        <v>0</v>
      </c>
      <c r="T916" s="49">
        <f>(100*('GA Arroyo'!AO916-E916))/E916</f>
        <v>5.0514000602176434</v>
      </c>
      <c r="U916" s="49">
        <f>(100*('GA Arroyo'!AR916-E916))/E916</f>
        <v>3.1949761280055058</v>
      </c>
      <c r="V916" s="49">
        <f>(100*('GA Arroyo'!AU916-E916))/E916</f>
        <v>4.1954492666351237</v>
      </c>
      <c r="W916" s="49">
        <f>(100*('GA Arroyo'!AX916-E916))/E916</f>
        <v>0</v>
      </c>
    </row>
    <row r="917" spans="2:23" ht="15" customHeight="1">
      <c r="B917">
        <f>MIN('GA Arroyo'!B917,'GA Arroyo'!E917,'GA Arroyo'!H917,'GA Arroyo'!K917)</f>
        <v>1257120</v>
      </c>
      <c r="C917">
        <f>MIN('GA Arroyo'!O917, 'GA Arroyo'!R917, 'GA Arroyo'!U917, 'GA Arroyo'!X917)</f>
        <v>1364840</v>
      </c>
      <c r="D917">
        <f>MIN('GA Arroyo'!AB917, 'GA Arroyo'!AE917, 'GA Arroyo'!AH917, 'GA Arroyo'!AK917)</f>
        <v>1255820</v>
      </c>
      <c r="E917">
        <f>MIN('GA Arroyo'!AO917, 'GA Arroyo'!AR917, 'GA Arroyo'!AU917, 'GA Arroyo'!AX917)</f>
        <v>1231980</v>
      </c>
      <c r="G917" s="45">
        <f t="shared" si="74"/>
        <v>1231980</v>
      </c>
      <c r="I917" s="49">
        <f t="shared" si="75"/>
        <v>2.0406175424925728</v>
      </c>
      <c r="J917" s="49">
        <f t="shared" si="76"/>
        <v>10.784265978343804</v>
      </c>
      <c r="K917" s="49">
        <f t="shared" si="77"/>
        <v>1.9350963489667039</v>
      </c>
      <c r="L917" s="49">
        <f t="shared" si="78"/>
        <v>0</v>
      </c>
      <c r="T917" s="49">
        <f>(100*('GA Arroyo'!AO917-E917))/E917</f>
        <v>6.6332245653338529</v>
      </c>
      <c r="U917" s="49">
        <f>(100*('GA Arroyo'!AR917-E917))/E917</f>
        <v>0.75163557849965101</v>
      </c>
      <c r="V917" s="49">
        <f>(100*('GA Arroyo'!AU917-E917))/E917</f>
        <v>5.7200603905907563</v>
      </c>
      <c r="W917" s="49">
        <f>(100*('GA Arroyo'!AX917-E917))/E917</f>
        <v>0</v>
      </c>
    </row>
    <row r="918" spans="2:23" ht="15" customHeight="1">
      <c r="B918">
        <f>MIN('GA Arroyo'!B918,'GA Arroyo'!E918,'GA Arroyo'!H918,'GA Arroyo'!K918)</f>
        <v>1062680</v>
      </c>
      <c r="C918">
        <f>MIN('GA Arroyo'!O918, 'GA Arroyo'!R918, 'GA Arroyo'!U918, 'GA Arroyo'!X918)</f>
        <v>1158640</v>
      </c>
      <c r="D918">
        <f>MIN('GA Arroyo'!AB918, 'GA Arroyo'!AE918, 'GA Arroyo'!AH918, 'GA Arroyo'!AK918)</f>
        <v>1092860</v>
      </c>
      <c r="E918">
        <f>MIN('GA Arroyo'!AO918, 'GA Arroyo'!AR918, 'GA Arroyo'!AU918, 'GA Arroyo'!AX918)</f>
        <v>1056100</v>
      </c>
      <c r="G918" s="45">
        <f t="shared" si="74"/>
        <v>1056100</v>
      </c>
      <c r="I918" s="49">
        <f t="shared" si="75"/>
        <v>0.62304705993750586</v>
      </c>
      <c r="J918" s="49">
        <f t="shared" si="76"/>
        <v>9.7093078306978509</v>
      </c>
      <c r="K918" s="49">
        <f t="shared" si="77"/>
        <v>3.4807309913833917</v>
      </c>
      <c r="L918" s="49">
        <f t="shared" si="78"/>
        <v>0</v>
      </c>
      <c r="T918" s="49">
        <f>(100*('GA Arroyo'!AO918-E918))/E918</f>
        <v>7.3146482340687431</v>
      </c>
      <c r="U918" s="49">
        <f>(100*('GA Arroyo'!AR918-E918))/E918</f>
        <v>9.8683836757882784</v>
      </c>
      <c r="V918" s="49">
        <f>(100*('GA Arroyo'!AU918-E918))/E918</f>
        <v>0</v>
      </c>
      <c r="W918" s="49">
        <f>(100*('GA Arroyo'!AX918-E918))/E918</f>
        <v>3.4816778714136918</v>
      </c>
    </row>
    <row r="919" spans="2:23" ht="15" customHeight="1">
      <c r="B919">
        <f>MIN('GA Arroyo'!B919,'GA Arroyo'!E919,'GA Arroyo'!H919,'GA Arroyo'!K919)</f>
        <v>982111</v>
      </c>
      <c r="C919">
        <f>MIN('GA Arroyo'!O919, 'GA Arroyo'!R919, 'GA Arroyo'!U919, 'GA Arroyo'!X919)</f>
        <v>1081520</v>
      </c>
      <c r="D919">
        <f>MIN('GA Arroyo'!AB919, 'GA Arroyo'!AE919, 'GA Arroyo'!AH919, 'GA Arroyo'!AK919)</f>
        <v>1024330</v>
      </c>
      <c r="E919">
        <f>MIN('GA Arroyo'!AO919, 'GA Arroyo'!AR919, 'GA Arroyo'!AU919, 'GA Arroyo'!AX919)</f>
        <v>999640</v>
      </c>
      <c r="G919" s="45">
        <f t="shared" si="74"/>
        <v>982111</v>
      </c>
      <c r="I919" s="49">
        <f t="shared" si="75"/>
        <v>0</v>
      </c>
      <c r="J919" s="49">
        <f t="shared" si="76"/>
        <v>10.121971956326728</v>
      </c>
      <c r="K919" s="49">
        <f t="shared" si="77"/>
        <v>4.2988012556625472</v>
      </c>
      <c r="L919" s="49">
        <f t="shared" si="78"/>
        <v>1.7848288024469738</v>
      </c>
      <c r="T919" s="49">
        <f>(100*('GA Arroyo'!AO919-E919))/E919</f>
        <v>3.9814333159937578</v>
      </c>
      <c r="U919" s="49">
        <f>(100*('GA Arroyo'!AR919-E919))/E919</f>
        <v>0</v>
      </c>
      <c r="V919" s="49">
        <f>(100*('GA Arroyo'!AU919-E919))/E919</f>
        <v>8.9662278420231285</v>
      </c>
      <c r="W919" s="49">
        <f>(100*('GA Arroyo'!AX919-E919))/E919</f>
        <v>4.5776479532631749</v>
      </c>
    </row>
    <row r="920" spans="2:23" ht="15" customHeight="1">
      <c r="B920">
        <f>MIN('GA Arroyo'!B920,'GA Arroyo'!E920,'GA Arroyo'!H920,'GA Arroyo'!K920)</f>
        <v>1103640</v>
      </c>
      <c r="C920">
        <f>MIN('GA Arroyo'!O920, 'GA Arroyo'!R920, 'GA Arroyo'!U920, 'GA Arroyo'!X920)</f>
        <v>1179800</v>
      </c>
      <c r="D920">
        <f>MIN('GA Arroyo'!AB920, 'GA Arroyo'!AE920, 'GA Arroyo'!AH920, 'GA Arroyo'!AK920)</f>
        <v>1103320</v>
      </c>
      <c r="E920">
        <f>MIN('GA Arroyo'!AO920, 'GA Arroyo'!AR920, 'GA Arroyo'!AU920, 'GA Arroyo'!AX920)</f>
        <v>1101960</v>
      </c>
      <c r="G920" s="45">
        <f t="shared" si="74"/>
        <v>1101960</v>
      </c>
      <c r="I920" s="49">
        <f t="shared" si="75"/>
        <v>0.15245562452357617</v>
      </c>
      <c r="J920" s="49">
        <f t="shared" si="76"/>
        <v>7.0637772695923626</v>
      </c>
      <c r="K920" s="49">
        <f t="shared" si="77"/>
        <v>0.1234164579476569</v>
      </c>
      <c r="L920" s="49">
        <f t="shared" si="78"/>
        <v>0</v>
      </c>
      <c r="T920" s="49">
        <f>(100*('GA Arroyo'!AO920-E920))/E920</f>
        <v>7.6218737522233111</v>
      </c>
      <c r="U920" s="49">
        <f>(100*('GA Arroyo'!AR920-E920))/E920</f>
        <v>8.3932266143961662</v>
      </c>
      <c r="V920" s="49">
        <f>(100*('GA Arroyo'!AU920-E920))/E920</f>
        <v>1.0626520018875458</v>
      </c>
      <c r="W920" s="49">
        <f>(100*('GA Arroyo'!AX920-E920))/E920</f>
        <v>0</v>
      </c>
    </row>
    <row r="921" spans="2:23" ht="15" customHeight="1">
      <c r="B921">
        <f>MIN('GA Arroyo'!B921,'GA Arroyo'!E921,'GA Arroyo'!H921,'GA Arroyo'!K921)</f>
        <v>1179060</v>
      </c>
      <c r="C921">
        <f>MIN('GA Arroyo'!O921, 'GA Arroyo'!R921, 'GA Arroyo'!U921, 'GA Arroyo'!X921)</f>
        <v>1238430</v>
      </c>
      <c r="D921">
        <f>MIN('GA Arroyo'!AB921, 'GA Arroyo'!AE921, 'GA Arroyo'!AH921, 'GA Arroyo'!AK921)</f>
        <v>1146500</v>
      </c>
      <c r="E921">
        <f>MIN('GA Arroyo'!AO921, 'GA Arroyo'!AR921, 'GA Arroyo'!AU921, 'GA Arroyo'!AX921)</f>
        <v>1181380</v>
      </c>
      <c r="G921" s="45">
        <f t="shared" si="74"/>
        <v>1146500</v>
      </c>
      <c r="I921" s="49">
        <f t="shared" si="75"/>
        <v>2.8399476668120367</v>
      </c>
      <c r="J921" s="49">
        <f t="shared" si="76"/>
        <v>8.0183166157871781</v>
      </c>
      <c r="K921" s="49">
        <f t="shared" si="77"/>
        <v>0</v>
      </c>
      <c r="L921" s="49">
        <f t="shared" si="78"/>
        <v>3.042302660270388</v>
      </c>
      <c r="T921" s="49">
        <f>(100*('GA Arroyo'!AO921-E921))/E921</f>
        <v>4.1333017318728942</v>
      </c>
      <c r="U921" s="49">
        <f>(100*('GA Arroyo'!AR921-E921))/E921</f>
        <v>1.0030642130389884</v>
      </c>
      <c r="V921" s="49">
        <f>(100*('GA Arroyo'!AU921-E921))/E921</f>
        <v>0</v>
      </c>
      <c r="W921" s="49">
        <f>(100*('GA Arroyo'!AX921-E921))/E921</f>
        <v>3.9767052091621662</v>
      </c>
    </row>
    <row r="922" spans="2:23" ht="15" customHeight="1">
      <c r="B922">
        <f>MIN('GA Arroyo'!B922,'GA Arroyo'!E922,'GA Arroyo'!H922,'GA Arroyo'!K922)</f>
        <v>1137300</v>
      </c>
      <c r="C922">
        <f>MIN('GA Arroyo'!O922, 'GA Arroyo'!R922, 'GA Arroyo'!U922, 'GA Arroyo'!X922)</f>
        <v>1194490</v>
      </c>
      <c r="D922">
        <f>MIN('GA Arroyo'!AB922, 'GA Arroyo'!AE922, 'GA Arroyo'!AH922, 'GA Arroyo'!AK922)</f>
        <v>1162470</v>
      </c>
      <c r="E922">
        <f>MIN('GA Arroyo'!AO922, 'GA Arroyo'!AR922, 'GA Arroyo'!AU922, 'GA Arroyo'!AX922)</f>
        <v>1176400</v>
      </c>
      <c r="G922" s="45">
        <f t="shared" si="74"/>
        <v>1137300</v>
      </c>
      <c r="I922" s="49">
        <f t="shared" si="75"/>
        <v>0</v>
      </c>
      <c r="J922" s="49">
        <f t="shared" si="76"/>
        <v>5.0285764530027262</v>
      </c>
      <c r="K922" s="49">
        <f t="shared" si="77"/>
        <v>2.2131363756264837</v>
      </c>
      <c r="L922" s="49">
        <f t="shared" si="78"/>
        <v>3.4379671150971598</v>
      </c>
      <c r="T922" s="49">
        <f>(100*('GA Arroyo'!AO922-E922))/E922</f>
        <v>5.1130567834070044</v>
      </c>
      <c r="U922" s="49">
        <f>(100*('GA Arroyo'!AR922-E922))/E922</f>
        <v>4.170350221013261</v>
      </c>
      <c r="V922" s="49">
        <f>(100*('GA Arroyo'!AU922-E922))/E922</f>
        <v>2.4124447466848009</v>
      </c>
      <c r="W922" s="49">
        <f>(100*('GA Arroyo'!AX922-E922))/E922</f>
        <v>0</v>
      </c>
    </row>
    <row r="923" spans="2:23" ht="15" customHeight="1">
      <c r="B923">
        <f>MIN('GA Arroyo'!B923,'GA Arroyo'!E923,'GA Arroyo'!H923,'GA Arroyo'!K923)</f>
        <v>1197800</v>
      </c>
      <c r="C923">
        <f>MIN('GA Arroyo'!O923, 'GA Arroyo'!R923, 'GA Arroyo'!U923, 'GA Arroyo'!X923)</f>
        <v>1287190</v>
      </c>
      <c r="D923">
        <f>MIN('GA Arroyo'!AB923, 'GA Arroyo'!AE923, 'GA Arroyo'!AH923, 'GA Arroyo'!AK923)</f>
        <v>1213200</v>
      </c>
      <c r="E923">
        <f>MIN('GA Arroyo'!AO923, 'GA Arroyo'!AR923, 'GA Arroyo'!AU923, 'GA Arroyo'!AX923)</f>
        <v>1203700</v>
      </c>
      <c r="G923" s="45">
        <f t="shared" si="74"/>
        <v>1197800</v>
      </c>
      <c r="I923" s="49">
        <f t="shared" si="75"/>
        <v>0</v>
      </c>
      <c r="J923" s="49">
        <f t="shared" si="76"/>
        <v>7.4628485556854232</v>
      </c>
      <c r="K923" s="49">
        <f t="shared" si="77"/>
        <v>1.2856904324595091</v>
      </c>
      <c r="L923" s="49">
        <f t="shared" si="78"/>
        <v>0.49256971113708464</v>
      </c>
      <c r="T923" s="49">
        <f>(100*('GA Arroyo'!AO923-E923))/E923</f>
        <v>4.620752679239013</v>
      </c>
      <c r="U923" s="49">
        <f>(100*('GA Arroyo'!AR923-E923))/E923</f>
        <v>0</v>
      </c>
      <c r="V923" s="49">
        <f>(100*('GA Arroyo'!AU923-E923))/E923</f>
        <v>2.8312702500623077</v>
      </c>
      <c r="W923" s="49">
        <f>(100*('GA Arroyo'!AX923-E923))/E923</f>
        <v>0.84406413558195559</v>
      </c>
    </row>
    <row r="924" spans="2:23" ht="15" customHeight="1">
      <c r="B924">
        <f>MIN('GA Arroyo'!B924,'GA Arroyo'!E924,'GA Arroyo'!H924,'GA Arroyo'!K924)</f>
        <v>986056</v>
      </c>
      <c r="C924">
        <f>MIN('GA Arroyo'!O924, 'GA Arroyo'!R924, 'GA Arroyo'!U924, 'GA Arroyo'!X924)</f>
        <v>1037510</v>
      </c>
      <c r="D924">
        <f>MIN('GA Arroyo'!AB924, 'GA Arroyo'!AE924, 'GA Arroyo'!AH924, 'GA Arroyo'!AK924)</f>
        <v>984358</v>
      </c>
      <c r="E924">
        <f>MIN('GA Arroyo'!AO924, 'GA Arroyo'!AR924, 'GA Arroyo'!AU924, 'GA Arroyo'!AX924)</f>
        <v>985332</v>
      </c>
      <c r="G924" s="45">
        <f t="shared" si="74"/>
        <v>984358</v>
      </c>
      <c r="I924" s="49">
        <f t="shared" si="75"/>
        <v>0.17249821711206695</v>
      </c>
      <c r="J924" s="49">
        <f t="shared" si="76"/>
        <v>5.3996615052653611</v>
      </c>
      <c r="K924" s="49">
        <f t="shared" si="77"/>
        <v>0</v>
      </c>
      <c r="L924" s="49">
        <f t="shared" si="78"/>
        <v>9.8947740557805183E-2</v>
      </c>
      <c r="T924" s="49">
        <f>(100*('GA Arroyo'!AO924-E924))/E924</f>
        <v>8.4751129568510919</v>
      </c>
      <c r="U924" s="49">
        <f>(100*('GA Arroyo'!AR924-E924))/E924</f>
        <v>5.221387309049133</v>
      </c>
      <c r="V924" s="49">
        <f>(100*('GA Arroyo'!AU924-E924))/E924</f>
        <v>5.4040668525938464</v>
      </c>
      <c r="W924" s="49">
        <f>(100*('GA Arroyo'!AX924-E924))/E924</f>
        <v>0</v>
      </c>
    </row>
    <row r="925" spans="2:23" ht="15" customHeight="1">
      <c r="B925">
        <f>MIN('GA Arroyo'!B925,'GA Arroyo'!E925,'GA Arroyo'!H925,'GA Arroyo'!K925)</f>
        <v>1159340</v>
      </c>
      <c r="C925">
        <f>MIN('GA Arroyo'!O925, 'GA Arroyo'!R925, 'GA Arroyo'!U925, 'GA Arroyo'!X925)</f>
        <v>1224110</v>
      </c>
      <c r="D925">
        <f>MIN('GA Arroyo'!AB925, 'GA Arroyo'!AE925, 'GA Arroyo'!AH925, 'GA Arroyo'!AK925)</f>
        <v>1141590</v>
      </c>
      <c r="E925">
        <f>MIN('GA Arroyo'!AO925, 'GA Arroyo'!AR925, 'GA Arroyo'!AU925, 'GA Arroyo'!AX925)</f>
        <v>1127050</v>
      </c>
      <c r="G925" s="45">
        <f t="shared" si="74"/>
        <v>1127050</v>
      </c>
      <c r="I925" s="49">
        <f t="shared" si="75"/>
        <v>2.8650015527261434</v>
      </c>
      <c r="J925" s="49">
        <f t="shared" si="76"/>
        <v>8.6118628277361253</v>
      </c>
      <c r="K925" s="49">
        <f t="shared" si="77"/>
        <v>1.2900936072046494</v>
      </c>
      <c r="L925" s="49">
        <f t="shared" si="78"/>
        <v>0</v>
      </c>
      <c r="T925" s="49">
        <f>(100*('GA Arroyo'!AO925-E925))/E925</f>
        <v>4.8445055676323143</v>
      </c>
      <c r="U925" s="49">
        <f>(100*('GA Arroyo'!AR925-E925))/E925</f>
        <v>4.7868328823033579</v>
      </c>
      <c r="V925" s="49">
        <f>(100*('GA Arroyo'!AU925-E925))/E925</f>
        <v>5.9606938467681116</v>
      </c>
      <c r="W925" s="49">
        <f>(100*('GA Arroyo'!AX925-E925))/E925</f>
        <v>0</v>
      </c>
    </row>
    <row r="926" spans="2:23" ht="15" customHeight="1">
      <c r="B926">
        <f>MIN('GA Arroyo'!B926,'GA Arroyo'!E926,'GA Arroyo'!H926,'GA Arroyo'!K926)</f>
        <v>1169400</v>
      </c>
      <c r="C926">
        <f>MIN('GA Arroyo'!O926, 'GA Arroyo'!R926, 'GA Arroyo'!U926, 'GA Arroyo'!X926)</f>
        <v>1328760</v>
      </c>
      <c r="D926">
        <f>MIN('GA Arroyo'!AB926, 'GA Arroyo'!AE926, 'GA Arroyo'!AH926, 'GA Arroyo'!AK926)</f>
        <v>1222390</v>
      </c>
      <c r="E926">
        <f>MIN('GA Arroyo'!AO926, 'GA Arroyo'!AR926, 'GA Arroyo'!AU926, 'GA Arroyo'!AX926)</f>
        <v>1194580</v>
      </c>
      <c r="G926" s="45">
        <f t="shared" si="74"/>
        <v>1169400</v>
      </c>
      <c r="I926" s="49">
        <f t="shared" si="75"/>
        <v>0</v>
      </c>
      <c r="J926" s="49">
        <f t="shared" si="76"/>
        <v>13.627501282709082</v>
      </c>
      <c r="K926" s="49">
        <f t="shared" si="77"/>
        <v>4.5313836155293314</v>
      </c>
      <c r="L926" s="49">
        <f t="shared" si="78"/>
        <v>2.1532409782794595</v>
      </c>
      <c r="T926" s="49">
        <f>(100*('GA Arroyo'!AO926-E926))/E926</f>
        <v>15.225434880878636</v>
      </c>
      <c r="U926" s="49">
        <f>(100*('GA Arroyo'!AR926-E926))/E926</f>
        <v>0</v>
      </c>
      <c r="V926" s="49">
        <f>(100*('GA Arroyo'!AU926-E926))/E926</f>
        <v>10.837281722446383</v>
      </c>
      <c r="W926" s="49">
        <f>(100*('GA Arroyo'!AX926-E926))/E926</f>
        <v>3.7594803194428166</v>
      </c>
    </row>
    <row r="927" spans="2:23" ht="15" customHeight="1">
      <c r="B927">
        <f>MIN('GA Arroyo'!B927,'GA Arroyo'!E927,'GA Arroyo'!H927,'GA Arroyo'!K927)</f>
        <v>1109130</v>
      </c>
      <c r="C927">
        <f>MIN('GA Arroyo'!O927, 'GA Arroyo'!R927, 'GA Arroyo'!U927, 'GA Arroyo'!X927)</f>
        <v>1248460</v>
      </c>
      <c r="D927">
        <f>MIN('GA Arroyo'!AB927, 'GA Arroyo'!AE927, 'GA Arroyo'!AH927, 'GA Arroyo'!AK927)</f>
        <v>1134280</v>
      </c>
      <c r="E927">
        <f>MIN('GA Arroyo'!AO927, 'GA Arroyo'!AR927, 'GA Arroyo'!AU927, 'GA Arroyo'!AX927)</f>
        <v>1127610</v>
      </c>
      <c r="G927" s="45">
        <f t="shared" si="74"/>
        <v>1109130</v>
      </c>
      <c r="I927" s="49">
        <f t="shared" si="75"/>
        <v>0</v>
      </c>
      <c r="J927" s="49">
        <f t="shared" si="76"/>
        <v>12.562098221128272</v>
      </c>
      <c r="K927" s="49">
        <f t="shared" si="77"/>
        <v>2.2675430292211014</v>
      </c>
      <c r="L927" s="49">
        <f t="shared" si="78"/>
        <v>1.6661707825052068</v>
      </c>
      <c r="T927" s="49">
        <f>(100*('GA Arroyo'!AO927-E927))/E927</f>
        <v>11.149244863028883</v>
      </c>
      <c r="U927" s="49">
        <f>(100*('GA Arroyo'!AR927-E927))/E927</f>
        <v>0</v>
      </c>
      <c r="V927" s="49">
        <f>(100*('GA Arroyo'!AU927-E927))/E927</f>
        <v>2.9478277063878471</v>
      </c>
      <c r="W927" s="49">
        <f>(100*('GA Arroyo'!AX927-E927))/E927</f>
        <v>3.596988320429936</v>
      </c>
    </row>
    <row r="928" spans="2:23" ht="15" customHeight="1">
      <c r="B928">
        <f>MIN('GA Arroyo'!B928,'GA Arroyo'!E928,'GA Arroyo'!H928,'GA Arroyo'!K928)</f>
        <v>1225580</v>
      </c>
      <c r="C928">
        <f>MIN('GA Arroyo'!O928, 'GA Arroyo'!R928, 'GA Arroyo'!U928, 'GA Arroyo'!X928)</f>
        <v>1340410</v>
      </c>
      <c r="D928">
        <f>MIN('GA Arroyo'!AB928, 'GA Arroyo'!AE928, 'GA Arroyo'!AH928, 'GA Arroyo'!AK928)</f>
        <v>1231660</v>
      </c>
      <c r="E928">
        <f>MIN('GA Arroyo'!AO928, 'GA Arroyo'!AR928, 'GA Arroyo'!AU928, 'GA Arroyo'!AX928)</f>
        <v>1209900</v>
      </c>
      <c r="G928" s="45">
        <f t="shared" si="74"/>
        <v>1209900</v>
      </c>
      <c r="I928" s="49">
        <f t="shared" si="75"/>
        <v>1.2959748739565253</v>
      </c>
      <c r="J928" s="49">
        <f t="shared" si="76"/>
        <v>10.786841887759319</v>
      </c>
      <c r="K928" s="49">
        <f t="shared" si="77"/>
        <v>1.7984957434498718</v>
      </c>
      <c r="L928" s="49">
        <f t="shared" si="78"/>
        <v>0</v>
      </c>
      <c r="T928" s="49">
        <f>(100*('GA Arroyo'!AO928-E928))/E928</f>
        <v>7.2055541780312424</v>
      </c>
      <c r="U928" s="49">
        <f>(100*('GA Arroyo'!AR928-E928))/E928</f>
        <v>1.4092073725101248</v>
      </c>
      <c r="V928" s="49">
        <f>(100*('GA Arroyo'!AU928-E928))/E928</f>
        <v>0</v>
      </c>
      <c r="W928" s="49">
        <f>(100*('GA Arroyo'!AX928-E928))/E928</f>
        <v>4.3532523349037113</v>
      </c>
    </row>
    <row r="929" spans="2:23" ht="15" customHeight="1">
      <c r="B929">
        <f>MIN('GA Arroyo'!B929,'GA Arroyo'!E929,'GA Arroyo'!H929,'GA Arroyo'!K929)</f>
        <v>1157000</v>
      </c>
      <c r="C929">
        <f>MIN('GA Arroyo'!O929, 'GA Arroyo'!R929, 'GA Arroyo'!U929, 'GA Arroyo'!X929)</f>
        <v>1258690</v>
      </c>
      <c r="D929">
        <f>MIN('GA Arroyo'!AB929, 'GA Arroyo'!AE929, 'GA Arroyo'!AH929, 'GA Arroyo'!AK929)</f>
        <v>1122390</v>
      </c>
      <c r="E929">
        <f>MIN('GA Arroyo'!AO929, 'GA Arroyo'!AR929, 'GA Arroyo'!AU929, 'GA Arroyo'!AX929)</f>
        <v>1172580</v>
      </c>
      <c r="G929" s="45">
        <f t="shared" si="74"/>
        <v>1122390</v>
      </c>
      <c r="I929" s="49">
        <f t="shared" si="75"/>
        <v>3.0835983927155444</v>
      </c>
      <c r="J929" s="49">
        <f t="shared" si="76"/>
        <v>12.143729006851451</v>
      </c>
      <c r="K929" s="49">
        <f t="shared" si="77"/>
        <v>0</v>
      </c>
      <c r="L929" s="49">
        <f t="shared" si="78"/>
        <v>4.471707695186165</v>
      </c>
      <c r="T929" s="49">
        <f>(100*('GA Arroyo'!AO929-E929))/E929</f>
        <v>1.325282709921711</v>
      </c>
      <c r="U929" s="49">
        <f>(100*('GA Arroyo'!AR929-E929))/E929</f>
        <v>2.2633850142420986</v>
      </c>
      <c r="V929" s="49">
        <f>(100*('GA Arroyo'!AU929-E929))/E929</f>
        <v>0</v>
      </c>
      <c r="W929" s="49">
        <f>(100*('GA Arroyo'!AX929-E929))/E929</f>
        <v>6.6085043237988028</v>
      </c>
    </row>
    <row r="930" spans="2:23" ht="15" customHeight="1">
      <c r="B930">
        <f>MIN('GA Arroyo'!B930,'GA Arroyo'!E930,'GA Arroyo'!H930,'GA Arroyo'!K930)</f>
        <v>992195</v>
      </c>
      <c r="C930">
        <f>MIN('GA Arroyo'!O930, 'GA Arroyo'!R930, 'GA Arroyo'!U930, 'GA Arroyo'!X930)</f>
        <v>1112810</v>
      </c>
      <c r="D930">
        <f>MIN('GA Arroyo'!AB930, 'GA Arroyo'!AE930, 'GA Arroyo'!AH930, 'GA Arroyo'!AK930)</f>
        <v>1014230</v>
      </c>
      <c r="E930">
        <f>MIN('GA Arroyo'!AO930, 'GA Arroyo'!AR930, 'GA Arroyo'!AU930, 'GA Arroyo'!AX930)</f>
        <v>1023300</v>
      </c>
      <c r="G930" s="45">
        <f t="shared" si="74"/>
        <v>992195</v>
      </c>
      <c r="I930" s="49">
        <f t="shared" si="75"/>
        <v>0</v>
      </c>
      <c r="J930" s="49">
        <f t="shared" si="76"/>
        <v>12.156380550194266</v>
      </c>
      <c r="K930" s="49">
        <f t="shared" si="77"/>
        <v>2.2208336062971492</v>
      </c>
      <c r="L930" s="49">
        <f t="shared" si="78"/>
        <v>3.1349684285851067</v>
      </c>
      <c r="T930" s="49">
        <f>(100*('GA Arroyo'!AO930-E930))/E930</f>
        <v>9.2299423433988075</v>
      </c>
      <c r="U930" s="49">
        <f>(100*('GA Arroyo'!AR930-E930))/E930</f>
        <v>2.2427440633245381</v>
      </c>
      <c r="V930" s="49">
        <f>(100*('GA Arroyo'!AU930-E930))/E930</f>
        <v>1.5655233069481092</v>
      </c>
      <c r="W930" s="49">
        <f>(100*('GA Arroyo'!AX930-E930))/E930</f>
        <v>0</v>
      </c>
    </row>
    <row r="931" spans="2:23" ht="15" customHeight="1">
      <c r="B931">
        <f>MIN('GA Arroyo'!B931,'GA Arroyo'!E931,'GA Arroyo'!H931,'GA Arroyo'!K931)</f>
        <v>1103600</v>
      </c>
      <c r="C931">
        <f>MIN('GA Arroyo'!O931, 'GA Arroyo'!R931, 'GA Arroyo'!U931, 'GA Arroyo'!X931)</f>
        <v>1207650</v>
      </c>
      <c r="D931">
        <f>MIN('GA Arroyo'!AB931, 'GA Arroyo'!AE931, 'GA Arroyo'!AH931, 'GA Arroyo'!AK931)</f>
        <v>1094010</v>
      </c>
      <c r="E931">
        <f>MIN('GA Arroyo'!AO931, 'GA Arroyo'!AR931, 'GA Arroyo'!AU931, 'GA Arroyo'!AX931)</f>
        <v>1114290</v>
      </c>
      <c r="G931" s="45">
        <f t="shared" si="74"/>
        <v>1094010</v>
      </c>
      <c r="I931" s="49">
        <f t="shared" si="75"/>
        <v>0.87659162164879667</v>
      </c>
      <c r="J931" s="49">
        <f t="shared" si="76"/>
        <v>10.387473606274165</v>
      </c>
      <c r="K931" s="49">
        <f t="shared" si="77"/>
        <v>0</v>
      </c>
      <c r="L931" s="49">
        <f t="shared" si="78"/>
        <v>1.8537307702854635</v>
      </c>
      <c r="T931" s="49">
        <f>(100*('GA Arroyo'!AO931-E931))/E931</f>
        <v>0</v>
      </c>
      <c r="U931" s="49">
        <f>(100*('GA Arroyo'!AR931-E931))/E931</f>
        <v>1.6764038087033</v>
      </c>
      <c r="V931" s="49">
        <f>(100*('GA Arroyo'!AU931-E931))/E931</f>
        <v>9.6922704143445601E-2</v>
      </c>
      <c r="W931" s="49">
        <f>(100*('GA Arroyo'!AX931-E931))/E931</f>
        <v>0.18217878649184682</v>
      </c>
    </row>
    <row r="932" spans="2:23" ht="15" customHeight="1">
      <c r="B932">
        <f>MIN('GA Arroyo'!B932,'GA Arroyo'!E932,'GA Arroyo'!H932,'GA Arroyo'!K932)</f>
        <v>1141260</v>
      </c>
      <c r="C932">
        <f>MIN('GA Arroyo'!O932, 'GA Arroyo'!R932, 'GA Arroyo'!U932, 'GA Arroyo'!X932)</f>
        <v>1226160</v>
      </c>
      <c r="D932">
        <f>MIN('GA Arroyo'!AB932, 'GA Arroyo'!AE932, 'GA Arroyo'!AH932, 'GA Arroyo'!AK932)</f>
        <v>1126050</v>
      </c>
      <c r="E932">
        <f>MIN('GA Arroyo'!AO932, 'GA Arroyo'!AR932, 'GA Arroyo'!AU932, 'GA Arroyo'!AX932)</f>
        <v>1155250</v>
      </c>
      <c r="G932" s="45">
        <f t="shared" si="74"/>
        <v>1126050</v>
      </c>
      <c r="I932" s="49">
        <f t="shared" si="75"/>
        <v>1.3507393099773544</v>
      </c>
      <c r="J932" s="49">
        <f t="shared" si="76"/>
        <v>8.8903689889436528</v>
      </c>
      <c r="K932" s="49">
        <f t="shared" si="77"/>
        <v>0</v>
      </c>
      <c r="L932" s="49">
        <f t="shared" si="78"/>
        <v>2.5931352959460061</v>
      </c>
      <c r="T932" s="49">
        <f>(100*('GA Arroyo'!AO932-E932))/E932</f>
        <v>7.8441895693572823</v>
      </c>
      <c r="U932" s="49">
        <f>(100*('GA Arroyo'!AR932-E932))/E932</f>
        <v>4.2752650941354684</v>
      </c>
      <c r="V932" s="49">
        <f>(100*('GA Arroyo'!AU932-E932))/E932</f>
        <v>2.1155594027266824</v>
      </c>
      <c r="W932" s="49">
        <f>(100*('GA Arroyo'!AX932-E932))/E932</f>
        <v>0</v>
      </c>
    </row>
    <row r="933" spans="2:23" ht="15" customHeight="1">
      <c r="B933">
        <f>MIN('GA Arroyo'!B933,'GA Arroyo'!E933,'GA Arroyo'!H933,'GA Arroyo'!K933)</f>
        <v>1276990</v>
      </c>
      <c r="C933">
        <f>MIN('GA Arroyo'!O933, 'GA Arroyo'!R933, 'GA Arroyo'!U933, 'GA Arroyo'!X933)</f>
        <v>1401670</v>
      </c>
      <c r="D933">
        <f>MIN('GA Arroyo'!AB933, 'GA Arroyo'!AE933, 'GA Arroyo'!AH933, 'GA Arroyo'!AK933)</f>
        <v>1274190</v>
      </c>
      <c r="E933">
        <f>MIN('GA Arroyo'!AO933, 'GA Arroyo'!AR933, 'GA Arroyo'!AU933, 'GA Arroyo'!AX933)</f>
        <v>1263810</v>
      </c>
      <c r="G933" s="45">
        <f t="shared" si="74"/>
        <v>1263810</v>
      </c>
      <c r="I933" s="49">
        <f t="shared" si="75"/>
        <v>1.0428782807542274</v>
      </c>
      <c r="J933" s="49">
        <f t="shared" si="76"/>
        <v>10.90828526439892</v>
      </c>
      <c r="K933" s="49">
        <f t="shared" si="77"/>
        <v>0.82132599045742638</v>
      </c>
      <c r="L933" s="49">
        <f t="shared" si="78"/>
        <v>0</v>
      </c>
      <c r="T933" s="49">
        <f>(100*('GA Arroyo'!AO933-E933))/E933</f>
        <v>5.5126957374921863</v>
      </c>
      <c r="U933" s="49">
        <f>(100*('GA Arroyo'!AR933-E933))/E933</f>
        <v>0</v>
      </c>
      <c r="V933" s="49">
        <f>(100*('GA Arroyo'!AU933-E933))/E933</f>
        <v>6.3110752407403012</v>
      </c>
      <c r="W933" s="49">
        <f>(100*('GA Arroyo'!AX933-E933))/E933</f>
        <v>1.4416724032884689</v>
      </c>
    </row>
    <row r="934" spans="2:23" ht="15" customHeight="1">
      <c r="B934">
        <f>MIN('GA Arroyo'!B934,'GA Arroyo'!E934,'GA Arroyo'!H934,'GA Arroyo'!K934)</f>
        <v>1182770</v>
      </c>
      <c r="C934">
        <f>MIN('GA Arroyo'!O934, 'GA Arroyo'!R934, 'GA Arroyo'!U934, 'GA Arroyo'!X934)</f>
        <v>1302640</v>
      </c>
      <c r="D934">
        <f>MIN('GA Arroyo'!AB934, 'GA Arroyo'!AE934, 'GA Arroyo'!AH934, 'GA Arroyo'!AK934)</f>
        <v>1197600</v>
      </c>
      <c r="E934">
        <f>MIN('GA Arroyo'!AO934, 'GA Arroyo'!AR934, 'GA Arroyo'!AU934, 'GA Arroyo'!AX934)</f>
        <v>1198610</v>
      </c>
      <c r="G934" s="45">
        <f t="shared" si="74"/>
        <v>1182770</v>
      </c>
      <c r="I934" s="49">
        <f t="shared" si="75"/>
        <v>0</v>
      </c>
      <c r="J934" s="49">
        <f t="shared" si="76"/>
        <v>10.134683835403333</v>
      </c>
      <c r="K934" s="49">
        <f t="shared" si="77"/>
        <v>1.2538363333530611</v>
      </c>
      <c r="L934" s="49">
        <f t="shared" si="78"/>
        <v>1.3392290977958521</v>
      </c>
      <c r="T934" s="49">
        <f>(100*('GA Arroyo'!AO934-E934))/E934</f>
        <v>6.7953713050950686</v>
      </c>
      <c r="U934" s="49">
        <f>(100*('GA Arroyo'!AR934-E934))/E934</f>
        <v>4.2699460208074349</v>
      </c>
      <c r="V934" s="49">
        <f>(100*('GA Arroyo'!AU934-E934))/E934</f>
        <v>6.8737954797640599</v>
      </c>
      <c r="W934" s="49">
        <f>(100*('GA Arroyo'!AX934-E934))/E934</f>
        <v>0</v>
      </c>
    </row>
    <row r="935" spans="2:23" ht="15" customHeight="1">
      <c r="B935">
        <f>MIN('GA Arroyo'!B935,'GA Arroyo'!E935,'GA Arroyo'!H935,'GA Arroyo'!K935)</f>
        <v>1026220</v>
      </c>
      <c r="C935">
        <f>MIN('GA Arroyo'!O935, 'GA Arroyo'!R935, 'GA Arroyo'!U935, 'GA Arroyo'!X935)</f>
        <v>1127680</v>
      </c>
      <c r="D935">
        <f>MIN('GA Arroyo'!AB935, 'GA Arroyo'!AE935, 'GA Arroyo'!AH935, 'GA Arroyo'!AK935)</f>
        <v>1013270</v>
      </c>
      <c r="E935">
        <f>MIN('GA Arroyo'!AO935, 'GA Arroyo'!AR935, 'GA Arroyo'!AU935, 'GA Arroyo'!AX935)</f>
        <v>1008590</v>
      </c>
      <c r="G935" s="45">
        <f t="shared" si="74"/>
        <v>1008590</v>
      </c>
      <c r="I935" s="49">
        <f t="shared" si="75"/>
        <v>1.747984810477994</v>
      </c>
      <c r="J935" s="49">
        <f t="shared" si="76"/>
        <v>11.807572948373473</v>
      </c>
      <c r="K935" s="49">
        <f t="shared" si="77"/>
        <v>0.46401411872019355</v>
      </c>
      <c r="L935" s="49">
        <f t="shared" si="78"/>
        <v>0</v>
      </c>
      <c r="T935" s="49">
        <f>(100*('GA Arroyo'!AO935-E935))/E935</f>
        <v>6.2314716584538807</v>
      </c>
      <c r="U935" s="49">
        <f>(100*('GA Arroyo'!AR935-E935))/E935</f>
        <v>3.4087191029060371</v>
      </c>
      <c r="V935" s="49">
        <f>(100*('GA Arroyo'!AU935-E935))/E935</f>
        <v>7.5570846429173404</v>
      </c>
      <c r="W935" s="49">
        <f>(100*('GA Arroyo'!AX935-E935))/E935</f>
        <v>0</v>
      </c>
    </row>
    <row r="936" spans="2:23" ht="15" customHeight="1">
      <c r="B936">
        <f>MIN('GA Arroyo'!B936,'GA Arroyo'!E936,'GA Arroyo'!H936,'GA Arroyo'!K936)</f>
        <v>1221080</v>
      </c>
      <c r="C936">
        <f>MIN('GA Arroyo'!O936, 'GA Arroyo'!R936, 'GA Arroyo'!U936, 'GA Arroyo'!X936)</f>
        <v>1357870</v>
      </c>
      <c r="D936">
        <f>MIN('GA Arroyo'!AB936, 'GA Arroyo'!AE936, 'GA Arroyo'!AH936, 'GA Arroyo'!AK936)</f>
        <v>1213770</v>
      </c>
      <c r="E936">
        <f>MIN('GA Arroyo'!AO936, 'GA Arroyo'!AR936, 'GA Arroyo'!AU936, 'GA Arroyo'!AX936)</f>
        <v>1220520</v>
      </c>
      <c r="G936" s="45">
        <f t="shared" si="74"/>
        <v>1213770</v>
      </c>
      <c r="I936" s="49">
        <f t="shared" si="75"/>
        <v>0.60225578157311521</v>
      </c>
      <c r="J936" s="49">
        <f t="shared" si="76"/>
        <v>11.872100974649234</v>
      </c>
      <c r="K936" s="49">
        <f t="shared" si="77"/>
        <v>0</v>
      </c>
      <c r="L936" s="49">
        <f t="shared" si="78"/>
        <v>0.55611853975629655</v>
      </c>
      <c r="T936" s="49">
        <f>(100*('GA Arroyo'!AO936-E936))/E936</f>
        <v>5.7024874643594536</v>
      </c>
      <c r="U936" s="49">
        <f>(100*('GA Arroyo'!AR936-E936))/E936</f>
        <v>9.8163078032314104</v>
      </c>
      <c r="V936" s="49">
        <f>(100*('GA Arroyo'!AU936-E936))/E936</f>
        <v>4.8667780945826369</v>
      </c>
      <c r="W936" s="49">
        <f>(100*('GA Arroyo'!AX936-E936))/E936</f>
        <v>0</v>
      </c>
    </row>
    <row r="937" spans="2:23" ht="15" customHeight="1">
      <c r="B937">
        <f>MIN('GA Arroyo'!B937,'GA Arroyo'!E937,'GA Arroyo'!H937,'GA Arroyo'!K937)</f>
        <v>1141710</v>
      </c>
      <c r="C937">
        <f>MIN('GA Arroyo'!O937, 'GA Arroyo'!R937, 'GA Arroyo'!U937, 'GA Arroyo'!X937)</f>
        <v>1286400</v>
      </c>
      <c r="D937">
        <f>MIN('GA Arroyo'!AB937, 'GA Arroyo'!AE937, 'GA Arroyo'!AH937, 'GA Arroyo'!AK937)</f>
        <v>1188400</v>
      </c>
      <c r="E937">
        <f>MIN('GA Arroyo'!AO937, 'GA Arroyo'!AR937, 'GA Arroyo'!AU937, 'GA Arroyo'!AX937)</f>
        <v>1185150</v>
      </c>
      <c r="G937" s="45">
        <f t="shared" si="74"/>
        <v>1141710</v>
      </c>
      <c r="I937" s="49">
        <f t="shared" si="75"/>
        <v>0</v>
      </c>
      <c r="J937" s="49">
        <f t="shared" si="76"/>
        <v>12.673095619728302</v>
      </c>
      <c r="K937" s="49">
        <f t="shared" si="77"/>
        <v>4.0894798153646725</v>
      </c>
      <c r="L937" s="49">
        <f t="shared" si="78"/>
        <v>3.8048190871587355</v>
      </c>
      <c r="T937" s="49">
        <f>(100*('GA Arroyo'!AO937-E937))/E937</f>
        <v>4.3201282538075345</v>
      </c>
      <c r="U937" s="49">
        <f>(100*('GA Arroyo'!AR937-E937))/E937</f>
        <v>3.4451335274015946</v>
      </c>
      <c r="V937" s="49">
        <f>(100*('GA Arroyo'!AU937-E937))/E937</f>
        <v>1.4512930852634687</v>
      </c>
      <c r="W937" s="49">
        <f>(100*('GA Arroyo'!AX937-E937))/E937</f>
        <v>0</v>
      </c>
    </row>
    <row r="938" spans="2:23" ht="15" customHeight="1">
      <c r="B938">
        <f>MIN('GA Arroyo'!B938,'GA Arroyo'!E938,'GA Arroyo'!H938,'GA Arroyo'!K938)</f>
        <v>1233150</v>
      </c>
      <c r="C938">
        <f>MIN('GA Arroyo'!O938, 'GA Arroyo'!R938, 'GA Arroyo'!U938, 'GA Arroyo'!X938)</f>
        <v>1310620</v>
      </c>
      <c r="D938">
        <f>MIN('GA Arroyo'!AB938, 'GA Arroyo'!AE938, 'GA Arroyo'!AH938, 'GA Arroyo'!AK938)</f>
        <v>1228290</v>
      </c>
      <c r="E938">
        <f>MIN('GA Arroyo'!AO938, 'GA Arroyo'!AR938, 'GA Arroyo'!AU938, 'GA Arroyo'!AX938)</f>
        <v>1201160</v>
      </c>
      <c r="G938" s="45">
        <f t="shared" si="74"/>
        <v>1201160</v>
      </c>
      <c r="I938" s="49">
        <f t="shared" si="75"/>
        <v>2.6632588497785474</v>
      </c>
      <c r="J938" s="49">
        <f t="shared" si="76"/>
        <v>9.1128575710146862</v>
      </c>
      <c r="K938" s="49">
        <f t="shared" si="77"/>
        <v>2.2586499716940289</v>
      </c>
      <c r="L938" s="49">
        <f t="shared" si="78"/>
        <v>0</v>
      </c>
      <c r="T938" s="49">
        <f>(100*('GA Arroyo'!AO938-E938))/E938</f>
        <v>5.2649105864331149</v>
      </c>
      <c r="U938" s="49">
        <f>(100*('GA Arroyo'!AR938-E938))/E938</f>
        <v>4.4382097305937593</v>
      </c>
      <c r="V938" s="49">
        <f>(100*('GA Arroyo'!AU938-E938))/E938</f>
        <v>0</v>
      </c>
      <c r="W938" s="49">
        <f>(100*('GA Arroyo'!AX938-E938))/E938</f>
        <v>9.1811249125845009</v>
      </c>
    </row>
    <row r="939" spans="2:23" ht="15" customHeight="1">
      <c r="B939">
        <f>MIN('GA Arroyo'!B939,'GA Arroyo'!E939,'GA Arroyo'!H939,'GA Arroyo'!K939)</f>
        <v>1195070</v>
      </c>
      <c r="C939">
        <f>MIN('GA Arroyo'!O939, 'GA Arroyo'!R939, 'GA Arroyo'!U939, 'GA Arroyo'!X939)</f>
        <v>1339860</v>
      </c>
      <c r="D939">
        <f>MIN('GA Arroyo'!AB939, 'GA Arroyo'!AE939, 'GA Arroyo'!AH939, 'GA Arroyo'!AK939)</f>
        <v>1247870</v>
      </c>
      <c r="E939">
        <f>MIN('GA Arroyo'!AO939, 'GA Arroyo'!AR939, 'GA Arroyo'!AU939, 'GA Arroyo'!AX939)</f>
        <v>1178600</v>
      </c>
      <c r="G939" s="45">
        <f t="shared" si="74"/>
        <v>1178600</v>
      </c>
      <c r="I939" s="49">
        <f t="shared" si="75"/>
        <v>1.3974206685898525</v>
      </c>
      <c r="J939" s="49">
        <f t="shared" si="76"/>
        <v>13.682334973697607</v>
      </c>
      <c r="K939" s="49">
        <f t="shared" si="77"/>
        <v>5.877312065162057</v>
      </c>
      <c r="L939" s="49">
        <f t="shared" si="78"/>
        <v>0</v>
      </c>
      <c r="T939" s="49">
        <f>(100*('GA Arroyo'!AO939-E939))/E939</f>
        <v>7.3841846258272525</v>
      </c>
      <c r="U939" s="49">
        <f>(100*('GA Arroyo'!AR939-E939))/E939</f>
        <v>11.075852706601053</v>
      </c>
      <c r="V939" s="49">
        <f>(100*('GA Arroyo'!AU939-E939))/E939</f>
        <v>0</v>
      </c>
      <c r="W939" s="49">
        <f>(100*('GA Arroyo'!AX939-E939))/E939</f>
        <v>5.2740539623281864</v>
      </c>
    </row>
    <row r="940" spans="2:23" ht="15" customHeight="1">
      <c r="B940">
        <f>MIN('GA Arroyo'!B940,'GA Arroyo'!E940,'GA Arroyo'!H940,'GA Arroyo'!K940)</f>
        <v>1245760</v>
      </c>
      <c r="C940">
        <f>MIN('GA Arroyo'!O940, 'GA Arroyo'!R940, 'GA Arroyo'!U940, 'GA Arroyo'!X940)</f>
        <v>1334490</v>
      </c>
      <c r="D940">
        <f>MIN('GA Arroyo'!AB940, 'GA Arroyo'!AE940, 'GA Arroyo'!AH940, 'GA Arroyo'!AK940)</f>
        <v>1212710</v>
      </c>
      <c r="E940">
        <f>MIN('GA Arroyo'!AO940, 'GA Arroyo'!AR940, 'GA Arroyo'!AU940, 'GA Arroyo'!AX940)</f>
        <v>1260050</v>
      </c>
      <c r="G940" s="45">
        <f t="shared" si="74"/>
        <v>1212710</v>
      </c>
      <c r="I940" s="49">
        <f t="shared" si="75"/>
        <v>2.7253011849494109</v>
      </c>
      <c r="J940" s="49">
        <f t="shared" si="76"/>
        <v>10.041972112046574</v>
      </c>
      <c r="K940" s="49">
        <f t="shared" si="77"/>
        <v>0</v>
      </c>
      <c r="L940" s="49">
        <f t="shared" si="78"/>
        <v>3.9036538001665693</v>
      </c>
      <c r="T940" s="49">
        <f>(100*('GA Arroyo'!AO940-E940))/E940</f>
        <v>3.1506686242609421</v>
      </c>
      <c r="U940" s="49">
        <f>(100*('GA Arroyo'!AR940-E940))/E940</f>
        <v>1.0936073965318835</v>
      </c>
      <c r="V940" s="49">
        <f>(100*('GA Arroyo'!AU940-E940))/E940</f>
        <v>0.22221340422999086</v>
      </c>
      <c r="W940" s="49">
        <f>(100*('GA Arroyo'!AX940-E940))/E940</f>
        <v>0</v>
      </c>
    </row>
    <row r="941" spans="2:23" ht="15" customHeight="1">
      <c r="B941">
        <f>MIN('GA Arroyo'!B941,'GA Arroyo'!E941,'GA Arroyo'!H941,'GA Arroyo'!K941)</f>
        <v>1132970</v>
      </c>
      <c r="C941">
        <f>MIN('GA Arroyo'!O941, 'GA Arroyo'!R941, 'GA Arroyo'!U941, 'GA Arroyo'!X941)</f>
        <v>1231070</v>
      </c>
      <c r="D941">
        <f>MIN('GA Arroyo'!AB941, 'GA Arroyo'!AE941, 'GA Arroyo'!AH941, 'GA Arroyo'!AK941)</f>
        <v>1140000</v>
      </c>
      <c r="E941">
        <f>MIN('GA Arroyo'!AO941, 'GA Arroyo'!AR941, 'GA Arroyo'!AU941, 'GA Arroyo'!AX941)</f>
        <v>1144060</v>
      </c>
      <c r="G941" s="45">
        <f t="shared" si="74"/>
        <v>1132970</v>
      </c>
      <c r="I941" s="49">
        <f t="shared" si="75"/>
        <v>0</v>
      </c>
      <c r="J941" s="49">
        <f t="shared" si="76"/>
        <v>8.6586582168989477</v>
      </c>
      <c r="K941" s="49">
        <f t="shared" si="77"/>
        <v>0.62049304041589803</v>
      </c>
      <c r="L941" s="49">
        <f t="shared" si="78"/>
        <v>0.97884321738439672</v>
      </c>
      <c r="T941" s="49">
        <f>(100*('GA Arroyo'!AO941-E941))/E941</f>
        <v>7.4532804223554709</v>
      </c>
      <c r="U941" s="49">
        <f>(100*('GA Arroyo'!AR941-E941))/E941</f>
        <v>0</v>
      </c>
      <c r="V941" s="49">
        <f>(100*('GA Arroyo'!AU941-E941))/E941</f>
        <v>2.3976015243955735</v>
      </c>
      <c r="W941" s="49">
        <f>(100*('GA Arroyo'!AX941-E941))/E941</f>
        <v>0.65730818313724804</v>
      </c>
    </row>
    <row r="942" spans="2:23" ht="15" customHeight="1">
      <c r="B942">
        <f>MIN('GA Arroyo'!B942,'GA Arroyo'!E942,'GA Arroyo'!H942,'GA Arroyo'!K942)</f>
        <v>1131930</v>
      </c>
      <c r="C942">
        <f>MIN('GA Arroyo'!O942, 'GA Arroyo'!R942, 'GA Arroyo'!U942, 'GA Arroyo'!X942)</f>
        <v>1223120</v>
      </c>
      <c r="D942">
        <f>MIN('GA Arroyo'!AB942, 'GA Arroyo'!AE942, 'GA Arroyo'!AH942, 'GA Arroyo'!AK942)</f>
        <v>1143590</v>
      </c>
      <c r="E942">
        <f>MIN('GA Arroyo'!AO942, 'GA Arroyo'!AR942, 'GA Arroyo'!AU942, 'GA Arroyo'!AX942)</f>
        <v>1164990</v>
      </c>
      <c r="G942" s="45">
        <f t="shared" si="74"/>
        <v>1131930</v>
      </c>
      <c r="I942" s="49">
        <f t="shared" si="75"/>
        <v>0</v>
      </c>
      <c r="J942" s="49">
        <f t="shared" si="76"/>
        <v>8.0561518821835278</v>
      </c>
      <c r="K942" s="49">
        <f t="shared" si="77"/>
        <v>1.0300990343925862</v>
      </c>
      <c r="L942" s="49">
        <f t="shared" si="78"/>
        <v>2.9206753067769209</v>
      </c>
      <c r="T942" s="49">
        <f>(100*('GA Arroyo'!AO942-E942))/E942</f>
        <v>2.9416561515549491</v>
      </c>
      <c r="U942" s="49">
        <f>(100*('GA Arroyo'!AR942-E942))/E942</f>
        <v>3.2618305736529928E-2</v>
      </c>
      <c r="V942" s="49">
        <f>(100*('GA Arroyo'!AU942-E942))/E942</f>
        <v>0</v>
      </c>
      <c r="W942" s="49">
        <f>(100*('GA Arroyo'!AX942-E942))/E942</f>
        <v>0.74421239667293282</v>
      </c>
    </row>
    <row r="943" spans="2:23" ht="15" customHeight="1">
      <c r="B943">
        <f>MIN('GA Arroyo'!B943,'GA Arroyo'!E943,'GA Arroyo'!H943,'GA Arroyo'!K943)</f>
        <v>1238780</v>
      </c>
      <c r="C943">
        <f>MIN('GA Arroyo'!O943, 'GA Arroyo'!R943, 'GA Arroyo'!U943, 'GA Arroyo'!X943)</f>
        <v>1325890</v>
      </c>
      <c r="D943">
        <f>MIN('GA Arroyo'!AB943, 'GA Arroyo'!AE943, 'GA Arroyo'!AH943, 'GA Arroyo'!AK943)</f>
        <v>1276790</v>
      </c>
      <c r="E943">
        <f>MIN('GA Arroyo'!AO943, 'GA Arroyo'!AR943, 'GA Arroyo'!AU943, 'GA Arroyo'!AX943)</f>
        <v>1279510</v>
      </c>
      <c r="G943" s="45">
        <f t="shared" si="74"/>
        <v>1238780</v>
      </c>
      <c r="I943" s="49">
        <f t="shared" si="75"/>
        <v>0</v>
      </c>
      <c r="J943" s="49">
        <f t="shared" si="76"/>
        <v>7.0319185004601303</v>
      </c>
      <c r="K943" s="49">
        <f t="shared" si="77"/>
        <v>3.0683414326999143</v>
      </c>
      <c r="L943" s="49">
        <f t="shared" si="78"/>
        <v>3.2879123008120894</v>
      </c>
      <c r="T943" s="49">
        <f>(100*('GA Arroyo'!AO943-E943))/E943</f>
        <v>0</v>
      </c>
      <c r="U943" s="49">
        <f>(100*('GA Arroyo'!AR943-E943))/E943</f>
        <v>0.77451524411688855</v>
      </c>
      <c r="V943" s="49">
        <f>(100*('GA Arroyo'!AU943-E943))/E943</f>
        <v>0.49315753686958291</v>
      </c>
      <c r="W943" s="49">
        <f>(100*('GA Arroyo'!AX943-E943))/E943</f>
        <v>7.9686755085931331</v>
      </c>
    </row>
    <row r="944" spans="2:23" ht="15" customHeight="1">
      <c r="B944">
        <f>MIN('GA Arroyo'!B944,'GA Arroyo'!E944,'GA Arroyo'!H944,'GA Arroyo'!K944)</f>
        <v>1203130</v>
      </c>
      <c r="C944">
        <f>MIN('GA Arroyo'!O944, 'GA Arroyo'!R944, 'GA Arroyo'!U944, 'GA Arroyo'!X944)</f>
        <v>1364900</v>
      </c>
      <c r="D944">
        <f>MIN('GA Arroyo'!AB944, 'GA Arroyo'!AE944, 'GA Arroyo'!AH944, 'GA Arroyo'!AK944)</f>
        <v>1193270</v>
      </c>
      <c r="E944">
        <f>MIN('GA Arroyo'!AO944, 'GA Arroyo'!AR944, 'GA Arroyo'!AU944, 'GA Arroyo'!AX944)</f>
        <v>1221910</v>
      </c>
      <c r="G944" s="45">
        <f t="shared" si="74"/>
        <v>1193270</v>
      </c>
      <c r="I944" s="49">
        <f t="shared" si="75"/>
        <v>0.82630083719527014</v>
      </c>
      <c r="J944" s="49">
        <f t="shared" si="76"/>
        <v>14.383165587000427</v>
      </c>
      <c r="K944" s="49">
        <f t="shared" si="77"/>
        <v>0</v>
      </c>
      <c r="L944" s="49">
        <f t="shared" si="78"/>
        <v>2.4001273810621235</v>
      </c>
      <c r="T944" s="49">
        <f>(100*('GA Arroyo'!AO944-E944))/E944</f>
        <v>1.6948875121735643</v>
      </c>
      <c r="U944" s="49">
        <f>(100*('GA Arroyo'!AR944-E944))/E944</f>
        <v>2.0983542159406174</v>
      </c>
      <c r="V944" s="49">
        <f>(100*('GA Arroyo'!AU944-E944))/E944</f>
        <v>3.5665474543951681</v>
      </c>
      <c r="W944" s="49">
        <f>(100*('GA Arroyo'!AX944-E944))/E944</f>
        <v>0</v>
      </c>
    </row>
    <row r="945" spans="2:23" ht="15" customHeight="1">
      <c r="B945">
        <f>MIN('GA Arroyo'!B945,'GA Arroyo'!E945,'GA Arroyo'!H945,'GA Arroyo'!K945)</f>
        <v>1238660</v>
      </c>
      <c r="C945">
        <f>MIN('GA Arroyo'!O945, 'GA Arroyo'!R945, 'GA Arroyo'!U945, 'GA Arroyo'!X945)</f>
        <v>1355760</v>
      </c>
      <c r="D945">
        <f>MIN('GA Arroyo'!AB945, 'GA Arroyo'!AE945, 'GA Arroyo'!AH945, 'GA Arroyo'!AK945)</f>
        <v>1249630</v>
      </c>
      <c r="E945">
        <f>MIN('GA Arroyo'!AO945, 'GA Arroyo'!AR945, 'GA Arroyo'!AU945, 'GA Arroyo'!AX945)</f>
        <v>1271170</v>
      </c>
      <c r="G945" s="45">
        <f t="shared" si="74"/>
        <v>1238660</v>
      </c>
      <c r="I945" s="49">
        <f t="shared" si="75"/>
        <v>0</v>
      </c>
      <c r="J945" s="49">
        <f t="shared" si="76"/>
        <v>9.4537645520158886</v>
      </c>
      <c r="K945" s="49">
        <f t="shared" si="77"/>
        <v>0.88563447596596323</v>
      </c>
      <c r="L945" s="49">
        <f t="shared" si="78"/>
        <v>2.6246104661489027</v>
      </c>
      <c r="T945" s="49">
        <f>(100*('GA Arroyo'!AO945-E945))/E945</f>
        <v>10.881314064995241</v>
      </c>
      <c r="U945" s="49">
        <f>(100*('GA Arroyo'!AR945-E945))/E945</f>
        <v>1.3538708433962412</v>
      </c>
      <c r="V945" s="49">
        <f>(100*('GA Arroyo'!AU945-E945))/E945</f>
        <v>0.80949046941007108</v>
      </c>
      <c r="W945" s="49">
        <f>(100*('GA Arroyo'!AX945-E945))/E945</f>
        <v>0</v>
      </c>
    </row>
    <row r="946" spans="2:23" ht="15" customHeight="1">
      <c r="B946">
        <f>MIN('GA Arroyo'!B946,'GA Arroyo'!E946,'GA Arroyo'!H946,'GA Arroyo'!K946)</f>
        <v>1070400</v>
      </c>
      <c r="C946">
        <f>MIN('GA Arroyo'!O946, 'GA Arroyo'!R946, 'GA Arroyo'!U946, 'GA Arroyo'!X946)</f>
        <v>1200910</v>
      </c>
      <c r="D946">
        <f>MIN('GA Arroyo'!AB946, 'GA Arroyo'!AE946, 'GA Arroyo'!AH946, 'GA Arroyo'!AK946)</f>
        <v>1132120</v>
      </c>
      <c r="E946">
        <f>MIN('GA Arroyo'!AO946, 'GA Arroyo'!AR946, 'GA Arroyo'!AU946, 'GA Arroyo'!AX946)</f>
        <v>1137350</v>
      </c>
      <c r="G946" s="45">
        <f t="shared" si="74"/>
        <v>1070400</v>
      </c>
      <c r="I946" s="49">
        <f t="shared" si="75"/>
        <v>0</v>
      </c>
      <c r="J946" s="49">
        <f t="shared" si="76"/>
        <v>12.192638266068759</v>
      </c>
      <c r="K946" s="49">
        <f t="shared" si="77"/>
        <v>5.7660687593423017</v>
      </c>
      <c r="L946" s="49">
        <f t="shared" si="78"/>
        <v>6.2546711509715998</v>
      </c>
      <c r="T946" s="49">
        <f>(100*('GA Arroyo'!AO946-E946))/E946</f>
        <v>0.27608036224557087</v>
      </c>
      <c r="U946" s="49">
        <f>(100*('GA Arroyo'!AR946-E946))/E946</f>
        <v>3.7077416802215675</v>
      </c>
      <c r="V946" s="49">
        <f>(100*('GA Arroyo'!AU946-E946))/E946</f>
        <v>4.0093199103178438</v>
      </c>
      <c r="W946" s="49">
        <f>(100*('GA Arroyo'!AX946-E946))/E946</f>
        <v>0</v>
      </c>
    </row>
    <row r="947" spans="2:23" ht="15" customHeight="1">
      <c r="B947">
        <f>MIN('GA Arroyo'!B947,'GA Arroyo'!E947,'GA Arroyo'!H947,'GA Arroyo'!K947)</f>
        <v>1177990</v>
      </c>
      <c r="C947">
        <f>MIN('GA Arroyo'!O947, 'GA Arroyo'!R947, 'GA Arroyo'!U947, 'GA Arroyo'!X947)</f>
        <v>1272750</v>
      </c>
      <c r="D947">
        <f>MIN('GA Arroyo'!AB947, 'GA Arroyo'!AE947, 'GA Arroyo'!AH947, 'GA Arroyo'!AK947)</f>
        <v>1188490</v>
      </c>
      <c r="E947">
        <f>MIN('GA Arroyo'!AO947, 'GA Arroyo'!AR947, 'GA Arroyo'!AU947, 'GA Arroyo'!AX947)</f>
        <v>1182110</v>
      </c>
      <c r="G947" s="45">
        <f t="shared" si="74"/>
        <v>1177990</v>
      </c>
      <c r="I947" s="49">
        <f t="shared" si="75"/>
        <v>0</v>
      </c>
      <c r="J947" s="49">
        <f t="shared" si="76"/>
        <v>8.0442109016205574</v>
      </c>
      <c r="K947" s="49">
        <f t="shared" si="77"/>
        <v>0.89134882299510187</v>
      </c>
      <c r="L947" s="49">
        <f t="shared" si="78"/>
        <v>0.34974830007045898</v>
      </c>
      <c r="T947" s="49">
        <f>(100*('GA Arroyo'!AO947-E947))/E947</f>
        <v>15.146644559304972</v>
      </c>
      <c r="U947" s="49">
        <f>(100*('GA Arroyo'!AR947-E947))/E947</f>
        <v>0</v>
      </c>
      <c r="V947" s="49">
        <f>(100*('GA Arroyo'!AU947-E947))/E947</f>
        <v>1.4178037576875249</v>
      </c>
      <c r="W947" s="49">
        <f>(100*('GA Arroyo'!AX947-E947))/E947</f>
        <v>3.3431744930674809</v>
      </c>
    </row>
    <row r="948" spans="2:23" ht="15" customHeight="1">
      <c r="B948">
        <f>MIN('GA Arroyo'!B948,'GA Arroyo'!E948,'GA Arroyo'!H948,'GA Arroyo'!K948)</f>
        <v>1355700</v>
      </c>
      <c r="C948">
        <f>MIN('GA Arroyo'!O948, 'GA Arroyo'!R948, 'GA Arroyo'!U948, 'GA Arroyo'!X948)</f>
        <v>1429250</v>
      </c>
      <c r="D948">
        <f>MIN('GA Arroyo'!AB948, 'GA Arroyo'!AE948, 'GA Arroyo'!AH948, 'GA Arroyo'!AK948)</f>
        <v>1362240</v>
      </c>
      <c r="E948">
        <f>MIN('GA Arroyo'!AO948, 'GA Arroyo'!AR948, 'GA Arroyo'!AU948, 'GA Arroyo'!AX948)</f>
        <v>1336690</v>
      </c>
      <c r="G948" s="45">
        <f t="shared" si="74"/>
        <v>1336690</v>
      </c>
      <c r="I948" s="49">
        <f t="shared" si="75"/>
        <v>1.422169687810936</v>
      </c>
      <c r="J948" s="49">
        <f t="shared" si="76"/>
        <v>6.9245674015665566</v>
      </c>
      <c r="K948" s="49">
        <f t="shared" si="77"/>
        <v>1.9114379549484173</v>
      </c>
      <c r="L948" s="49">
        <f t="shared" si="78"/>
        <v>0</v>
      </c>
      <c r="T948" s="49">
        <f>(100*('GA Arroyo'!AO948-E948))/E948</f>
        <v>2.6834943030919658</v>
      </c>
      <c r="U948" s="49">
        <f>(100*('GA Arroyo'!AR948-E948))/E948</f>
        <v>1.3907487899213729</v>
      </c>
      <c r="V948" s="49">
        <f>(100*('GA Arroyo'!AU948-E948))/E948</f>
        <v>6.2250783652155697</v>
      </c>
      <c r="W948" s="49">
        <f>(100*('GA Arroyo'!AX948-E948))/E948</f>
        <v>0</v>
      </c>
    </row>
    <row r="949" spans="2:23" ht="15" customHeight="1">
      <c r="B949">
        <f>MIN('GA Arroyo'!B949,'GA Arroyo'!E949,'GA Arroyo'!H949,'GA Arroyo'!K949)</f>
        <v>1259230</v>
      </c>
      <c r="C949">
        <f>MIN('GA Arroyo'!O949, 'GA Arroyo'!R949, 'GA Arroyo'!U949, 'GA Arroyo'!X949)</f>
        <v>1388980</v>
      </c>
      <c r="D949">
        <f>MIN('GA Arroyo'!AB949, 'GA Arroyo'!AE949, 'GA Arroyo'!AH949, 'GA Arroyo'!AK949)</f>
        <v>1287470</v>
      </c>
      <c r="E949">
        <f>MIN('GA Arroyo'!AO949, 'GA Arroyo'!AR949, 'GA Arroyo'!AU949, 'GA Arroyo'!AX949)</f>
        <v>1247340</v>
      </c>
      <c r="G949" s="45">
        <f t="shared" si="74"/>
        <v>1247340</v>
      </c>
      <c r="I949" s="49">
        <f t="shared" si="75"/>
        <v>0.9532284701845527</v>
      </c>
      <c r="J949" s="49">
        <f t="shared" si="76"/>
        <v>11.355364215049626</v>
      </c>
      <c r="K949" s="49">
        <f t="shared" si="77"/>
        <v>3.2172463001266696</v>
      </c>
      <c r="L949" s="49">
        <f t="shared" si="78"/>
        <v>0</v>
      </c>
      <c r="T949" s="49">
        <f>(100*('GA Arroyo'!AO949-E949))/E949</f>
        <v>0</v>
      </c>
      <c r="U949" s="49">
        <f>(100*('GA Arroyo'!AR949-E949))/E949</f>
        <v>0.71512177914602271</v>
      </c>
      <c r="V949" s="49">
        <f>(100*('GA Arroyo'!AU949-E949))/E949</f>
        <v>5.39227476069075</v>
      </c>
      <c r="W949" s="49">
        <f>(100*('GA Arroyo'!AX949-E949))/E949</f>
        <v>1.8070453925954431</v>
      </c>
    </row>
    <row r="950" spans="2:23" ht="15" customHeight="1">
      <c r="B950">
        <f>MIN('GA Arroyo'!B950,'GA Arroyo'!E950,'GA Arroyo'!H950,'GA Arroyo'!K950)</f>
        <v>1287980</v>
      </c>
      <c r="C950">
        <f>MIN('GA Arroyo'!O950, 'GA Arroyo'!R950, 'GA Arroyo'!U950, 'GA Arroyo'!X950)</f>
        <v>1357450</v>
      </c>
      <c r="D950">
        <f>MIN('GA Arroyo'!AB950, 'GA Arroyo'!AE950, 'GA Arroyo'!AH950, 'GA Arroyo'!AK950)</f>
        <v>1293790</v>
      </c>
      <c r="E950">
        <f>MIN('GA Arroyo'!AO950, 'GA Arroyo'!AR950, 'GA Arroyo'!AU950, 'GA Arroyo'!AX950)</f>
        <v>1304010</v>
      </c>
      <c r="G950" s="45">
        <f t="shared" si="74"/>
        <v>1287980</v>
      </c>
      <c r="I950" s="49">
        <f t="shared" si="75"/>
        <v>0</v>
      </c>
      <c r="J950" s="49">
        <f t="shared" si="76"/>
        <v>5.3937172937467972</v>
      </c>
      <c r="K950" s="49">
        <f t="shared" si="77"/>
        <v>0.45109396108635225</v>
      </c>
      <c r="L950" s="49">
        <f t="shared" si="78"/>
        <v>1.244584543238249</v>
      </c>
      <c r="T950" s="49">
        <f>(100*('GA Arroyo'!AO950-E950))/E950</f>
        <v>1.9915491445617748</v>
      </c>
      <c r="U950" s="49">
        <f>(100*('GA Arroyo'!AR950-E950))/E950</f>
        <v>1.9762118388662664</v>
      </c>
      <c r="V950" s="49">
        <f>(100*('GA Arroyo'!AU950-E950))/E950</f>
        <v>4.5643821749833204</v>
      </c>
      <c r="W950" s="49">
        <f>(100*('GA Arroyo'!AX950-E950))/E950</f>
        <v>0</v>
      </c>
    </row>
    <row r="951" spans="2:23" ht="15" customHeight="1">
      <c r="B951">
        <f>MIN('GA Arroyo'!B951,'GA Arroyo'!E951,'GA Arroyo'!H951,'GA Arroyo'!K951)</f>
        <v>1211520</v>
      </c>
      <c r="C951">
        <f>MIN('GA Arroyo'!O951, 'GA Arroyo'!R951, 'GA Arroyo'!U951, 'GA Arroyo'!X951)</f>
        <v>1249970</v>
      </c>
      <c r="D951">
        <f>MIN('GA Arroyo'!AB951, 'GA Arroyo'!AE951, 'GA Arroyo'!AH951, 'GA Arroyo'!AK951)</f>
        <v>1229640</v>
      </c>
      <c r="E951">
        <f>MIN('GA Arroyo'!AO951, 'GA Arroyo'!AR951, 'GA Arroyo'!AU951, 'GA Arroyo'!AX951)</f>
        <v>1218190</v>
      </c>
      <c r="G951" s="45">
        <f t="shared" si="74"/>
        <v>1211520</v>
      </c>
      <c r="I951" s="49">
        <f t="shared" si="75"/>
        <v>0</v>
      </c>
      <c r="J951" s="49">
        <f t="shared" si="76"/>
        <v>3.1736991547807714</v>
      </c>
      <c r="K951" s="49">
        <f t="shared" si="77"/>
        <v>1.4956418383518224</v>
      </c>
      <c r="L951" s="49">
        <f t="shared" si="78"/>
        <v>0.55054807184363441</v>
      </c>
      <c r="T951" s="49">
        <f>(100*('GA Arroyo'!AO951-E951))/E951</f>
        <v>6.7304771833622015</v>
      </c>
      <c r="U951" s="49">
        <f>(100*('GA Arroyo'!AR951-E951))/E951</f>
        <v>10.590302005434292</v>
      </c>
      <c r="V951" s="49">
        <f>(100*('GA Arroyo'!AU951-E951))/E951</f>
        <v>0</v>
      </c>
      <c r="W951" s="49">
        <f>(100*('GA Arroyo'!AX951-E951))/E951</f>
        <v>2.425729976440457</v>
      </c>
    </row>
    <row r="952" spans="2:23" ht="15" customHeight="1">
      <c r="B952">
        <f>MIN('GA Arroyo'!B952,'GA Arroyo'!E952,'GA Arroyo'!H952,'GA Arroyo'!K952)</f>
        <v>1147200</v>
      </c>
      <c r="C952">
        <f>MIN('GA Arroyo'!O952, 'GA Arroyo'!R952, 'GA Arroyo'!U952, 'GA Arroyo'!X952)</f>
        <v>1272470</v>
      </c>
      <c r="D952">
        <f>MIN('GA Arroyo'!AB952, 'GA Arroyo'!AE952, 'GA Arroyo'!AH952, 'GA Arroyo'!AK952)</f>
        <v>1141230</v>
      </c>
      <c r="E952">
        <f>MIN('GA Arroyo'!AO952, 'GA Arroyo'!AR952, 'GA Arroyo'!AU952, 'GA Arroyo'!AX952)</f>
        <v>1146560</v>
      </c>
      <c r="G952" s="45">
        <f t="shared" si="74"/>
        <v>1141230</v>
      </c>
      <c r="I952" s="49">
        <f t="shared" si="75"/>
        <v>0.52311979180358037</v>
      </c>
      <c r="J952" s="49">
        <f t="shared" si="76"/>
        <v>11.499872944104169</v>
      </c>
      <c r="K952" s="49">
        <f t="shared" si="77"/>
        <v>0</v>
      </c>
      <c r="L952" s="49">
        <f t="shared" si="78"/>
        <v>0.46703994812614458</v>
      </c>
      <c r="T952" s="49">
        <f>(100*('GA Arroyo'!AO952-E952))/E952</f>
        <v>0</v>
      </c>
      <c r="U952" s="49">
        <f>(100*('GA Arroyo'!AR952-E952))/E952</f>
        <v>7.6097195087915157</v>
      </c>
      <c r="V952" s="49">
        <f>(100*('GA Arroyo'!AU952-E952))/E952</f>
        <v>4.1218950600055821</v>
      </c>
      <c r="W952" s="49">
        <f>(100*('GA Arroyo'!AX952-E952))/E952</f>
        <v>8.6615615406084281</v>
      </c>
    </row>
    <row r="953" spans="2:23" ht="15" customHeight="1">
      <c r="B953">
        <f>MIN('GA Arroyo'!B953,'GA Arroyo'!E953,'GA Arroyo'!H953,'GA Arroyo'!K953)</f>
        <v>1285750</v>
      </c>
      <c r="C953">
        <f>MIN('GA Arroyo'!O953, 'GA Arroyo'!R953, 'GA Arroyo'!U953, 'GA Arroyo'!X953)</f>
        <v>1413100</v>
      </c>
      <c r="D953">
        <f>MIN('GA Arroyo'!AB953, 'GA Arroyo'!AE953, 'GA Arroyo'!AH953, 'GA Arroyo'!AK953)</f>
        <v>1303530</v>
      </c>
      <c r="E953">
        <f>MIN('GA Arroyo'!AO953, 'GA Arroyo'!AR953, 'GA Arroyo'!AU953, 'GA Arroyo'!AX953)</f>
        <v>1281860</v>
      </c>
      <c r="G953" s="45">
        <f t="shared" si="74"/>
        <v>1281860</v>
      </c>
      <c r="I953" s="49">
        <f t="shared" si="75"/>
        <v>0.30346527701933129</v>
      </c>
      <c r="J953" s="49">
        <f t="shared" si="76"/>
        <v>10.238247546533943</v>
      </c>
      <c r="K953" s="49">
        <f t="shared" si="77"/>
        <v>1.6905122244238839</v>
      </c>
      <c r="L953" s="49">
        <f t="shared" si="78"/>
        <v>0</v>
      </c>
      <c r="T953" s="49">
        <f>(100*('GA Arroyo'!AO953-E953))/E953</f>
        <v>0.54920194092958674</v>
      </c>
      <c r="U953" s="49">
        <f>(100*('GA Arroyo'!AR953-E953))/E953</f>
        <v>9.4846551105424926</v>
      </c>
      <c r="V953" s="49">
        <f>(100*('GA Arroyo'!AU953-E953))/E953</f>
        <v>8.9089292122384656</v>
      </c>
      <c r="W953" s="49">
        <f>(100*('GA Arroyo'!AX953-E953))/E953</f>
        <v>0</v>
      </c>
    </row>
    <row r="954" spans="2:23" ht="15" customHeight="1">
      <c r="B954">
        <f>MIN('GA Arroyo'!B954,'GA Arroyo'!E954,'GA Arroyo'!H954,'GA Arroyo'!K954)</f>
        <v>1241650</v>
      </c>
      <c r="C954">
        <f>MIN('GA Arroyo'!O954, 'GA Arroyo'!R954, 'GA Arroyo'!U954, 'GA Arroyo'!X954)</f>
        <v>1375020</v>
      </c>
      <c r="D954">
        <f>MIN('GA Arroyo'!AB954, 'GA Arroyo'!AE954, 'GA Arroyo'!AH954, 'GA Arroyo'!AK954)</f>
        <v>1277540</v>
      </c>
      <c r="E954">
        <f>MIN('GA Arroyo'!AO954, 'GA Arroyo'!AR954, 'GA Arroyo'!AU954, 'GA Arroyo'!AX954)</f>
        <v>1275200</v>
      </c>
      <c r="G954" s="45">
        <f t="shared" si="74"/>
        <v>1241650</v>
      </c>
      <c r="I954" s="49">
        <f t="shared" si="75"/>
        <v>0</v>
      </c>
      <c r="J954" s="49">
        <f t="shared" si="76"/>
        <v>10.741352232915878</v>
      </c>
      <c r="K954" s="49">
        <f t="shared" si="77"/>
        <v>2.8905085974308382</v>
      </c>
      <c r="L954" s="49">
        <f t="shared" si="78"/>
        <v>2.7020496919421739</v>
      </c>
      <c r="T954" s="49">
        <f>(100*('GA Arroyo'!AO954-E954))/E954</f>
        <v>4.5561480552070259</v>
      </c>
      <c r="U954" s="49">
        <f>(100*('GA Arroyo'!AR954-E954))/E954</f>
        <v>0</v>
      </c>
      <c r="V954" s="49">
        <f>(100*('GA Arroyo'!AU954-E954))/E954</f>
        <v>2.0639899623588458</v>
      </c>
      <c r="W954" s="49">
        <f>(100*('GA Arroyo'!AX954-E954))/E954</f>
        <v>2.9250313676286073</v>
      </c>
    </row>
    <row r="955" spans="2:23" ht="15" customHeight="1">
      <c r="B955">
        <f>MIN('GA Arroyo'!B955,'GA Arroyo'!E955,'GA Arroyo'!H955,'GA Arroyo'!K955)</f>
        <v>1299970</v>
      </c>
      <c r="C955">
        <f>MIN('GA Arroyo'!O955, 'GA Arroyo'!R955, 'GA Arroyo'!U955, 'GA Arroyo'!X955)</f>
        <v>1372770</v>
      </c>
      <c r="D955">
        <f>MIN('GA Arroyo'!AB955, 'GA Arroyo'!AE955, 'GA Arroyo'!AH955, 'GA Arroyo'!AK955)</f>
        <v>1287740</v>
      </c>
      <c r="E955">
        <f>MIN('GA Arroyo'!AO955, 'GA Arroyo'!AR955, 'GA Arroyo'!AU955, 'GA Arroyo'!AX955)</f>
        <v>1281760</v>
      </c>
      <c r="G955" s="45">
        <f t="shared" si="74"/>
        <v>1281760</v>
      </c>
      <c r="I955" s="49">
        <f t="shared" si="75"/>
        <v>1.4207027836724504</v>
      </c>
      <c r="J955" s="49">
        <f t="shared" si="76"/>
        <v>7.1003932093371613</v>
      </c>
      <c r="K955" s="49">
        <f t="shared" si="77"/>
        <v>0.46654599925102985</v>
      </c>
      <c r="L955" s="49">
        <f t="shared" si="78"/>
        <v>0</v>
      </c>
      <c r="T955" s="49">
        <f>(100*('GA Arroyo'!AO955-E955))/E955</f>
        <v>4.0951504181750096</v>
      </c>
      <c r="U955" s="49">
        <f>(100*('GA Arroyo'!AR955-E955))/E955</f>
        <v>3.3422793658719261</v>
      </c>
      <c r="V955" s="49">
        <f>(100*('GA Arroyo'!AU955-E955))/E955</f>
        <v>1.9520034951941081</v>
      </c>
      <c r="W955" s="49">
        <f>(100*('GA Arroyo'!AX955-E955))/E955</f>
        <v>0</v>
      </c>
    </row>
    <row r="956" spans="2:23" ht="15" customHeight="1">
      <c r="B956">
        <f>MIN('GA Arroyo'!B956,'GA Arroyo'!E956,'GA Arroyo'!H956,'GA Arroyo'!K956)</f>
        <v>1401540</v>
      </c>
      <c r="C956">
        <f>MIN('GA Arroyo'!O956, 'GA Arroyo'!R956, 'GA Arroyo'!U956, 'GA Arroyo'!X956)</f>
        <v>1471480</v>
      </c>
      <c r="D956">
        <f>MIN('GA Arroyo'!AB956, 'GA Arroyo'!AE956, 'GA Arroyo'!AH956, 'GA Arroyo'!AK956)</f>
        <v>1382740</v>
      </c>
      <c r="E956">
        <f>MIN('GA Arroyo'!AO956, 'GA Arroyo'!AR956, 'GA Arroyo'!AU956, 'GA Arroyo'!AX956)</f>
        <v>1374510</v>
      </c>
      <c r="G956" s="45">
        <f t="shared" si="74"/>
        <v>1374510</v>
      </c>
      <c r="I956" s="49">
        <f t="shared" si="75"/>
        <v>1.9665189776720431</v>
      </c>
      <c r="J956" s="49">
        <f t="shared" si="76"/>
        <v>7.0548777382485399</v>
      </c>
      <c r="K956" s="49">
        <f t="shared" si="77"/>
        <v>0.59875883041956768</v>
      </c>
      <c r="L956" s="49">
        <f t="shared" si="78"/>
        <v>0</v>
      </c>
      <c r="T956" s="49">
        <f>(100*('GA Arroyo'!AO956-E956))/E956</f>
        <v>3.6842220136630508</v>
      </c>
      <c r="U956" s="49">
        <f>(100*('GA Arroyo'!AR956-E956))/E956</f>
        <v>10.726004176033641</v>
      </c>
      <c r="V956" s="49">
        <f>(100*('GA Arroyo'!AU956-E956))/E956</f>
        <v>0</v>
      </c>
      <c r="W956" s="49">
        <f>(100*('GA Arroyo'!AX956-E956))/E956</f>
        <v>2.5027100566747422</v>
      </c>
    </row>
    <row r="957" spans="2:23" ht="15" customHeight="1">
      <c r="B957">
        <f>MIN('GA Arroyo'!B957,'GA Arroyo'!E957,'GA Arroyo'!H957,'GA Arroyo'!K957)</f>
        <v>1192260</v>
      </c>
      <c r="C957">
        <f>MIN('GA Arroyo'!O957, 'GA Arroyo'!R957, 'GA Arroyo'!U957, 'GA Arroyo'!X957)</f>
        <v>1326410</v>
      </c>
      <c r="D957">
        <f>MIN('GA Arroyo'!AB957, 'GA Arroyo'!AE957, 'GA Arroyo'!AH957, 'GA Arroyo'!AK957)</f>
        <v>1216310</v>
      </c>
      <c r="E957">
        <f>MIN('GA Arroyo'!AO957, 'GA Arroyo'!AR957, 'GA Arroyo'!AU957, 'GA Arroyo'!AX957)</f>
        <v>1195480</v>
      </c>
      <c r="G957" s="45">
        <f t="shared" si="74"/>
        <v>1192260</v>
      </c>
      <c r="I957" s="49">
        <f t="shared" si="75"/>
        <v>0</v>
      </c>
      <c r="J957" s="49">
        <f t="shared" si="76"/>
        <v>11.251740392196332</v>
      </c>
      <c r="K957" s="49">
        <f t="shared" si="77"/>
        <v>2.0171774612919999</v>
      </c>
      <c r="L957" s="49">
        <f t="shared" si="78"/>
        <v>0.27007531914179794</v>
      </c>
      <c r="T957" s="49">
        <f>(100*('GA Arroyo'!AO957-E957))/E957</f>
        <v>9.1001104158998896</v>
      </c>
      <c r="U957" s="49">
        <f>(100*('GA Arroyo'!AR957-E957))/E957</f>
        <v>3.5508749623582161</v>
      </c>
      <c r="V957" s="49">
        <f>(100*('GA Arroyo'!AU957-E957))/E957</f>
        <v>0</v>
      </c>
      <c r="W957" s="49">
        <f>(100*('GA Arroyo'!AX957-E957))/E957</f>
        <v>2.9118011175427445</v>
      </c>
    </row>
    <row r="958" spans="2:23" ht="15" customHeight="1">
      <c r="B958">
        <f>MIN('GA Arroyo'!B958,'GA Arroyo'!E958,'GA Arroyo'!H958,'GA Arroyo'!K958)</f>
        <v>1154990</v>
      </c>
      <c r="C958">
        <f>MIN('GA Arroyo'!O958, 'GA Arroyo'!R958, 'GA Arroyo'!U958, 'GA Arroyo'!X958)</f>
        <v>1294210</v>
      </c>
      <c r="D958">
        <f>MIN('GA Arroyo'!AB958, 'GA Arroyo'!AE958, 'GA Arroyo'!AH958, 'GA Arroyo'!AK958)</f>
        <v>1194150</v>
      </c>
      <c r="E958">
        <f>MIN('GA Arroyo'!AO958, 'GA Arroyo'!AR958, 'GA Arroyo'!AU958, 'GA Arroyo'!AX958)</f>
        <v>1185430</v>
      </c>
      <c r="G958" s="45">
        <f t="shared" si="74"/>
        <v>1154990</v>
      </c>
      <c r="I958" s="49">
        <f t="shared" si="75"/>
        <v>0</v>
      </c>
      <c r="J958" s="49">
        <f t="shared" si="76"/>
        <v>12.053784015446022</v>
      </c>
      <c r="K958" s="49">
        <f t="shared" si="77"/>
        <v>3.3905055455025583</v>
      </c>
      <c r="L958" s="49">
        <f t="shared" si="78"/>
        <v>2.635520653858475</v>
      </c>
      <c r="T958" s="49">
        <f>(100*('GA Arroyo'!AO958-E958))/E958</f>
        <v>4.0761580186092807</v>
      </c>
      <c r="U958" s="49">
        <f>(100*('GA Arroyo'!AR958-E958))/E958</f>
        <v>6.2373990872510401</v>
      </c>
      <c r="V958" s="49">
        <f>(100*('GA Arroyo'!AU958-E958))/E958</f>
        <v>1.7951291936259417</v>
      </c>
      <c r="W958" s="49">
        <f>(100*('GA Arroyo'!AX958-E958))/E958</f>
        <v>0</v>
      </c>
    </row>
    <row r="959" spans="2:23" ht="15" customHeight="1">
      <c r="B959">
        <f>MIN('GA Arroyo'!B959,'GA Arroyo'!E959,'GA Arroyo'!H959,'GA Arroyo'!K959)</f>
        <v>1090460</v>
      </c>
      <c r="C959">
        <f>MIN('GA Arroyo'!O959, 'GA Arroyo'!R959, 'GA Arroyo'!U959, 'GA Arroyo'!X959)</f>
        <v>1166480</v>
      </c>
      <c r="D959">
        <f>MIN('GA Arroyo'!AB959, 'GA Arroyo'!AE959, 'GA Arroyo'!AH959, 'GA Arroyo'!AK959)</f>
        <v>1067610</v>
      </c>
      <c r="E959">
        <f>MIN('GA Arroyo'!AO959, 'GA Arroyo'!AR959, 'GA Arroyo'!AU959, 'GA Arroyo'!AX959)</f>
        <v>1083060</v>
      </c>
      <c r="G959" s="45">
        <f t="shared" si="74"/>
        <v>1067610</v>
      </c>
      <c r="I959" s="49">
        <f t="shared" si="75"/>
        <v>2.1402946768951208</v>
      </c>
      <c r="J959" s="49">
        <f t="shared" si="76"/>
        <v>9.2608724159571381</v>
      </c>
      <c r="K959" s="49">
        <f t="shared" si="77"/>
        <v>0</v>
      </c>
      <c r="L959" s="49">
        <f t="shared" si="78"/>
        <v>1.4471576699356508</v>
      </c>
      <c r="T959" s="49">
        <f>(100*('GA Arroyo'!AO959-E959))/E959</f>
        <v>13.349214263291046</v>
      </c>
      <c r="U959" s="49">
        <f>(100*('GA Arroyo'!AR959-E959))/E959</f>
        <v>1.6425682787657194</v>
      </c>
      <c r="V959" s="49">
        <f>(100*('GA Arroyo'!AU959-E959))/E959</f>
        <v>0</v>
      </c>
      <c r="W959" s="49">
        <f>(100*('GA Arroyo'!AX959-E959))/E959</f>
        <v>1.2178457333850388</v>
      </c>
    </row>
    <row r="960" spans="2:23" ht="15" customHeight="1">
      <c r="B960">
        <f>MIN('GA Arroyo'!B960,'GA Arroyo'!E960,'GA Arroyo'!H960,'GA Arroyo'!K960)</f>
        <v>1378110</v>
      </c>
      <c r="C960">
        <f>MIN('GA Arroyo'!O960, 'GA Arroyo'!R960, 'GA Arroyo'!U960, 'GA Arroyo'!X960)</f>
        <v>1464790</v>
      </c>
      <c r="D960">
        <f>MIN('GA Arroyo'!AB960, 'GA Arroyo'!AE960, 'GA Arroyo'!AH960, 'GA Arroyo'!AK960)</f>
        <v>1376390</v>
      </c>
      <c r="E960">
        <f>MIN('GA Arroyo'!AO960, 'GA Arroyo'!AR960, 'GA Arroyo'!AU960, 'GA Arroyo'!AX960)</f>
        <v>1339710</v>
      </c>
      <c r="G960" s="45">
        <f t="shared" si="74"/>
        <v>1339710</v>
      </c>
      <c r="I960" s="49">
        <f t="shared" si="75"/>
        <v>2.8662919587074813</v>
      </c>
      <c r="J960" s="49">
        <f t="shared" si="76"/>
        <v>9.336348911331557</v>
      </c>
      <c r="K960" s="49">
        <f t="shared" si="77"/>
        <v>2.737905964723709</v>
      </c>
      <c r="L960" s="49">
        <f t="shared" si="78"/>
        <v>0</v>
      </c>
      <c r="T960" s="49">
        <f>(100*('GA Arroyo'!AO960-E960))/E960</f>
        <v>6.3297280754790215</v>
      </c>
      <c r="U960" s="49">
        <f>(100*('GA Arroyo'!AR960-E960))/E960</f>
        <v>5.1899291637742495</v>
      </c>
      <c r="V960" s="49">
        <f>(100*('GA Arroyo'!AU960-E960))/E960</f>
        <v>3.9627979189526092</v>
      </c>
      <c r="W960" s="49">
        <f>(100*('GA Arroyo'!AX960-E960))/E960</f>
        <v>0</v>
      </c>
    </row>
    <row r="961" spans="2:23" ht="15" customHeight="1">
      <c r="B961">
        <f>MIN('GA Arroyo'!B961,'GA Arroyo'!E961,'GA Arroyo'!H961,'GA Arroyo'!K961)</f>
        <v>1189210</v>
      </c>
      <c r="C961">
        <f>MIN('GA Arroyo'!O961, 'GA Arroyo'!R961, 'GA Arroyo'!U961, 'GA Arroyo'!X961)</f>
        <v>1264520</v>
      </c>
      <c r="D961">
        <f>MIN('GA Arroyo'!AB961, 'GA Arroyo'!AE961, 'GA Arroyo'!AH961, 'GA Arroyo'!AK961)</f>
        <v>1198520</v>
      </c>
      <c r="E961">
        <f>MIN('GA Arroyo'!AO961, 'GA Arroyo'!AR961, 'GA Arroyo'!AU961, 'GA Arroyo'!AX961)</f>
        <v>1201720</v>
      </c>
      <c r="G961" s="45">
        <f t="shared" si="74"/>
        <v>1189210</v>
      </c>
      <c r="I961" s="49">
        <f t="shared" si="75"/>
        <v>0</v>
      </c>
      <c r="J961" s="49">
        <f t="shared" si="76"/>
        <v>6.3327755400644126</v>
      </c>
      <c r="K961" s="49">
        <f t="shared" si="77"/>
        <v>0.78287266336475481</v>
      </c>
      <c r="L961" s="49">
        <f t="shared" si="78"/>
        <v>1.0519588634471624</v>
      </c>
      <c r="T961" s="49">
        <f>(100*('GA Arroyo'!AO961-E961))/E961</f>
        <v>5.1293146490030956</v>
      </c>
      <c r="U961" s="49">
        <f>(100*('GA Arroyo'!AR961-E961))/E961</f>
        <v>10.127983224045535</v>
      </c>
      <c r="V961" s="49">
        <f>(100*('GA Arroyo'!AU961-E961))/E961</f>
        <v>0</v>
      </c>
      <c r="W961" s="49">
        <f>(100*('GA Arroyo'!AX961-E961))/E961</f>
        <v>6.2227473953999271</v>
      </c>
    </row>
    <row r="962" spans="2:23" ht="15" customHeight="1">
      <c r="B962">
        <f>MIN('GA Arroyo'!B962,'GA Arroyo'!E962,'GA Arroyo'!H962,'GA Arroyo'!K962)</f>
        <v>1266500</v>
      </c>
      <c r="C962">
        <f>MIN('GA Arroyo'!O962, 'GA Arroyo'!R962, 'GA Arroyo'!U962, 'GA Arroyo'!X962)</f>
        <v>1346560</v>
      </c>
      <c r="D962">
        <f>MIN('GA Arroyo'!AB962, 'GA Arroyo'!AE962, 'GA Arroyo'!AH962, 'GA Arroyo'!AK962)</f>
        <v>1285440</v>
      </c>
      <c r="E962">
        <f>MIN('GA Arroyo'!AO962, 'GA Arroyo'!AR962, 'GA Arroyo'!AU962, 'GA Arroyo'!AX962)</f>
        <v>1249480</v>
      </c>
      <c r="G962" s="45">
        <f t="shared" si="74"/>
        <v>1249480</v>
      </c>
      <c r="I962" s="49">
        <f t="shared" si="75"/>
        <v>1.3621666613311136</v>
      </c>
      <c r="J962" s="49">
        <f t="shared" si="76"/>
        <v>7.7696321669814639</v>
      </c>
      <c r="K962" s="49">
        <f t="shared" si="77"/>
        <v>2.8779972468546915</v>
      </c>
      <c r="L962" s="49">
        <f t="shared" si="78"/>
        <v>0</v>
      </c>
      <c r="T962" s="49">
        <f>(100*('GA Arroyo'!AO962-E962))/E962</f>
        <v>3.6375132054934851</v>
      </c>
      <c r="U962" s="49">
        <f>(100*('GA Arroyo'!AR962-E962))/E962</f>
        <v>3.9776547043570125</v>
      </c>
      <c r="V962" s="49">
        <f>(100*('GA Arroyo'!AU962-E962))/E962</f>
        <v>6.3162275506610754</v>
      </c>
      <c r="W962" s="49">
        <f>(100*('GA Arroyo'!AX962-E962))/E962</f>
        <v>0</v>
      </c>
    </row>
  </sheetData>
  <mergeCells count="4">
    <mergeCell ref="T1:W1"/>
    <mergeCell ref="Y3:AC3"/>
    <mergeCell ref="N3:R3"/>
    <mergeCell ref="I1:L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16</vt:i4>
      </vt:variant>
    </vt:vector>
  </HeadingPairs>
  <TitlesOfParts>
    <vt:vector size="20" baseType="lpstr">
      <vt:lpstr>Parameter &lt;x, y&gt;</vt:lpstr>
      <vt:lpstr>RPD Parameter</vt:lpstr>
      <vt:lpstr>GA Arroyo</vt:lpstr>
      <vt:lpstr>GA Arroyo Analysis</vt:lpstr>
      <vt:lpstr>'GA Arroyo'!_100</vt:lpstr>
      <vt:lpstr>'GA Arroyo'!_100jobs0_1</vt:lpstr>
      <vt:lpstr>'GA Arroyo'!_100jobs1_0</vt:lpstr>
      <vt:lpstr>'GA Arroyo'!_100jobs1_1</vt:lpstr>
      <vt:lpstr>'GA Arroyo'!_20</vt:lpstr>
      <vt:lpstr>'GA Arroyo'!_20jobs0_1</vt:lpstr>
      <vt:lpstr>'GA Arroyo'!_20jobs1_0</vt:lpstr>
      <vt:lpstr>'GA Arroyo'!_20jobs1_1</vt:lpstr>
      <vt:lpstr>'GA Arroyo'!_50</vt:lpstr>
      <vt:lpstr>'GA Arroyo'!_50jobs0_1</vt:lpstr>
      <vt:lpstr>'GA Arroyo'!_50jobs1_0</vt:lpstr>
      <vt:lpstr>'GA Arroyo'!_50jobs1_1</vt:lpstr>
      <vt:lpstr>'GA Arroyo'!_8</vt:lpstr>
      <vt:lpstr>'GA Arroyo'!_8jobs0_1</vt:lpstr>
      <vt:lpstr>'GA Arroyo'!_8jobs1_0</vt:lpstr>
      <vt:lpstr>'GA Arroyo'!_8jobs1_1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geflx</cp:lastModifiedBy>
  <dcterms:modified xsi:type="dcterms:W3CDTF">2020-06-09T00:35:30Z</dcterms:modified>
</cp:coreProperties>
</file>